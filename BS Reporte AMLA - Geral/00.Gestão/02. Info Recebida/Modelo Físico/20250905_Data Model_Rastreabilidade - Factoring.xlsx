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18" documentId="11_BAF5C8F059E21B060C30ACA6AB7DDC8BC0B78BB5" xr6:coauthVersionLast="47" xr6:coauthVersionMax="47" xr10:uidLastSave="{6C3BECE6-E585-4E82-8827-C1714EF157DF}"/>
  <bookViews>
    <workbookView xWindow="-120" yWindow="-120" windowWidth="29040" windowHeight="15720" tabRatio="636" firstSheet="4"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Tabelas!$B$5:$AA$6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G8" i="53" a="1"/>
  <c r="G8" i="53"/>
  <c r="G8" i="69" a="1"/>
  <c r="G8" i="69" s="1"/>
  <c r="G8" i="71" a="1"/>
  <c r="G8" i="71"/>
  <c r="G8" i="72" a="1"/>
  <c r="G8" i="72"/>
  <c r="G8" i="67" a="1"/>
  <c r="G8" i="67"/>
  <c r="G19" i="56"/>
  <c r="G20" i="56"/>
  <c r="G8" i="56" a="1"/>
  <c r="G8" i="56"/>
  <c r="G8" i="57" a="1"/>
  <c r="G8" i="57"/>
  <c r="G8" i="54" a="1"/>
  <c r="G8" i="54"/>
  <c r="G8" i="51" a="1"/>
  <c r="G8" i="51"/>
  <c r="G8" i="48" a="1"/>
  <c r="G8" i="48"/>
  <c r="G8" i="52" a="1"/>
  <c r="G8" i="52"/>
  <c r="G8" i="68" a="1"/>
  <c r="G8" i="68"/>
  <c r="G8" i="66" a="1"/>
  <c r="G8" i="66"/>
  <c r="G8" i="64" a="1"/>
  <c r="G8" i="64"/>
  <c r="G8" i="65" a="1"/>
  <c r="G8" i="65"/>
  <c r="G8" i="55" a="1"/>
  <c r="G8" i="55"/>
  <c r="G8" i="45" a="1"/>
  <c r="G8" i="45"/>
  <c r="G22" i="55" a="1"/>
  <c r="G22" i="55"/>
  <c r="L32" i="64"/>
  <c r="K35" i="64"/>
  <c r="L34" i="64"/>
  <c r="L31" i="64"/>
  <c r="M32" i="64" s="1"/>
  <c r="G8" i="59" a="1"/>
  <c r="G8" i="59"/>
  <c r="G8" i="62" a="1"/>
  <c r="G8" i="62"/>
  <c r="G8" i="63" a="1"/>
  <c r="G8" i="63"/>
  <c r="G8" i="60" a="1"/>
  <c r="G8" i="60"/>
  <c r="G8" i="61" a="1"/>
  <c r="G8" i="61"/>
  <c r="G8" i="47" a="1"/>
  <c r="G8" i="47"/>
  <c r="G6" i="46" a="1"/>
  <c r="G6" i="46"/>
  <c r="G6" i="50" a="1"/>
  <c r="G6" i="50"/>
  <c r="I24" i="48" a="1"/>
  <c r="I24" i="63" a="1"/>
  <c r="I25" i="53" a="1"/>
  <c r="I25" i="60" a="1"/>
  <c r="I25" i="48" a="1"/>
  <c r="I27" i="70" a="1"/>
  <c r="I27" i="55" a="1"/>
  <c r="I24" i="59" a="1"/>
  <c r="I26" i="70" a="1"/>
  <c r="I26" i="72" a="1"/>
  <c r="I27" i="45" a="1"/>
  <c r="I25" i="57" a="1"/>
  <c r="I28" i="54" a="1"/>
  <c r="I23" i="50" a="1"/>
  <c r="I26" i="52" a="1"/>
  <c r="I24" i="65" a="1"/>
  <c r="I24" i="50" a="1"/>
  <c r="I25" i="64" a="1"/>
  <c r="I27" i="56" a="1"/>
  <c r="I25" i="59" a="1"/>
  <c r="I27" i="71" a="1"/>
  <c r="I27" i="72" a="1"/>
  <c r="I24" i="57" a="1"/>
  <c r="I24" i="62" a="1"/>
  <c r="I26" i="56" a="1"/>
  <c r="I27" i="66" a="1"/>
  <c r="I25" i="61" a="1"/>
  <c r="I27" i="47" a="1"/>
  <c r="I26" i="67" a="1"/>
  <c r="I24" i="51" a="1"/>
  <c r="I26" i="45" a="1"/>
  <c r="I25" i="51" a="1"/>
  <c r="I26" i="53" a="1"/>
  <c r="I27" i="54" a="1"/>
  <c r="I24" i="69" a="1"/>
  <c r="I26" i="73" a="1"/>
  <c r="I26" i="68" a="1"/>
  <c r="I27" i="67" a="1"/>
  <c r="I25" i="63" a="1"/>
  <c r="I27" i="68" a="1"/>
  <c r="I24" i="60" a="1"/>
  <c r="I26" i="71" a="1"/>
  <c r="I26" i="66" a="1"/>
  <c r="I24" i="64" a="1"/>
  <c r="I25" i="62" a="1"/>
  <c r="I26" i="47" a="1"/>
  <c r="I23" i="46" a="1"/>
  <c r="I24" i="61" a="1"/>
  <c r="I24" i="46" a="1"/>
  <c r="I27" i="73" a="1"/>
  <c r="I25" i="69" a="1"/>
  <c r="I27" i="52" a="1"/>
  <c r="I25" i="65" a="1"/>
  <c r="I24" i="64" l="1"/>
  <c r="G20" i="64" s="1" a="1"/>
  <c r="G20" i="64" s="1"/>
  <c r="I26" i="68"/>
  <c r="G22" i="68" s="1" a="1"/>
  <c r="G22" i="68" s="1"/>
  <c r="I26" i="45"/>
  <c r="G22" i="45" s="1" a="1"/>
  <c r="G22" i="45" s="1"/>
  <c r="I26" i="56"/>
  <c r="G22" i="56" s="1" a="1"/>
  <c r="G22" i="56" s="1"/>
  <c r="I24" i="65"/>
  <c r="G19" i="65" s="1" a="1"/>
  <c r="G19" i="65" s="1"/>
  <c r="I26" i="72"/>
  <c r="G22" i="72" s="1" a="1"/>
  <c r="G22" i="72" s="1"/>
  <c r="I25" i="53"/>
  <c r="G22" i="53" s="1" a="1"/>
  <c r="G22" i="53" s="1"/>
  <c r="I24" i="61"/>
  <c r="G20" i="61" s="1" a="1"/>
  <c r="G20" i="61" s="1"/>
  <c r="I26" i="66"/>
  <c r="G22" i="66" s="1" a="1"/>
  <c r="G22" i="66" s="1"/>
  <c r="I26" i="73"/>
  <c r="G22" i="73" s="1" a="1"/>
  <c r="G22" i="73" s="1"/>
  <c r="I24" i="51"/>
  <c r="G20" i="51" s="1" a="1"/>
  <c r="G20" i="51" s="1"/>
  <c r="I24" i="62"/>
  <c r="G20" i="62" s="1" a="1"/>
  <c r="G20" i="62" s="1"/>
  <c r="I26" i="52"/>
  <c r="G22" i="52" s="1" a="1"/>
  <c r="G22" i="52" s="1"/>
  <c r="I26" i="70"/>
  <c r="G22" i="70" s="1" a="1"/>
  <c r="G22" i="70" s="1"/>
  <c r="I24" i="63"/>
  <c r="G20" i="63" s="1" a="1"/>
  <c r="G20" i="63" s="1"/>
  <c r="I23" i="46"/>
  <c r="G18" i="46" s="1" a="1"/>
  <c r="G18" i="46" s="1"/>
  <c r="I26" i="71"/>
  <c r="G22" i="71" s="1" a="1"/>
  <c r="G22" i="71" s="1"/>
  <c r="I24" i="69"/>
  <c r="G20" i="69" s="1" a="1"/>
  <c r="G20" i="69" s="1"/>
  <c r="I26" i="67"/>
  <c r="G22" i="67" s="1" a="1"/>
  <c r="G22" i="67" s="1"/>
  <c r="I24" i="57"/>
  <c r="G20" i="57" s="1" a="1"/>
  <c r="G20" i="57" s="1"/>
  <c r="I23" i="50"/>
  <c r="G18" i="50" s="1" a="1"/>
  <c r="G18" i="50" s="1"/>
  <c r="I24" i="59"/>
  <c r="G20" i="59" s="1" a="1"/>
  <c r="G20" i="59" s="1"/>
  <c r="I24" i="48"/>
  <c r="G20" i="48" s="1" a="1"/>
  <c r="G20" i="48" s="1"/>
  <c r="I26" i="47"/>
  <c r="G20" i="47" s="1" a="1"/>
  <c r="G20" i="47" s="1"/>
  <c r="I24" i="60"/>
  <c r="G20" i="60" s="1" a="1"/>
  <c r="G20" i="60" s="1"/>
  <c r="I27" i="54"/>
  <c r="G22" i="54" s="1" a="1"/>
  <c r="G22" i="54" s="1"/>
  <c r="I27" i="45"/>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17" i="46" a="1"/>
  <c r="G20" i="65" l="1" a="1"/>
  <c r="G20" i="65" s="1"/>
  <c r="G19" i="64" a="1"/>
  <c r="G19" i="64" s="1"/>
  <c r="G21" i="64" s="1" a="1"/>
  <c r="G21" i="64" s="1"/>
  <c r="G9" i="69" a="1"/>
  <c r="G9" i="69" s="1"/>
  <c r="G21" i="52" a="1"/>
  <c r="G21" i="52" s="1"/>
  <c r="G21" i="66" a="1"/>
  <c r="G21" i="66" s="1"/>
  <c r="G9" i="71" a="1"/>
  <c r="G9" i="71" s="1"/>
  <c r="G9" i="72" a="1"/>
  <c r="G9" i="72" s="1"/>
  <c r="G9" i="51" a="1"/>
  <c r="G9" i="51" s="1"/>
  <c r="G9" i="66" a="1"/>
  <c r="G9" i="66" s="1"/>
  <c r="G21" i="72" a="1"/>
  <c r="G21" i="72" s="1"/>
  <c r="G19" i="51" a="1"/>
  <c r="G19" i="51" s="1"/>
  <c r="G9" i="52" a="1"/>
  <c r="G9" i="52" s="1"/>
  <c r="G21" i="71" a="1"/>
  <c r="G21" i="71" s="1"/>
  <c r="G19" i="69" a="1"/>
  <c r="G19" i="69" s="1"/>
  <c r="G21" i="69" l="1" a="1"/>
  <c r="G21" i="69" s="1"/>
  <c r="G23" i="66" a="1"/>
  <c r="G23" i="66" s="1"/>
  <c r="G23" i="71" a="1"/>
  <c r="G23" i="71" s="1"/>
  <c r="G23" i="72" a="1"/>
  <c r="G23" i="72" s="1"/>
  <c r="G21" i="51" a="1"/>
  <c r="G21" i="51" s="1"/>
  <c r="G23" i="52" a="1"/>
  <c r="G23" i="52" s="1"/>
  <c r="G21" i="45" l="1" a="1"/>
  <c r="G21" i="45" s="1"/>
  <c r="G9" i="45" a="1"/>
  <c r="G9" i="45" s="1"/>
  <c r="G19" i="60" a="1"/>
  <c r="G19" i="60" s="1"/>
  <c r="G9" i="63" a="1"/>
  <c r="G9" i="63" s="1"/>
  <c r="G19" i="61" a="1"/>
  <c r="G19" i="61" s="1"/>
  <c r="G9" i="73" a="1"/>
  <c r="G9" i="73" s="1"/>
  <c r="G17" i="46"/>
  <c r="G21" i="67" a="1"/>
  <c r="G21" i="67" s="1"/>
  <c r="G9" i="57" a="1"/>
  <c r="G9" i="57" s="1"/>
  <c r="G21" i="73" a="1"/>
  <c r="G21" i="73" s="1"/>
  <c r="G9" i="59" a="1"/>
  <c r="G9" i="59" s="1"/>
  <c r="G7" i="46" a="1"/>
  <c r="G7" i="46" s="1"/>
  <c r="G9" i="54" a="1"/>
  <c r="G9" i="54" s="1"/>
  <c r="G23" i="54" s="1" a="1"/>
  <c r="G23" i="54" s="1"/>
  <c r="G9" i="62" a="1"/>
  <c r="G9" i="62" s="1"/>
  <c r="G9" i="70" a="1"/>
  <c r="G9" i="70" s="1"/>
  <c r="G9" i="56" a="1"/>
  <c r="G9" i="56" s="1"/>
  <c r="G9" i="61" a="1"/>
  <c r="G9" i="61" s="1"/>
  <c r="G21" i="68" a="1"/>
  <c r="G21" i="68" s="1"/>
  <c r="G21" i="55" a="1"/>
  <c r="G21" i="55" s="1"/>
  <c r="G17" i="50" a="1"/>
  <c r="G17" i="50" s="1"/>
  <c r="G7" i="50" a="1"/>
  <c r="G7" i="50" s="1"/>
  <c r="G19" i="57" a="1"/>
  <c r="G19" i="57" s="1"/>
  <c r="G9" i="48" a="1"/>
  <c r="G9" i="48" s="1"/>
  <c r="G9" i="60" a="1"/>
  <c r="G9" i="60" s="1"/>
  <c r="G21" i="53" a="1"/>
  <c r="G21" i="53" s="1"/>
  <c r="G9" i="55" a="1"/>
  <c r="G9" i="55" s="1"/>
  <c r="G19" i="48" a="1"/>
  <c r="G19" i="48" s="1"/>
  <c r="G19" i="47" a="1"/>
  <c r="G19" i="47" s="1"/>
  <c r="G19" i="62" a="1"/>
  <c r="G19" i="62" s="1"/>
  <c r="G19" i="63" a="1"/>
  <c r="G19" i="63" s="1"/>
  <c r="G9" i="65" a="1"/>
  <c r="G9" i="65" s="1"/>
  <c r="G21" i="65" s="1" a="1"/>
  <c r="G21" i="65" s="1"/>
  <c r="G21" i="70" a="1"/>
  <c r="G21" i="70" s="1"/>
  <c r="G21" i="56" a="1"/>
  <c r="G21" i="56" s="1"/>
  <c r="G9" i="67" a="1"/>
  <c r="G9" i="67" s="1"/>
  <c r="G9" i="68" a="1"/>
  <c r="G9" i="68" s="1"/>
  <c r="G9" i="53" a="1"/>
  <c r="G9" i="53" s="1"/>
  <c r="G21" i="54" a="1"/>
  <c r="G21" i="54" s="1"/>
  <c r="G19" i="59" a="1"/>
  <c r="G19" i="59" s="1"/>
  <c r="G9" i="47" a="1"/>
  <c r="G9" i="47" s="1"/>
  <c r="G23" i="55" l="1" a="1"/>
  <c r="G23" i="55" s="1"/>
  <c r="G23" i="53" a="1"/>
  <c r="G23" i="53" s="1"/>
  <c r="G23" i="73" a="1"/>
  <c r="G23" i="73" s="1"/>
  <c r="G23" i="67" a="1"/>
  <c r="G23" i="67" s="1"/>
  <c r="G21" i="61" a="1"/>
  <c r="G21" i="61" s="1"/>
  <c r="G19" i="46" a="1"/>
  <c r="G19" i="46" s="1"/>
  <c r="G23" i="45" a="1"/>
  <c r="G23" i="45" s="1"/>
  <c r="G21" i="60" a="1"/>
  <c r="G21" i="60" s="1"/>
  <c r="G21" i="47" a="1"/>
  <c r="G21" i="47" s="1"/>
  <c r="G21" i="48" a="1"/>
  <c r="G21" i="48" s="1"/>
  <c r="G19" i="50" a="1"/>
  <c r="G19" i="50" s="1"/>
  <c r="G21" i="63" a="1"/>
  <c r="G21" i="63" s="1"/>
  <c r="G23" i="68" a="1"/>
  <c r="G23" i="68" s="1"/>
  <c r="G21" i="59" a="1"/>
  <c r="G21" i="59" s="1"/>
  <c r="G21" i="57" a="1"/>
  <c r="G21" i="57" s="1"/>
  <c r="G23" i="56" a="1"/>
  <c r="G23" i="56" s="1"/>
  <c r="G23" i="70" a="1"/>
  <c r="G23" i="70" s="1"/>
  <c r="G21" i="62" a="1"/>
  <c r="G21" i="6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69"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<sst xmlns="http://schemas.openxmlformats.org/spreadsheetml/2006/main" count="16141" uniqueCount="2434">
  <si>
    <t>Modelo Comum de Dados - Contratos</t>
  </si>
  <si>
    <t>SCHEMA</t>
  </si>
  <si>
    <t>TABELA</t>
  </si>
  <si>
    <t>DESCRIÇÃO</t>
  </si>
  <si>
    <t>common_contracts_bankguarantees</t>
  </si>
  <si>
    <t>bank_guarantee</t>
  </si>
  <si>
    <t>Contains the information of the bank guarantee contracts.</t>
  </si>
  <si>
    <t>bank_guarantee_universe</t>
  </si>
  <si>
    <t>Auxiliary table that defines the universe of bank guarantee contracts.</t>
  </si>
  <si>
    <t>common_contracts_bankvaults</t>
  </si>
  <si>
    <t>bank_vault</t>
  </si>
  <si>
    <t>Contains the information of the bank vaults contracts.</t>
  </si>
  <si>
    <t>bank_vault_visit</t>
  </si>
  <si>
    <t>Contains the information about the visits performed to the bank vaults.</t>
  </si>
  <si>
    <t>common_contracts_billspromissorynotes</t>
  </si>
  <si>
    <t>bills_promissory_notes_contract</t>
  </si>
  <si>
    <t>Contains the information about the bill or promissory note contracts.</t>
  </si>
  <si>
    <t>bills_promissory_notes_process</t>
  </si>
  <si>
    <t>Contains the information about the bill or promissory note processes.</t>
  </si>
  <si>
    <t>bills_promissory_notes_universe</t>
  </si>
  <si>
    <t>Auxiliary table that defines the universe of bill or promissory notes contracts.</t>
  </si>
  <si>
    <t>common_contracts_core</t>
  </si>
  <si>
    <t>contract</t>
  </si>
  <si>
    <t>Contains minimal information about all the Santander's contracts.</t>
  </si>
  <si>
    <t>contract_party_relationship</t>
  </si>
  <si>
    <t xml:space="preserve">Contains the information about the various types of relationships between contracts its intervenients. </t>
  </si>
  <si>
    <t>common_contracts_creditcards</t>
  </si>
  <si>
    <t>credit_card</t>
  </si>
  <si>
    <t>Contains information about the credit cards (plastic).</t>
  </si>
  <si>
    <t>credit_card_account</t>
  </si>
  <si>
    <t>Contais information about the credit card accounts.</t>
  </si>
  <si>
    <t>credit_card_contract</t>
  </si>
  <si>
    <t>Contais information about the credit card contracts.</t>
  </si>
  <si>
    <t>common_contracts_currentaccounts</t>
  </si>
  <si>
    <t>current_account</t>
  </si>
  <si>
    <t>Contais information about the current accounts contracts.</t>
  </si>
  <si>
    <t>common_contracts_debitcards</t>
  </si>
  <si>
    <t>debit_card</t>
  </si>
  <si>
    <t>Contains information about the debit cards (plastic).</t>
  </si>
  <si>
    <t>debit_card_account</t>
  </si>
  <si>
    <t>Contais information about the debit card accounts.</t>
  </si>
  <si>
    <t>common_contracts_factoring</t>
  </si>
  <si>
    <t>factoring_contract</t>
  </si>
  <si>
    <t>Contais information about the factoring contracts.</t>
  </si>
  <si>
    <t>factoring_process</t>
  </si>
  <si>
    <t>Contais information about the factoring processes.</t>
  </si>
  <si>
    <t>common_contracts_incomesavingaccounts</t>
  </si>
  <si>
    <t>incomesaving_account</t>
  </si>
  <si>
    <t>Contais information about the income saving accounts contracts.</t>
  </si>
  <si>
    <t>common_contracts_internalaccounts</t>
  </si>
  <si>
    <t>internal_account</t>
  </si>
  <si>
    <t>Contais information about the internal accounts contracts.</t>
  </si>
  <si>
    <t>common_contracts_nostrovostroaccounts</t>
  </si>
  <si>
    <t>nostrovostro_account</t>
  </si>
  <si>
    <t>Contais information about the nostro vostro accounts contracts.</t>
  </si>
  <si>
    <t>common_contracts_prepaidcards</t>
  </si>
  <si>
    <t>prepaid_card</t>
  </si>
  <si>
    <t>Contains information about the prepaid cards (plastic).</t>
  </si>
  <si>
    <t>prepaid_card_account</t>
  </si>
  <si>
    <t>Contais information about the prepaid card accounts.</t>
  </si>
  <si>
    <t>common_contracts_savingsaccounts</t>
  </si>
  <si>
    <t>saving_account</t>
  </si>
  <si>
    <t>Contais information about the saving account contracts.</t>
  </si>
  <si>
    <t>common_contracts_tradefinance</t>
  </si>
  <si>
    <t>trade_finance</t>
  </si>
  <si>
    <t>Contais information about the trade finance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</si>
  <si>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</si>
  <si>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</si>
  <si>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</si>
  <si>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</si>
  <si>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</si>
  <si>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</si>
  <si>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</si>
  <si>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</si>
  <si>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</si>
  <si>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</si>
  <si>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</si>
  <si>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</si>
  <si>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</si>
  <si>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</si>
  <si>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</si>
  <si>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</si>
  <si>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</si>
  <si>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</si>
  <si>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</si>
  <si>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</si>
  <si>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</si>
  <si>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</si>
  <si>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</si>
  <si>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</si>
  <si>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</si>
  <si>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</si>
  <si>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</si>
  <si>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</si>
  <si>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</si>
  <si>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</si>
  <si>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CONDIÇÃO CURATED - CDM</t>
  </si>
  <si>
    <t>ID APLICAÇÂO TÉCNICA</t>
  </si>
  <si>
    <t>NOME FISICO TABELA FONTE</t>
  </si>
  <si>
    <t>NOME FISICO CAMPO FONTE</t>
  </si>
  <si>
    <t>VALOR MANUAL FONTE</t>
  </si>
  <si>
    <t>Factoring Contract</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</si>
  <si>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</si>
  <si>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</si>
  <si>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</si>
  <si>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</si>
  <si>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</si>
  <si>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</si>
  <si>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</si>
  <si>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t>
  </si>
  <si>
    <t>Contract ID
Contract Number
Contract ID
Contract ID
Contract ID
Contract ID</t>
  </si>
  <si>
    <t>CURATED_INTERNAL_EUROFAC
OPERATIONS_COMMON_REFERENCEDATA_CORE
CURATED_INTERNAL_EUROFAC
OPERATIONS_COMMON_REFERENCEDATA_CORE
CURATED_INTERNAL_EUROFAC
OPERATIONS_COMMON_REFERENCEDATA_CORE
CURATED_INTERNAL_MAINFRAME_CONTAS
OPERATIONS_COMMON_REFERENCEDATA_CORE
CURATED_INTERNAL_MAINFRAME_CONTENCIOSO
OPERATIONS_COMMON_REFERENCEDATA_CORE</t>
  </si>
  <si>
    <t>EUR_CREDITO
PARAM_GENERAL_CODE_CONVERTER
EUR_INTERVEN
PARAM_GENERAL_CODE_CONVERTER
EUR_INTERVEN
PARAM_GENERAL_CODE_CONVERTER
INTERFACE_DCT01
PARAM_GENERAL_CODE_CONVERTER
TCT09_OPERCN
PARAM_GENERAL_CODE_CONVERTER</t>
  </si>
  <si>
    <t>N\A
TARGET_VALUE
N\A
TARGET_VALUE
N\A
TARGET_VALUE
N\A
TARGET_VALUE
N\A
TARGET_VALUE</t>
  </si>
  <si>
    <t>SELECT PARAM_GENERAL_CODE_CONVERTER.TARGET_VALUE
WHERE PARAM_GENERAL_CODE_CONVERTER.TARGET_FIELD = 'bank_id' AND PARAM_GENERAL_CODE_CONVERTER.SOURCE_CODE = 'FA' AND PARAM_GENERAL_CODE_CONVERTER.SOURCE_VALUE = ''
SELECT PARAM_GENERAL_CODE_CONVERTER.TARGET_VALUE
WHERE PARAM_GENERAL_CODE_CONVERTER.TARGET_FIELD = 'bank_id' AND PARAM_GENERAL_CODE_CONVERTER.SOURCE_CODE = 'FA' AND PARAM_GENERAL_CODE_CONVERTER.SOURCE_VALUE = ''
   AND EUR_INTERVEN.INT_NRINTINT = 1 AND EUR_PROCESSO.PRO_CDPRODUT NOT IN ('004', '005') AND EUR_PROCESSO.PRO_CDFASPRO = 5
SELECT PARAM_GENERAL_CODE_CONVERTER.TARGET_VALUE
WHERE PARAM_GENERAL_CODE_CONVERTER.TARGET_FIELD = 'bank_id' AND PARAM_GENERAL_CODE_CONVERTER.SOURCE_CODE = 'FA' AND EUR_INTERVEN.INT_NRINTINT != 1 AND EUR_PROCESSO.PRO_CDPRODUT NOT IN ('004', '005') AND EUR_PROCESSO.PRO_CDFASPRO = 5
SELECT PARAM_GENERAL_CODE_CONVERTER.TARGET_VALUE
WHERE PARAM_GENERAL_CODE_CONVERTER.TARGET_FIELD = 'bank_id' AND PARAM_GENERAL_CODE_CONVERTER.SOURCE_CODE = 'DC' AND PARAM_GENERAL_CODE_CONVERTER.SOURCE_VALUE = ''
SELECT PARAM_GENERAL_CODE_CONVERTER.TARGET_VALUE
WHERE TCT09_OPERCN.ISITUAC = '1'  AND TCT09_OPERCN.DENTRADA &lt;= TCT09_OPERCN.DATA_DATE_PART AND (GROUP BY TCT09_OPERCN.CKBALCAO, TCT09_OPERCN.CKNUMCTA)
   AND PARAM_GENERAL_CODE_CONVERTER.CODE TARGET_FIELD = 'bank_id' AND PARAM_GENERAL_CODE_CONVERTER.SOURCE_CODE = 'TC' AND PARAM_GENERAL_CODE_CONVERTER.SOURCE_VALUE = '' AND PARAM_GENERAL_CODE_CONVERTER.OPTION_NUMBER = '1'</t>
  </si>
  <si>
    <t>FA - Factoring Eurofac
FA - Factoring Eurofac
FA - Factoring Eurofac
DC - Contas a Vista
TC - Terminal Contencioso</t>
  </si>
  <si>
    <t>N\A
N\A
N\A
N\A
N\A</t>
  </si>
  <si>
    <t>"89"
"89"
"89"
"31"
"31"</t>
  </si>
  <si>
    <t>Factoring Process</t>
  </si>
  <si>
    <t>CURATED_INTERNAL_EUROFAC
COMMON_REFERENCEDATA_CORE</t>
  </si>
  <si>
    <t>EUR_PROCESSO
PARAM_GENERAL_CODE_CONVERTER</t>
  </si>
  <si>
    <t>N\A
TARGET_VALUE</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</si>
  <si>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EUR_PROCESSO.PRO_CDFASPRO = '05' AND PARAM_GENERAL_CODE_CONVERTER.TARGET_FIELD CATEGORY = 'bank_id' AND PARAM_GENERAL_CODE_CONVERTER.SOURCE_CODE = 'FA' AND PARAM_GENERAL_CODE_CONVERTER.SOURCE_VALUE = '' AND PARAM_GENERAL_CODE_CONVERTER.OPTION_NUMBER = '1'</t>
    </r>
  </si>
  <si>
    <t>FA - Factoring Eurofac</t>
  </si>
  <si>
    <t>N\A</t>
  </si>
  <si>
    <t>"89"</t>
  </si>
  <si>
    <t>Factoring Universe</t>
  </si>
  <si>
    <t>factoring_universe</t>
  </si>
  <si>
    <t>CURATED_INTERNAL_EUROFAC
CURATED_INTERNAL_EUROFAC
CURATED_INTERNAL_EUROFAC
CURATED_INTERNAL_MAINFRAME_CONTENCIOSO
CURATED_INTERNAL_MAINFRAME_CONTAS
OPERATIONS_COMMON_REFERENCEDATA_CORE</t>
  </si>
  <si>
    <t>EUR_CREDITO
EUR_INTERVEN
EUR_PROCESSO
TCT09_OPERCN
INTERFACE_DCT01
PARAM_LITIGATION_PRODUCT</t>
  </si>
  <si>
    <t>N\A
N\A
N\A
N\A</t>
  </si>
  <si>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EUR_INTERVEN.INT_NRINTINT = 1 AND EUR_PROCESSO.PRO_CDPRODUT NOT IN ('004', '005')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INTERFACE_DCT01.DCYR8101_CKPRODUT AND PARAM_LITIGATION_PRODUCT.SOURCE_SUBPRODUCT_ID = INTERFACE_DCT01.DCYR8101_CKSUBPRO</t>
    </r>
  </si>
  <si>
    <t>FA - Factoring
DC - Contas a Vista
TC - Terminal Contencioso</t>
  </si>
  <si>
    <t>Contract ID</t>
  </si>
  <si>
    <t>contract_id</t>
  </si>
  <si>
    <t>Identifier of the contract.</t>
  </si>
  <si>
    <t>Identificador do contrato.</t>
  </si>
  <si>
    <t>CURATED_INTERNAL_EUROFAC
CURATED_INTERNAL_EUROFAC
CURATED_INTERNAL_EUROFAC
OPERATIONS_COMMON_REFERENCEDATA_CORE
CURATED_INTERNAL_MAINFRAME_CONTAS
CURATED_INTERNAL_MAINFRAME_CONTENCIOSO</t>
  </si>
  <si>
    <t>EUR_CREDITO
EUR_INTERVEN
EUR_PROCESSO
PARAM_GENERAL_CODE_CONVERTER
INTERFACE_DCT01
TCT09_OPERCN</t>
  </si>
  <si>
    <t>CRD_NRPROCES, CRD_NRINTCRE 
INT_CDCLIENT, INT_NRINTINT
PRO_NRPROCES
TARGET_VALUE
DCYR8101_CKBALCAO, DCYR8101_CKNUMCTA
CKBALCAO, CKNUMCTA</t>
  </si>
  <si>
    <r>
      <rPr>
        <b/>
        <sz val="11"/>
        <color rgb="FF000000"/>
        <rFont val="Calibri"/>
        <family val="2"/>
        <scheme val="minor"/>
      </rPr>
      <t>SELECT</t>
    </r>
    <r>
      <rPr>
        <sz val="11"/>
        <color rgb="FF000000"/>
        <rFont val="Calibri"/>
        <family val="2"/>
        <scheme val="minor"/>
      </rPr>
      <t xml:space="preserve"> CONCAT( '0000', SUBSTRING( EUR_CREDITO.CRD_NRPROCES, 3, 11) , '00', EUR_CREDITO.CRD_NRINTCRE )
</t>
    </r>
    <r>
      <rPr>
        <b/>
        <sz val="11"/>
        <color rgb="FF000000"/>
        <rFont val="Calibri"/>
        <family val="2"/>
        <scheme val="minor"/>
      </rPr>
      <t>SELECT</t>
    </r>
    <r>
      <rPr>
        <sz val="11"/>
        <color rgb="FF000000"/>
        <rFont val="Calibri"/>
        <family val="2"/>
        <scheme val="minor"/>
      </rPr>
      <t xml:space="preserve"> CONCAT('0000', SUBSTRING( EUR_PROCESSO.PRO_NRPROCES, 3, 11), SUBSTRING( PARAM_GENERAL_CODE_CONVERTER.TARGET_VALUE ,2,2), 
   IF( EUR_PROCESSO.PRO_CDPRODUT IN ('002', '001', '007'),
      IF( EUR_PROCESSO.PRO_CDSITPRO IN ('989', '351'),
         '071',
          IF( EUR_PROCESSO.PRO_CDSITPRO = '070', '070', '049') 
       ),  
       IF( EUR_PROCESSO.PRO_CDPRODUT IN ('003', '006'), '009' ), NULL)
 ), SUBSTRING(LPAD(CONCAT('C', EUR_INTERVEN.INT_CDCLIENT, 'I', EUR_INTERVEN.INT_NRINTINT ), 15, '0' ), 6, 10 )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AND PARAM_GENERAL_CODE_CONVERTER.TARGET_FIELD = 'product_id' AND PARAM_GENERAL_CODE_CONVERTER.SOURCE_CODE = 'FA' AND PARAM_GENERAL_CODE_CONVERTER.SOURCE_VALUE = '' AND PARAM_GENERAL_CODE_CONVERTER.OPTION_NUMBER = 1
</t>
    </r>
    <r>
      <rPr>
        <b/>
        <sz val="11"/>
        <color rgb="FF000000"/>
        <rFont val="Calibri"/>
        <family val="2"/>
        <scheme val="minor"/>
      </rPr>
      <t>SELECT</t>
    </r>
    <r>
      <rPr>
        <sz val="11"/>
        <color rgb="FF000000"/>
        <rFont val="Calibri"/>
        <family val="2"/>
        <scheme val="minor"/>
      </rPr>
      <t xml:space="preserve"> CONCAT( '0000', SUBSTRING( EUR_PROCESSO.PRO_NRPROCES, 3, 11), SUBSTRING( PARAM_GENERAL_CODE_CONVERTER.TARGET_VALUE ,2,2),
        IF( EUR_PROCESSO.PRO_CDPRODUT IN ('002', '001', '007'),
          '050',
          IF( EUR_PROCESSO.PRO_CDPRODUT IN ('003', '006'),
            '051',
            IF( EUR_PROCESSO.PRO_CDPRODUT IN ('004', '005'),
              '052', NULL
            )
          )
        ), SUBSTRING(LPAD(CONCAT('C', EUR_INTERVEN.INT_CDCLIENT, 'I', EUR_INTERVEN.INT_NRINTINT ), 15, '0' ), 6, 10 ) 
      )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AND PARAM_GENERAL_CODE_CONVERTER.TARGET_FIELD = 'product_id' AND PARAM_GENERAL_CODE_CONVERTER.SOURCE_CODE = 'FA' AND PARAM_GENERAL_CODE_CONVERTER.SOURCE_VALUE = '' AND PARAM_GENERAL_CODE_CONVERTER.OPTION_NUMBER = 2
</t>
    </r>
    <r>
      <rPr>
        <b/>
        <sz val="11"/>
        <color rgb="FF000000"/>
        <rFont val="Calibri"/>
        <family val="2"/>
        <scheme val="minor"/>
      </rPr>
      <t>SELECT</t>
    </r>
    <r>
      <rPr>
        <sz val="11"/>
        <color rgb="FF000000"/>
        <rFont val="Calibri"/>
        <family val="2"/>
        <scheme val="minor"/>
      </rPr>
      <t xml:space="preserve"> CONCAT( INTERFACE_DCT01.DCYR8101_CKBALCAO, INTERFACE_DCT01.DCYR8101_CKNUMCTA), '000000000000000' )
</t>
    </r>
    <r>
      <rPr>
        <b/>
        <sz val="11"/>
        <color rgb="FF000000"/>
        <rFont val="Calibri"/>
        <family val="2"/>
        <scheme val="minor"/>
      </rPr>
      <t>SELECT</t>
    </r>
    <r>
      <rPr>
        <sz val="11"/>
        <color rgb="FF000000"/>
        <rFont val="Calibri"/>
        <family val="2"/>
        <scheme val="minor"/>
      </rPr>
      <t xml:space="preserve"> CONCAT( TCT09_OPERCN.CKBALCAO, TCT09_OPERCN.CKNUMCTA, '000000000000000' )
</t>
    </r>
    <r>
      <rPr>
        <b/>
        <sz val="11"/>
        <color rgb="FF000000"/>
        <rFont val="Calibri"/>
        <family val="2"/>
        <scheme val="minor"/>
      </rPr>
      <t xml:space="preserve">WHERE </t>
    </r>
    <r>
      <rPr>
        <sz val="11"/>
        <color rgb="FF000000"/>
        <rFont val="Calibri"/>
        <family val="2"/>
        <scheme val="minor"/>
      </rPr>
      <t xml:space="preserve">TCT09_OPERCN.ISITUAC = '1'  AND TCT09_OPERCN.DENTRADA &lt;= TCT09_OPERCN.DATA_DATE_PART AND (GROUP BY TCT09_OPERCN.CKBALCAO, TCT09_OPERCN.CKNUMCTA)
</t>
    </r>
  </si>
  <si>
    <t>EUR_CREDITO
(1)EUR_PROCESSO + (2)EUR_INTERVEN
(1)EUR_PROCESSO + (2)EUR_INTERVEN
DCYR8101
TCT09_OPERCN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</si>
  <si>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</si>
  <si>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Process ID</t>
  </si>
  <si>
    <t>process_id</t>
  </si>
  <si>
    <t>Identifier of the factoring process.</t>
  </si>
  <si>
    <t>Identificador do processo.</t>
  </si>
  <si>
    <t>CURATED_INTERNAL_EUROFAC</t>
  </si>
  <si>
    <t>EUR_PROCESSO</t>
  </si>
  <si>
    <t>PRO_NRPROCES</t>
  </si>
  <si>
    <r>
      <rPr>
        <b/>
        <sz val="11"/>
        <color rgb="FF000000"/>
        <rFont val="Calibri"/>
        <family val="2"/>
        <scheme val="minor"/>
      </rPr>
      <t>SELECT</t>
    </r>
    <r>
      <rPr>
        <sz val="11"/>
        <color rgb="FF000000"/>
        <rFont val="Calibri"/>
        <family val="2"/>
        <scheme val="minor"/>
      </rPr>
      <t xml:space="preserve"> CONCAT( '0000', SUBSTRING( EUR_PROCESSO.PRO_NRPROCES, 3, 11 )
</t>
    </r>
    <r>
      <rPr>
        <b/>
        <sz val="11"/>
        <color rgb="FF000000"/>
        <rFont val="Calibri"/>
        <family val="2"/>
        <scheme val="minor"/>
      </rPr>
      <t>WHERE</t>
    </r>
    <r>
      <rPr>
        <sz val="11"/>
        <color rgb="FF000000"/>
        <rFont val="Calibri"/>
        <family val="2"/>
        <scheme val="minor"/>
      </rPr>
      <t xml:space="preserve"> EUR_PROCESSO.PRO_CDFASPRO = '05'</t>
    </r>
  </si>
  <si>
    <t>CONCAT( "0000", NRPROCES( 3, 11 ) )</t>
  </si>
  <si>
    <t>CRD_NRPROCES, CRD_NRINTCRE
INT_CDCLIENT, INT_NRINTINT
PRO_NRPROCES, PRO_CDPRODUT
CKBALCAO, CKNUMCTA
DCYR8101_CKBALCAO, DCYR8101_CKNUMCTA
N\A</t>
  </si>
  <si>
    <r>
      <rPr>
        <b/>
        <sz val="11"/>
        <color rgb="FF000000"/>
        <rFont val="Calibri"/>
        <family val="2"/>
        <scheme val="minor"/>
      </rPr>
      <t>SELECT</t>
    </r>
    <r>
      <rPr>
        <sz val="11"/>
        <color rgb="FF000000"/>
        <rFont val="Calibri"/>
        <family val="2"/>
        <scheme val="minor"/>
      </rPr>
      <t xml:space="preserve"> CONCAT( '0000', SUBSTRING( EUR_CREDITO.CRD_NRPROCES, 3, 11 ), '00' , EUR_CREDITO.CRD_NRINTCRE )
</t>
    </r>
    <r>
      <rPr>
        <b/>
        <sz val="11"/>
        <color rgb="FF000000"/>
        <rFont val="Calibri"/>
        <family val="2"/>
        <scheme val="minor"/>
      </rPr>
      <t>SELECT</t>
    </r>
    <r>
      <rPr>
        <sz val="11"/>
        <color rgb="FF000000"/>
        <rFont val="Calibri"/>
        <family val="2"/>
        <scheme val="minor"/>
      </rPr>
      <t xml:space="preserve"> CONCAT('0000', SUBSTRING( EUR_PROCESSO.PRO_NRPROCES, 3, 11), SUBSTRING( PARAM_GENERAL_CODE_CONVERTER.TARGET_VALUE , 2, 2 ), 
   IF( EUR_PROCESSO.PRO_CDPRODUT IN ('002', '001', '007'),
      IF( EUR_PROCESSO.PRO_CDSITPRO IN ('989', '351'),
         '071',
          IF( EUR_PROCESSO.PRO_CDSITPRO = '070',
             '070',
             '049'
            )
          ),
          IF( EUR_PROCESSO.PRO_CDPRODUT IN ('003', '006'),
            '009', NULL
          )
         ), SUBSTRING(LPAD(CONCAT('C', EUR_INTERVEN.INT_CDCLIENT, 'I', EUR_INTERVEN.INT_NRINTINT ), 15, '0' ), 6, 10 ) 
       )
</t>
    </r>
    <r>
      <rPr>
        <b/>
        <sz val="11"/>
        <color rgb="FF000000"/>
        <rFont val="Calibri"/>
        <family val="2"/>
        <scheme val="minor"/>
      </rPr>
      <t>WHERE</t>
    </r>
    <r>
      <rPr>
        <sz val="11"/>
        <color rgb="FF000000"/>
        <rFont val="Calibri"/>
        <family val="2"/>
        <scheme val="minor"/>
      </rPr>
      <t xml:space="preserve"> EUR_INTERVEN.INT_NRINTINT = 1 AND EUR_PROCESSO.PRO_CDPRODUT NOT IN ('004', '005')
   AND PARAM_GENERAL_CODE_CONVERTER.TARGET_FIELD = 'product_id' AND PARAM_GENERAL_CODE_CONVERTER.SOURCE_CODE = 'FA' AND PARAM_GENERAL_CODE_CONVERTER.SOURCE_VALUE = '' AND PARAM_GENERAL_CODE_CONVERTER.OPTION_NUMBER = 1
</t>
    </r>
    <r>
      <rPr>
        <b/>
        <sz val="11"/>
        <color rgb="FF000000"/>
        <rFont val="Calibri"/>
        <family val="2"/>
        <scheme val="minor"/>
      </rPr>
      <t>SELECT</t>
    </r>
    <r>
      <rPr>
        <sz val="11"/>
        <color rgb="FF000000"/>
        <rFont val="Calibri"/>
        <family val="2"/>
        <scheme val="minor"/>
      </rPr>
      <t xml:space="preserve"> CONCAT('0000', SUBSTRING( EUR_PROCESSO.PRO_NRPROCES, 3, 11), SUBSTRING( PARAM_GENERAL_CODE_CONVERTER.TARGET_VALUE, 2, 2),
        IF( EUR_PROCESSO.PRO_CDPRODUT IN ('002', '001', '007'),
          '050',
          IF( EUR_PROCESSO.PRO_CDPRODUT IN ('003', '006'),
            '051',
            IF( EUR_PROCESSO.PRO_CDPRODUT IN ('004', '005'),
              '052', NULL
            )
          )
        ), SUBSTRING(LPAD(CONCAT('C', EUR_INTERVEN.INT_CDCLIENT, 'I', EUR_INTERVEN.INT_NRINTINT ), 15, '0' ), 6, 10 ) 
      )
</t>
    </r>
    <r>
      <rPr>
        <b/>
        <sz val="11"/>
        <color rgb="FF000000"/>
        <rFont val="Calibri"/>
        <family val="2"/>
        <scheme val="minor"/>
      </rPr>
      <t>WHERE</t>
    </r>
    <r>
      <rPr>
        <sz val="11"/>
        <color rgb="FF000000"/>
        <rFont val="Calibri"/>
        <family val="2"/>
        <scheme val="minor"/>
      </rPr>
      <t xml:space="preserve"> EUR_INTERVEN.INT_NRINTINT != 1
   AND PARAM_GENERAL_CODE_CONVERTER.TARGET_FIELD = 'product_id' AND PARAM_GENERAL_CODE_CONVERTER.SOURCE_CODE = 'FA' AND PARAM_GENERAL_CODE_CONVERTER.SOURCE_VALUE = '' AND PARAM_GENERAL_CODE_CONVERTER.OPTION_NUMBER = 2
</t>
    </r>
    <r>
      <rPr>
        <b/>
        <sz val="11"/>
        <color rgb="FF000000"/>
        <rFont val="Calibri"/>
        <family val="2"/>
        <scheme val="minor"/>
      </rPr>
      <t>SELECT</t>
    </r>
    <r>
      <rPr>
        <sz val="11"/>
        <color rgb="FF000000"/>
        <rFont val="Calibri"/>
        <family val="2"/>
        <scheme val="minor"/>
      </rPr>
      <t xml:space="preserve"> CONCAT( TCT09_OPERCN.CKBALCAO, TCT09_OPERCN.CKNUMCTA, '000000000000000' )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family val="2"/>
        <scheme val="minor"/>
      </rPr>
      <t>SELECT</t>
    </r>
    <r>
      <rPr>
        <sz val="11"/>
        <color rgb="FF000000"/>
        <rFont val="Calibri"/>
        <family val="2"/>
        <scheme val="minor"/>
      </rPr>
      <t xml:space="preserve"> CONCAT( INTERFACE_DCT01.DCYR8101_CKBALCAO, INTERFACE_DCT01.DCYR8101_CKNUMCTA )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INTERFACE_DCT01.DCYR8101_CKPRODUT AND PARAM_LITIGATION_PRODUCT.SOURCE_SUBPRODUCT_ID = INTERFACE_DCT01.DCYR8101_CKSUBPRO
</t>
    </r>
  </si>
  <si>
    <t>Product Family ID</t>
  </si>
  <si>
    <t>product_family_id</t>
  </si>
  <si>
    <t>Ext Inf - Con Inf - ID</t>
  </si>
  <si>
    <t>Identifier of the product type.</t>
  </si>
  <si>
    <t>Identificador da família de produto (agregação de produtos), por exemplo: empréstimos, cartões crédito, etc.</t>
  </si>
  <si>
    <t>Product Type:
N\A 
N\A
N\A
N\A
N\A</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</si>
  <si>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'product_family_id' AND PARAM_GENERAL_CODE_CONVERTER.SOURCE_CODE = 'FA' AND PARAM_GENERAL_CODE_CONVERTER.SOURCE_VALUE = ''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'product_family_id' AND PARAM_GENERAL_CODE_CONVERTER.SOURCE_CODE = 'FA' AND PARAM_GENERAL_CODE_CONVERTER.SOURCE_VALUE = ''
   AND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'product_family_id' AND PARAM_GENERAL_CODE_CONVERTER.SOURCE_CODE = 'FA' AND PARAM_GENERAL_CODE_CONVERTER.SOURCE_VALUE = ''AND EUR_PROCESSO.PRO_CDFASPRO = 5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PARAM_GENERAL_CODE_CONVERTER.CODE_CATEGORY = 'product_family_id' AND PARAM_GENERAL_CODE_CONVERTER.SOURCE_CODE = 'FA' AND PARAM_GENERAL_CODE_CONVERTER.SOURCE_VALUE = ''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'product_family_id' AND PARAM_GENERAL_CODE_CONVERTER.SOURCE_CODE = 'FA' AND PARAM_GENERAL_CODE_CONVERTER.SOURCE_VALUE = ''
and TCT09_OPERCN.ISITUAC = '1'  AND TCT09_OPERCN.DENTRADA &lt;= TCT09_OPERCN.DATA_DATE_PART AND (GROUP BY TCT09_OPERCN.CKBALCAO, TCT09_OPERCN.CKNUMCTA)
</t>
    </r>
  </si>
  <si>
    <t>Product ID</t>
  </si>
  <si>
    <t>product_id</t>
  </si>
  <si>
    <t xml:space="preserve">Identifier of the level one product. </t>
  </si>
  <si>
    <t>Identificador do produto do contrato.</t>
  </si>
  <si>
    <t>Product Lvl 1:
EUR_TABGERAL -  GER_CDTAGER 001
EUR_TABGERAL -  GER_CDTAGER 001
EUR_TABGERAL -  GER_CDTAGER 001
TAT91 - CTABELA 925</t>
  </si>
  <si>
    <t>Contract Static
Transactions - General</t>
  </si>
  <si>
    <t>Product Level 1
Product Level 1</t>
  </si>
  <si>
    <t>CURATED_INTERNAL_EUROFAC
OPERATIONS_COMMON_REFERENCEDATA_CORE
CURATED_INTERNAL_EUROFAC
OPERATIONS_COMMON_REFERENCEDATA_CORE
CURATED_INTERNAL_EUROFAC
OPERATIONS_COMMON_REFERENCEDATA_CORE
CURATED_INTERNAL_MAINFRAME_CONTAS
CURATED_INTERNAL_MAINFRAME_CONTENCIOSO</t>
  </si>
  <si>
    <t>EUR_CREDITO
PARAM_GENERAL_CODE_CONVERTER
EUR_INTERVEN
PARAM_GENERAL_CODE_CONVERTER
EUR_INTERVEN
PARAM_GENERAL_CODE_CONVERTER
INTERFACE_DCT01
TCT09_OPERCN</t>
  </si>
  <si>
    <t>N\A
TARGET_VALUE
N\A
TARGET_VALUE
N\A
TARGET_VALUE
DCYR8101_CKPRODUT
CKPRODUT</t>
  </si>
  <si>
    <t xml:space="preserve">SELECT PARAM_GENERAL_CODE_CONVERTER.TARGET_VALUE
WHERE PARAM_GENERAL_CODE_CONVERTER.TARGET_FIELD = 'product_id' AND PARAM_GENERAL_CODE_CONVERTER.SOURCE_CODE = 'FA' AND PARAM_GENERAL_CODE_CONVERTER.SOURCE_VALUE = '' AND PARAM_GENERAL_CODE_CONVERTER.OPTION_NUMBER = IF( EUR_CREDITO.CRD_TPRECURS = 'C', 1,  2 )
SELECT PARAM_GENERAL_CODE_CONVERTER.TARGET_VALUE
WHERE PARAM_GENERAL_CODE_CONVERTER.TARGET_FIELD = 'product_id' AND PARAM_GENERAL_CODE_CONVERTER.SOURCE_CODE = 'FA' AND PARAM_GENERAL_CODE_CONVERTER.SOURCE_VALUE = '' AND PARAM_GENERAL_CODE_CONVERTER.OPTION_NUMBER = 1
   AND EUR_INTERVEN.INT_NRINTINT = 1 AND EUR_PROCESSO.PRO_CDPRODUT NOT IN ('004', '005') AND EUR_PROCESSO.PRO_CDFASPRO = 5
SELECT PARAM_GENERAL_CODE_CONVERTER.TARGET_VALUE
WHERE PARAM_GENERAL_CODE_CONVERTER.TARGET_FIELD = 'product_id' AND PARAM_GENERAL_CODE_CONVERTER.SOURCE_CODE = 'FA' AND PARAM_GENERAL_CODE_CONVERTER.SOURCE_VALUE = '' AND PARAM_GENERAL_CODE_CONVERTER.OPTION_NUMBER = 2
   AND EUR_INTERVEN.INT_NRINTINT != 1 AND EUR_PROCESSO.PRO_CDFASPRO = 5
SELECT IF( TRIM( INTERFACE_DCT01.DCYR8101_CKPRODUT ) = '', NULL, DCYR8101_CKPRODUT)
SELECT IF( TRIM( TCT09_OPERCN.CKPRODUT = '', NULL, TCT09_OPERCN.CKPRODUT)
WHERE TCT09_OPERCN.ISITUAC = '1'  AND TCT09_OPERCN.DENTRADA &lt;= TCT09_OPERCN.DATA_DATE_PART AND (GROUP BY TCT09_OPERCN.CKBALCAO, TCT09_OPERCN.CKNUMCTA)
</t>
  </si>
  <si>
    <t>N\A
N\A
N\A
DCYR8101
TCT09_OPERCN</t>
  </si>
  <si>
    <t>N\A
N\A
N\A
CKPRODUT
CKPRODUT</t>
  </si>
  <si>
    <t>"000"
"000"
"0V0"
N\A
N\A</t>
  </si>
  <si>
    <t>Main Current Account Bank ID</t>
  </si>
  <si>
    <t>main_current_account_bank_id</t>
  </si>
  <si>
    <t>Main current account's bank identifier linked to the factoring process.</t>
  </si>
  <si>
    <t>Código identificador do banco interno do Santander (CEMPRESA) da conta âncora do contrato.</t>
  </si>
  <si>
    <r>
      <rPr>
        <b/>
        <sz val="11"/>
        <color rgb="FF000000"/>
        <rFont val="Calibri"/>
        <family val="2"/>
        <scheme val="minor"/>
      </rPr>
      <t>SELECT</t>
    </r>
    <r>
      <rPr>
        <sz val="11"/>
        <color rgb="FF000000"/>
        <rFont val="Calibri"/>
        <family val="2"/>
        <scheme val="minor"/>
      </rPr>
      <t xml:space="preserve"> IF( TRIM( EUR_INTERVEN.INT_NRCTADEB ) = '',
    NULL,
    IF( SUBSTRING( EUR_INTERVEN.INT_NRCTADEB, 5, 4 ) = '0018', 
        PARAM_GENERAL_CODE_CONVERTER.TARGET_VALUE,
        '#N/A' ) )
</t>
    </r>
    <r>
      <rPr>
        <b/>
        <sz val="11"/>
        <color rgb="FF000000"/>
        <rFont val="Calibri"/>
        <family val="2"/>
        <scheme val="minor"/>
      </rPr>
      <t>WHERE</t>
    </r>
    <r>
      <rPr>
        <sz val="11"/>
        <color rgb="FF000000"/>
        <rFont val="Calibri"/>
        <family val="2"/>
        <scheme val="minor"/>
      </rPr>
      <t xml:space="preserve"> EUR_PROCESSO.PRO_CDFASPRO = '05' AND EUR_INTERVEN.INT_NRINTINT = 1 AND PARAM_GENERAL_CODE_CONVERTER.TARGET_FIELD = 'main_current_account_bank_id'  AND  PARAM_GENERAL_CODE_CONVERTER.SOURCE_CODE = 'DC' AND ( PARAM_GENERAL_CODE_CONVERTER.SOURCE_VALUE = ''  ) AND PARAM_GENERAL_CODE_CONVERTER.OPTION_NUMBER = '1'</t>
    </r>
  </si>
  <si>
    <t>N\A || N\A</t>
  </si>
  <si>
    <t>"31" || "#N/A"</t>
  </si>
  <si>
    <t>Contract Alive Indicator</t>
  </si>
  <si>
    <t>contract_alive_indicator</t>
  </si>
  <si>
    <t>Ext Inf - Con Fin Inf - Ind</t>
  </si>
  <si>
    <t>Indicates if the contracts is "alive" or not according to accounting.</t>
  </si>
  <si>
    <t>Indica se o contrato é considerado "vivo" de acordo com a contabilidade do banco.</t>
  </si>
  <si>
    <t>N\A
N\A
N\A
N\A
N\A
N\A</t>
  </si>
  <si>
    <r>
      <rPr>
        <b/>
        <sz val="11"/>
        <color rgb="FF000000"/>
        <rFont val="Calibri"/>
        <family val="2"/>
        <scheme val="minor"/>
      </rPr>
      <t>SELECT</t>
    </r>
    <r>
      <rPr>
        <sz val="11"/>
        <color rgb="FF000000"/>
        <rFont val="Calibri"/>
        <family val="2"/>
        <scheme val="minor"/>
      </rPr>
      <t xml:space="preserve"> IF( EUR_CREDITO.CRD_IDSITCRE = 'A' , 1, 0 )
</t>
    </r>
    <r>
      <rPr>
        <b/>
        <sz val="11"/>
        <color rgb="FF000000"/>
        <rFont val="Calibri"/>
        <family val="2"/>
        <scheme val="minor"/>
      </rPr>
      <t>SELECT</t>
    </r>
    <r>
      <rPr>
        <sz val="11"/>
        <color rgb="FF000000"/>
        <rFont val="Calibri"/>
        <family val="2"/>
        <scheme val="minor"/>
      </rPr>
      <t xml:space="preserve"> IF( EUR_PROCESS.PRO_CDFASPRO = 5 , 1, 0)
</t>
    </r>
    <r>
      <rPr>
        <b/>
        <sz val="11"/>
        <color rgb="FF000000"/>
        <rFont val="Calibri"/>
        <family val="2"/>
        <scheme val="minor"/>
      </rPr>
      <t>WHERE</t>
    </r>
    <r>
      <rPr>
        <sz val="11"/>
        <color rgb="FF000000"/>
        <rFont val="Calibri"/>
        <family val="2"/>
        <scheme val="minor"/>
      </rPr>
      <t xml:space="preserve"> EUR_INTERVEN.INT_NRINTINT = 1 AND EUR_PROCESSO.PRO_CDPRODUT NOT IN ('004', '005')
</t>
    </r>
    <r>
      <rPr>
        <b/>
        <sz val="11"/>
        <color rgb="FF000000"/>
        <rFont val="Calibri"/>
        <family val="2"/>
        <scheme val="minor"/>
      </rPr>
      <t xml:space="preserve">SELECT </t>
    </r>
    <r>
      <rPr>
        <sz val="11"/>
        <color rgb="FF000000"/>
        <rFont val="Calibri"/>
        <family val="2"/>
        <scheme val="minor"/>
      </rPr>
      <t xml:space="preserve">IF( EUR_PROCESS.PRO_CDFASPRO = 5 AND EUR_INTERVEN.INT_IDSITUAC = 'A' , 1, 0 )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 xml:space="preserve">SELECT </t>
    </r>
    <r>
      <rPr>
        <sz val="11"/>
        <color rgb="FF000000"/>
        <rFont val="Calibri"/>
        <family val="2"/>
        <scheme val="minor"/>
      </rPr>
      <t xml:space="preserve">CASE
      WHEN TCT09_OPERCN.ISITUAC = '1' AND TCT09_OPERCN.DATA_DATE_PART &gt;= TCT09_OPERCN.DENTRADA THEN 1
      ELSE 0
    END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family val="2"/>
        <scheme val="minor"/>
      </rPr>
      <t>SELECT</t>
    </r>
    <r>
      <rPr>
        <sz val="11"/>
        <color rgb="FF000000"/>
        <rFont val="Calibri"/>
        <family val="2"/>
        <scheme val="minor"/>
      </rPr>
      <t xml:space="preserve"> IF( INTERFACE_DCT01.DCYR8101_CSITCTA IN ('0', '1', '2', '3', '5', '6', '7', '8', '9') AND INTERFACE_DCT01.DCYR8101_DINICONT = '0001-01-01', 1, 0 )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INTERFACE_DCT01.DCYR8101_CKPRODUT AND PARAM_LITIGATION_PRODUCT.SOURCE_SUBPRODUCT_ID = INTERFACE_DCT01.DCYR8101_CKSUBPRO</t>
    </r>
  </si>
  <si>
    <t>Subproduct ID</t>
  </si>
  <si>
    <t>subproduct_id</t>
  </si>
  <si>
    <t>Identifier of the level two product (subproduct).</t>
  </si>
  <si>
    <t>Identificador do subproduto do contrato.</t>
  </si>
  <si>
    <t>Product Lvl 2:
N\A
N\A
N\A
TAT91 - CTABELA 925</t>
  </si>
  <si>
    <t>Product Level 2
Product Level 2</t>
  </si>
  <si>
    <t>CURATED_INTERNAL_EUROFAC
CURATED_INTERNAL_EUROFAC
CURATED_INTERNAL_EUROFAC
CURATED_INTERNAL_EUROFAC
CURATED_INTERNAL_EUROFAC
CURATED_INTERNAL_EUROFAC
CURATED_INTERNAL_MAINFRAME_CONTAS
CURATED_INTERNAL_MAINFRAME_CONTENCIOSO</t>
  </si>
  <si>
    <t>EUR_PROCESSO
EUR_CREDITO
EUR_PROCESSO
EUR_INTERVEN
EUR_PROCESSO
EUR_INTERVEN
INTERFACE_DCT01
TCT09_OPERCN</t>
  </si>
  <si>
    <t>PRO_CDPRODUT, CRD_NRPROCES 
N\A
PRO_CDPRODUT, CRD_NRPROCES 
N\A
PRO_CDPRODUT, CRD_NRPROCES 
N\A
DCYR8101_CKSUBPRO
CKSUBPRO</t>
  </si>
  <si>
    <r>
      <rPr>
        <b/>
        <sz val="11"/>
        <color rgb="FF000000"/>
        <rFont val="Calibri"/>
        <family val="2"/>
        <scheme val="minor"/>
      </rPr>
      <t xml:space="preserve">SELECT </t>
    </r>
    <r>
      <rPr>
        <sz val="11"/>
        <color rgb="FF000000"/>
        <rFont val="Calibri"/>
        <family val="2"/>
        <scheme val="minor"/>
      </rPr>
      <t xml:space="preserve">IF( EUR_CREDITO.CRD_TPRECURS = 'C',
      IF( EUR_PROCESSO.PRO_CDPRODUT IN ('002', '001', '007'),
        IF( EUR_PROCESSO.PRO_CDSITPRO IN ('989', '351'),
          '071',
          IF( EUR_PROCESSO.PRO_CDSITPRO = '070',
            '070',
            '049' ) ),
        IF( EUR_PROCESSO.PRO_CDPRODUT IN ('003', '006'), '009', NULL ) ),
      IF( EUR_PROCESSO.PRO_CDPRODUT IN ('002', '001', '007'),
         '050',
        IF( EUR_PROCESSO.PRO_CDPRODUT IN ('003', '006'),
          '051',
          IF( EUR_PROCESSO.PRO_CDPRODUT IN ('004', '005'),
            '052',
            NULL ) ) ) 
</t>
    </r>
    <r>
      <rPr>
        <b/>
        <sz val="11"/>
        <color rgb="FF000000"/>
        <rFont val="Calibri"/>
        <family val="2"/>
        <scheme val="minor"/>
      </rPr>
      <t>SELECT</t>
    </r>
    <r>
      <rPr>
        <sz val="11"/>
        <color rgb="FF000000"/>
        <rFont val="Calibri"/>
        <family val="2"/>
        <scheme val="minor"/>
      </rPr>
      <t xml:space="preserve">  IF( EUR_PROCESSO.PRO_CDPRODUT IN ('002', '001', '007'),
        IF( EUR_PROCESSO.PRO_CDSITPRO IN ('989', '351'),
          '071',
          IF( EUR_PROCESSO.PRO_CDSITPRO = '070',
            '070',
            '049' ) ),
        IF( EUR_PROCESSO.PRO_CDPRODUT IN ('003', '006'),
          '009',
          NULL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EUR_PROCESSO.PRO_CDPRODUT IN ('002', '001', '007'),
        '050',
        IF( EUR_PROCESSO.PRO_CDPRODUT IN ('003', '006'),
          '051',
          IF( EUR_PROCESSO.PRO_CDPRODUT IN ('004', '005'),
            '052',
            NULL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IF( TRIM( INTERFACE_DCT01.DCYR8101_CKPRODUT ) = '', NULL, INTERFACE_DCT01.DCYR8101_CKSUBPRO )
</t>
    </r>
    <r>
      <rPr>
        <b/>
        <sz val="11"/>
        <color rgb="FF000000"/>
        <rFont val="Calibri"/>
        <family val="2"/>
        <scheme val="minor"/>
      </rPr>
      <t>SELECT</t>
    </r>
    <r>
      <rPr>
        <sz val="11"/>
        <color rgb="FF000000"/>
        <rFont val="Calibri"/>
        <family val="2"/>
        <scheme val="minor"/>
      </rPr>
      <t xml:space="preserve"> IF( TRIM( TCT09_OPERCN.CKSUBPRO = '', NULL, TCT09_OPERCN.CKSUBPRO)
</t>
    </r>
    <r>
      <rPr>
        <b/>
        <sz val="11"/>
        <color rgb="FF000000"/>
        <rFont val="Calibri"/>
        <family val="2"/>
        <scheme val="minor"/>
      </rPr>
      <t xml:space="preserve">WHERE TCT09_OPERCN.ISITUAC = '1'  AND TCT09_OPERCN.DENTRADA &lt;= TCT09_OPERCN.DATA_DATE_PART AND (GROUP BY TCT09_OPERCN.CKBALCAO, TCT09_OPERCN.CKNUMCTA)
</t>
    </r>
  </si>
  <si>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</si>
  <si>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</si>
  <si>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</si>
  <si>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Main Current Account Contract ID</t>
  </si>
  <si>
    <t>main_current_account_contract_id</t>
  </si>
  <si>
    <t>Contract identifier of the main current account associated with the factoring process. It corresponds to the account associated to the process's client that provides the invoices.</t>
  </si>
  <si>
    <t>Identificador do contrato da conta âncora do contrato.</t>
  </si>
  <si>
    <t>CURATED_INTERNAL_EUROFAC
CURATED_INTERNAL_EUROFAC</t>
  </si>
  <si>
    <t>EUR_INTERVEN
EUR_PROCESSO</t>
  </si>
  <si>
    <t>INT_NRCTADEB
N\A</t>
  </si>
  <si>
    <r>
      <rPr>
        <b/>
        <sz val="11"/>
        <color rgb="FF000000"/>
        <rFont val="Calibri"/>
        <family val="2"/>
        <scheme val="minor"/>
      </rPr>
      <t>SELECT</t>
    </r>
    <r>
      <rPr>
        <sz val="11"/>
        <color rgb="FF000000"/>
        <rFont val="Calibri"/>
        <family val="2"/>
        <scheme val="minor"/>
      </rPr>
      <t xml:space="preserve"> IF( TRIM( EUR_INTERVEN.INT_NRCTADEB ) = '',
    NULL,
    IF( SUBSTRING( EUR_INTERVEN.INT_NRCTADEB, 5, 4 ) = '0018', 
        CONCAT( SUBSTRING( EUR_INTERVEN.INT_NRCTADEB, 9 , 15 ), '000000000000000' ),
        '#N/A' ) )
</t>
    </r>
    <r>
      <rPr>
        <b/>
        <sz val="11"/>
        <color rgb="FF000000"/>
        <rFont val="Calibri"/>
        <family val="2"/>
        <scheme val="minor"/>
      </rPr>
      <t>WHERE</t>
    </r>
    <r>
      <rPr>
        <sz val="11"/>
        <color rgb="FF000000"/>
        <rFont val="Calibri"/>
        <family val="2"/>
        <scheme val="minor"/>
      </rPr>
      <t xml:space="preserve"> EUR_PROCESSO.PRO_CDFASPRO = '05' AND EUR_INTERVEN.INT_NRINTINT = 1</t>
    </r>
  </si>
  <si>
    <t>EUR_INTERVEN || N\A</t>
  </si>
  <si>
    <t>CONCAT( NRCTADEB(5, 15), "000000000000000" ) || N\A</t>
  </si>
  <si>
    <t>N\A || "#N/A"</t>
  </si>
  <si>
    <t>Source Code</t>
  </si>
  <si>
    <t>source_code</t>
  </si>
  <si>
    <t>Código da aplicação fonte, isto é, aplicação técnica que gerou o resgisto.</t>
  </si>
  <si>
    <r>
      <rPr>
        <b/>
        <sz val="11"/>
        <color rgb="FF000000"/>
        <rFont val="Calibri"/>
        <family val="2"/>
        <scheme val="minor"/>
      </rPr>
      <t>SELECT</t>
    </r>
    <r>
      <rPr>
        <sz val="11"/>
        <color rgb="FF000000"/>
        <rFont val="Calibri"/>
        <family val="2"/>
        <scheme val="minor"/>
      </rPr>
      <t xml:space="preserve"> "FA"
</t>
    </r>
    <r>
      <rPr>
        <b/>
        <sz val="11"/>
        <color rgb="FF000000"/>
        <rFont val="Calibri"/>
        <family val="2"/>
        <scheme val="minor"/>
      </rPr>
      <t>SELECT</t>
    </r>
    <r>
      <rPr>
        <sz val="11"/>
        <color rgb="FF000000"/>
        <rFont val="Calibri"/>
        <family val="2"/>
        <scheme val="minor"/>
      </rPr>
      <t xml:space="preserve"> "FA"
</t>
    </r>
    <r>
      <rPr>
        <b/>
        <sz val="11"/>
        <color rgb="FF000000"/>
        <rFont val="Calibri"/>
        <family val="2"/>
        <scheme val="minor"/>
      </rPr>
      <t>WHERE</t>
    </r>
    <r>
      <rPr>
        <sz val="11"/>
        <color rgb="FF000000"/>
        <rFont val="Calibri"/>
        <family val="2"/>
        <scheme val="minor"/>
      </rPr>
      <t xml:space="preserve"> EUR_INTERVEN.INT_NRINTINT = 1 AND EUR_PROCESSO.PRO_CDPRODUT NOT IN ('004', '005')
</t>
    </r>
    <r>
      <rPr>
        <b/>
        <sz val="11"/>
        <color rgb="FF000000"/>
        <rFont val="Calibri"/>
        <family val="2"/>
        <scheme val="minor"/>
      </rPr>
      <t>SELECT</t>
    </r>
    <r>
      <rPr>
        <sz val="11"/>
        <color rgb="FF000000"/>
        <rFont val="Calibri"/>
        <family val="2"/>
        <scheme val="minor"/>
      </rPr>
      <t xml:space="preserve"> "FA"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"TC"
</t>
    </r>
    <r>
      <rPr>
        <b/>
        <sz val="11"/>
        <color rgb="FF000000"/>
        <rFont val="Calibri"/>
        <family val="2"/>
        <scheme val="minor"/>
      </rPr>
      <t>WHERE</t>
    </r>
    <r>
      <rPr>
        <sz val="11"/>
        <color rgb="FF000000"/>
        <rFont val="Calibri"/>
        <family val="2"/>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family val="2"/>
        <scheme val="minor"/>
      </rPr>
      <t>SELECT</t>
    </r>
    <r>
      <rPr>
        <sz val="11"/>
        <color rgb="FF000000"/>
        <rFont val="Calibri"/>
        <family val="2"/>
        <scheme val="minor"/>
      </rPr>
      <t xml:space="preserve"> "DC"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INTERFACE_DCT01.DCYR8101_CKPRODUT AND PARAM_LITIGATION_PRODUCT.SOURCE_SUBPRODUCT_ID = INTERFACE_DCT01.DCYR8101_CKSUBPRO</t>
    </r>
  </si>
  <si>
    <t>Bank identifier (internal Santander’s company identification code) that is related to the current account contract which anchors the factoring contract.</t>
  </si>
  <si>
    <t>Contract Static
Transactions - Loans</t>
  </si>
  <si>
    <t>Account ID
Account ID</t>
  </si>
  <si>
    <t>CURATED_INTERNAL_EUROFAC
CURATED_INTERNAL_EUROFAC
OPERATIONS_COMMON_REFERENCEDATA_CORE
CURATED_INTERNAL_EUROFAC
OPERATIONS_COMMON_REFERENCEDATA_CORE
CURATED_INTERNAL_EUROFAC
OPERATIONS_COMMON_REFERENCEDATA_CORE
CURATED_INTERNAL_MAINFRAME_CONTAS
CURATED_INTERMAL_MAINFRAME_CONTENCIOSO
OPERATIONS_COMMON_REFERENCEDATA_CORE</t>
  </si>
  <si>
    <t>EUR_CREDITO
EUR_INTERVEN
PARAM_GENERAL_CODE_CONVERTER
EUR_INTERVEN
PARAM_GENERAL_CODE_CONVERTER
EUR_INTERVEN
PARAM_GENERAL_CODE_CONVERTER
INTERFACE_DCT01
TCT09_OPERCN
PARAM_GENERAL_CODE_CONVERTER</t>
  </si>
  <si>
    <t>N\A
N\A
TARGET_VALUE
N\A 
TARGET_VALUE
N\A 
TARGET_VALUE
N\A
N\A
TARGET_VALUE</t>
  </si>
  <si>
    <r>
      <rPr>
        <b/>
        <sz val="11"/>
        <color rgb="FF000000"/>
        <rFont val="Calibri"/>
        <family val="2"/>
        <scheme val="minor"/>
      </rPr>
      <t>SELECT</t>
    </r>
    <r>
      <rPr>
        <sz val="11"/>
        <color rgb="FF000000"/>
        <rFont val="Calibri"/>
        <family val="2"/>
        <scheme val="minor"/>
      </rPr>
      <t xml:space="preserve"> IF( SUBSTRING( EUR_INTERVEN.INT_NRCTADEB, 5, 4 ) = '0018' , PARAM_GENERAL_CODE_CONVERTER.TARGET_VALUE, '#N/A' )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EUR_INTERVEN.INT_NRINTINT = 1
</t>
    </r>
    <r>
      <rPr>
        <b/>
        <sz val="11"/>
        <color rgb="FF000000"/>
        <rFont val="Calibri"/>
        <family val="2"/>
        <scheme val="minor"/>
      </rPr>
      <t xml:space="preserve">SELECT </t>
    </r>
    <r>
      <rPr>
        <sz val="11"/>
        <color rgb="FF000000"/>
        <rFont val="Calibri"/>
        <family val="2"/>
        <scheme val="minor"/>
      </rPr>
      <t xml:space="preserve">IF( SUBSTRING( EUR_INTERVEN.INT_NRCTADEB, 5, 4 ) = '0018' , PARAM_GENERAL_CODE_CONVERTER.TARGET_VALUE, '#N/A' )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SUBSTRING( EUR_INTERVEN.INT_NRCTADEB, 5, 4 ) = '0018' , PARAM_GENERAL_CODE_CONVERTER.TARGET_VALUE, '#N/A' )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TCT09_OPERCN.ISITUAC = '1'  AND TCT09_OPERCN.DENTRADA &lt;= TCT09_OPERCN.DATA_DATE_PART AND (GROUP BY TCT09_OPERCN.CKBALCAO, TCT09_OPERCN.CKNUMCTA)
</t>
    </r>
  </si>
  <si>
    <t>N\A || N\A
N\A
N\A
N\A
N\A</t>
  </si>
  <si>
    <t>"31" || "#N/A"
"31" || "#N/A"
"31" || "#N/A"
"NULL"
"31"</t>
  </si>
  <si>
    <t>Main Current Account IBAN</t>
  </si>
  <si>
    <t>main_current_account_iban</t>
  </si>
  <si>
    <t>Number of banking identification of the main current account associated with the factoring contract.</t>
  </si>
  <si>
    <t>IBAN da conta âncora do contrato.</t>
  </si>
  <si>
    <r>
      <rPr>
        <b/>
        <sz val="11"/>
        <color rgb="FF000000"/>
        <rFont val="Calibri"/>
        <family val="2"/>
        <scheme val="minor"/>
      </rPr>
      <t>SELECT</t>
    </r>
    <r>
      <rPr>
        <sz val="11"/>
        <color rgb="FF000000"/>
        <rFont val="Calibri"/>
        <family val="2"/>
        <scheme val="minor"/>
      </rPr>
      <t xml:space="preserve"> IF( TRIM( EUR_INTERVEN.INT_NRCTADEB) = '', NULL, EUR_INTERVEN.INT_NRCTADEB )
</t>
    </r>
    <r>
      <rPr>
        <b/>
        <sz val="11"/>
        <color rgb="FF000000"/>
        <rFont val="Calibri"/>
        <family val="2"/>
        <scheme val="minor"/>
      </rPr>
      <t>WHERE</t>
    </r>
    <r>
      <rPr>
        <sz val="11"/>
        <color rgb="FF000000"/>
        <rFont val="Calibri"/>
        <family val="2"/>
        <scheme val="minor"/>
      </rPr>
      <t xml:space="preserve"> EUR_PROCESSO.PRO_CDFASPRO = '05' AND EUR_INTERVEN.INT_NRINTINT = 1</t>
    </r>
  </si>
  <si>
    <t>EUR_INTERVEN</t>
  </si>
  <si>
    <t>NRCTADEB</t>
  </si>
  <si>
    <t>Data Date Part</t>
  </si>
  <si>
    <t>data_date_part</t>
  </si>
  <si>
    <t>Data de referência dos dados</t>
  </si>
  <si>
    <t xml:space="preserve">
EUR_INTERVEN
EUR_PROCESSO
TCT09_OPERCN
INTERFACE_DCT01
PARAM_LITIGATION_PRODUCT</t>
  </si>
  <si>
    <t>DATA_DATE_PART
DATA_DATE_PART
DATA_DATE_PART
DATA_DATE_PART
DATA_DATE_PART
N\A</t>
  </si>
  <si>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WHERE</t>
    </r>
    <r>
      <rPr>
        <sz val="11"/>
        <color rgb="FF000000"/>
        <rFont val="Calibri"/>
        <family val="2"/>
        <scheme val="minor"/>
      </rPr>
      <t xml:space="preserve"> EUR_INTERVEN.INT_NRINTINT = 1 AND EUR_PROCESSO.PRO_CDPRODUT NOT IN ('004', '005')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TCT09_OPERCN.CKPRODUT AND PARAM_LITIGATION_PRODUCT.SOURCE_SUBPRODUCT_ID = TCT09_OPERCN.CKSUBPRO
   AND MAX( CONTRACT_ALIVE_INDICATOR) GROUP BY (TCT09_OPERCN.CKBALCAO, TCT09_OPERCN.CKNUMCTA)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INTERFACE_DCT01.DCYR8101_CKPRODUT AND PARAM_LITIGATION_PRODUCT.SOURCE_SUBPRODUCT_ID = INTERFACE_DCT01.DCYR8101_CKSUBPRO</t>
    </r>
  </si>
  <si>
    <t>Contract identifier of the main current account associated with the factoring contract. It corresponds to the account associated (in the contract context) to the process's client that provides the invoices.</t>
  </si>
  <si>
    <t>CURATED_INTERNAL_EUROFAC
CURATED_INTERNAL_EUROFAC
CURATED_INTERNAL_EUROFAC
CURATED_INTERNAL_EUROFAC
CURATED_INTERNAL_MAINFRAME_CONTAS
CURATED_INTERNAL_MAINFRAME_CONTENCIOSO</t>
  </si>
  <si>
    <t>EUR_INTERVEN
EUR_CREDITO
EUR_INTERVEN
EUR_INTERVEN
INTERFACE_DCT01
TCT09_OPERCN</t>
  </si>
  <si>
    <t>INT_NRCTADEB
N\A
INT_NRCTADEB
INT_NRCTADEB
N\A
CKBALDO, CKCTADO</t>
  </si>
  <si>
    <r>
      <rPr>
        <b/>
        <sz val="11"/>
        <color rgb="FF000000"/>
        <rFont val="Calibri"/>
        <family val="2"/>
        <scheme val="minor"/>
      </rPr>
      <t>SELECT</t>
    </r>
    <r>
      <rPr>
        <sz val="11"/>
        <color rgb="FF000000"/>
        <rFont val="Calibri"/>
        <family val="2"/>
        <scheme val="minor"/>
      </rPr>
      <t xml:space="preserve"> IF( SUBSTRING( EUR_INTERVEN.INT_NRCTADEB, 5, 4 ) = '0018' , CONCAT( SUBSTRING( EUR_INTERVEN.INT_NRCTADEB, 9 , 15 ), '000000000000000' ), '#N/A')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IF( SUBSTRING( EUR_INTERVEN.INT_NRCTADEB, 5, 4 ) = '0018' , CONCAT( SUBSTRING( EUR_INTERVEN.INT_NRCTADEB, 9 , 15 ), '000000000000000' ),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IF( SUBSTRING( EUR_INTERVEN.INT_NRCTADEB, 5, 4 ) = '0018' , CONCAT( SUBSTRING( EUR_INTERVEN.INT_NRCTADEB, 9 , 15 ), '000000000000000' ),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CONCAT( TCT09_OPERCN.CKBALDO, TCT09_OPERCN.CKCTADO, '000000000000000' )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</si>
  <si>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EUR_INTERVEN || N\A
EUR_INTERVEN || N\A
EUR_INTERVEN || N\A
N\A
TCT09_OPERCN</t>
  </si>
  <si>
    <t>CONCAT( SUBSTRING( NRCTADEB, 5 , 20 ), '000000000000000' ) || N\A
CONCAT( SUBSTRING( NRCTADEB, 5 , 20 ), '000000000000000' ) || N\A
CONCAT( SUBSTRING( NRCTADEB, 5 , 20 ), '000000000000000' ) || N\A
N\A
CONCAT( CKBALDO, CKCTADO, "000000000000000" )</t>
  </si>
  <si>
    <t>N\A || "#N/A"
N\A || "#N/A"
N\A || "#N/A"
"NULL"
N\A</t>
  </si>
  <si>
    <t>Main Loan Account Bank ID</t>
  </si>
  <si>
    <t>main_loan_account_bank_id</t>
  </si>
  <si>
    <t>Main loan account's bank identifier linked to the factoring process.</t>
  </si>
  <si>
    <t>Código identificador do banco interno do Santander (CEMPRESA) da conta corrente âncora do contrato.</t>
  </si>
  <si>
    <r>
      <rPr>
        <b/>
        <sz val="11"/>
        <color rgb="FF000000"/>
        <rFont val="Calibri"/>
        <family val="2"/>
        <scheme val="minor"/>
      </rPr>
      <t>SELECT</t>
    </r>
    <r>
      <rPr>
        <sz val="11"/>
        <color rgb="FF000000"/>
        <rFont val="Calibri"/>
        <family val="2"/>
        <scheme val="minor"/>
      </rPr>
      <t xml:space="preserve">  IF( TRIM( EUR_INTERVEN.INT_NRCTACRE ) = '', 
    NULL,
    IF( SUBSTRING( EUR_INTERVEN.INT_NRCTACRE, 5, 4 ) = '0018',
        PARAM_GENERAL_CODE_CONVERTER.TARGET_VALUE,
        '#N/A' ) )
</t>
    </r>
    <r>
      <rPr>
        <b/>
        <sz val="11"/>
        <color rgb="FF000000"/>
        <rFont val="Calibri"/>
        <family val="2"/>
        <scheme val="minor"/>
      </rPr>
      <t>WHERE</t>
    </r>
    <r>
      <rPr>
        <sz val="11"/>
        <color rgb="FF000000"/>
        <rFont val="Calibri"/>
        <family val="2"/>
        <scheme val="minor"/>
      </rPr>
      <t xml:space="preserve"> EUR_PROCESSO.PRO_CDFASPRO = '05' AND EUR_INTERVEN.INT_NRINTINT = 1  AND PARAM_GENERAL_CODE_CONVERTER.TARGET_FIELD = 'main_loan_account_bank_id'  AND PARAM_GENERAL_CODE_CONVERTER.SOURCE_CODE = 'DC' AND ( PARAM_GENERAL_CODE_CONVERTER.SOURCE_VALUE = '' ) AND PARAM_GENERAL_CODE_CONVERTER.OPTION_NUMBER = '1'</t>
    </r>
  </si>
  <si>
    <t>Data Timestamp Part</t>
  </si>
  <si>
    <t>data_timestamp_part</t>
  </si>
  <si>
    <t>Timestamp da data de execução</t>
  </si>
  <si>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EUR_INTERVEN.INT_NRINTINT = 1 AND EUR_PROCESSO.PRO_CDPRODUT NOT IN ('004', '005')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INTERFACE_DCT01.DCYR8101_CKPRODUT AND PARAM_LITIGATION_PRODUCT.SOURCE_SUBPRODUCT_ID = INTERFACE_DCT01.DCYR8101_CKSUBPRO
</t>
    </r>
  </si>
  <si>
    <t>INT_NRCTADEB
N\A
INT_NRCTADEB
INT_NRCTADEB
N\A
NULL</t>
  </si>
  <si>
    <r>
      <rPr>
        <b/>
        <sz val="11"/>
        <color rgb="FF000000"/>
        <rFont val="Calibri"/>
        <family val="2"/>
        <scheme val="minor"/>
      </rPr>
      <t>SELECT</t>
    </r>
    <r>
      <rPr>
        <sz val="11"/>
        <color rgb="FF000000"/>
        <rFont val="Calibri"/>
        <family val="2"/>
        <scheme val="minor"/>
      </rPr>
      <t xml:space="preserve"> IF( TRIM( EUR_INTERVEN.INT_NRCTADEB ) = '', NULL, EUR_INTERVEN.INT_NRCTADEB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IF( TRIM( EUR_INTERVEN.INT_NRCTADEB ) = '', NULL, EUR_INTERVEN.INT_NRCTADEB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TRIM( EUR_INTERVEN.INT_NRCTADEB ) = '', NULL, EUR_INTERVEN.INT_NRCTADEB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SELECT NULL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</si>
  <si>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EUR_INTERVEN 
EUR_INTERVEN 
EUR_INTERVEN 
N\A
N\A</t>
  </si>
  <si>
    <t>NRCTADEB
NRCTADEB
NRCTADEB
N\A
N\A</t>
  </si>
  <si>
    <t>N\A
N\A
N\A
"NULL"
"NULL"</t>
  </si>
  <si>
    <t>Main Loan Account Contract ID</t>
  </si>
  <si>
    <t>main_loan_account_contract_id</t>
  </si>
  <si>
    <t>Contract identifier of the main loan account associated with the factoring process. It corresponds to the account associated to the process's client that provides the invoices.</t>
  </si>
  <si>
    <t>Identificador do contrato da conta corrente âncora do contrato.</t>
  </si>
  <si>
    <t>INT_NRCTACRE
N\A</t>
  </si>
  <si>
    <r>
      <rPr>
        <b/>
        <sz val="11"/>
        <color rgb="FF000000"/>
        <rFont val="Calibri"/>
        <family val="2"/>
        <scheme val="minor"/>
      </rPr>
      <t>SELECT</t>
    </r>
    <r>
      <rPr>
        <sz val="11"/>
        <color rgb="FF000000"/>
        <rFont val="Calibri"/>
        <family val="2"/>
        <scheme val="minor"/>
      </rPr>
      <t xml:space="preserve"> IF( TRIM( EUR_INTERVEN.INT_NRCTACRE ) = '', 
    NULL,    
    IF( SUBSTRING( EUR_INTERVEN.INT_NRCTACRE, 5, 4 ) = '0018', 
        CONCAT(SUBSTRING(EUR_INTERVEN.INT_NRCTACRE, 9 , 15 ), '000000000000000' ), 
         '#N/A' ) )
</t>
    </r>
    <r>
      <rPr>
        <b/>
        <sz val="11"/>
        <color rgb="FF000000"/>
        <rFont val="Calibri"/>
        <family val="2"/>
        <scheme val="minor"/>
      </rPr>
      <t>WHERE</t>
    </r>
    <r>
      <rPr>
        <sz val="11"/>
        <color rgb="FF000000"/>
        <rFont val="Calibri"/>
        <family val="2"/>
        <scheme val="minor"/>
      </rPr>
      <t xml:space="preserve"> EUR_PROCESSO.PRO_CDFASPRO = '05' AND EUR_INTERVEN.INT_NRINTINT = 1</t>
    </r>
  </si>
  <si>
    <t>CONCAT( NRCTACRE(5, 15), '000000000000000') || N\A</t>
  </si>
  <si>
    <t>Main loan account's bank identifier linked to the factoring contract.</t>
  </si>
  <si>
    <t>CURATED_INTERNAL_EUROFAC
CURATED_INTERNAL_EUROFAC
OPERATIONS_COMMON_REFERENCEDATA_CORE
CURATED_INTERNAL_EUROFAC
OPERATIONS_COMMON_REFERENCEDATA_CORE
CURATED_INTERNAL_EUROFAC
OPERATIONS_COMMON_REFERENCEDATA_CORE
CURATED_INTERNAL_MAINFRAME_CONTAS
CURATED_INTERNAL_MAINFRAME_CONTENCIOSO</t>
  </si>
  <si>
    <t>EUR_CREDITO
EUR_INTERVEN
PARAM_GENERAL_CODE_CONVERTER
EUR_INTERVEN
PARAM_GENERAL_CODE_CONVERTER
EUR_INTERVEN
PARAM_GENERAL_CODE_CONVERTER
INTERFACE_DCT01
TCT09_OPERCN</t>
  </si>
  <si>
    <t>N\A
N\A
TARGET_VALUE
N\A 
TARGET_VALUE
N\A 
TARGET_VALUE
N\A
N\A</t>
  </si>
  <si>
    <r>
      <rPr>
        <b/>
        <sz val="11"/>
        <color rgb="FF000000"/>
        <rFont val="Calibri"/>
        <family val="2"/>
        <scheme val="minor"/>
      </rPr>
      <t>SELECT</t>
    </r>
    <r>
      <rPr>
        <sz val="11"/>
        <color rgb="FF000000"/>
        <rFont val="Calibri"/>
        <family val="2"/>
        <scheme val="minor"/>
      </rPr>
      <t xml:space="preserve"> IF( SUBSTRING( EUR_INTERVEN.INT_NRCTACRE, 5, 4 ) = '0018' , PARAM_GENERAL_CODE_CONVERTER.TARGET_VALUE, '#N/A' )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EUR_INTERVEN.INT_NRINTINT = 1
</t>
    </r>
    <r>
      <rPr>
        <b/>
        <sz val="11"/>
        <color rgb="FF000000"/>
        <rFont val="Calibri"/>
        <family val="2"/>
        <scheme val="minor"/>
      </rPr>
      <t>SELECT</t>
    </r>
    <r>
      <rPr>
        <sz val="11"/>
        <color rgb="FF000000"/>
        <rFont val="Calibri"/>
        <family val="2"/>
        <scheme val="minor"/>
      </rPr>
      <t xml:space="preserve"> IF( SUBSTRING( EUR_INTERVEN.INT_NRCTACRE, 5, 4 ) = '0018' , PARAM_GENERAL_CODE_CONVERTER.TARGET_VALUE, '#N/A' )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SUBSTRING( EUR_INTERVEN.INT_NRCTACRE, 5, 4 ) = '0018' , PARAM_GENERAL_CODE_CONVERTER.TARGET_VALUE, '#N/A' )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</si>
  <si>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"31" || "#N/A"
"31" || "#N/A"
"31" || "#N/A"
"NULL"
"NULL"</t>
  </si>
  <si>
    <t>Main Loan Account IBAN</t>
  </si>
  <si>
    <t>main_loan_account_iban</t>
  </si>
  <si>
    <t>Number of banking identification of the main loan account associated with the factoring contract.</t>
  </si>
  <si>
    <t>IBAN da conta corrente âncora do contrato.</t>
  </si>
  <si>
    <r>
      <rPr>
        <b/>
        <sz val="11"/>
        <color rgb="FF000000"/>
        <rFont val="Calibri"/>
        <family val="2"/>
        <scheme val="minor"/>
      </rPr>
      <t>SELECT</t>
    </r>
    <r>
      <rPr>
        <sz val="11"/>
        <color rgb="FF000000"/>
        <rFont val="Calibri"/>
        <family val="2"/>
        <scheme val="minor"/>
      </rPr>
      <t xml:space="preserve"> IF( TRIM( EUR_INTERVEN.INT_NRCTACRE ) = '', NULL,  EUR_INTERVEN.INT_NRCTACRE )
</t>
    </r>
    <r>
      <rPr>
        <b/>
        <sz val="11"/>
        <color rgb="FF000000"/>
        <rFont val="Calibri"/>
        <family val="2"/>
        <scheme val="minor"/>
      </rPr>
      <t>WHERE</t>
    </r>
    <r>
      <rPr>
        <sz val="11"/>
        <color rgb="FF000000"/>
        <rFont val="Calibri"/>
        <family val="2"/>
        <scheme val="minor"/>
      </rPr>
      <t xml:space="preserve"> EUR_PROCESSO.PRO_CDFASPRO = '05' AND EUR_INTERVEN.INT_NRINTINT = 1</t>
    </r>
  </si>
  <si>
    <t>NRCTACRE</t>
  </si>
  <si>
    <t xml:space="preserve">N\A </t>
  </si>
  <si>
    <t>Contract identifier of the main loan account associated with the factoring contract. It corresponds to the account associated (in the contract context) to the process's client that provides the invoices.</t>
  </si>
  <si>
    <t>Identificador exclusivo do contrato de conta de depósito</t>
  </si>
  <si>
    <t>INT_NRCTACRE
N\A
INT_NRCTACRE
INT_NRCTACRE
N\A
N\A</t>
  </si>
  <si>
    <r>
      <rPr>
        <b/>
        <sz val="11"/>
        <color rgb="FF000000"/>
        <rFont val="Calibri"/>
        <family val="2"/>
        <scheme val="minor"/>
      </rPr>
      <t>SELECT</t>
    </r>
    <r>
      <rPr>
        <sz val="11"/>
        <color rgb="FF000000"/>
        <rFont val="Calibri"/>
        <family val="2"/>
        <scheme val="minor"/>
      </rPr>
      <t xml:space="preserve"> IF( SUBSTRING( EUR_INTERVEN.INT_NRCTACRE, 5, 4 ) = '0018' , CONCAT( SUBSTRING( EUR_INTERVEN.INT_NRCTACRE, 9 , 15 ), '000000000000000' ), '#N/A')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 xml:space="preserve">SELECT </t>
    </r>
    <r>
      <rPr>
        <sz val="11"/>
        <color rgb="FF000000"/>
        <rFont val="Calibri"/>
        <family val="2"/>
        <scheme val="minor"/>
      </rPr>
      <t xml:space="preserve">IF( SUBSTRING( EUR_INTERVEN.INT_NRCTACRE, 5, 4 ) = '0018' , CONCAT( SUBSTRING( EUR_INTERVEN.INT_NRCTACRE, 9 , 15 ), '000000000000000' ),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SUBSTRING( EUR_INTERVEN.INT_NRCTACRE, 5, 4 ) = '0018' , CONCAT( SUBSTRING( EUR_INTERVEN.INT_NRCTACRE, 9 , 15 ), '000000000000000' ),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</si>
  <si>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EUR_INTERVEN || N\A
EUR_INTERVEN || N\A 
EUR_INTERVEN || N\A
N\A
N\A</t>
  </si>
  <si>
    <t>CONCAT ((NRCTACRE(9, 19), "000000000000000" ) || N\A
CONCAT ((NRCTACRE(9, 19), "000000000000000" ) || N\A
CONCAT ((NRCTACRE(9, 19), "000000000000000" ) || N\A
N\A
N\A</t>
  </si>
  <si>
    <t>N\A || "#N/A"
N\A || "#N/A"
N\A || "#N/A"
"NULL"
"NULL"</t>
  </si>
  <si>
    <t>Opening Date</t>
  </si>
  <si>
    <t>opening_date</t>
  </si>
  <si>
    <t>Int Inf - Con Inf - Date</t>
  </si>
  <si>
    <t>Date in which the client opened and formalised the factoring process.</t>
  </si>
  <si>
    <t>Data de abertura do contrato. Não corresponde à data de solicitação do contrato.</t>
  </si>
  <si>
    <t xml:space="preserve">PRO_DTCONTRA </t>
  </si>
  <si>
    <r>
      <rPr>
        <b/>
        <sz val="11"/>
        <color rgb="FF000000"/>
        <rFont val="Calibri"/>
        <family val="2"/>
        <scheme val="minor"/>
      </rPr>
      <t>SELECT</t>
    </r>
    <r>
      <rPr>
        <sz val="11"/>
        <color rgb="FF000000"/>
        <rFont val="Calibri"/>
        <family val="2"/>
        <scheme val="minor"/>
      </rPr>
      <t xml:space="preserve"> IF( TRIM( EUR_PROCESSO.PRO_DTCONTRA ) = '', NULL, CAST( SUBSTRING(  EUR_PROCESSO.PRO_DTCONTRA , 1, 10 ) AS STRING ) )
</t>
    </r>
    <r>
      <rPr>
        <b/>
        <sz val="11"/>
        <color rgb="FF000000"/>
        <rFont val="Calibri"/>
        <family val="2"/>
        <scheme val="minor"/>
      </rPr>
      <t>WHERE</t>
    </r>
    <r>
      <rPr>
        <sz val="11"/>
        <color rgb="FF000000"/>
        <rFont val="Calibri"/>
        <family val="2"/>
        <scheme val="minor"/>
      </rPr>
      <t xml:space="preserve"> EUR_PROCESSO.PRO_CDFASPRO = '05'</t>
    </r>
  </si>
  <si>
    <t>DTCONTRA</t>
  </si>
  <si>
    <r>
      <rPr>
        <b/>
        <sz val="11"/>
        <color rgb="FF000000"/>
        <rFont val="Calibri"/>
        <family val="2"/>
        <scheme val="minor"/>
      </rPr>
      <t>SELECT</t>
    </r>
    <r>
      <rPr>
        <sz val="11"/>
        <color rgb="FF000000"/>
        <rFont val="Calibri"/>
        <family val="2"/>
        <scheme val="minor"/>
      </rPr>
      <t xml:space="preserve"> IF( TRIM( EUR_INTERVEN.INT_NRCTACRE ) = '', NULL, EUR_INTERVEN.INT_NRCTACRE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IF( TRIM( EUR_INTERVEN.INT_NRCTACRE ) = '', NULL, EUR_INTERVEN.INT_NRCTACRE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TRIM( EUR_INTERVEN.INT_NRCTACRE ) = '', NULL, EUR_INTERVEN.INT_NRCTACRE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</si>
  <si>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NRCTACRE
NRCTACRE
NRCTACRE
N\A
N\A</t>
  </si>
  <si>
    <t>Current Maturity Date</t>
  </si>
  <si>
    <t>current_maturity_date</t>
  </si>
  <si>
    <t>Ext Inf - Con Inf - Date</t>
  </si>
  <si>
    <t>Current maturity date (contract end date) of the process.</t>
  </si>
  <si>
    <t>Data de vencimento do contrato, sendo que, quando um contrato entra em contencioso a data de vencimento considerada é a associada ao processo de contencioso.</t>
  </si>
  <si>
    <t xml:space="preserve">PRO_DTVENCIM </t>
  </si>
  <si>
    <r>
      <rPr>
        <b/>
        <sz val="11"/>
        <color rgb="FF000000"/>
        <rFont val="Calibri"/>
        <family val="2"/>
        <scheme val="minor"/>
      </rPr>
      <t>SELECT</t>
    </r>
    <r>
      <rPr>
        <sz val="11"/>
        <color rgb="FF000000"/>
        <rFont val="Calibri"/>
        <family val="2"/>
        <scheme val="minor"/>
      </rPr>
      <t xml:space="preserve"> IF( TRIM( EUR_PROCESSO.PRO_DTVENCIM ) = '',  NULL, CAST( SUBSTRING( EUR_PROCESSO.PRO_DTVENCIM, 1, 10 ) AS STRING ) )
</t>
    </r>
    <r>
      <rPr>
        <b/>
        <sz val="11"/>
        <color rgb="FF000000"/>
        <rFont val="Calibri"/>
        <family val="2"/>
        <scheme val="minor"/>
      </rPr>
      <t>WHERE</t>
    </r>
    <r>
      <rPr>
        <sz val="11"/>
        <color rgb="FF000000"/>
        <rFont val="Calibri"/>
        <family val="2"/>
        <scheme val="minor"/>
      </rPr>
      <t xml:space="preserve"> EUR_PROCESSO.PRO_CDFASPRO = '05'</t>
    </r>
  </si>
  <si>
    <t>DTVENCIM</t>
  </si>
  <si>
    <t>Process Bank ID</t>
  </si>
  <si>
    <t>process_bank_id</t>
  </si>
  <si>
    <t>Identifier of the factoring process bank to which the factoring contract is associated to.</t>
  </si>
  <si>
    <t>Código identificador do banco interno do Santander (CEMPRESA) do processo.</t>
  </si>
  <si>
    <t>N\A
TARGET_VALUE
N\A
TARGET_VALUE
N\A
TARGET_VALUE
N\A
N\A</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</si>
  <si>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 xml:space="preserve">WHERE </t>
    </r>
    <r>
      <rPr>
        <sz val="11"/>
        <color rgb="FF000000"/>
        <rFont val="Calibri"/>
        <family val="2"/>
        <scheme val="minor"/>
      </rPr>
      <t xml:space="preserve">PARAM_GENERAL_CODE_CONVERTER.TARGET_FIELD = 'process_bank_id' AND PARAM_GENERAL_CODE_CONVERTER.SOURCE_CODE = 'FA' AND PARAM_GENERAL_CODE_CONVERTER.SOURCE_VALUE = ''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'process_bank_id' AND PARAM_GENERAL_CODE_CONVERTER.SOURCE_CODE = 'FA' AND PARAM_GENERAL_CODE_CONVERTER.SOURCE_VALUE = ''
   AND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'process_bank_id' AND PARAM_GENERAL_CODE_CONVERTER.SOURCE_CODE = 'FA' AND PARAM_GENERAL_CODE_CONVERTER.SOURCE_VALUE = ''
  AND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 xml:space="preserve">WHERE </t>
    </r>
    <r>
      <rPr>
        <sz val="11"/>
        <color rgb="FF000000"/>
        <rFont val="Calibri"/>
        <family val="2"/>
        <scheme val="minor"/>
      </rPr>
      <t xml:space="preserve">TCT09_OPERCN.ISITUAC = '1'  AND TCT09_OPERCN.DENTRADA &lt;= TCT09_OPERCN.DATA_DATE_PART AND (GROUP BY TCT09_OPERCN.CKBALCAO, TCT09_OPERCN.CKNUMCTA)
</t>
    </r>
  </si>
  <si>
    <t>"89"
"89"
"89"
"NULL"
"NULL"</t>
  </si>
  <si>
    <t>Currency Code</t>
  </si>
  <si>
    <t>currency_code</t>
  </si>
  <si>
    <t>Ext Inf - Con Fin Inf - Code</t>
  </si>
  <si>
    <t>Identifier of the currency of the process, which should correspond to the main current account associated with the factoring' process.</t>
  </si>
  <si>
    <t>Código da moeda utilizada pelo contrato.</t>
  </si>
  <si>
    <t>Currency:
EUR_MOEDA; CURATED_INTERNAL_EUROFAC.EUR_MOEDA</t>
  </si>
  <si>
    <t>INT_CMOEDA
N\A</t>
  </si>
  <si>
    <r>
      <rPr>
        <b/>
        <sz val="11"/>
        <color rgb="FF000000"/>
        <rFont val="Calibri"/>
        <family val="2"/>
        <scheme val="minor"/>
      </rPr>
      <t>SELECT</t>
    </r>
    <r>
      <rPr>
        <sz val="11"/>
        <color rgb="FF000000"/>
        <rFont val="Calibri"/>
        <family val="2"/>
        <scheme val="minor"/>
      </rPr>
      <t xml:space="preserve"> IF( TRIM( EUR_INTERVEN.INT_CMOEDA ) = '', NULL, EUR_INTERVEN.INT_CMOEDA )
</t>
    </r>
    <r>
      <rPr>
        <b/>
        <sz val="11"/>
        <color rgb="FF000000"/>
        <rFont val="Calibri"/>
        <family val="2"/>
        <scheme val="minor"/>
      </rPr>
      <t>WHERE</t>
    </r>
    <r>
      <rPr>
        <sz val="11"/>
        <color rgb="FF000000"/>
        <rFont val="Calibri"/>
        <family val="2"/>
        <scheme val="minor"/>
      </rPr>
      <t xml:space="preserve"> EUR_PROCESSO.PRO_CDFASPRO = '05' AND EUR_INTERVEN.INT_NRINTINT = 1</t>
    </r>
  </si>
  <si>
    <t xml:space="preserve">EUR_INTERVEN </t>
  </si>
  <si>
    <t>CDMOEDA</t>
  </si>
  <si>
    <t>Identifier of the factoring process associated with the factoring's contract.</t>
  </si>
  <si>
    <t>CURATED_INTERNAL_EUROFAC
CURATED_INTERNAL_EUROFAC
CURATED_INTERNAL_EUROFAC
CURATED_INTERNAL_MAINFRAME_CONTAS
CURATED_INTERNAL_MAINFRAME_CONTENCIOSO</t>
  </si>
  <si>
    <t>EUR_CREDITO
EUR_PROCESSO
EUR_PROCESSO
INTERFACE_DCT01
TCT09_OPERCN</t>
  </si>
  <si>
    <t>CRD_NRPROCES 
PRO_NRPROCES
PRO_NRPROCES
N\A
N\A</t>
  </si>
  <si>
    <r>
      <rPr>
        <b/>
        <sz val="11"/>
        <color rgb="FF000000"/>
        <rFont val="Calibri"/>
        <family val="2"/>
        <scheme val="minor"/>
      </rPr>
      <t>SELECT</t>
    </r>
    <r>
      <rPr>
        <sz val="11"/>
        <color rgb="FF000000"/>
        <rFont val="Calibri"/>
        <family val="2"/>
        <scheme val="minor"/>
      </rPr>
      <t xml:space="preserve"> IF( TRIM( SUBSTRING( EUR_CREDITO.CRD_NRPROCES, 3, 11 ) ) = '', NULL , CONCAT( '0000', SUBSTRING( EUR_CREDITO.CRD_NRPROCES, 3,11) ) )
</t>
    </r>
    <r>
      <rPr>
        <b/>
        <sz val="11"/>
        <color rgb="FF000000"/>
        <rFont val="Calibri"/>
        <family val="2"/>
        <scheme val="minor"/>
      </rPr>
      <t>SELECT</t>
    </r>
    <r>
      <rPr>
        <sz val="11"/>
        <color rgb="FF000000"/>
        <rFont val="Calibri"/>
        <family val="2"/>
        <scheme val="minor"/>
      </rPr>
      <t xml:space="preserve"> IF( TRIM( SUBSTRING( EUR_PROCESSO.PRO_NRPROCES, 3, 11 ) ) = '', NULL , CONCAT( '0000', SUBSTRING( EUR_PROCESSO.PRO_NRPROCES, 3,11)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TRIM( SUBSTRING( EUR_PROCESSO.PRO_NRPROCES, 3, 11 ) ) = '', NULL , CONCAT( '0000', SUBSTRING( EUR_PROCESSO.PRO_NRPROCES, 3,11) ) )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 xml:space="preserve">WHERE </t>
    </r>
    <r>
      <rPr>
        <sz val="11"/>
        <color rgb="FF000000"/>
        <rFont val="Calibri"/>
        <family val="2"/>
        <scheme val="minor"/>
      </rPr>
      <t>TCT09_OPERCN.ISITUAC = '1'  AND TCT09_OPERCN.DENTRADA &lt;= TCT09_OPERCN.DATA_DATE_PART AND (GROUP BY TCT09_OPERCN.CKBALCAO, TCT09_OPERCN.CKNUMCTA)</t>
    </r>
  </si>
  <si>
    <t>EUR_CREDITO
EUR_PROCESSO
EUR_PROCESSO
N\A
N\A</t>
  </si>
  <si>
    <t>CONCAT( "0000", NRPROCES( 3, 11 ) )
CONCAT( "0000", NRPROCES( 3, 11 ) )
CONCAT( "0000", NRPROCES( 3, 11 ) )
N\A
N\A</t>
  </si>
  <si>
    <t>Initial Authorized Amount</t>
  </si>
  <si>
    <t>initial_authorized_amount</t>
  </si>
  <si>
    <t>Ext Inf - Con Fin Inf - Value</t>
  </si>
  <si>
    <t>DECIMAL</t>
  </si>
  <si>
    <t>Initial maximum theoretical amount that can be used as credit. Depending on the contract, this value can be totaly or pacially used. To determine which value can be used it is taken into account a retention percentage that ensures the health of the credit.</t>
  </si>
  <si>
    <t>Valor inicalmente autorizado no contrato, isto é, valor máximo que podia ser financiado no âmbito do contrato.</t>
  </si>
  <si>
    <t>CURATED_INTERNAL_EUROFAC
CURATED_INTERNAL_EUROFAC
CURATED_INTERNAL_EUROFAC</t>
  </si>
  <si>
    <t>EUR_INTERVEN
EUR_HISTINTE
EUR_PROCESSO</t>
  </si>
  <si>
    <t>INT_VLPLAFAD 
HIN_VLPLAFAD 
N\A</t>
  </si>
  <si>
    <r>
      <rPr>
        <b/>
        <sz val="11"/>
        <color rgb="FF000000"/>
        <rFont val="Calibri"/>
        <family val="2"/>
        <scheme val="minor"/>
      </rPr>
      <t>SELECT</t>
    </r>
    <r>
      <rPr>
        <sz val="11"/>
        <color rgb="FF000000"/>
        <rFont val="Calibri"/>
        <family val="2"/>
        <scheme val="minor"/>
      </rPr>
      <t xml:space="preserve"> IF( EUR_HISTINTE.HIN_NRPROCES IS NULL, CAST( EUR_INTERVEN.INT_PLAFAD AS DECIMAL( 23, 6 ) ), CAST( EUR_HISTINTE.HIN_VLPLAFAD AS DECIMAL( 23, 6 ) ) )
</t>
    </r>
    <r>
      <rPr>
        <b/>
        <sz val="11"/>
        <color rgb="FF000000"/>
        <rFont val="Calibri"/>
        <family val="2"/>
        <scheme val="minor"/>
      </rPr>
      <t>WHERE</t>
    </r>
    <r>
      <rPr>
        <sz val="11"/>
        <color rgb="FF000000"/>
        <rFont val="Calibri"/>
        <family val="2"/>
        <scheme val="minor"/>
      </rPr>
      <t xml:space="preserve"> EUR_PROCESSO.PRO_CDFASPRO = '05' AND EUR_INTERVEN.INT_NRINTINT = 1 AND EUR_HISTINTE.HIN_NRINTINT = 1 AND MIN( EUR_HISTINTE.HIN_DTALTREG )</t>
    </r>
  </si>
  <si>
    <t>EUR_INTERVEN || EUR_HISTINTE</t>
  </si>
  <si>
    <t>VLPLAFAD || VLPLAFAD</t>
  </si>
  <si>
    <t>Date in which the client opened and formalised the contract.</t>
  </si>
  <si>
    <t>Contract Static</t>
  </si>
  <si>
    <t>CRD_DTEMISSA
PRO_DTCONTRA
PRO_DTCONTRA
DCYR8101_DABERTUR
DCONTRAT</t>
  </si>
  <si>
    <r>
      <rPr>
        <b/>
        <sz val="11"/>
        <color rgb="FF000000"/>
        <rFont val="Calibri"/>
        <family val="2"/>
        <scheme val="minor"/>
      </rPr>
      <t>SELECT</t>
    </r>
    <r>
      <rPr>
        <sz val="11"/>
        <color rgb="FF000000"/>
        <rFont val="Calibri"/>
        <family val="2"/>
        <scheme val="minor"/>
      </rPr>
      <t xml:space="preserve"> IF( TRIM( EUR_CREDITO.CRD_DTEMISSA ) = '', NULL, SUBSTRING( EUR_CREDITO.CRD_DTEMISSA,1,10 ) )
</t>
    </r>
    <r>
      <rPr>
        <b/>
        <sz val="11"/>
        <color rgb="FF000000"/>
        <rFont val="Calibri"/>
        <family val="2"/>
        <scheme val="minor"/>
      </rPr>
      <t>SELECT</t>
    </r>
    <r>
      <rPr>
        <sz val="11"/>
        <color rgb="FF000000"/>
        <rFont val="Calibri"/>
        <family val="2"/>
        <scheme val="minor"/>
      </rPr>
      <t xml:space="preserve"> IF( TRIM( EUR_PROCESSO.PRO_DTCONTRA ) = '', NULL, SUBSTRING( EUR_PROCESSO.PRO_DTCONTRA, 1, 10 )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TRIM( EUR_PROCESSO.PRO_DTCONTRA ) = '', NULL, SUBSTRING( EUR_PROCESSO.PRO_DTCONTRA, 1, 10 )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IF(TRIM( INTERFACE_DCT01.DCYR8101_DABERTUR ) = '', NULL,  INTERFACE_DCT01.DCYR8101_DABERTUR )
</t>
    </r>
    <r>
      <rPr>
        <b/>
        <sz val="11"/>
        <color rgb="FF000000"/>
        <rFont val="Calibri"/>
        <family val="2"/>
        <scheme val="minor"/>
      </rPr>
      <t>SELECT</t>
    </r>
    <r>
      <rPr>
        <sz val="11"/>
        <color rgb="FF000000"/>
        <rFont val="Calibri"/>
        <family val="2"/>
        <scheme val="minor"/>
      </rPr>
      <t xml:space="preserve"> IF( TRIM( TCT09_OPERCN.DCONTRAT) = '', NULL, CAST( TCT09_OPERCN.DCONTRAT AS STRING ) )
</t>
    </r>
    <r>
      <rPr>
        <b/>
        <sz val="11"/>
        <color rgb="FF000000"/>
        <rFont val="Calibri"/>
        <family val="2"/>
        <scheme val="minor"/>
      </rPr>
      <t xml:space="preserve">WHERE </t>
    </r>
    <r>
      <rPr>
        <sz val="11"/>
        <color rgb="FF000000"/>
        <rFont val="Calibri"/>
        <family val="2"/>
        <scheme val="minor"/>
      </rPr>
      <t>TCT09_OPERCN.ISITUAC = '1'  AND TCT09_OPERCN.DENTRADA &lt;= TCT09_OPERCN.DATA_DATE_PART AND (GROUP BY TCT09_OPERCN.CKBALCAO, TCT09_OPERCN.CKNUMCTA)</t>
    </r>
  </si>
  <si>
    <t>EUR_CREDITO
EUR_PROCESSO
EUR_PROCESSO
DCYR8101
TCT09_OPERCN</t>
  </si>
  <si>
    <t>DTEMISSA
DTCONTRA
DTCONTRA
DABERTUR
DCONTRAT</t>
  </si>
  <si>
    <t>Current Authorized Amount</t>
  </si>
  <si>
    <t>current_authorized_amount</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</si>
  <si>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</si>
  <si>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Valor atualmente autorizado no contrato, isto é, valor máximo que pode ser financiado no âmbito do contrato.</t>
  </si>
  <si>
    <t>Limit / Amount Granted</t>
  </si>
  <si>
    <t>INT_VLPLAFAD 
N\A</t>
  </si>
  <si>
    <r>
      <rPr>
        <b/>
        <sz val="11"/>
        <color rgb="FF000000"/>
        <rFont val="Calibri"/>
        <family val="2"/>
        <scheme val="minor"/>
      </rPr>
      <t>SELECT</t>
    </r>
    <r>
      <rPr>
        <sz val="11"/>
        <color rgb="FF000000"/>
        <rFont val="Calibri"/>
        <family val="2"/>
        <scheme val="minor"/>
      </rPr>
      <t xml:space="preserve"> CAST( EUR_INTERVEN.INT_VLPLAFAD AS DECIMAL( 23, 6 ) )
</t>
    </r>
    <r>
      <rPr>
        <b/>
        <sz val="11"/>
        <color rgb="FF000000"/>
        <rFont val="Calibri"/>
        <family val="2"/>
        <scheme val="minor"/>
      </rPr>
      <t>WHERE</t>
    </r>
    <r>
      <rPr>
        <sz val="11"/>
        <color rgb="FF000000"/>
        <rFont val="Calibri"/>
        <family val="2"/>
        <scheme val="minor"/>
      </rPr>
      <t xml:space="preserve"> EUR_PROCESSO.PRO_CDFASPRO = '05' AND EUR_INTERVEN.INT_NRINTINT = 1 </t>
    </r>
  </si>
  <si>
    <t>VLPLAFAD</t>
  </si>
  <si>
    <t>Current maturity date (contract end date) of the contract.</t>
  </si>
  <si>
    <t>Contract basics low update</t>
  </si>
  <si>
    <t>CRD_DTVENCIM
PRO_DTVENCIM
PRO_DTVENCIM
DCYR8100_DTVENCIM
DVENCIM</t>
  </si>
  <si>
    <r>
      <rPr>
        <b/>
        <sz val="11"/>
        <color rgb="FF000000"/>
        <rFont val="Calibri"/>
        <family val="2"/>
        <scheme val="minor"/>
      </rPr>
      <t>SELECT</t>
    </r>
    <r>
      <rPr>
        <sz val="11"/>
        <color rgb="FF000000"/>
        <rFont val="Calibri"/>
        <family val="2"/>
        <scheme val="minor"/>
      </rPr>
      <t xml:space="preserve"> IF( TRIM( EUR_CREDITO.CRD_DTVENCIM ) = '', NULL, SUBSTRING( EUR_CREDITO.CRD_DTVENCIM,1,10 ) )
</t>
    </r>
    <r>
      <rPr>
        <b/>
        <sz val="11"/>
        <color rgb="FF000000"/>
        <rFont val="Calibri"/>
        <family val="2"/>
        <scheme val="minor"/>
      </rPr>
      <t>SELECT</t>
    </r>
    <r>
      <rPr>
        <sz val="11"/>
        <color rgb="FF000000"/>
        <rFont val="Calibri"/>
        <family val="2"/>
        <scheme val="minor"/>
      </rPr>
      <t xml:space="preserve"> IF( TRIM( EUR_PROCESSO.PRO_DTVENCIM ) = '', NULL, SUBSTRING( EUR_PROCESSO.PRO_DTVENCIM, 1, 10 )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TRIM( EUR_PROCESSO.PRO_DTVENCIM ) = '', NULL, SUBSTRING( EUR_PROCESSO.PRO_DTVENCIM, 1, 10 )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IF(TRIM( INTERFACE_DCT01.DCYR8100_DTVENCIM ) = '', NULL,  INTERFACE_DCT01.DCYR8100_DTVENCIM )
</t>
    </r>
    <r>
      <rPr>
        <b/>
        <sz val="11"/>
        <color rgb="FF000000"/>
        <rFont val="Calibri"/>
        <family val="2"/>
        <scheme val="minor"/>
      </rPr>
      <t>SELECT</t>
    </r>
    <r>
      <rPr>
        <sz val="11"/>
        <color rgb="FF000000"/>
        <rFont val="Calibri"/>
        <family val="2"/>
        <scheme val="minor"/>
      </rPr>
      <t xml:space="preserve"> IF( TRIM( TCT09_OPERCN.DVENCIM) = '', NULL, CAST( TCT09_OPERCN.DVENCIM AS STRING ) )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t>
    </r>
  </si>
  <si>
    <t>DTVENCIM
DTVENCIM
DTVENCIM
DTVENCIM
DVENCIM</t>
  </si>
  <si>
    <t>Process Status Code</t>
  </si>
  <si>
    <t>process_status_code</t>
  </si>
  <si>
    <t>Int Inf - Con Inf - Code</t>
  </si>
  <si>
    <t>Identifier of the process status.</t>
  </si>
  <si>
    <t>Código do estado do processo.</t>
  </si>
  <si>
    <t>Process Status:
EUR_TABGERAL -  GER_CDTAGER 006; CURATED_INTERNAL_EUROFAC.EUR_TABGERAL - GER_CDTABGER 006</t>
  </si>
  <si>
    <r>
      <rPr>
        <b/>
        <sz val="11"/>
        <color rgb="FF000000"/>
        <rFont val="Calibri"/>
        <family val="2"/>
        <scheme val="minor"/>
      </rPr>
      <t>SELECT</t>
    </r>
    <r>
      <rPr>
        <sz val="11"/>
        <color rgb="FF000000"/>
        <rFont val="Calibri"/>
        <family val="2"/>
        <scheme val="minor"/>
      </rPr>
      <t xml:space="preserve"> IF( TRIM( EUR_PROCESSO.PRO_CDFASPRO ) = '', NULL, PARAM_GENERAL_CODE_CONVERTER.TARGET_VALUE )
</t>
    </r>
    <r>
      <rPr>
        <b/>
        <sz val="11"/>
        <color rgb="FF000000"/>
        <rFont val="Calibri"/>
        <family val="2"/>
        <scheme val="minor"/>
      </rPr>
      <t>WHERE</t>
    </r>
    <r>
      <rPr>
        <sz val="11"/>
        <color rgb="FF000000"/>
        <rFont val="Calibri"/>
        <family val="2"/>
        <scheme val="minor"/>
      </rPr>
      <t xml:space="preserve"> EUR_PROCESSO.PRO_CDFASPRO = '05' AND PARAM_GENERAL_CODE_CONVERTER.TARGET_FIELD = 'contract_status_code' AND PARAM_GENERAL_CODE_CONVERTER.SOURCE_CODE = 'FA' AND PARAM_GENERAL_CODE_CONVERTER.SOURCE_VALUE = EUR_PROCESSO.PRO_CDFASPRO AND PARAM_GENERAL_CODE_CONVERTER.OPTION_NUMBER = '1'</t>
    </r>
  </si>
  <si>
    <t>CDFASPRO</t>
  </si>
  <si>
    <t>Identifier of the contract's currency.</t>
  </si>
  <si>
    <t>Currency:
EUR_MOEDA
EUR_MOEDA
EUR_MOEDA
TAT91 - CTABELA 206
TAT91 - CTABELA 206</t>
  </si>
  <si>
    <t>Contract Static
Balances</t>
  </si>
  <si>
    <t>Currency
Currency</t>
  </si>
  <si>
    <t>CURATED_INTERNAL_EUROFAC
CURATED_INTERNAL_MAINFRAME_ESTRUTURAIS
CURATED_INTERNAL_EUROFAC
CURATED_INTERNAL_MAINFRAME_ESTRUTURAIS
CURATED_INTERNAL_EUROFAC
CURATED_INTERNAL_MAINFRAME_ESTRUTURAIS
CURATED_INTERNAL_MAINFRAME_CONTAS
CURATED_INTERNAL_MAINFRAME_CONTENCIOSO
CURATED_INTERNAL_MAINFRAME_ESTRUTURAIS</t>
  </si>
  <si>
    <t>EUR_CREDITO
TAT91_TABELAS_NEW
EUR_INTERVEN
TAT91_TABELAS_NEW
EUR_INTERVEN
TAT91_TABELAS_NEW
INTERFACE_DCT01
TCT09_OPERCN
TAT91_TABELAS_NEW</t>
  </si>
  <si>
    <t>N\A
TAYD91C0_CELEMTAB
N\A
TAYD91C0_CELEMTAB
N\A
TAYD91C0_CELEMTAB
DCYR8101_CMOEDA
N\A
TAYD91C0_CELEMTAB</t>
  </si>
  <si>
    <r>
      <rPr>
        <b/>
        <sz val="11"/>
        <color rgb="FF000000"/>
        <rFont val="Calibri"/>
        <family val="2"/>
        <scheme val="minor"/>
      </rPr>
      <t>SELECT</t>
    </r>
    <r>
      <rPr>
        <sz val="11"/>
        <color rgb="FF000000"/>
        <rFont val="Calibri"/>
        <family val="2"/>
        <scheme val="minor"/>
      </rPr>
      <t xml:space="preserve"> IF( TRIM( TAT91_TABELAS_NEW.TAYD91C0_CELEMTAB ) = '', NULL, TRIM( TAT91_TABELAS_NEW.TAYD91C0_CELEMTAB) )
</t>
    </r>
    <r>
      <rPr>
        <b/>
        <sz val="11"/>
        <color rgb="FF000000"/>
        <rFont val="Calibri"/>
        <family val="2"/>
        <scheme val="minor"/>
      </rPr>
      <t>WHERE</t>
    </r>
    <r>
      <rPr>
        <sz val="11"/>
        <color rgb="FF000000"/>
        <rFont val="Calibri"/>
        <family val="2"/>
        <scheme val="minor"/>
      </rPr>
      <t xml:space="preserve"> TAT91_TABELAS_NEW.TAYD91C0_CTABELA = '206'
</t>
    </r>
    <r>
      <rPr>
        <b/>
        <sz val="11"/>
        <color rgb="FF000000"/>
        <rFont val="Calibri"/>
        <family val="2"/>
        <scheme val="minor"/>
      </rPr>
      <t>SELECT</t>
    </r>
    <r>
      <rPr>
        <sz val="11"/>
        <color rgb="FF000000"/>
        <rFont val="Calibri"/>
        <family val="2"/>
        <scheme val="minor"/>
      </rPr>
      <t xml:space="preserve"> IF( TRIM( TAT91_TABELAS_NEW.TAYD91C0_CELEMTAB ) = '', NULL, TRIM( TAT91_TABELAS_NEW.TAYD91C0_CELEMTAB) )
</t>
    </r>
    <r>
      <rPr>
        <b/>
        <sz val="11"/>
        <color rgb="FF000000"/>
        <rFont val="Calibri"/>
        <family val="2"/>
        <scheme val="minor"/>
      </rPr>
      <t>WHERE</t>
    </r>
    <r>
      <rPr>
        <sz val="11"/>
        <color rgb="FF000000"/>
        <rFont val="Calibri"/>
        <family val="2"/>
        <scheme val="minor"/>
      </rPr>
      <t xml:space="preserve"> TAT91_TABELAS_NEW.TAYD91C0_CTABELA = '206'
   AND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TRIM( TAT91_TABELAS_NEW.TAYD91C0_CELEMTAB ) = '', NULL, TRIM( TAT91_TABELAS_NEW.TAYD91C0_CELEMTAB) )
</t>
    </r>
    <r>
      <rPr>
        <b/>
        <sz val="11"/>
        <color rgb="FF000000"/>
        <rFont val="Calibri"/>
        <family val="2"/>
        <scheme val="minor"/>
      </rPr>
      <t>WHERE</t>
    </r>
    <r>
      <rPr>
        <sz val="11"/>
        <color rgb="FF000000"/>
        <rFont val="Calibri"/>
        <family val="2"/>
        <scheme val="minor"/>
      </rPr>
      <t xml:space="preserve"> TAT91_TABELAS_NEW.TAYD91C0_CTABELA = '206'
    AND EUR_INTERVEN.INT_NRINTINT != 1 AND EUR_PROCESSO.PRO_CDFASPRO = 5
</t>
    </r>
    <r>
      <rPr>
        <b/>
        <sz val="11"/>
        <color rgb="FF000000"/>
        <rFont val="Calibri"/>
        <family val="2"/>
        <scheme val="minor"/>
      </rPr>
      <t>SELECT</t>
    </r>
    <r>
      <rPr>
        <sz val="11"/>
        <color rgb="FF000000"/>
        <rFont val="Calibri"/>
        <family val="2"/>
        <scheme val="minor"/>
      </rPr>
      <t xml:space="preserve"> IF(TRIM( INTERFACE_DCT01.DCYR8101_CMOEDA) = '', NULL, INTERFACE_DCT01.DCYR8101_CMOEDA )
</t>
    </r>
    <r>
      <rPr>
        <b/>
        <sz val="11"/>
        <color rgb="FF000000"/>
        <rFont val="Calibri"/>
        <family val="2"/>
        <scheme val="minor"/>
      </rPr>
      <t>SELECT</t>
    </r>
    <r>
      <rPr>
        <sz val="11"/>
        <color rgb="FF000000"/>
        <rFont val="Calibri"/>
        <family val="2"/>
        <scheme val="minor"/>
      </rPr>
      <t xml:space="preserve"> IF( TRIM( TAT91_TABELAS_NEW.TAYD91C0_CELEMTAB ) = '', NULL, TRIM( TAT91_TABELAS_NEW.TAYD91C0_CELEMTAB) )
</t>
    </r>
    <r>
      <rPr>
        <b/>
        <sz val="11"/>
        <color rgb="FF000000"/>
        <rFont val="Calibri"/>
        <family val="2"/>
        <scheme val="minor"/>
      </rPr>
      <t>WHERE</t>
    </r>
    <r>
      <rPr>
        <sz val="11"/>
        <color rgb="FF000000"/>
        <rFont val="Calibri"/>
        <family val="2"/>
        <scheme val="minor"/>
      </rPr>
      <t xml:space="preserve"> TAT91_TABELAS_NEW.TAYD91C0_CTABELA = '206'
    AND TCT09_OPERCN.ISITUAC = '1'  AND TCT09_OPERCN.DENTRADA &lt;= TCT09_OPERCN.DATA_DATE_PART AND (GROUP BY TCT09_OPERCN.CKBALCAO, TCT09_OPERCN.CKNUMCTA)
</t>
    </r>
  </si>
  <si>
    <t>FA - Factoring Eurofac
FA - Factoring Eurofac
FA - Factoring Eurofac
DC - Contas a Vista
TC - Terminal Contencioso -&gt; TA - Tabelas Gerais</t>
  </si>
  <si>
    <t>EUR_CREDITO
EUR_INTERVEN 
EUR_INTERVEN 
DCYR8101
TCT09_OPERCN -&gt;  TAT91_TABELAS</t>
  </si>
  <si>
    <t>CDMOEDA
CDMOEDA
CDMOEDA
CDMOEDA
CMOEDALF -&gt; CELEMTAB</t>
  </si>
  <si>
    <t>N\A
N\A
N\A
N\A
N\A -&gt; N\A</t>
  </si>
  <si>
    <t>Process Opening Channel Code</t>
  </si>
  <si>
    <t>process_opening_channel_code</t>
  </si>
  <si>
    <t>Identifier of the opening channel of the process.</t>
  </si>
  <si>
    <t>Canal de abertura do processo, isto é, canal que o cliente utilizou para solicitar o serviço do processo. Não representa o canal que efetivou a abertura do processo.</t>
  </si>
  <si>
    <t>Process Opening Channel:
N\A; N\A</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</si>
  <si>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EUR_PROCESSO.PRO_CDFASPRO = '05' AND PARAM_GENERAL_CODE_CONVERTER.TARGET_FIELD = 'process_opening_channel_code' AND PARAM_GENERAL_CODE_CONVERTER.SOURCE_CODE = 'FA' AND PARAM_GENERAL_CODE_CONVERTER.SOURCE_VALUE = '' AND PARAM_GENERAL_CODE_CONVERTER.OPTION_NUMBER = '1'</t>
    </r>
  </si>
  <si>
    <t>"Branch"</t>
  </si>
  <si>
    <t>Litigation Indicator</t>
  </si>
  <si>
    <t>litigation_indicator</t>
  </si>
  <si>
    <t>Indicates if the contract in currently with a debt in litigation.</t>
  </si>
  <si>
    <t>Indica se o contrato está num processo de contencioso ativo.</t>
  </si>
  <si>
    <t>EUR_CREDITO
EUR_INTERVEN
EUR_INTERVEN
INTERFACE_DCT01
TCT09_OPERCN</t>
  </si>
  <si>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SELECT</t>
    </r>
    <r>
      <rPr>
        <sz val="11"/>
        <color rgb="FF000000"/>
        <rFont val="Calibri"/>
        <family val="2"/>
        <scheme val="minor"/>
      </rPr>
      <t xml:space="preserve"> '1'
</t>
    </r>
    <r>
      <rPr>
        <b/>
        <sz val="11"/>
        <color rgb="FF000000"/>
        <rFont val="Calibri"/>
        <family val="2"/>
        <scheme val="minor"/>
      </rPr>
      <t xml:space="preserve">WHERE </t>
    </r>
    <r>
      <rPr>
        <sz val="11"/>
        <color rgb="FF000000"/>
        <rFont val="Calibri"/>
        <family val="2"/>
        <scheme val="minor"/>
      </rPr>
      <t>TCT09_OPERCN.ISITUAC = '1'  AND TCT09_OPERCN.DENTRADA &lt;= TCT09_OPERCN.DATA_DATE_PART AND (GROUP BY TCT09_OPERCN.CKBALCAO, TCT09_OPERCN.CKNUMCTA)</t>
    </r>
  </si>
  <si>
    <t>"0"
"0"
"0"
"0"
"1"</t>
  </si>
  <si>
    <t>Key - Date</t>
  </si>
  <si>
    <t>Information reference date.</t>
  </si>
  <si>
    <t>DATA_DATE_PART</t>
  </si>
  <si>
    <t>SELECT EUR_PROCESSO.DATA_DATE_PART
WHERE EUR_PROCESSO.PRO_CDFASPRO = '05'</t>
  </si>
  <si>
    <t>Current maximum amount that can be used as credit.</t>
  </si>
  <si>
    <t>Valor atualmente autorizado no contrato, isto é, valor atual que pode ser financiado no âmbito do contrato.</t>
  </si>
  <si>
    <t>CURATED_INTERNAL_EUROFAC
CURATED_INTERNAL_EUROFAC
CURATED_INTERNAL_EUROFAC
CURATED_INTERNAL_EUROFAC
CURATED_INTERNAL_EUROFAC
CURATED_INTERNAL_MAINFRAME_CONTAS
CURATED_INTERNAL_MAINFRAME_CONTENCIOSO</t>
  </si>
  <si>
    <t>EUR_CREDITO
EUR_PRVCLICRD_BOP_NEW_MOE
EUR_INTERVEN
EUR_INTERVEN
EUR_INTERVEN
INTERFACE_DCT01
TCT09_OPERCN</t>
  </si>
  <si>
    <t>CRD_VLTOTADI
PCC_VL_A_CPACR_ATE3MVIN
INT_PRRETENC
INT_VLPLAFAD
INT_VLPLARCR
N\A
N\A</t>
  </si>
  <si>
    <r>
      <rPr>
        <b/>
        <sz val="11"/>
        <color rgb="FF000000"/>
        <rFont val="Calibri"/>
        <family val="2"/>
      </rPr>
      <t>SELECT</t>
    </r>
    <r>
      <rPr>
        <sz val="11"/>
        <color rgb="FF000000"/>
        <rFont val="Calibri"/>
        <family val="2"/>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&gt; EUR_CREDITO.data_date_part AND EUR_INTERVEN (AD).int_tpgescon = 'FF' AND EUR_CREDITO.crd_tprecurs = 'C' AND EUR_CREDITO.crd_vlcambio = 0 AND EUR_INTERVEN (DEV).int_cdmoeda = 'EUR' THEN CAST( (EUR_CREDITO.crd_vltotadi ) * CBT02_CAMBIOS.tcmbme AS DECIMAL(23, 6))
        WHEN EUR_CREDITO.crd_dtprepag &gt; EUR_CREDITO.data_date_part AND EUR_INTERVEN (AD).int_tpgescon = 'FF' AND EUR_CREDITO.crd_tprecurs = 'C' AND EUR_CREDITO.crd_vlcambio = 0 AND dev.int_cdmoeda != 'EUR' THEN CAST( ( EUR_CREDITO.crd_vltotadi ) AS DECIMAL(23, 6))
        WHEN EUR_CREDITO.crd_dtprepag &gt; EUR_CREDITO.data_date_part AND EUR_INTERVEN (AD).int_tpgescon = 'FF' AND EUR_CREDITO.crd_tprecurs = 'C' AND EUR_CREDITO.crd_vlcambio != 0 THEN CAST( (EUR_CREDITO.crd_vltotadi ) * EUR_CREDITO.crd_vlcambio AS DECIMAL(23, 6))
        WHEN EUR_CREDITO.crd_dtprepag &gt; EUR_CREDITO.data_date_part AND EUR_CREDITO.crd_tprecurs = 'S' AND EUR_CREDITO.crd_vlcambio != 0 THEN CAST( (EUR_CREDITO.crd_vlcredit - EUR_CREDITO.crd_vltotcob) * EUR_CREDITO.crd_vlcambio AS DECIMAL(23, 6))
        WHEN EUR_CREDITO.crd_dtprepag &gt; EUR_CREDITO.data_date_part AND EUR_CREDITO.crd_tprecurs = 'S' AND cred.crd_vlcambio = 0 AND EUR_INTERVEN (DEV).int_cdmoeda = 'EUR' THEN CAST( (EUR_CREDITO.crd_vlcredit - EUR_CREDITO.crd_vltotcob) * CBT02_CAMBIOS.tcmbme AS DECIMAL(23, 6))
        WHEN EUR_CREDITO.crd_dtprepag &gt; EUR_CREDITO.data_date_part AND EUR_CREDITO.crd_tprecurs = 'S' AND EUR_CREDITO.crd_vlcambio = 0 AND EUR_INTERVEN (DEV).int_cdmoeda != 'EUR' THEN CAST( (EUR_CREDITO.crd_vlcredit - EUR_CREDITO.crd_vltotcob) AS DECIMAL(23, 6))
        ELSE CAST(0 AS DECIMAL(23,6))
      END
</t>
    </r>
    <r>
      <rPr>
        <b/>
        <sz val="11"/>
        <color rgb="FF000000"/>
        <rFont val="Calibri"/>
        <family val="2"/>
      </rPr>
      <t>WHERE</t>
    </r>
    <r>
      <rPr>
        <sz val="11"/>
        <color rgb="FF000000"/>
        <rFont val="Calibri"/>
        <family val="2"/>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family val="2"/>
      </rPr>
      <t>SELECT</t>
    </r>
    <r>
      <rPr>
        <sz val="11"/>
        <color rgb="FF000000"/>
        <rFont val="Calibri"/>
        <family val="2"/>
      </rPr>
      <t xml:space="preserve"> CASE
     WHEN EUR_POTENCIAL_CRC.pot_potencrc IS NOT NULL AND EUR_POTENCIAL_CRC.pot_potencrc &gt; 0 THEN CAST(EUR_POTENCIAL_CRC.pot_potencrc * CBT02_CAMBIOS.tcmbme AS DECIMAL(23, 6))
      ELSE 0
END
</t>
    </r>
    <r>
      <rPr>
        <b/>
        <sz val="11"/>
        <color rgb="FF000000"/>
        <rFont val="Calibri"/>
        <family val="2"/>
      </rPr>
      <t>WHERE</t>
    </r>
    <r>
      <rPr>
        <sz val="11"/>
        <color rgb="FF000000"/>
        <rFont val="Calibri"/>
        <family val="2"/>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family val="2"/>
      </rPr>
      <t>SELECT</t>
    </r>
    <r>
      <rPr>
        <sz val="11"/>
        <color rgb="FF000000"/>
        <rFont val="Calibri"/>
        <family val="2"/>
      </rPr>
      <t xml:space="preserve"> CASE
     WHEN EUR_PLAF_DEV_DIA.DED_NRPROCES AND EUR_PLAF_DEV_DIA.DED_NAO_ADI &gt; 0 IS NOT NULL THEN CAST(EUR_PLAF_DEV_DIA.DED_NAO_ADI * CBT02_CAMBIOS.tcmbme AS DECIMAL(23, 6)) 
</t>
    </r>
    <r>
      <rPr>
        <b/>
        <sz val="11"/>
        <color rgb="FF000000"/>
        <rFont val="Calibri"/>
        <family val="2"/>
      </rPr>
      <t xml:space="preserve">     </t>
    </r>
    <r>
      <rPr>
        <sz val="11"/>
        <color rgb="FF000000"/>
        <rFont val="Calibri"/>
        <family val="2"/>
      </rPr>
      <t xml:space="preserve">ELSE CAST(0 AS DECIMAL(23,6)
</t>
    </r>
    <r>
      <rPr>
        <b/>
        <sz val="11"/>
        <color rgb="FF000000"/>
        <rFont val="Calibri"/>
        <family val="2"/>
      </rPr>
      <t>WHERE</t>
    </r>
    <r>
      <rPr>
        <sz val="11"/>
        <color rgb="FF000000"/>
        <rFont val="Calibri"/>
        <family val="2"/>
      </rPr>
      <t xml:space="preserve"> EUR_INTERVEN.INT_NRINTINT != 1 AND EUR_PROCESSO.PRO_CDPRODUT NOT IN ('004', '005') AND EUR_PROCESSO.PRO_CDFASPRO = 5
AND CONCAT(ded_nrano, '-', LPAD(ded_cdmes, 2, '0'), '-', LPAD(ded_dia, 2, '0')) = data_date_part
</t>
    </r>
    <r>
      <rPr>
        <b/>
        <sz val="11"/>
        <color rgb="FF000000"/>
        <rFont val="Calibri"/>
        <family val="2"/>
      </rPr>
      <t>SELECT</t>
    </r>
    <r>
      <rPr>
        <sz val="11"/>
        <color rgb="FF000000"/>
        <rFont val="Calibri"/>
        <family val="2"/>
      </rPr>
      <t xml:space="preserve"> CAST( 0 AS DECIMAL( 23, 6 ) )
</t>
    </r>
    <r>
      <rPr>
        <b/>
        <sz val="11"/>
        <color rgb="FF000000"/>
        <rFont val="Calibri"/>
        <family val="2"/>
      </rPr>
      <t>SELECT</t>
    </r>
    <r>
      <rPr>
        <sz val="11"/>
        <color rgb="FF000000"/>
        <rFont val="Calibri"/>
        <family val="2"/>
      </rPr>
      <t xml:space="preserve"> CAST(0 AS DECIMAL(23,6)) 
</t>
    </r>
    <r>
      <rPr>
        <b/>
        <sz val="11"/>
        <color rgb="FF000000"/>
        <rFont val="Calibri"/>
        <family val="2"/>
      </rPr>
      <t xml:space="preserve">WHERE </t>
    </r>
    <r>
      <rPr>
        <sz val="11"/>
        <color rgb="FF000000"/>
        <rFont val="Calibri"/>
        <family val="2"/>
      </rPr>
      <t xml:space="preserve">TCT09_OPERCN.ISITUAC = '1'  AND TCT09_OPERCN.DENTRADA &lt;= TCT09_OPERCN.DATA_DATE_PART AND (GROUP BY TCT09_OPERCN.CKBALCAO, TCT09_OPERCN.CKNUMCTA)
</t>
    </r>
  </si>
  <si>
    <t>EUR_CREDITO
EUR_INTERVEN
EUR_INTERVEN
N\A
N\A</t>
  </si>
  <si>
    <t>VLCREDIT - ((2)PRRETENC * (1)VLCREDIT)
VLPLAFAD
VLPLARCR
N\A
N\A</t>
  </si>
  <si>
    <t>Tec - Date</t>
  </si>
  <si>
    <t>TIMESTAMP</t>
  </si>
  <si>
    <t>Record's load timestamp in common layer.</t>
  </si>
  <si>
    <t>SELECT NOW()
WHERE EUR_PROCESSO.PRO_CDFASPRO = '05'</t>
  </si>
  <si>
    <t>Current Authorized Amount Local Currency</t>
  </si>
  <si>
    <t>cur_authorized_amt_lcl_currcy</t>
  </si>
  <si>
    <r>
      <rPr>
        <sz val="11"/>
        <color rgb="FF000000"/>
        <rFont val="Calibri"/>
        <family val="2"/>
        <scheme val="minor"/>
      </rPr>
      <t>Current maximum amount that can be used as credit, in local currency.</t>
    </r>
    <r>
      <rPr>
        <sz val="11"/>
        <color rgb="FFFF0000"/>
        <rFont val="Calibri"/>
        <family val="2"/>
        <scheme val="minor"/>
      </rPr>
      <t xml:space="preserve"> Depending on the contract, this value can be totally or pacially used.</t>
    </r>
    <r>
      <rPr>
        <sz val="11"/>
        <color rgb="FF000000"/>
        <rFont val="Calibri"/>
        <family val="2"/>
        <scheme val="minor"/>
      </rPr>
      <t xml:space="preserve"> </t>
    </r>
  </si>
  <si>
    <t>Valor atualmente autorizado no contrato na moedda local, isto é, valor máximo que pode ser financiado no âmbito do contrato.</t>
  </si>
  <si>
    <t xml:space="preserve">SELECT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CBT02_CAMBIOS.tcmbme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 CBT02_CAMBIOS.tcmbme AS DECIMAL(23, 6))
        WHEN EUR_CREDITO.crd_dtprepag &gt; EUR_CREDITO.data_date_part AND EUR_INTERVEN (AD).int_tpgescon = 'FF' AND EUR_CREDITO.crd_tprecurs = 'C' AND EUR_CREDITO.crd_vlcambio = 0 AND EUR_INTERVEN (DEV).int_cdmoeda = 'EUR' THEN CAST( (EUR_CREDITO.crd_vltotadi ) AS DECIMAL(23, 6))
        WHEN EUR_CREDITO.crd_dtprepag &gt; EUR_CREDITO.data_date_part AND EUR_INTERVEN (AD).int_tpgescon = 'FF' AND EUR_CREDITO.crd_tprecurs = 'C' AND EUR_CREDITO.crd_vlcambio = 0 AND dev.int_cdmoeda != 'EUR' THEN CAST( ( EUR_CREDITO.crd_vltotadi )/ CBT02_CAMBIOS.tcmbme AS DECIMAL(23, 6))
        WHEN EUR_CREDITO.crd_dtprepag &gt; EUR_CREDITO.data_date_part AND EUR_INTERVEN (AD).int_tpgescon = 'FF' AND EUR_CREDITO.crd_tprecurs = 'C' AND EUR_CREDITO.crd_vlcambio != 0 THEN CAST( (EUR_CREDITO.crd_vltotadi ) AS DECIMAL(23, 6))
        WHEN EUR_CREDITO.crd_dtprepag &gt; EUR_CREDITO.data_date_part AND EUR_CREDITO.crd_tprecurs = 'S' AND EUR_CREDITO.crd_vlcambio != 0 THEN CAST( (EUR_CREDITO.crd_vlcredit - EUR_CREDITO.crd_vltotcob) AS DECIMAL(23, 6))
        WHEN EUR_CREDITO.crd_dtprepag &gt; EUR_CREDITO.data_date_part AND EUR_CREDITO.crd_tprecurs = 'S' AND cred.crd_vlcambio = 0 AND EUR_INTERVEN (DEV).int_cdmoeda = 'EUR' THEN CAST( (EUR_CREDITO.crd_vlcredit - EUR_CREDITO.crd_vltotcob) AS DECIMAL(23, 6))
        WHEN EUR_CREDITO.crd_dtprepag &gt; EUR_CREDITO.data_date_part AND EUR_CREDITO.crd_tprecurs = 'S' AND EUR_CREDITO.crd_vlcambio = 0 AND EUR_INTERVEN (DEV).int_cdmoeda != 'EUR' THEN CAST( (EUR_CREDITO.crd_vlcredit - EUR_CREDITO.crd_vltotcob)/ CBT02_CAMBIOS.tcmbme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SELECT CASE
     WHEN EUR_POTENCIAL_CRC.pot_potencrc IS NOT NULL  AND EUR_POTENCIAL_CRC.pot_potencrc &gt; 0 THEN CAST(EUR_POTENCIAL_CRC.pot_potencrc AS DECIMAL(23, 6))
      ELSE 0
WHERE EUR_INTERVEN.INT_NRINTINT = 1 AND EUR_PROCESSO.PRO_CDPRODUT NOT IN ('004', '005') AND EUR_PROCESSO.PRO_CDFASPRO = 5
    AND CBT02_CAMBIOS.CTBCAMB = 'F' AND CBT02_CAMBIOS.CMARCA = 'BT' AND ZSEQCAMB = '99' 
    AND CONCAT(pot_nrano, '-', LPAD(pot_cdmes, 2, '0'), '-', LPAD(pot_dia, 2, '0')) = data_date_part
SELECT CASE
     WHEN EUR_PLAF_DEV_DIA.DED_NRPROCES IS NOT NULL AND EUR_PLAF_DEV_DIA.DED_NAO_ADI &gt; 0 THEN CAST(EUR_PLAF_DEV_DIA.DED_NAO_ADI AS DECIMAL(23, 6)) 
     ELSE CAST(0 AS DECIMAL(23,6)
WHERE EUR_INTERVEN.INT_NRINTINT != 1 AND EUR_PROCESSO.PRO_CDPRODUT NOT IN ('004', '005') AND EUR_PROCESSO.PRO_CDFASPRO = 5
AND CONCAT(ded_nrano, '-', LPAD(ded_cdmes, 2, '0'), '-', LPAD(ded_dia, 2, '0')) = data_date_part
SELECT CAST( 0 AS DECIMAL( 23, 6 ) )
SELECT CAST(0 AS DECIMAL(23,6)) 
WHERE TCT09_OPERCN.ISITUAC = '1'  AND TCT09_OPERCN.DENTRADA &lt;= TCT09_OPERCN.DATA_DATE_PART AND (GROUP BY TCT09_OPERCN.CKBALCAO, TCT09_OPERCN.CKNUMCTA)
</t>
  </si>
  <si>
    <t>Current Unauthorized Amount</t>
  </si>
  <si>
    <t>current_unauthorized_amount</t>
  </si>
  <si>
    <t>Current amount which has been used by the client over the authorized limit.</t>
  </si>
  <si>
    <t>Valor utilizado pelo cliente não autorizado.</t>
  </si>
  <si>
    <t>Balance Value</t>
  </si>
  <si>
    <t>EUR_CREDITO
EUR_INTERVEN
EUR_PRVCLICRD_BOP_NEW_MOE
EUR_INTERVEN
EUR_INTERVEN
INTERFACE_DCT01
TCT09_OPERCN</t>
  </si>
  <si>
    <t>CRD_VLADIANT, CRD_VLTOTADI, CRD_VLTOTCOB
N\A
PCC_VLADIANT
N\A
N\A
DCYR8101_MSALDO
N\A</t>
  </si>
  <si>
    <r>
      <rPr>
        <b/>
        <sz val="11"/>
        <color rgb="FF000000"/>
        <rFont val="Calibri"/>
        <family val="2"/>
      </rPr>
      <t>SELECT</t>
    </r>
    <r>
      <rPr>
        <sz val="11"/>
        <color rgb="FF000000"/>
        <rFont val="Calibri"/>
        <family val="2"/>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&lt;=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&lt;= EUR_CREDITO.data_date_part AND EUR_INTERVEN (AD).int_tpgescon = 'FF' AND EUR_CREDITO.crd_tprecurs = 'C' AND EUR_CREDITO.crd_vlcambio = 0 AND EUR_INTERVEN (DEV).int_cdmoeda = 'EUR' THEN CAST( (EUR_CREDITO.crd_vltotadi ) * CBT02_CAMBIOS.tcmbme AS DECIMAL(23, 6))
        WHEN EUR_CREDITO.crd_dtprepag &lt;= EUR_CREDITO.data_date_part AND EUR_INTERVEN (AD).int_tpgescon = 'FF' AND EUR_CREDITO.crd_tprecurs = 'C' AND EUR_CREDITO.crd_vlcambio = 0 AND dev.int_cdmoeda != 'EUR' THEN CAST( ( EUR_CREDITO.crd_vltotadi ) AS DECIMAL(23, 6))
        WHEN EUR_CREDITO.crd_dtprepag &lt;= EUR_CREDITO.data_date_part AND EUR_INTERVEN (AD).int_tpgescon = 'FF' AND EUR_CREDITO.crd_tprecurs = 'C' AND EUR_CREDITO.crd_vlcambio != 0 THEN CAST( (EUR_CREDITO.crd_vltotadi ) * EUR_CREDITO.crd_vlcambio AS DECIMAL(23, 6))
        WHEN EUR_CREDITO.crd_dtprepag &lt;= EUR_CREDITO.data_date_part AND EUR_CREDITO.crd_tprecurs = 'S' AND EUR_CREDITO.crd_vlcambio != 0 THEN CAST( (EUR_CREDITO.crd_vlcredit - EUR_CREDITO.crd_vltotcob) * EUR_CREDITO.crd_vlcambio AS DECIMAL(23, 6))
        WHEN EUR_CREDITO.crd_dtprepag &lt;= EUR_CREDITO.data_date_part AND EUR_CREDITO.crd_tprecurs = 'S' AND cred.crd_vlcambio = 0 AND EUR_INTERVEN (DEV).int_cdmoeda = 'EUR' THEN CAST( (EUR_CREDITO.crd_vlcredit - EUR_CREDITO.crd_vltotcob) * CBT02_CAMBIOS.tcmbme AS DECIMAL(23, 6))
        WHEN EUR_CREDITO.crd_dtprepag &lt;= EUR_CREDITO.data_date_part AND EUR_CREDITO.crd_tprecurs = 'S' AND EUR_CREDITO.crd_vlcambio = 0 AND EUR_INTERVEN (DEV).int_cdmoeda != 'EUR' THEN CAST( (EUR_CREDITO.crd_vlcredit - EUR_CREDITO.crd_vltotcob)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family val="2"/>
      </rPr>
      <t>SELECT</t>
    </r>
    <r>
      <rPr>
        <sz val="11"/>
        <color rgb="FF000000"/>
        <rFont val="Calibri"/>
        <family val="2"/>
      </rPr>
      <t xml:space="preserve"> CAST( 0 AS DECIMAL( 23, 6 ) )
</t>
    </r>
    <r>
      <rPr>
        <b/>
        <sz val="11"/>
        <color rgb="FF000000"/>
        <rFont val="Calibri"/>
        <family val="2"/>
      </rPr>
      <t>WHERE</t>
    </r>
    <r>
      <rPr>
        <sz val="11"/>
        <color rgb="FF000000"/>
        <rFont val="Calibri"/>
        <family val="2"/>
      </rPr>
      <t xml:space="preserve"> EUR_INTERVEN.INT_NRINTINT = 1 AND EUR_PROCESSO.PRO_CDPRODUT NOT IN ('004', '005') AND EUR_PROCESSO.PRO_CDFASPRO = 5
</t>
    </r>
    <r>
      <rPr>
        <b/>
        <sz val="11"/>
        <color rgb="FF000000"/>
        <rFont val="Calibri"/>
        <family val="2"/>
      </rPr>
      <t>SELECT</t>
    </r>
    <r>
      <rPr>
        <sz val="11"/>
        <color rgb="FF000000"/>
        <rFont val="Calibri"/>
        <family val="2"/>
      </rPr>
      <t xml:space="preserve"> CAST(0 AS DECIMAL( 23, 6 ) )
</t>
    </r>
    <r>
      <rPr>
        <b/>
        <sz val="11"/>
        <color rgb="FF000000"/>
        <rFont val="Calibri"/>
        <family val="2"/>
      </rPr>
      <t>WHERE</t>
    </r>
    <r>
      <rPr>
        <sz val="11"/>
        <color rgb="FF000000"/>
        <rFont val="Calibri"/>
        <family val="2"/>
      </rPr>
      <t xml:space="preserve"> EUR_INTERVEN.INT_NRINTINT != 1 AND EUR_PROCESSO.PRO_CDFASPRO = 5
</t>
    </r>
    <r>
      <rPr>
        <b/>
        <sz val="11"/>
        <color rgb="FF000000"/>
        <rFont val="Calibri"/>
        <family val="2"/>
      </rPr>
      <t>SELECT</t>
    </r>
    <r>
      <rPr>
        <sz val="11"/>
        <color rgb="FF000000"/>
        <rFont val="Calibri"/>
        <family val="2"/>
      </rPr>
      <t xml:space="preserve"> CAST( - INTERFACE_DCT01.DCYR8101_MSALDO AS DECIMAL( 23, 6 ) )
</t>
    </r>
    <r>
      <rPr>
        <b/>
        <sz val="11"/>
        <color rgb="FF000000"/>
        <rFont val="Calibri"/>
        <family val="2"/>
      </rPr>
      <t xml:space="preserve">SELECT </t>
    </r>
    <r>
      <rPr>
        <sz val="11"/>
        <color rgb="FF000000"/>
        <rFont val="Calibri"/>
        <family val="2"/>
      </rPr>
      <t xml:space="preserve">CAST( - SUM( TCT01_POSDIV.MCAPITALD ) AS DECIMAL( 23, 6 ) )
</t>
    </r>
    <r>
      <rPr>
        <b/>
        <sz val="11"/>
        <color rgb="FF000000"/>
        <rFont val="Calibri"/>
        <family val="2"/>
      </rPr>
      <t xml:space="preserve">WHERE </t>
    </r>
    <r>
      <rPr>
        <sz val="11"/>
        <color rgb="FF000000"/>
        <rFont val="Calibri"/>
        <family val="2"/>
      </rPr>
      <t>TCT09_OPERCN.ISITUAC = '1'  AND TCT09_OPERCN.DENTRADA &lt;= TCT09_OPERCN.DATA_DATE_PART AND (GROUP BY TCT09_OPERCN.CKBALCAO, TCT09_OPERCN.CKNUMCTA)
   AND TCT01_POSDIVID.IACTIVO = 'S'</t>
    </r>
  </si>
  <si>
    <t>cur_unauthorized_amt_lcl_currcy</t>
  </si>
  <si>
    <t>Current amount which has been used by the client over the authorized limit, in local currency.</t>
  </si>
  <si>
    <t>Valor utilizado pelo cliente não autorizado, em moeda local.</t>
  </si>
  <si>
    <t xml:space="preserve">SELECT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CBT02_CAMBIOS.tcmbme AS DECIMAL(23, 6))
        WHEN EUR_CREDITO.crd_dtprepag &lt;= cred.data_date_part AND EUR_INTERVEN (AD).int_tpgescon = 'CC' AND cred.crd_tprecurs = 'C' AND eur_prvclicrd_bop_new_moe.pcc_iddevspa = 'N' THEN CAST((pcc_vl_a_outroscr_12mate36mvin + pcc_vl_a_outroscr_36mate60mvin + pcc_vl_a_outroscr_3mate12mvin + pcc_vl_a_outroscr_maisde60mvin + pcc_vl_a_outroscr_ate3mvin) / CBT02_CAMBIOS.tcmbme AS DECIMAL(23, 6))
        WHEN EUR_CREDITO.crd_dtprepag &lt;= EUR_CREDITO.data_date_part AND EUR_INTERVEN (AD).int_tpgescon = 'FF' AND EUR_CREDITO.crd_tprecurs = 'C' AND EUR_CREDITO.crd_vlcambio = 0 AND EUR_INTERVEN (DEV).int_cdmoeda = 'EUR' THEN CAST( (EUR_CREDITO.crd_vltotadi ) AS DECIMAL(23, 6))
        WHEN EUR_CREDITO.crd_dtprepag &lt;= EUR_CREDITO.data_date_part AND EUR_INTERVEN (AD).int_tpgescon = 'FF' AND EUR_CREDITO.crd_tprecurs = 'C' AND EUR_CREDITO.crd_vlcambio = 0 AND EUR_INTERVEN (DEV).int_cdmoeda != 'EUR' THEN CAST( ( EUR_CREDITO.crd_vltotadi )/ CBT02_CAMBIOS.tcmbme AS DECIMAL(23, 6))
        WHEN EUR_CREDITO.crd_dtprepag &lt;= EUR_CREDITO.data_date_part AND EUR_INTERVEN (AD).int_tpgescon = 'FF' AND EUR_CREDITO.crd_tprecurs = 'C' AND EUR_CREDITO.crd_vlcambio != 0 THEN CAST( (EUR_CREDITO.crd_vltotadi ) AS DECIMAL(23, 6))
        WHEN EUR_CREDITO.crd_dtprepag &lt;= EUR_CREDITO.data_date_part AND EUR_CREDITO.crd_tprecurs = 'S' AND EUR_CREDITO.crd_vlcambio != 0 THEN CAST( (EUR_CREDITO.crd_vlcredit - EUR_CREDITO.crd_vltotcob) AS DECIMAL(23, 6))
        WHEN EUR_CREDITO.crd_dtprepag &lt;= EUR_CREDITO.data_date_part AND EUR_CREDITO.crd_tprecurs = 'S' AND cred.crd_vlcambio = 0 AND EUR_INTERVEN (DEV).int_cdmoeda = 'EUR' THEN CAST( (EUR_CREDITO.crd_vlcredit - EUR_CREDITO.crd_vltotcob) AS DECIMAL(23, 6))
        WHEN EUR_CREDITO.crd_dtprepag &lt;= EUR_CREDITO.data_date_part AND EUR_CREDITO.crd_tprecurs = 'S' AND EUR_CREDITO.crd_vlcambio = 0 AND EUR_INTERVEN (DEV).int_cdmoeda != 'EUR' THEN CAST( (EUR_CREDITO.crd_vlcredit - EUR_CREDITO.crd_vltotcob) / CBT02_CAMBIOS.tcmbme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SELECT CAST( 0 AS DECIMAL( 23, 6 ) )
WHERE EUR_INTERVEN.INT_NRINTINT = 1 AND EUR_PROCESSO.PRO_CDPRODUT NOT IN ('004', '005') AND EUR_PROCESSO.PRO_CDFASPRO = 5
SELECT CAST(0 AS DECIMAL( 23, 6 ) )
WHERE EUR_INTERVEN.INT_NRINTINT != 1 AND EUR_PROCESSO.PRO_CDFASPRO = 5
SELECT CAST( - INTERFACE_DCT01.DCYR8101_MSALDO / CBT02_CAMBIOS.tcmbme AS DECIMAL( 23, 6 ) )
SELECT CAST( - SUM( TCT01_POSDIV.MCAPITALD / CBT02_CAMBIOS.tcmbme ) AS DECIMAL( 23, 6 ) )
WHERE TCT09_OPERCN.ISITUAC = '1'  AND TCT09_OPERCN.DENTRADA &lt;= TCT09_OPERCN.DATA_DATE_PART AND (GROUP BY TCT09_OPERCN.CKBALCAO, TCT09_OPERCN.CKNUMCTA)
</t>
  </si>
  <si>
    <t>Current Available Amount</t>
  </si>
  <si>
    <t>current_available_amount</t>
  </si>
  <si>
    <r>
      <rPr>
        <sz val="11"/>
        <color rgb="FF000000"/>
        <rFont val="Calibri"/>
        <family val="2"/>
        <scheme val="minor"/>
      </rPr>
      <t xml:space="preserve">Current actual amount that can still used as credit. </t>
    </r>
    <r>
      <rPr>
        <sz val="11"/>
        <color rgb="FFFF0000"/>
        <rFont val="Calibri"/>
        <family val="2"/>
        <scheme val="minor"/>
      </rPr>
      <t>It is the result of the aplication of a retetion percentage over the total limit of the contract and has into account the credit amount already used.</t>
    </r>
  </si>
  <si>
    <t>Valor atualmente disponível para financiamento no contrato.</t>
  </si>
  <si>
    <t>EUR_CREDITO
EUR_INTERVEN
EUR_INTERVEN
EUR_POTENCIAL_CRC
EUR_INTERVEN
EUR_POTENCIAL_CRC
INTERFACE_DCT01
TCT09_OPERCN</t>
  </si>
  <si>
    <t>CRD_VLCREDIT, CRD_VLTOTADI
INT_PRRETENC 
N\A
POT_DISPOTOT
N\A
POT_DISPOTOT
N\A
N\A</t>
  </si>
  <si>
    <r>
      <rPr>
        <b/>
        <sz val="11"/>
        <color rgb="FF000000"/>
        <rFont val="Calibri"/>
        <family val="2"/>
        <scheme val="minor"/>
      </rPr>
      <t>SELECT</t>
    </r>
    <r>
      <rPr>
        <sz val="11"/>
        <color rgb="FF000000"/>
        <rFont val="Calibri"/>
        <family val="2"/>
        <scheme val="minor"/>
      </rPr>
      <t xml:space="preserve"> CAST(0 AS DECIMAL(23, 6))
WHERE EUR_INTERVEN.INT_NRINTINT = 1
</t>
    </r>
    <r>
      <rPr>
        <b/>
        <sz val="11"/>
        <color rgb="FF000000"/>
        <rFont val="Calibri"/>
        <family val="2"/>
        <scheme val="minor"/>
      </rPr>
      <t>SELECT</t>
    </r>
    <r>
      <rPr>
        <sz val="11"/>
        <color rgb="FF000000"/>
        <rFont val="Calibri"/>
        <family val="2"/>
        <scheme val="minor"/>
      </rPr>
      <t xml:space="preserve"> CASE
     WHEN EUR_POTENCIAL_CRC.pot_potencrc IS NOT NULL THEN CAST(EUR_POTENCIAL_CRC.pot_potencrc * CBT02_CAMBIOS.tcmbme AS DECIMAL(23, 6))
      ELSE CAST(0 AS DECIMAL(23,6))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family val="2"/>
        <scheme val="minor"/>
      </rPr>
      <t>SELECT</t>
    </r>
    <r>
      <rPr>
        <sz val="11"/>
        <color rgb="FF000000"/>
        <rFont val="Calibri"/>
        <family val="2"/>
        <scheme val="minor"/>
      </rPr>
      <t xml:space="preserve"> CASE
     WHEN EUR_PLAF_DEV_DIA.DED_NRPROCES IS NOT NULL THEN CAST(EUR_PLAF_DEV_DIA.DED_NAO_ADI * CBT02_CAMBIOS.tcmbme AS DECIMAL(23, 6)) 
     ELSE CAST(0 AS DECIMAL(23,6))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CONCAT(ded_nrano, '-', LPAD(ded_cdmes, 2, '0'), '-', LPAD(ded_dia, 2, '0')) = data_date_part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</si>
  <si>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(1)EUR_CREDITO + (2)EUR_INTERVEN
EUR_POTENCIAL_CRC
EUR_POTENCIAL_CRC
N\A
N\A</t>
  </si>
  <si>
    <t>(1)VLCREDIT - ((2)PRRETENC * (1)VLCREDIT) - (1)VLTOTADI
DISPOTOT
DISPOTOT
N\A
N\A</t>
  </si>
  <si>
    <t>N\A
N\A
N\A
"0.00"
"0.00"</t>
  </si>
  <si>
    <t>Current Available Amount Local Currency</t>
  </si>
  <si>
    <t>current_available_amt_lcl_currcy</t>
  </si>
  <si>
    <r>
      <rPr>
        <sz val="11"/>
        <color rgb="FF000000"/>
        <rFont val="Calibri"/>
        <family val="2"/>
        <scheme val="minor"/>
      </rPr>
      <t xml:space="preserve">Current actual amount that can still used as credit, in local currency. </t>
    </r>
    <r>
      <rPr>
        <sz val="11"/>
        <color rgb="FFFF0000"/>
        <rFont val="Calibri"/>
        <family val="2"/>
        <scheme val="minor"/>
      </rPr>
      <t>It is the result of the aplication of a retetion percentage over the total limit of the contract and has into account the credit amount already used.</t>
    </r>
  </si>
  <si>
    <r>
      <rPr>
        <b/>
        <sz val="11"/>
        <color rgb="FF000000"/>
        <rFont val="Calibri"/>
        <family val="2"/>
        <scheme val="minor"/>
      </rPr>
      <t>SELECT</t>
    </r>
    <r>
      <rPr>
        <sz val="11"/>
        <color rgb="FF000000"/>
        <rFont val="Calibri"/>
        <family val="2"/>
        <scheme val="minor"/>
      </rPr>
      <t xml:space="preserve"> CAST(0 AS DECIMAL(23, 6))
WHERE EUR_INTERVEN.INT_NRINTINT = 1
</t>
    </r>
    <r>
      <rPr>
        <b/>
        <sz val="11"/>
        <color rgb="FF000000"/>
        <rFont val="Calibri"/>
        <family val="2"/>
        <scheme val="minor"/>
      </rPr>
      <t>SELECT</t>
    </r>
    <r>
      <rPr>
        <sz val="11"/>
        <color rgb="FF000000"/>
        <rFont val="Calibri"/>
        <family val="2"/>
        <scheme val="minor"/>
      </rPr>
      <t xml:space="preserve"> CASE
     WHEN EUR_POTENCIAL_CRC.pot_potencrc IS NOT NULL THEN CAST(EUR_POTENCIAL_CRC.pot_potencrc AS DECIMAL(23, 6))
      ELSE CAST(0 AS DECIMAL(23, 6))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family val="2"/>
        <scheme val="minor"/>
      </rPr>
      <t>SELECT</t>
    </r>
    <r>
      <rPr>
        <sz val="11"/>
        <color rgb="FF000000"/>
        <rFont val="Calibri"/>
        <family val="2"/>
        <scheme val="minor"/>
      </rPr>
      <t xml:space="preserve"> CASE
     WHEN EUR_PLAF_DEV_DIA.DED_NRPROCES IS NOT NULL THEN CAST(EUR_PLAF_DEV_DIA.DED_NAO_ADI AS DECIMAL(23, 6)) 
     ELSE CAST(0 AS DECIMAL(23,6)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CONCAT(ded_nrano, '-', LPAD(ded_cdmes, 2, '0'), '-', LPAD(ded_dia, 2, '0')) = data_date_part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t>
    </r>
  </si>
  <si>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</si>
  <si>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</si>
  <si>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</si>
  <si>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Taxa atual de retenção do contrato.</t>
  </si>
  <si>
    <t>EUR_CREDITO
EUR_INTERVEN
EUR_INTERVEN
EUR_INTERVEN
INTERFACE_DCT01
TCT09_OPERCN</t>
  </si>
  <si>
    <t>N\A
INT_PRRETENC
N\A
N\A
N\A
N\A</t>
  </si>
  <si>
    <r>
      <rPr>
        <b/>
        <sz val="11"/>
        <color rgb="FF000000"/>
        <rFont val="Calibri"/>
        <family val="2"/>
        <scheme val="minor"/>
      </rPr>
      <t>SELECT</t>
    </r>
    <r>
      <rPr>
        <sz val="11"/>
        <color rgb="FF000000"/>
        <rFont val="Calibri"/>
        <family val="2"/>
        <scheme val="minor"/>
      </rPr>
      <t xml:space="preserve"> IF(EUR_CREDITP.crd_tprecurs = 'C', CAST(EUR_INTERVEN (DEV).int_prretenc AS DECIMAL(23, 6)), CAST(EUR_INTERVEN (ADE).int_prretenc AS DECIMAL(23, 6)))
</t>
    </r>
    <r>
      <rPr>
        <b/>
        <sz val="11"/>
        <color rgb="FF000000"/>
        <rFont val="Calibri"/>
        <family val="2"/>
        <scheme val="minor"/>
      </rPr>
      <t>WHERE</t>
    </r>
    <r>
      <rPr>
        <sz val="11"/>
        <color rgb="FF000000"/>
        <rFont val="Calibri"/>
        <family val="2"/>
        <scheme val="minor"/>
      </rPr>
      <t xml:space="preserve"> EUR_INTERVEN (ADE).INT_NRINTINT = 1 AND EUR_INTERVEN (DEV).INT_NRINTINT = EUR_CREDITO.CRD_NRINTINT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 xml:space="preserve">WHERE </t>
    </r>
    <r>
      <rPr>
        <sz val="11"/>
        <color rgb="FF000000"/>
        <rFont val="Calibri"/>
        <family val="2"/>
        <scheme val="minor"/>
      </rPr>
      <t xml:space="preserve">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SELECT</t>
    </r>
    <r>
      <rPr>
        <sz val="11"/>
        <color rgb="FF000000"/>
        <rFont val="Calibri"/>
        <family val="2"/>
        <scheme val="minor"/>
      </rPr>
      <t xml:space="preserve"> CAST( NULL AS DECIMAL( 23, 6 ) )
WHERE TCT09_OPERCN.ISITUAC = '1'  AND TCT09_OPERCN.DENTRADA &lt;= TCT09_OPERCN.DATA_DATE_PART AND (GROUP BY TCT09_OPERCN.CKBALCAO, TCT09_OPERCN.CKNUMCTA)</t>
    </r>
  </si>
  <si>
    <t>EUR_INTERVEN
N\A
N\A
N\A
N\A</t>
  </si>
  <si>
    <t>PRRETENC
N\A
N\A
N\A
N\A</t>
  </si>
  <si>
    <t>N\A
"0.00"
"0.00"
"NULL"
"NULL"</t>
  </si>
  <si>
    <t>Current Outstanding Principal Balance</t>
  </si>
  <si>
    <t>cur_outsng_principal_balance</t>
  </si>
  <si>
    <t>Current principal amount which has been used but has not reached its maturity date and is yet to be repaid. This field only applies to invoices, it does not apply to lines.</t>
  </si>
  <si>
    <t>Saldo de capital vincendo do contrato.</t>
  </si>
  <si>
    <t>Contract basics medium update
Balances</t>
  </si>
  <si>
    <t>Outstanding Loan Balance
Balance Value</t>
  </si>
  <si>
    <t>CRD_VLADIANT, CRD_VLTOTADI, CRD_VLTOTCOB
N\A
PCC_VLADIANT
N\A
N\A
N\A
N\A</t>
  </si>
  <si>
    <r>
      <rPr>
        <b/>
        <sz val="11"/>
        <color rgb="FF000000"/>
        <rFont val="Calibri"/>
        <family val="2"/>
      </rPr>
      <t>SELECT</t>
    </r>
    <r>
      <rPr>
        <sz val="11"/>
        <color rgb="FF000000"/>
        <rFont val="Calibri"/>
        <family val="2"/>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&gt; EUR_CREDITO.data_date_part AND EUR_INTERVEN (AD).int_tpgescon = 'FF' AND EUR_CREDITO.crd_tprecurs = 'C' AND EUR_CREDITO.crd_vlcambio = 0 AND EUR_INTERVEN (DEV).int_cdmoeda = 'EUR' THEN CAST( - (EUR_CREDITO.crd_vltotadi ) * CBT02_CAMBIOS.tcmbme AS DECIMAL(23, 6))
        WHEN EUR_CREDITO.crd_dtprepag &gt; EUR_CREDITO.data_date_part AND EUR_INTERVEN (AD).int_tpgescon = 'FF' AND EUR_CREDITO.crd_tprecurs = 'C' AND EUR_CREDITO.crd_vlcambio = 0 AND dev.int_cdmoeda != 'EUR' THEN CAST( - ( EUR_CREDITO.crd_vltotadi ) AS DECIMAL(23, 6))
        WHEN EUR_CREDITO.crd_dtprepag &gt; EUR_CREDITO.data_date_part AND EUR_INTERVEN (AD).int_tpgescon = 'FF' AND EUR_CREDITO.crd_tprecurs = 'C' AND EUR_CREDITO.crd_vlcambio != 0 THEN CAST( - (EUR_CREDITO.crd_vltotadi ) * EUR_CREDITO.crd_vlcambio AS DECIMAL(23, 6))
        WHEN EUR_CREDITO.crd_dtprepag &gt; EUR_CREDITO.data_date_part AND EUR_CREDITO.crd_tprecurs = 'S' AND EUR_CREDITO.crd_vlcambio != 0 THEN CAST( - (EUR_CREDITO.crd_vlcredit - EUR_CREDITO.crd_vltotcob) * EUR_CREDITO.crd_vlcambio AS DECIMAL(23, 6))
        WHEN EUR_CREDITO.crd_dtprepag &gt; EUR_CREDITO.data_date_part AND EUR_CREDITO.crd_tprecurs = 'S' AND cred.crd_vlcambio = 0 AND EUR_INTERVEN (DEV).int_cdmoeda = 'EUR' THEN CAST( - (EUR_CREDITO.crd_vlcredit - EUR_CREDITO.crd_vltotcob) * CBT02_CAMBIOS.tcmbme AS DECIMAL(23, 6))
        WHEN EUR_CREDITO.crd_dtprepag &gt; EUR_CREDITO.data_date_part AND EUR_CREDITO.crd_tprecurs = 'S' AND EUR_CREDITO.crd_vlcambio = 0 AND EUR_INTERVEN (DEV).int_cdmoeda != 'EUR' THEN CAST( - (EUR_CREDITO.crd_vlcredit - EUR_CREDITO.crd_vltotcob)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family val="2"/>
      </rPr>
      <t>SELECT</t>
    </r>
    <r>
      <rPr>
        <sz val="11"/>
        <color rgb="FF000000"/>
        <rFont val="Calibri"/>
        <family val="2"/>
      </rPr>
      <t xml:space="preserve"> CAST( 0 AS DECIMAL( 23, 6 ) )
</t>
    </r>
    <r>
      <rPr>
        <b/>
        <sz val="11"/>
        <color rgb="FF000000"/>
        <rFont val="Calibri"/>
        <family val="2"/>
      </rPr>
      <t>WHERE</t>
    </r>
    <r>
      <rPr>
        <sz val="11"/>
        <color rgb="FF000000"/>
        <rFont val="Calibri"/>
        <family val="2"/>
      </rPr>
      <t xml:space="preserve"> EUR_INTERVEN.INT_NRINTINT = 1 AND EUR_PROCESSO.PRO_CDPRODUT NOT IN ('004', '005') AND EUR_PROCESSO.PRO_CDFASPRO = 5
</t>
    </r>
    <r>
      <rPr>
        <b/>
        <sz val="11"/>
        <color rgb="FF000000"/>
        <rFont val="Calibri"/>
        <family val="2"/>
      </rPr>
      <t>SELECT</t>
    </r>
    <r>
      <rPr>
        <sz val="11"/>
        <color rgb="FF000000"/>
        <rFont val="Calibri"/>
        <family val="2"/>
      </rPr>
      <t xml:space="preserve"> CAST(0 AS DECIMAL( 23, 6 ) )
</t>
    </r>
    <r>
      <rPr>
        <b/>
        <sz val="11"/>
        <color rgb="FF000000"/>
        <rFont val="Calibri"/>
        <family val="2"/>
      </rPr>
      <t>WHERE</t>
    </r>
    <r>
      <rPr>
        <sz val="11"/>
        <color rgb="FF000000"/>
        <rFont val="Calibri"/>
        <family val="2"/>
      </rPr>
      <t xml:space="preserve"> EUR_INTERVEN.INT_NRINTINT != 1 AND EUR_PROCESSO.PRO_CDFASPRO = 5
</t>
    </r>
    <r>
      <rPr>
        <b/>
        <sz val="11"/>
        <color rgb="FF000000"/>
        <rFont val="Calibri"/>
        <family val="2"/>
      </rPr>
      <t>SELECT</t>
    </r>
    <r>
      <rPr>
        <sz val="11"/>
        <color rgb="FF000000"/>
        <rFont val="Calibri"/>
        <family val="2"/>
      </rPr>
      <t xml:space="preserve"> CAST( 0 AS DECIMAL( 23, 6 ) )
</t>
    </r>
    <r>
      <rPr>
        <b/>
        <sz val="11"/>
        <color rgb="FF000000"/>
        <rFont val="Calibri"/>
        <family val="2"/>
      </rPr>
      <t>SELECT</t>
    </r>
    <r>
      <rPr>
        <sz val="11"/>
        <color rgb="FF000000"/>
        <rFont val="Calibri"/>
        <family val="2"/>
      </rPr>
      <t xml:space="preserve"> CAST( 0 AS DECIMAL( 23, 6 ) )
</t>
    </r>
    <r>
      <rPr>
        <b/>
        <sz val="11"/>
        <color rgb="FF000000"/>
        <rFont val="Calibri"/>
        <family val="2"/>
      </rPr>
      <t xml:space="preserve">WHERE </t>
    </r>
    <r>
      <rPr>
        <sz val="11"/>
        <color rgb="FF000000"/>
        <rFont val="Calibri"/>
        <family val="2"/>
      </rPr>
      <t xml:space="preserve">TCT09_OPERCN.ISITUAC = '1'  AND TCT09_OPERCN.DENTRADA &lt;= TCT09_OPERCN.DATA_DATE_PART AND (GROUP BY TCT09_OPERCN.CKBALCAO, TCT09_OPERCN.CKNUMCTA)
</t>
    </r>
  </si>
  <si>
    <t>EUR_CREDITO || EUR_CREDITO || (1) EUR_CREDITO + (2)EUR_PRVCLICRD_BOP_NEW
N\A
N\A
N\A
N\A</t>
  </si>
  <si>
    <t>VLCREDIT - VLTOTCOB || VLTOTADI -  VLTOTCOB || (2)VLADIANT - (1)VLTOTCOB || N\A
N\A
N\A
N\A
N\A</t>
  </si>
  <si>
    <t>N\A || N\A || N\A || "0.00"
"0.00"
"0.00"
"0.00"
"0.00"</t>
  </si>
  <si>
    <t>cur_outsng_prin_bal_lcl_currcy</t>
  </si>
  <si>
    <t>Current principal amount which has been used but has not reach its maturity date and is yet to be repaid, in local currency. This field only applies to invoices, it does not apply to lines.</t>
  </si>
  <si>
    <t>Saldo de capital vincendo do contrato, na moeda local.</t>
  </si>
  <si>
    <t xml:space="preserve">SELECT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CBT02_CAMBIOS.tcmbme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 CBT02_CAMBIOS.tcmbme AS DECIMAL(23, 6))
        WHEN EUR_CREDITO.crd_dtprepag &gt; EUR_CREDITO.data_date_part AND EUR_INTERVEN (AD).int_tpgescon = 'FF' AND EUR_CREDITO.crd_tprecurs = 'C' AND EUR_CREDITO.crd_vlcambio = 0 AND EUR_INTERVEN (DEV).int_cdmoeda = 'EUR' THEN CAST( - (EUR_CREDITO.crd_vltotadi ) AS DECIMAL(23, 6))
        WHEN EUR_CREDITO.crd_dtprepag &gt; EUR_CREDITO.data_date_part AND EUR_INTERVEN (AD).int_tpgescon = 'FF' AND EUR_CREDITO.crd_tprecurs = 'C' AND EUR_CREDITO.crd_vlcambio = 0 AND dev.int_cdmoeda != 'EUR' THEN CAST( - ( EUR_CREDITO.crd_vltotadi )/ CBT02_CAMBIOS.tcmbme AS DECIMAL(23, 6))
        WHEN EUR_CREDITO.crd_dtprepag &gt; EUR_CREDITO.data_date_part AND EUR_INTERVEN (AD).int_tpgescon = 'FF' AND EUR_CREDITO.crd_tprecurs = 'C' AND EUR_CREDITO.crd_vlcambio != 0 THEN CAST( - (EUR_CREDITO.crd_vltotadi ) AS DECIMAL(23, 6))
        WHEN EUR_CREDITO.crd_dtprepag &gt; EUR_CREDITO.data_date_part AND EUR_CREDITO.crd_tprecurs = 'S' AND EUR_CREDITO.crd_vlcambio != 0 THEN CAST( - (EUR_CREDITO.crd_vlcredit - EUR_CREDITO.crd_vltotcob) AS DECIMAL(23, 6))
        WHEN EUR_CREDITO.crd_dtprepag &gt; EUR_CREDITO.data_date_part AND EUR_CREDITO.crd_tprecurs = 'S' AND cred.crd_vlcambio = 0 AND EUR_INTERVEN (DEV).int_cdmoeda = 'EUR' THEN CAST( - (EUR_CREDITO.crd_vlcredit - EUR_CREDITO.crd_vltotcob) AS DECIMAL(23, 6))
        WHEN EUR_CREDITO.crd_dtprepag &gt; EUR_CREDITO.data_date_part AND EUR_CREDITO.crd_tprecurs = 'S' AND EUR_CREDITO.crd_vlcambio = 0 AND EUR_INTERVEN (DEV).int_cdmoeda != 'EUR' THEN CAST( - (EUR_CREDITO.crd_vlcredit - EUR_CREDITO.crd_vltotcob)/ CBT02_CAMBIOS.tcmbme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SELECT CAST( 0 AS DECIMAL( 23, 6 ) )
WHERE EUR_INTERVEN.INT_NRINTINT = 1 AND EUR_PROCESSO.PRO_CDPRODUT NOT IN ('004', '005') AND EUR_PROCESSO.PRO_CDFASPRO = 5
SELECT CAST(0 AS DECIMAL( 23, 6 ) )
WHERE EUR_INTERVEN.INT_NRINTINT != 1 AND EUR_PROCESSO.PRO_CDFASPRO = 5
SELECT CAST( 0 AS DECIMAL( 23, 6 ) )
SELECT CAST( 0 AS DECIMAL( 23, 6 ) )
WHERE TCT09_OPERCN.ISITUAC = '1'  AND TCT09_OPERCN.DENTRADA &lt;= TCT09_OPERCN.DATA_DATE_PART AND (GROUP BY TCT09_OPERCN.CKBALCAO, TCT09_OPERCN.CKNUMCTA)
</t>
  </si>
  <si>
    <t>Current Overdue Principal Balance</t>
  </si>
  <si>
    <t>current_overdue_principal_bal</t>
  </si>
  <si>
    <t>Current principal amount which has been used but has reached its maturity date and is yet to be repaid. This field only applies to invoices, it does not apply to lines.</t>
  </si>
  <si>
    <t>Saldo atual em incumprimento associado ao contrato.</t>
  </si>
  <si>
    <t>Balances</t>
  </si>
  <si>
    <r>
      <rPr>
        <b/>
        <sz val="11"/>
        <color rgb="FF000000"/>
        <rFont val="Calibri"/>
        <family val="2"/>
        <scheme val="minor"/>
      </rPr>
      <t>SELECT</t>
    </r>
    <r>
      <rPr>
        <sz val="11"/>
        <color rgb="FF000000"/>
        <rFont val="Calibri"/>
        <family val="2"/>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&lt;=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&lt;= EUR_CREDITO.data_date_part AND EUR_INTERVEN (AD).int_tpgescon = 'FF' AND EUR_CREDITO.crd_tprecurs = 'C' AND EUR_CREDITO.crd_vlcambio = 0 AND EUR_INTERVEN (DEV).int_cdmoeda = 'EUR' THEN CAST( - (EUR_CREDITO.crd_vltotadi ) * CBT02_CAMBIOS.tcmbme AS DECIMAL(23, 6))
        WHEN EUR_CREDITO.crd_dtprepag &lt;= EUR_CREDITO.data_date_part AND EUR_INTERVEN (AD).int_tpgescon = 'FF' AND EUR_CREDITO.crd_tprecurs = 'C' AND EUR_CREDITO.crd_vlcambio = 0 AND dev.int_cdmoeda != 'EUR' THEN CAST( - ( EUR_CREDITO.crd_vltotadi ) AS DECIMAL(23, 6))
        WHEN EUR_CREDITO.crd_dtprepag &lt;= EUR_CREDITO.data_date_part AND EUR_INTERVEN (AD).int_tpgescon = 'FF' AND EUR_CREDITO.crd_tprecurs = 'C' AND EUR_CREDITO.crd_vlcambio != 0 THEN CAST( - (EUR_CREDITO.crd_vltotadi ) * EUR_CREDITO.crd_vlcambio AS DECIMAL(23, 6))
        WHEN EUR_CREDITO.crd_dtprepag &lt;= EUR_CREDITO.data_date_part AND EUR_CREDITO.crd_tprecurs = 'S' AND EUR_CREDITO.crd_vlcambio != 0 THEN CAST( - (EUR_CREDITO.crd_vlcredit - EUR_CREDITO.crd_vltotcob) * EUR_CREDITO.crd_vlcambio AS DECIMAL(23, 6))
        WHEN EUR_CREDITO.crd_dtprepag &lt;= EUR_CREDITO.data_date_part AND EUR_CREDITO.crd_tprecurs = 'S' AND cred.crd_vlcambio = 0 AND EUR_INTERVEN (DEV).int_cdmoeda = 'EUR' THEN CAST( - (EUR_CREDITO.crd_vlcredit - EUR_CREDITO.crd_vltotcob) * CBT02_CAMBIOS.tcmbme AS DECIMAL(23, 6))
        WHEN EUR_CREDITO.crd_dtprepag &lt;= EUR_CREDITO.data_date_part AND EUR_CREDITO.crd_tprecurs = 'S' AND EUR_CREDITO.crd_vlcambio = 0 AND EUR_INTERVEN (DEV).int_cdmoeda != 'EUR' THEN CAST( - (EUR_CREDITO.crd_vlcredit - EUR_CREDITO.crd_vltotcob)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 INTERFACE_DCT01.DCYR8101_MSALDO AS DECIMAL( 23, 6 ) )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 xml:space="preserve">WHERE TCT09_OPERCN.ISITUAC = '1'  AND TCT09_OPERCN.DENTRADA &lt;= TCT09_OPERCN.DATA_DATE_PART AND (GROUP BY TCT09_OPERCN.CKBALCAO, TCT09_OPERCN.CKNUMCTA)
</t>
    </r>
  </si>
  <si>
    <t>EUR_CREDITO || EUR_CREDITO || (1)EUR_CREDITO + (2)EUR_PRVCLICRD_BOP_NEW
N\A
N\A
DCYR8101
N\A</t>
  </si>
  <si>
    <t>VLCREDIT - VLTOTCOB || VLTOTADI - VLTOTCOB || (2)VLADIANT - (1)VLTOTCOB || N\A
N\A
N\A
( ( -MSALDO ) )
N\A</t>
  </si>
  <si>
    <t>N\A || N\A || N\A || "0.00"
"0.00"
"0.00"
N\A
"0.00"</t>
  </si>
  <si>
    <t>Current Overdue Principal Balance Local Currency</t>
  </si>
  <si>
    <t>cur_overdue_prin_bal_lcl_currcy</t>
  </si>
  <si>
    <t>Current principal amount which has been used but has reached its maturity date and is yet to be repaid, in local currency. This field only applies to invoices, it does not apply to lines.</t>
  </si>
  <si>
    <t>Saldo atual em incumprimento associado ao contrato, em moeda local.</t>
  </si>
  <si>
    <t xml:space="preserve">SELECT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CBT02_CAMBIOS.tcmbme AS DECIMAL(23, 6))
        WHEN EUR_CREDITO.crd_dtprepag &lt;=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 CBT02_CAMBIOS.tcmbme AS DECIMAL(23, 6))
        WHEN EUR_CREDITO.crd_dtprepag &lt;= EUR_CREDITO.data_date_part AND EUR_INTERVEN (AD).int_tpgescon = 'FF' AND EUR_CREDITO.crd_tprecurs = 'C' AND EUR_CREDITO.crd_vlcambio = 0 AND EUR_INTERVEN (DEV).int_cdmoeda = 'EUR' THEN CAST( - (EUR_CREDITO.crd_vltotadi ) AS DECIMAL(23, 6))
        WHEN EUR_CREDITO.crd_dtprepag &lt;= EUR_CREDITO.data_date_part AND EUR_INTERVEN (AD).int_tpgescon = 'FF' AND EUR_CREDITO.crd_tprecurs = 'C' AND EUR_CREDITO.crd_vlcambio = 0 AND dev.int_cdmoeda != 'EUR' THEN CAST( - ( EUR_CREDITO.crd_vltotadi )/ CBT02_CAMBIOS.tcmbme AS DECIMAL(23, 6))
        WHEN EUR_CREDITO.crd_dtprepag &lt;= EUR_CREDITO.data_date_part AND EUR_INTERVEN (AD).int_tpgescon = 'FF' AND EUR_CREDITO.crd_tprecurs = 'C' AND EUR_CREDITO.crd_vlcambio != 0 THEN CAST( - (EUR_CREDITO.crd_vltotadi ) AS DECIMAL(23, 6))
        WHEN EUR_CREDITO.crd_dtprepag &lt;= EUR_CREDITO.data_date_part AND EUR_CREDITO.crd_tprecurs = 'S' AND EUR_CREDITO.crd_vlcambio != 0 THEN CAST( - (EUR_CREDITO.crd_vlcredit - EUR_CREDITO.crd_vltotcob) AS DECIMAL(23, 6))
        WHEN EUR_CREDITO.crd_dtprepag &lt;= EUR_CREDITO.data_date_part AND EUR_CREDITO.crd_tprecurs = 'S' AND cred.crd_vlcambio = 0 AND EUR_INTERVEN (DEV).int_cdmoeda = 'EUR' THEN CAST( - (EUR_CREDITO.crd_vlcredit - EUR_CREDITO.crd_vltotcob) AS DECIMAL(23, 6))
        WHEN EUR_CREDITO.crd_dtprepag &lt;= EUR_CREDITO.data_date_part AND EUR_CREDITO.crd_tprecurs = 'S' AND EUR_CREDITO.crd_vlcambio = 0 AND EUR_INTERVEN (DEV).int_cdmoeda != 'EUR' THEN CAST( - (EUR_CREDITO.crd_vlcredit - EUR_CREDITO.crd_vltotcob) / CBT02_CAMBIOS.tcmbme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SELECT CAST(0 AS DECIMAL( 23, 6 ) )
WHERE EUR_INTERVEN.INT_NRINTINT != 1 AND EUR_PROCESSO.PRO_CDFASPRO = 5
SELECT CAST( INTERFACE_DCT01.DCYR8101_MSALDO / CBT02_CAMBIOS.tcmbme AS DECIMAL( 23, 6 ) )
SELECT CAST( 0 AS DECIMAL( 23, 6 ) )
WHERE TCT09_OPERCN.ISITUAC = '1'  AND TCT09_OPERCN.DENTRADA &lt;= TCT09_OPERCN.DATA_DATE_PART AND (GROUP BY TCT09_OPERCN.CKBALCAO, TCT09_OPERCN.CKNUMCTA)
</t>
  </si>
  <si>
    <t>Current Debt Litigation Principal Balance</t>
  </si>
  <si>
    <t>cur_debt_litigation_princip_bal</t>
  </si>
  <si>
    <t>Current principal amount in debt that is involved in a legal proceeding in court between the bank and the client. This field does not apply to lines.</t>
  </si>
  <si>
    <t>Valor total de capital em dívida no âmbito do processo(s) de contencioso ativos associados ao contrato.</t>
  </si>
  <si>
    <t>CURATED_INTERNAL_EUROFAC
CURATED_INTERNAL_EUROFAC
CURATED_INTERNAL_EUROFAC
CURATED_INTERNAL_MAINFRAME_CONTAS
CURATED_INTERNAL_MAINFRAME_CONTENCIOSO
CURATED_INTERNAL_MAINFRAME_CONTENCIOSO</t>
  </si>
  <si>
    <t>EUR_CREDITO
EUR_INTERVEN
EUR_INTERVEN
INTERFACE_DCT01
TCT09_OPERCN
TCT01_POSDIV</t>
  </si>
  <si>
    <t>N\A
N\A
N\A
N\A
N\A
MCAPITALD</t>
  </si>
  <si>
    <r>
      <rPr>
        <b/>
        <sz val="11"/>
        <color rgb="FF000000"/>
        <rFont val="Calibri"/>
        <family val="2"/>
        <scheme val="minor"/>
      </rPr>
      <t xml:space="preserve">SELECT </t>
    </r>
    <r>
      <rPr>
        <sz val="11"/>
        <color rgb="FF000000"/>
        <rFont val="Calibri"/>
        <family val="2"/>
        <scheme val="minor"/>
      </rPr>
      <t xml:space="preserve">CAST( 0 AS DECIMAL( 23, 6 ) )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SELECT</t>
    </r>
    <r>
      <rPr>
        <sz val="11"/>
        <color rgb="FF000000"/>
        <rFont val="Calibri"/>
        <family val="2"/>
        <scheme val="minor"/>
      </rPr>
      <t xml:space="preserve"> CAST( - SUM( TCT01_POSDIV.MCAPITALD ) AS DECIMAL( 23, 6 ) )
WHERE TCT09_OPERCN.ISITUAC = '1'  AND TCT09_OPERCN.DENTRADA &lt;= TCT09_OPERCN.DATA_DATE_PART AND (GROUP BY TCT09_OPERCN.CKBALCAO, TCT09_OPERCN.CKNUMCTA)
   AND TCT01_POSDIVID.IACTIVO = 'S'</t>
    </r>
  </si>
  <si>
    <t>N\A
N\A
N\A
N\A
TCT01_POSDIVID</t>
  </si>
  <si>
    <t>N\A
N\A
N\A
N\A
MCAPITALD</t>
  </si>
  <si>
    <t>"0.00"
"0.00"
"0.00"
"0.00"
N\A</t>
  </si>
  <si>
    <t>Current Debt Litigation Principal Balance Local Currency</t>
  </si>
  <si>
    <t>cur_debt_ltg_prin_bal_lcl_currcy</t>
  </si>
  <si>
    <t>Current principal amount in debt that is involved in a legal proceeding in court between the bank and the client, in local currency. This field does not apply to lines.</t>
  </si>
  <si>
    <t>Valor total de capital em dívida no âmbito do processo(s) de contencioso ativos associados ao contrato, na moeda local.</t>
  </si>
  <si>
    <t>SELECT CAST( 0 AS DECIMAL( 23, 6 ) )
SELECT CAST( 0 AS DECIMAL( 23, 6 ) )
WHERE EUR_INTERVEN.INT_NRINTINT = 1 AND EUR_PROCESSO.PRO_CDPRODUT NOT IN ('004', '005') AND EUR_PROCESSO.PRO_CDFASPRO = 5
SELECT CAST(0 AS DECIMAL( 23, 6 ) )
WHERE EUR_INTERVEN.INT_NRINTINT != 1 AND EUR_PROCESSO.PRO_CDFASPRO = 5
SELECT CAST(0 AS DECIMAL( 23, 6 ) )
SELECT - CAST( SUM( TCT01_POSDIV.MCAPITALD / CBT02_CAMBIOS.tcmbme ) AS DECIMAL( 23, 6 ) )
WHERE TCT09_OPERCN.ISITUAC = '1'  AND TCT09_OPERCN.DENTRADA &lt;= TCT09_OPERCN.DATA_DATE_PART AND (GROUP BY TCT09_OPERCN.CKBALCAO, TCT09_OPERCN.CKNUMCTA)
   AND TCT01_POSDIVID.IACTIVO = 'S'</t>
  </si>
  <si>
    <t>Current Service Amount</t>
  </si>
  <si>
    <t>current_service_amount</t>
  </si>
  <si>
    <t>Current Amount associated with the billing service, it only applies to receipts with recourse.</t>
  </si>
  <si>
    <t>Valor atual associado ao serviço de cobrança. Apenas é aplicável a faturas com recurso.</t>
  </si>
  <si>
    <t>CRD_VLADIANT, CRD_VLTOTADI, CRD_VLTOTCOB
N\A
N\A
N\A
N\A
N\A</t>
  </si>
  <si>
    <t>SELECT CASE
        WHEN EUR_CREDITO.crd_tprecurs = 'S' THEN CAST( 0 AS DECIMAL(23, 6))
        WHEN EUR_CREDITO.crd_tprecurs = 'C' AND EUR_CREDITO.crd_vlcambio != 0 THEN CAST( - (cred.crd_vlcredit - cred.crd_vltotadi - cred.crd_vltotcob) * EUR_CREDITO.crd_vlcambio AS DECIMAL(23, 6))
        WHEN EUR_CREDITO.crd_tprecurs = 'C' AND EUR_CREDITO.crd_vlcambio = 0 AND EUR_INTERVEN (DEV).int_cdmoeda = 'EUR' THEN CAST( - (EUR_CREDITO.crd_vlcredit - EUR_CREDITO.crd_vltotadi - cred.crd_vltotcob) * CBT02_CAMBIOS.tcmbme AS DECIMAL(23, 6))
        WHEN EUR_CREDITO.crd_tprecurs = 'C' AND EUR_CREDITO.crd_vlcambio = 0 AND EUR_INTERVEN (DEV).int_cdmoeda != 'EUR' THEN CAST( - (EUR_CREDITO.crd_vlcredit - EUR_CREDITO.crd_vltotadi - EUR_CREDITO.crd_vltotcob) AS DECIMAL(23, 6))
      END
WHERE EUR_INTERVEN (AD).INT_NRINTINT = 1 AND EUR_INTERVEN (DEV).INT_NRINTINT = EUR_CREDITO.CRD_NRINTINT 
SELECT CAST(0 AS DECIMAL(23, 6))
WHERE EUR_INTERVEN.INT_NRINTINT = 1 AND EUR_PROCESSO.PRO_CDPRODUT NOT IN ('004', '005') AND EUR_PROCESSO.PRO_CDFASPRO = 5
    AND CBT02_CAMBIOS.CTBCAMB = 'F' AND CBT02_CAMBIOS.CMARCA = 'BT' AND ZSEQCAMB = '99' 
    AND CONCAT(pot_nrano, '-', LPAD(pot_cdmes, 2, '0'), '-', LPAD(pot_dia, 2, '0')) = data_date_part
SELECT CAST(0 AS DECIMAL(23, 6)) 
WHERE EUR_INTERVEN.INT_NRINTINT != 1 AND EUR_PROCESSO.PRO_CDPRODUT NOT IN ('004', '005') AND EUR_PROCESSO.PRO_CDFASPRO = 5
AND CONCAT(ded_nrano, '-', LPAD(ded_cdmes, 2, '0'), '-', LPAD(ded_dia, 2, '0')) = data_date_part
SELECT CAST( NULL AS DECIMAL( 23, 6 ) )
SELECT CAST( NULL AS DECIMAL( 23, 6 ) )
WHERE TCT09_OPERCN.ISITUAC = '1'  AND TCT09_OPERCN.DENTRADA &lt;= TCT09_OPERCN.DATA_DATE_PART AND (GROUP BY TCT09_OPERCN.CKBALCAO, TCT09_OPERCN.CKNUMCTA)</t>
  </si>
  <si>
    <t>EUR_CREDITO
N\A
N\A
N\A
N\A</t>
  </si>
  <si>
    <t>VLCREDIT - VLTOTCOB - VLTOTADI
N\A
N\A
N\A
N\A</t>
  </si>
  <si>
    <t>N\A
"0.00"
"0.00"
"0.00"
"0.00"</t>
  </si>
  <si>
    <t>Current Service Amount Local Currency</t>
  </si>
  <si>
    <t>cur_service_amount_lcl_currcy</t>
  </si>
  <si>
    <t>Current Amount associated with the billing service, in local currency. It only applies to receipts with recourse.</t>
  </si>
  <si>
    <t>Valor atual associado ao serviço de cobrança, na moeda local. Apenas é aplicável a faturas com recurso.</t>
  </si>
  <si>
    <r>
      <rPr>
        <b/>
        <sz val="11"/>
        <color rgb="FF000000"/>
        <rFont val="Calibri"/>
        <family val="2"/>
        <scheme val="minor"/>
      </rPr>
      <t>SELECT</t>
    </r>
    <r>
      <rPr>
        <sz val="11"/>
        <color rgb="FF000000"/>
        <rFont val="Calibri"/>
        <family val="2"/>
        <scheme val="minor"/>
      </rPr>
      <t xml:space="preserve"> CASE
        WHEN EUR_CREDITO.crd_tprecurs = 'S' THEN CAST( 0 AS DECIMAL(23, 6))
        WHEN EUR_CREDITO.crd_tprecurs = 'C' AND EUR_CREDITO.crd_vlcambio != 0 THEN CAST( - (EUR_CREDITO.crd_vlcredit - EUR_CREDITO.crd_vltotadi - EUR_CREDITO.crd_vltotcob) AS DECIMAL(23, 6))
        WHEN EUR_CREDITO.crd_tprecurs = 'C' AND EUR_CREDITO.crd_vlcambio = 0 AND EUR_INTERVEN (DEV).int_cdmoeda = 'EUR' THEN CAST( - (EUR_CREDITO.crd_vlcredit - EUR_CREDITO.crd_vltotadi - cred.crd_vltotcob) AS DECIMAL(23, 6))
        WHEN EUR_CREDITO.crd_tprecurs = 'C' AND EUR_CREDITO.crd_vlcambio = 0 AND EUR_INTERVEN (DEV).int_cdmoeda != 'EUR' THEN CAST( - (EUR_CREDITO.crd_vlcredit - EUR_CREDITO.crd_vltotadi - EUR_CREDITO.crd_vltotcob)/ currency_converter.tcmbme AS DECIMAL(23, 6))
      END
</t>
    </r>
    <r>
      <rPr>
        <b/>
        <sz val="11"/>
        <color rgb="FF000000"/>
        <rFont val="Calibri"/>
        <family val="2"/>
        <scheme val="minor"/>
      </rPr>
      <t>WHERE</t>
    </r>
    <r>
      <rPr>
        <sz val="11"/>
        <color rgb="FF000000"/>
        <rFont val="Calibri"/>
        <family val="2"/>
        <scheme val="minor"/>
      </rPr>
      <t xml:space="preserve"> EUR_INTERVEN (AD).INT_NRINTINT = 1 AND EUR_INTERVEN (DEV).INT_NRINTINT = EUR_CREDITO.CRD_NRINTINT 
SELECT CAST(0 AS DECIMAL(23, 6))
WHERE EUR_INTERVEN.INT_NRINTINT = 1 AND EUR_PROCESSO.PRO_CDPRODUT NOT IN ('004', '005') AND EUR_PROCESSO.PRO_CDFASPRO = 5
    AND CBT02_CAMBIOS.CTBCAMB = 'F' AND CBT02_CAMBIOS.CMARCA = 'BT' AND ZSEQCAMB = '99' 
    AND CONCAT(pot_nrano, '-', LPAD(pot_cdmes, 2, '0'), '-', LPAD(pot_dia, 2, '0')) = data_date_part
SELECT CAST(0 AS DECIMAL(23, 6)) 
WHERE EUR_INTERVEN.INT_NRINTINT != 1 AND EUR_PROCESSO.PRO_CDPRODUT NOT IN ('004', '005') AND EUR_PROCESSO.PRO_CDFASPRO = 5
AND CONCAT(ded_nrano, '-', LPAD(ded_cdmes, 2, '0'), '-', LPAD(ded_dia, 2, '0')) = data_date_part
SELECT CAST( NULL AS DECIMAL( 23, 6 ) )
SELECT CAST( NULL AS DECIMAL( 23, 6 ) )
WHERE TCT09_OPERCN.ISITUAC = '1'  AND TCT09_OPERCN.DENTRADA &lt;= TCT09_OPERCN.DATA_DATE_PART AND (GROUP BY TCT09_OPERCN.CKBALCAO, TCT09_OPERCN.CKNUMCTA)
</t>
    </r>
  </si>
  <si>
    <t>Next Regular Amortization Due Date</t>
  </si>
  <si>
    <t>next_regular_amort_due_date</t>
  </si>
  <si>
    <t>Ext Inf - Con Fin Inf - Date</t>
  </si>
  <si>
    <t>Corresponds to the predicted date in which an effective payment, related to the billing of the invoice, will be made. This field only applies to invoices, it does not apply to lines.</t>
  </si>
  <si>
    <t>Data de liquidação da próxima amortização regular.</t>
  </si>
  <si>
    <t>CRD_DTPREPAG
N\A
N\A
N\A
N\A</t>
  </si>
  <si>
    <r>
      <rPr>
        <b/>
        <sz val="11"/>
        <color rgb="FF000000"/>
        <rFont val="Calibri"/>
        <family val="2"/>
        <scheme val="minor"/>
      </rPr>
      <t xml:space="preserve">SELECT </t>
    </r>
    <r>
      <rPr>
        <sz val="11"/>
        <color rgb="FF000000"/>
        <rFont val="Calibri"/>
        <family val="2"/>
        <scheme val="minor"/>
      </rPr>
      <t xml:space="preserve">IF(TRIM( EUR_CREDITO.CRD_DTPREPAG) = '', NULL, SUBSTRING( EUR_CREDITO.CRD_DTPREPAG, 1, 10 )  )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WHERE TCT09_OPERCN.ISITUAC = '1'  AND TCT09_OPERCN.DENTRADA &lt;= TCT09_OPERCN.DATA_DATE_PART AND (GROUP BY TCT09_OPERCN.CKBALCAO, TCT09_OPERCN.CKNUMCTA)
</t>
    </r>
  </si>
  <si>
    <t>DTPREPAG
N\A
N\A
N\A
N\A</t>
  </si>
  <si>
    <t>N\A
"#N/A"
"#N/A"
"NULL"
"NULL"</t>
  </si>
  <si>
    <t>Last Regular Amortization Payment Date</t>
  </si>
  <si>
    <t>last_regular_amort_pay_date</t>
  </si>
  <si>
    <t>Corresponds to the date in which the effective payment related to the billing of the invoice, was made.  This field only applies to invoices, it does not apply to lines.</t>
  </si>
  <si>
    <t>Data de pagamento última amortização regular.</t>
  </si>
  <si>
    <t>Contract basics medium update</t>
  </si>
  <si>
    <t>Last Payment Date</t>
  </si>
  <si>
    <t>CRD_DTCOBRAN
N\A
N\A
N\A
N\A</t>
  </si>
  <si>
    <r>
      <rPr>
        <b/>
        <sz val="11"/>
        <color rgb="FF000000"/>
        <rFont val="Calibri"/>
        <family val="2"/>
        <scheme val="minor"/>
      </rPr>
      <t xml:space="preserve">SELECT </t>
    </r>
    <r>
      <rPr>
        <sz val="11"/>
        <color rgb="FF000000"/>
        <rFont val="Calibri"/>
        <family val="2"/>
        <scheme val="minor"/>
      </rPr>
      <t xml:space="preserve">IF(TRIM( EUR_CREDITO.CRD_DTCOBRAN) = '', NULL, SUBSTRING( EUR_CREDITO.CRD_DTCOBRAN, 1, 10 )  )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WHERE TCT09_OPERCN.ISITUAC = '1'  AND TCT09_OPERCN.DENTRADA &lt;= TCT09_OPERCN.DATA_DATE_PART AND (GROUP BY TCT09_OPERCN.CKBALCAO, TCT09_OPERCN.CKNUMCTA)</t>
    </r>
  </si>
  <si>
    <t>DTCOBRAN
N\A
N\A
N\A
N\A</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</si>
  <si>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</si>
  <si>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</si>
  <si>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</si>
  <si>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Valor total de capital cobrado ao cliente no âmbito do contrato. As cobranças tanto podem ser totais ou parciais do valor em dívida.</t>
  </si>
  <si>
    <t>CRD_VLTOTCOB
N\A
N\A
N\A
N\A</t>
  </si>
  <si>
    <r>
      <rPr>
        <b/>
        <sz val="11"/>
        <color rgb="FF000000"/>
        <rFont val="Calibri"/>
        <family val="2"/>
      </rPr>
      <t>SELECT</t>
    </r>
    <r>
      <rPr>
        <sz val="11"/>
        <color rgb="FF000000"/>
        <rFont val="Calibri"/>
        <family val="2"/>
      </rPr>
      <t xml:space="preserve"> CASE
        WHEN EUR_CREDITO.crd_tprecurs = 'S' AND EUR_CREDITO.crd_vlcambio != 0 THEN CAST( - EUR_CREDITO.crd_vltotcob * EUR_CREDITO.crd_vlcambio AS DECIMAL(23, 6)) 
        WHEN EUR_CREDITO.crd_tprecurs = 'S' AND EUR_CREDITO.crd_vlcambio = 0 AND EUR_INTERVEN (DEV).int_cdmoeda = 'EUR' THEN CAST( - (EUR_CREDITO.crd_vltotcob) * CBT02_CAMBIOS.tcmbme AS DECIMAL(23, 6))
        WHEN EUR_CREDITO.crd_tprecurs = 'S' AND EUR_CREDITO.crd_vlcambio = 0 AND EUR_INTERVEN (DEV).int_cdmoeda != 'EUR' THEN CAST( - EUR_CREDITO.crd_vltotcob AS DECIMAL(23, 6))
      END
</t>
    </r>
    <r>
      <rPr>
        <b/>
        <sz val="11"/>
        <color rgb="FF000000"/>
        <rFont val="Calibri"/>
        <family val="2"/>
      </rPr>
      <t xml:space="preserve">WHERE </t>
    </r>
    <r>
      <rPr>
        <sz val="11"/>
        <color rgb="FF000000"/>
        <rFont val="Calibri"/>
        <family val="2"/>
      </rPr>
      <t xml:space="preserve">EUR_INTERVEN (AD).INT_NRINTINT = 1 AND EUR_INTERVEN (DEV).INT_NRINTINT = EUR_CREDITO.CRD_NRINTINT
     AND CBT02_CAMBIOS.CTBCAMB = 'F' AND CBT02_CAMBIOS.CMARCA = 'BT' AND CBT02_CAMBIOS.ZSEQCAMB = '99'
</t>
    </r>
    <r>
      <rPr>
        <b/>
        <sz val="11"/>
        <color rgb="FF000000"/>
        <rFont val="Calibri"/>
        <family val="2"/>
      </rPr>
      <t>SELECT</t>
    </r>
    <r>
      <rPr>
        <sz val="11"/>
        <color rgb="FF000000"/>
        <rFont val="Calibri"/>
        <family val="2"/>
      </rPr>
      <t xml:space="preserve"> CAST( 0 AS DECIMAL( 23, 6 ) )
</t>
    </r>
    <r>
      <rPr>
        <b/>
        <sz val="11"/>
        <color rgb="FF000000"/>
        <rFont val="Calibri"/>
        <family val="2"/>
      </rPr>
      <t xml:space="preserve">WHERE </t>
    </r>
    <r>
      <rPr>
        <sz val="11"/>
        <color rgb="FF000000"/>
        <rFont val="Calibri"/>
        <family val="2"/>
      </rPr>
      <t xml:space="preserve">EUR_INTERVEN.INT_NRINTINT = 1 AND EUR_PROCESSO.PRO_CDPRODUT NOT IN ('004', '005') AND EUR_PROCESSO.PRO_CDFASPRO = 5
</t>
    </r>
    <r>
      <rPr>
        <b/>
        <sz val="11"/>
        <color rgb="FF000000"/>
        <rFont val="Calibri"/>
        <family val="2"/>
      </rPr>
      <t>SELECT</t>
    </r>
    <r>
      <rPr>
        <sz val="11"/>
        <color rgb="FF000000"/>
        <rFont val="Calibri"/>
        <family val="2"/>
      </rPr>
      <t xml:space="preserve"> CAST(0 AS DECIMAL( 23, 6 ) )
</t>
    </r>
    <r>
      <rPr>
        <b/>
        <sz val="11"/>
        <color rgb="FF000000"/>
        <rFont val="Calibri"/>
        <family val="2"/>
      </rPr>
      <t>WHERE</t>
    </r>
    <r>
      <rPr>
        <sz val="11"/>
        <color rgb="FF000000"/>
        <rFont val="Calibri"/>
        <family val="2"/>
      </rPr>
      <t xml:space="preserve"> EUR_INTERVEN.INT_NRINTINT != 1 AND EUR_PROCESSO.PRO_CDFASPRO = 5
</t>
    </r>
    <r>
      <rPr>
        <b/>
        <sz val="11"/>
        <color rgb="FF000000"/>
        <rFont val="Calibri"/>
        <family val="2"/>
      </rPr>
      <t>SELECT</t>
    </r>
    <r>
      <rPr>
        <sz val="11"/>
        <color rgb="FF000000"/>
        <rFont val="Calibri"/>
        <family val="2"/>
      </rPr>
      <t xml:space="preserve"> CAST( NULL AS DECIMAL( 23, 6 ) )
</t>
    </r>
    <r>
      <rPr>
        <b/>
        <sz val="11"/>
        <color rgb="FF000000"/>
        <rFont val="Calibri"/>
        <family val="2"/>
      </rPr>
      <t>SELECT</t>
    </r>
    <r>
      <rPr>
        <sz val="11"/>
        <color rgb="FF000000"/>
        <rFont val="Calibri"/>
        <family val="2"/>
      </rPr>
      <t xml:space="preserve"> CAST( NULL AS DECIMAL( 23, 6 ) )
</t>
    </r>
    <r>
      <rPr>
        <b/>
        <sz val="11"/>
        <color rgb="FF000000"/>
        <rFont val="Calibri"/>
        <family val="2"/>
      </rPr>
      <t>WHERE</t>
    </r>
    <r>
      <rPr>
        <sz val="11"/>
        <color rgb="FF000000"/>
        <rFont val="Calibri"/>
        <family val="2"/>
      </rPr>
      <t xml:space="preserve"> TCT09_OPERCN.ISITUAC = '1'  AND TCT09_OPERCN.DENTRADA &lt;= TCT09_OPERCN.DATA_DATE_PART AND (GROUP BY TCT09_OPERCN.CKBALCAO, TCT09_OPERCN.CKNUMCTA)
</t>
    </r>
  </si>
  <si>
    <t>VLTOTCOB
N\A
N\A
N\A
N\A</t>
  </si>
  <si>
    <t>Current Billed Principal Amount Local Currency</t>
  </si>
  <si>
    <t>current_bill_prin_amount_lcl_currcy</t>
  </si>
  <si>
    <r>
      <rPr>
        <b/>
        <sz val="11"/>
        <color rgb="FF000000"/>
        <rFont val="Calibri"/>
        <family val="2"/>
      </rPr>
      <t>SELECT</t>
    </r>
    <r>
      <rPr>
        <sz val="11"/>
        <color rgb="FF000000"/>
        <rFont val="Calibri"/>
        <family val="2"/>
      </rPr>
      <t xml:space="preserve"> CASE
        WHEN EUR_CREDITO.crd_tprecurs = 'S' AND EUR_CREDITO.crd_vlcambio != 0 THEN CAST( - EUR_CREDITO.crd_vltotcob AS DECIMAL(23, 6)) 
        WHEN EUR_CREDITO.crd_tprecurs = 'S' AND EUR_CREDITO.crd_vlcambio = 0 AND EUR_INTERVEN (DEV).int_cdmoeda = 'EUR' THEN CAST( - (EUR_CREDITO.crd_vltotcob) AS DECIMAL(23, 6))
        WHEN EUR_CREDITO.crd_tprecurs = 'S' AND EUR_CREDITO.crd_vlcambio = 0 AND EUR_INTERVEN (DEV).int_cdmoeda != 'EUR' THEN CAST( - EUR_CREDITO.crd_vltotcob  / CBT02_CAMBIOS.tcmbme AS DECIMAL(23, 6))
      END
</t>
    </r>
    <r>
      <rPr>
        <b/>
        <sz val="11"/>
        <color rgb="FF000000"/>
        <rFont val="Calibri"/>
        <family val="2"/>
      </rPr>
      <t xml:space="preserve">WHERE </t>
    </r>
    <r>
      <rPr>
        <sz val="11"/>
        <color rgb="FF000000"/>
        <rFont val="Calibri"/>
        <family val="2"/>
      </rPr>
      <t xml:space="preserve">EUR_INTERVEN (AD).INT_NRINTINT = 1 AND EUR_INTERVEN (DEV).INT_NRINTINT = EUR_CREDITO.CRD_NRINTINT
     AND CBT02_CAMBIOS.CTBCAMB = 'F' AND CBT02_CAMBIOS.CMARCA = 'BT' AND CBT02_CAMBIOS.ZSEQCAMB = '99'
</t>
    </r>
    <r>
      <rPr>
        <b/>
        <sz val="11"/>
        <color rgb="FF000000"/>
        <rFont val="Calibri"/>
        <family val="2"/>
      </rPr>
      <t>SELECT</t>
    </r>
    <r>
      <rPr>
        <sz val="11"/>
        <color rgb="FF000000"/>
        <rFont val="Calibri"/>
        <family val="2"/>
      </rPr>
      <t xml:space="preserve"> CAST( 0 AS DECIMAL( 23, 6 ) )
</t>
    </r>
    <r>
      <rPr>
        <b/>
        <sz val="11"/>
        <color rgb="FF000000"/>
        <rFont val="Calibri"/>
        <family val="2"/>
      </rPr>
      <t xml:space="preserve">WHERE </t>
    </r>
    <r>
      <rPr>
        <sz val="11"/>
        <color rgb="FF000000"/>
        <rFont val="Calibri"/>
        <family val="2"/>
      </rPr>
      <t xml:space="preserve">EUR_INTERVEN.INT_NRINTINT = 1 AND EUR_PROCESSO.PRO_CDPRODUT NOT IN ('004', '005') AND EUR_PROCESSO.PRO_CDFASPRO = 5
</t>
    </r>
    <r>
      <rPr>
        <b/>
        <sz val="11"/>
        <color rgb="FF000000"/>
        <rFont val="Calibri"/>
        <family val="2"/>
      </rPr>
      <t>SELECT</t>
    </r>
    <r>
      <rPr>
        <sz val="11"/>
        <color rgb="FF000000"/>
        <rFont val="Calibri"/>
        <family val="2"/>
      </rPr>
      <t xml:space="preserve"> CAST(0 AS DECIMAL( 23, 6 ) )
</t>
    </r>
    <r>
      <rPr>
        <b/>
        <sz val="11"/>
        <color rgb="FF000000"/>
        <rFont val="Calibri"/>
        <family val="2"/>
      </rPr>
      <t>WHERE</t>
    </r>
    <r>
      <rPr>
        <sz val="11"/>
        <color rgb="FF000000"/>
        <rFont val="Calibri"/>
        <family val="2"/>
      </rPr>
      <t xml:space="preserve"> EUR_INTERVEN.INT_NRINTINT != 1 AND EUR_PROCESSO.PRO_CDFASPRO = 5
</t>
    </r>
    <r>
      <rPr>
        <b/>
        <sz val="11"/>
        <color rgb="FF000000"/>
        <rFont val="Calibri"/>
        <family val="2"/>
      </rPr>
      <t>SELECT</t>
    </r>
    <r>
      <rPr>
        <sz val="11"/>
        <color rgb="FF000000"/>
        <rFont val="Calibri"/>
        <family val="2"/>
      </rPr>
      <t xml:space="preserve"> CAST( NULL AS DECIMAL( 23, 6 ) )
</t>
    </r>
    <r>
      <rPr>
        <b/>
        <sz val="11"/>
        <color rgb="FF000000"/>
        <rFont val="Calibri"/>
        <family val="2"/>
      </rPr>
      <t>SELECT</t>
    </r>
    <r>
      <rPr>
        <sz val="11"/>
        <color rgb="FF000000"/>
        <rFont val="Calibri"/>
        <family val="2"/>
      </rPr>
      <t xml:space="preserve"> CAST( NULL AS DECIMAL( 23, 6 ) )
</t>
    </r>
    <r>
      <rPr>
        <b/>
        <sz val="11"/>
        <color rgb="FF000000"/>
        <rFont val="Calibri"/>
        <family val="2"/>
      </rPr>
      <t xml:space="preserve">WHERE </t>
    </r>
    <r>
      <rPr>
        <sz val="11"/>
        <color rgb="FF000000"/>
        <rFont val="Calibri"/>
        <family val="2"/>
      </rPr>
      <t xml:space="preserve">TCT09_OPERCN.ISITUAC = '1'  AND TCT09_OPERCN.DENTRADA &lt;= TCT09_OPERCN.DATA_DATE_PART AND (GROUP BY TCT09_OPERCN.CKBALCAO, TCT09_OPERCN.CKNUMCTA)
</t>
    </r>
  </si>
  <si>
    <t>Last Advance Date</t>
  </si>
  <si>
    <t>last_advance_date</t>
  </si>
  <si>
    <t>Corresponds to the date in which the effective payment related to the last advance of the invoice, was made. This field only applies to invoices, it does not apply to lines.</t>
  </si>
  <si>
    <t>Data valor do último avanço (financiamento) realizado no âmbito do contrato.</t>
  </si>
  <si>
    <t>EUR_CREDITO
EUR_LINADIAN
EUR_ADIANTAM
EUR_INTERVEN
INTERFACE_DCT01
TCT09_OPERCN</t>
  </si>
  <si>
    <t>N\A
N\A
ADI_DTVALMOV
N\A
N\A
N\A</t>
  </si>
  <si>
    <r>
      <rPr>
        <b/>
        <sz val="11"/>
        <color rgb="FF000000"/>
        <rFont val="Calibri"/>
        <family val="2"/>
        <scheme val="minor"/>
      </rPr>
      <t xml:space="preserve">SELECT </t>
    </r>
    <r>
      <rPr>
        <sz val="11"/>
        <color rgb="FF000000"/>
        <rFont val="Calibri"/>
        <family val="2"/>
        <scheme val="minor"/>
      </rPr>
      <t xml:space="preserve">IF(TRIM( EUR_ADIANTAM.ADI_DTVALMOV ) = '', NULL, SUBSTRING( EUR_ADIANTAM.ADI_DTVALMOV, 1, 10 ) )
</t>
    </r>
    <r>
      <rPr>
        <b/>
        <sz val="11"/>
        <color rgb="FF000000"/>
        <rFont val="Calibri"/>
        <family val="2"/>
        <scheme val="minor"/>
      </rPr>
      <t xml:space="preserve">WHERE </t>
    </r>
    <r>
      <rPr>
        <sz val="11"/>
        <color rgb="FF000000"/>
        <rFont val="Calibri"/>
        <family val="2"/>
        <scheme val="minor"/>
      </rPr>
      <t xml:space="preserve">MAX( EUR_LINADIAN.LAD_NRADIANT) GROUP BY EUR_LINADIAN.LAD_NRINTCRE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strike/>
        <sz val="11"/>
        <color rgb="FF000000"/>
        <rFont val="Calibri"/>
        <family val="2"/>
        <scheme val="minor"/>
      </rPr>
      <t xml:space="preserve">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WHERE TCT09_OPERCN.ISITUAC = '1'  AND TCT09_OPERCN.DENTRADA &lt;= TCT09_OPERCN.DATA_DATE_PART AND (GROUP BY TCT09_OPERCN.CKBALCAO, TCT09_OPERCN.CKNUMCTA)</t>
    </r>
  </si>
  <si>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</si>
  <si>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</si>
  <si>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</si>
  <si>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</si>
  <si>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</si>
  <si>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Valor de capital do último avanço (financiamento) no âmbito do contrato.</t>
  </si>
  <si>
    <t>EUR_CREDITO
EUR_LINADIAN
EUR_INTERVEN
EUR_INTERVEN
INTERFACE_DCT01
TCT09_OPERCN</t>
  </si>
  <si>
    <t>N\A
LAD_VLADIANT 
N\A
N\A
N\A
N\A</t>
  </si>
  <si>
    <r>
      <rPr>
        <b/>
        <sz val="11"/>
        <color rgb="FF000000"/>
        <rFont val="Calibri"/>
        <family val="2"/>
        <scheme val="minor"/>
      </rPr>
      <t xml:space="preserve">SELECT </t>
    </r>
    <r>
      <rPr>
        <sz val="11"/>
        <color rgb="FF000000"/>
        <rFont val="Calibri"/>
        <family val="2"/>
        <scheme val="minor"/>
      </rPr>
      <t xml:space="preserve">CAST(CAST( EUR_LINADIAN.LAD_VLADIANT AS DECIMAL(23, 6)) AS STRING)
</t>
    </r>
    <r>
      <rPr>
        <b/>
        <sz val="11"/>
        <color rgb="FF000000"/>
        <rFont val="Calibri"/>
        <family val="2"/>
        <scheme val="minor"/>
      </rPr>
      <t xml:space="preserve">WHERE </t>
    </r>
    <r>
      <rPr>
        <sz val="11"/>
        <color rgb="FF000000"/>
        <rFont val="Calibri"/>
        <family val="2"/>
        <scheme val="minor"/>
      </rPr>
      <t xml:space="preserve">MAX( EUR_LINADIAN.LAD_NRADIANT) GROUP BY EUR_LINADIAN.LAD_NRINTCRE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 xml:space="preserve">WHERE </t>
    </r>
    <r>
      <rPr>
        <sz val="11"/>
        <color rgb="FF000000"/>
        <rFont val="Calibri"/>
        <family val="2"/>
        <scheme val="minor"/>
      </rPr>
      <t xml:space="preserve">TCT09_OPERCN.ISITUAC = '1'  AND TCT09_OPERCN.DENTRADA &lt;= TCT09_OPERCN.DATA_DATE_PART AND (GROUP BY TCT09_OPERCN.CKBALCAO, TCT09_OPERCN.CKNUMCTA)
</t>
    </r>
  </si>
  <si>
    <t>EUR_LINADIAN
N\A
N\A
N\A
N\A</t>
  </si>
  <si>
    <t>VLADIANT
N\A
N\A
N\A
N\A</t>
  </si>
  <si>
    <t>Current Advance Principal Amount</t>
  </si>
  <si>
    <t>cur_advance_principal_amt</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</si>
  <si>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</si>
  <si>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Valor total avançado (financiado) no âmbito de uma fatura. Este conceito não se aplica a linhas extra-patrimoniais.</t>
  </si>
  <si>
    <t>EUR_CREDITO
EUR_INTERVEN
EUR_PRVCLICRD_BOP_NEW
EUR_INTERVEN
EUR_INTERVEN
INTERFACE_DCT01
TCT09_OPERCN</t>
  </si>
  <si>
    <t>CRD_VLTOTADI
N\A
PCC_VLADIANT
N\A
N\A
N\A
N\A</t>
  </si>
  <si>
    <r>
      <rPr>
        <b/>
        <sz val="11"/>
        <color rgb="FF000000"/>
        <rFont val="Calibri"/>
        <family val="2"/>
      </rPr>
      <t>SELECT</t>
    </r>
    <r>
      <rPr>
        <sz val="11"/>
        <color rgb="FF000000"/>
        <rFont val="Calibri"/>
        <family val="2"/>
      </rPr>
      <t xml:space="preserve"> IF( EUR_INTERVEN.INT_TPGESCON = 'CC',
      CAST( EUR_PRVCLICRD_BOP_NEW.PCC_VLADIANT AS DECIMAL(23, 6)),
      IF( EUR_INTERVEN.INT_TPGESCON = 'FF', 
        CAST( EUR_CREDITO.CRD_VLTOTADIAS DECIMAL(23, 6)),
        NULL
      )
 )
</t>
    </r>
    <r>
      <rPr>
        <b/>
        <sz val="11"/>
        <color rgb="FF000000"/>
        <rFont val="Calibri"/>
        <family val="2"/>
      </rPr>
      <t xml:space="preserve">WHERE </t>
    </r>
    <r>
      <rPr>
        <sz val="11"/>
        <color rgb="FF000000"/>
        <rFont val="Calibri"/>
        <family val="2"/>
      </rPr>
      <t xml:space="preserve">EUR_INTERVEN.INT_NRINTINT = 1 AND EUR_PRVCLICRD_BOP_NEW.PCC_IDSITUAC = 'A' AND CONCAT( EUR_PRVCLICRD_BOP_NEW.PCC_NRANO, '-', LPAD( EUR_PRVCLICRD_BOP_NEW.PCC_CDMES, 2, '0'), '-', LPAD( EUR_PRVCLICRD_BOP_NEW.PCC_NRDIA, 2, '0' ) ) = EUR_PRVCLICRD_BOP_NEW.DATA_DATE_PART
</t>
    </r>
    <r>
      <rPr>
        <b/>
        <sz val="11"/>
        <color rgb="FF000000"/>
        <rFont val="Calibri"/>
        <family val="2"/>
      </rPr>
      <t>SELECT</t>
    </r>
    <r>
      <rPr>
        <sz val="11"/>
        <color rgb="FF000000"/>
        <rFont val="Calibri"/>
        <family val="2"/>
      </rPr>
      <t xml:space="preserve"> CAST( 0 AS DECIMAL( 23, 6 ) )
</t>
    </r>
    <r>
      <rPr>
        <b/>
        <sz val="11"/>
        <color rgb="FF000000"/>
        <rFont val="Calibri"/>
        <family val="2"/>
      </rPr>
      <t>WHERE</t>
    </r>
    <r>
      <rPr>
        <sz val="11"/>
        <color rgb="FF000000"/>
        <rFont val="Calibri"/>
        <family val="2"/>
      </rPr>
      <t xml:space="preserve"> EUR_INTERVEN.INT_NRINTINT = 1 AND EUR_PROCESSO.PRO_CDPRODUT NOT IN ('004', '005') AND EUR_PROCESSO.PRO_CDFASPRO = 5
</t>
    </r>
    <r>
      <rPr>
        <b/>
        <sz val="11"/>
        <color rgb="FF000000"/>
        <rFont val="Calibri"/>
        <family val="2"/>
      </rPr>
      <t>SELECT</t>
    </r>
    <r>
      <rPr>
        <sz val="11"/>
        <color rgb="FF000000"/>
        <rFont val="Calibri"/>
        <family val="2"/>
      </rPr>
      <t xml:space="preserve"> CAST( 0 AS DECIMAL( 23, 6 ) )
</t>
    </r>
    <r>
      <rPr>
        <b/>
        <sz val="11"/>
        <color rgb="FF000000"/>
        <rFont val="Calibri"/>
        <family val="2"/>
      </rPr>
      <t>WHERE</t>
    </r>
    <r>
      <rPr>
        <sz val="11"/>
        <color rgb="FF000000"/>
        <rFont val="Calibri"/>
        <family val="2"/>
      </rPr>
      <t xml:space="preserve"> EUR_INTERVEN.INT_NRINTINT != 1 AND EUR_PROCESSO.PRO_CDFASPRO = 5
</t>
    </r>
    <r>
      <rPr>
        <b/>
        <sz val="11"/>
        <color rgb="FF000000"/>
        <rFont val="Calibri"/>
        <family val="2"/>
      </rPr>
      <t>SELECT</t>
    </r>
    <r>
      <rPr>
        <sz val="11"/>
        <color rgb="FF000000"/>
        <rFont val="Calibri"/>
        <family val="2"/>
      </rPr>
      <t xml:space="preserve"> CAST( NULL AS DECIMAL( 23, 6 ) )
</t>
    </r>
    <r>
      <rPr>
        <b/>
        <sz val="11"/>
        <color rgb="FF000000"/>
        <rFont val="Calibri"/>
        <family val="2"/>
      </rPr>
      <t>SELECT</t>
    </r>
    <r>
      <rPr>
        <sz val="11"/>
        <color rgb="FF000000"/>
        <rFont val="Calibri"/>
        <family val="2"/>
      </rPr>
      <t xml:space="preserve"> CAST( NULL AS DECIMAL( 23, 6 ) )
</t>
    </r>
    <r>
      <rPr>
        <b/>
        <sz val="11"/>
        <color rgb="FF000000"/>
        <rFont val="Calibri"/>
        <family val="2"/>
      </rPr>
      <t>WHERE</t>
    </r>
    <r>
      <rPr>
        <sz val="11"/>
        <color rgb="FF000000"/>
        <rFont val="Calibri"/>
        <family val="2"/>
      </rPr>
      <t xml:space="preserve"> TCT09_OPERCN.ISITUAC = '1'  AND TCT09_OPERCN.DENTRADA &lt;= TCT09_OPERCN.DATA_DATE_PART AND (GROUP BY TCT09_OPERCN.CKBALCAO, TCT09_OPERCN.CKNUMCTA)
</t>
    </r>
  </si>
  <si>
    <t>EUR_CREDITO || EUR_PRVCLICRD_BOP_NEW
N\A
N\A
N\A
N\A</t>
  </si>
  <si>
    <t>VLTOTADI || VLADIANT
N\A
N\A
N\A
N\A</t>
  </si>
  <si>
    <t>Initial Active Rate Type Code</t>
  </si>
  <si>
    <t>initial_active_rate_type_code</t>
  </si>
  <si>
    <t>Ext Inf - Con Interest Inf - Ind</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</si>
  <si>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</si>
  <si>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Tipo de taxa de juro ativa (devedora) acordada inicialmente no âmbito do contrato, por exemplo: fixa, mista ou variável.</t>
  </si>
  <si>
    <t>EUR_CREDITO
EUR_HISTINTE
EUR_INTERVEN
EUR_INTERVEN
INTERFACE_DCT01
TCT09_OPERCN</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</si>
  <si>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 xml:space="preserve">WHERE </t>
    </r>
    <r>
      <rPr>
        <sz val="11"/>
        <color rgb="FF000000"/>
        <rFont val="Calibri"/>
        <family val="2"/>
        <scheme val="minor"/>
      </rPr>
      <t xml:space="preserve">EUR_HISTINTE.HIN_NRINTINT = 1 AND MIN( EUR_HISTINTE.HIN_DTALTREG) GROUP BY EUR_HISTINTE.HIN_NRPROCES AND EUR_INTERVEN (INIT).INT_NRINTINT = 1
   AND PARAM_GENERAL_CODE_CONVERTER.OPTION_NUMBER = IF( EUR_HISTINTE.HIN_NRPROCES IS NOT NULL, IF(EUR_HISTINTE.HIN_CDINDADI= '9999', '1' ,  '2' ), IF(EUR_INTERVEN.INT_CDINDADI = '9999',  '1',  '2' ) ) AND PARAM_GENERAL_CODE_CONVERTER.TARGET_FIELD = 'initial_active_rate_type_code' AND PARAM_GENERAL_CODE_CONVERTER.SOURCE_VALUE = '' AND PARAM_GENERAL_CODE_CONVERTER.SOURCE_CODE = 'FA'
</t>
    </r>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PARAM_GENERAL_CODE_CONVERTER.TARGET_FIELD = 'initial_active_rate_type_code' AND PARAM_GENERAL_CODE_CONVERTER.SOURCE_VALUE = '' AND PARAM_GENERAL_CODE_CONVERTER.SOURCE_CODE = 'FA' AND PARAM_GENERAL_CODE_CONVERTER.OPTION_NUMBER = 3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EUR_INTERVEN.INT_NRINTINT != 1 AND EUR_PROCESSO.PRO_CDFASPRO = 5
    AND PARAM_GENERAL_CODE_CONVERTER.TARGET_FIELD = 'initial_active_rate_type_code' AND PARAM_GENERAL_CODE_CONVERTER.SOURCE_VALUE = '' AND PARAM_GENERAL_CODE_CONVERTER.SOURCE_CODE = 'FA' AND PARAM_GENERAL_CODE_CONVERTER.OPTION_NUMBER = 3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WHERE TCT09_OPERCN.ISITUAC = '1'  AND TCT09_OPERCN.DENTRADA &lt;= TCT09_OPERCN.DATA_DATE_PART AND (GROUP BY TCT09_OPERCN.CKBALCAO, TCT09_OPERCN.CKNUMCTA)
</t>
    </r>
  </si>
  <si>
    <t>EUR_INTERVEN || EUR_HISTINTE
N\A
N\A
N\A
N\A</t>
  </si>
  <si>
    <t>CDINDADI  || CDINDADI 
N\A
N\A
N\A
N\A</t>
  </si>
  <si>
    <t>N\A || N\A
"#NA"
"#NA"
"NULL"
"NULL"</t>
  </si>
  <si>
    <t>Initial Active Indexing</t>
  </si>
  <si>
    <t>initial_active_indexing</t>
  </si>
  <si>
    <t>Ext Inf - Con Interest Inf - Code</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</si>
  <si>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</si>
  <si>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Código do indexante, se aplicável, inicialmente associada à taxa de juro ativa (devedora) do contrato, por exemplo, Euribor.</t>
  </si>
  <si>
    <t>Initial Reference Index:
EUR_INDEXANT
N\A
N\A
N\A
N\A</t>
  </si>
  <si>
    <t>EUR_CREDITO
EUR_HISTINTE
EUR_INTERVEN
EUR_INDEXANT (HIST) || EUR_INDEXANT (INT) 
EUR_INTERVEN
EUR_INTERVEN
INTERFACE_DCT01
TCT09_OPERCN</t>
  </si>
  <si>
    <t>N\A
N\A
N\A
INX_CDINDBAN || INX_CDINDBAN
N\A
N\A
N\A
N\A</t>
  </si>
  <si>
    <r>
      <rPr>
        <b/>
        <sz val="11"/>
        <color rgb="FF000000"/>
        <rFont val="Calibri"/>
        <family val="2"/>
        <scheme val="minor"/>
      </rPr>
      <t xml:space="preserve">SELECT </t>
    </r>
    <r>
      <rPr>
        <sz val="11"/>
        <color rgb="FF000000"/>
        <rFont val="Calibri"/>
        <family val="2"/>
        <scheme val="minor"/>
      </rPr>
      <t xml:space="preserve">IF(EUR_HISTINTE.HIN_NRPROCES IS NOT NULL,
      IF(EUR_HISTINTE.HIN_CDINDADI = '9999',
        '#N/A',
        IF(TRIM( EUR_INDEXANT (HIST).INX_CDINDBAN) = '' OR EUR_INDEXANT (HIST).INX_CDINDBAN IS NULL, 
          NULL, 
          EUR_INDEXANT (HIST).INX_CDINDBAN)
      ),
      IF( EUR_INTERVEN.INT_CDINDADI = '9999',
        '#N/A',
        IF(TRIM( EUR_INDEXANT (INT).INX_CDINDBAN) = '' OR EUR_INDEXANT (INT).INX_CDINDBAN IS NULL, 
          NULL,
          EUR_INDEXANT (INT).INX_CDINDBAN
        )
      )
    )
</t>
    </r>
    <r>
      <rPr>
        <b/>
        <sz val="11"/>
        <color rgb="FF000000"/>
        <rFont val="Calibri"/>
        <family val="2"/>
        <scheme val="minor"/>
      </rPr>
      <t xml:space="preserve">WHERE </t>
    </r>
    <r>
      <rPr>
        <sz val="11"/>
        <color rgb="FF000000"/>
        <rFont val="Calibri"/>
        <family val="2"/>
        <scheme val="minor"/>
      </rPr>
      <t xml:space="preserve">EUR_HISTINTE.HIN_NRINTINT = 1 AND MIN( EUR_HISTINTE.HIN_DTALTREG) GROUP BY EUR_HISTINTE.HIN_NRPROCES AND EUR_INTERVEN.INT_NRINTINT = 1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 xml:space="preserve">
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WHERE TCT09_OPERCN.ISITUAC = '1'  AND TCT09_OPERCN.DENTRADA &lt;= TCT09_OPERCN.DATA_DATE_PART AND (GROUP BY TCT09_OPERCN.CKBALCAO, TCT09_OPERCN.CKNUMCTA)
</t>
    </r>
  </si>
  <si>
    <t>EUR_INTERVEN -&gt; EUR_INDEXANT || EUR_HISTINTE  -&gt; EUR_INDEXANT || N\A
N\A
N\A
N\A
N\A</t>
  </si>
  <si>
    <t>CDINDADI -&gt; CDINDBAN || CDINDADI  -&gt; CDINDBAN || N\A
N\A
N\A
N\A
N\A</t>
  </si>
  <si>
    <t>N\A -&gt; N\A || N\A -&gt; N\A || "#N/A"
"#N/A"
"#N/A"
"NULL"
"NULL"</t>
  </si>
  <si>
    <t>Initial Active Index Rate</t>
  </si>
  <si>
    <t>initial_active_index_rate</t>
  </si>
  <si>
    <t>Ext Inf - Con Interest Inf - Value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</si>
  <si>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</si>
  <si>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Quando aplicável, representa a taxa de juro ativa (devedora) do indexante incialmente acordado no contrato.</t>
  </si>
  <si>
    <t>EUR_CREDITO
EUR_HISTINTE
EUR_INTERVEN
EUR_LININDEX (HIST) || EUR_LININDEX (INT)
EUR_INTERVEN
EUR_INTERVEN
INTERFACE_DCT01
TCT09_OPERCN</t>
  </si>
  <si>
    <t>N\A
N\A
N\A
LIX_PRTAXVIG || LIX_PRTAXVIG 
N\A
N\A
N\A
N\A</t>
  </si>
  <si>
    <r>
      <rPr>
        <b/>
        <sz val="11"/>
        <color rgb="FF000000"/>
        <rFont val="Calibri"/>
        <family val="2"/>
        <scheme val="minor"/>
      </rPr>
      <t>SELECT</t>
    </r>
    <r>
      <rPr>
        <sz val="11"/>
        <color rgb="FF000000"/>
        <rFont val="Calibri"/>
        <family val="2"/>
        <scheme val="minor"/>
      </rPr>
      <t xml:space="preserve"> IF( EUR_HISTINTE.HIN_NRPROCES IS NOT NULL,
      IF( EUR_HISTINTE.HIN_CDINDADI = '9999',
        CAST(0 AS DECIMAL(23, 6)),
        CAST( EUR_LININDEX (HIST).LIX_PRTAXVIG AS DECIMAL(23, 6))
      ),
      IF( EUR_INTERVEN.INT_CDINDADI = '9999',
        CAST(0 AS DECIMAL(23,6)),
        CAST( EUR_LININDEX (INT).LIX_PRTAXVIG AS DECIMAL(23, 6))
      )
    )
</t>
    </r>
    <r>
      <rPr>
        <b/>
        <sz val="11"/>
        <color rgb="FF000000"/>
        <rFont val="Calibri"/>
        <family val="2"/>
        <scheme val="minor"/>
      </rPr>
      <t xml:space="preserve">WHERE </t>
    </r>
    <r>
      <rPr>
        <sz val="11"/>
        <color rgb="FF000000"/>
        <rFont val="Calibri"/>
        <family val="2"/>
        <scheme val="minor"/>
      </rPr>
      <t xml:space="preserve">EUR_HISTINTE.HIN_NRINTINT = 1 AND MIN( EUR_HISTINTE.HIN_DTALTREG) GROUP BY EUR_HISTINTE.HIN_NRPROCES AND EUR_INTERVEN.INT_NRINTINT = 1 AND SUBSTRING( EUR_LININDEX.LIX_DTINICIO, 1, 10) &lt;= EUR_CREDITO.CRD_DTEMISSA AND MAX(EUR_LININDEX (HIST).LIX_DTINICIO ) GROUP BY EUR_HISTINTE.HIN_NRPROCES AND MAX(EUR_LININDEX ( INT ).LIX_DTINICIO ) GROUP BY EUR_INTERVEN.INT_NRPROCES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CAST(NULL AS DECIMAL( 23, 6 ) )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</si>
  <si>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</si>
  <si>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</si>
  <si>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</si>
  <si>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</si>
  <si>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</si>
  <si>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</si>
  <si>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Taxa de spread ativa (devedora) inicialmente acordada no contrato.</t>
  </si>
  <si>
    <t>EUR_CREDITO
EUR_HISTINTE
EUR_INTERVEN
EUR_INTERVEN
EUR_INTERVEN
INTERFACE_DCT01
TCT09_OPERCN</t>
  </si>
  <si>
    <t>N\A
HIN_PRSPREAD
INT_PRSPREAD
N\A
N\A
N\A
N\A</t>
  </si>
  <si>
    <r>
      <rPr>
        <b/>
        <sz val="11"/>
        <color rgb="FF000000"/>
        <rFont val="Calibri"/>
        <family val="2"/>
        <scheme val="minor"/>
      </rPr>
      <t xml:space="preserve">SELECT </t>
    </r>
    <r>
      <rPr>
        <sz val="11"/>
        <color rgb="FF000000"/>
        <rFont val="Calibri"/>
        <family val="2"/>
        <scheme val="minor"/>
      </rPr>
      <t xml:space="preserve">IF( EUR_HISTINTE.HIN_NRPROCES IS NOT NULL,  EUR_HISTINTE.HIN_PRSPREAD, EUR_INTERVEN.INT_PRSPREAD)
</t>
    </r>
    <r>
      <rPr>
        <b/>
        <sz val="11"/>
        <color rgb="FF000000"/>
        <rFont val="Calibri"/>
        <family val="2"/>
        <scheme val="minor"/>
      </rPr>
      <t xml:space="preserve">WHERE </t>
    </r>
    <r>
      <rPr>
        <sz val="11"/>
        <color rgb="FF000000"/>
        <rFont val="Calibri"/>
        <family val="2"/>
        <scheme val="minor"/>
      </rPr>
      <t xml:space="preserve">EUR_HISTINTE.HIN_NRINTINT = 1 AND MIN( EUR_HISTINTE.HIN_DTALTREG) GROUP BY EUR_HISTINTE.HIN_NRPROCES AND EUR_INTERVEN.INT_NRINTINT = 1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CAST(NULL AS DECIMAL( 23, 6 ) )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 xml:space="preserve">WHERE </t>
    </r>
    <r>
      <rPr>
        <sz val="11"/>
        <color rgb="FF000000"/>
        <rFont val="Calibri"/>
        <family val="2"/>
        <scheme val="minor"/>
      </rPr>
      <t xml:space="preserve">TCT09_OPERCN.ISITUAC = '1'  AND TCT09_OPERCN.DENTRADA &lt;= TCT09_OPERCN.DATA_DATE_PART AND (GROUP BY TCT09_OPERCN.CKBALCAO, TCT09_OPERCN.CKNUMCTA)
</t>
    </r>
  </si>
  <si>
    <t>PRSPREAD || PRSPREAD
N\A
N\A
N\A
N\A</t>
  </si>
  <si>
    <t>Initial Active Interest Rate</t>
  </si>
  <si>
    <t>initial_active_interest_rate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</si>
  <si>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</si>
  <si>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 de juro ativa (devedora) inicialmente acordada no âmbito do contrato (spread + indexante).</t>
  </si>
  <si>
    <t>Contract interest</t>
  </si>
  <si>
    <t>Initial interest rate</t>
  </si>
  <si>
    <t>N\A
HIN_PRSPREAD
INT_PRSPREAD
LIX_PRTAXVIG || LIX_PRTAXVIG 
N\A
N\A
N\A
N\A</t>
  </si>
  <si>
    <r>
      <rPr>
        <b/>
        <sz val="11"/>
        <color rgb="FF000000"/>
        <rFont val="Calibri"/>
        <family val="2"/>
        <scheme val="minor"/>
      </rPr>
      <t xml:space="preserve">SELECT </t>
    </r>
    <r>
      <rPr>
        <sz val="11"/>
        <color rgb="FF000000"/>
        <rFont val="Calibri"/>
        <family val="2"/>
        <scheme val="minor"/>
      </rPr>
      <t xml:space="preserve">IF( EUR_HISTINTE.HIN_NRPROCES IS NULL,CAST( EUR_INTERVEN.INT_PRSPREAD + EUR_LININDEX (INT).LIX_PRTAXVIG AS DECIMAL(23,6)),CAST( EUR_HISTINTE.HIN_PRSPREAD+ EUR_LININDEX (HIST).LIX_PRTAXVIG AS DECIMAL(23,6)))
</t>
    </r>
    <r>
      <rPr>
        <b/>
        <sz val="11"/>
        <color rgb="FF000000"/>
        <rFont val="Calibri"/>
        <family val="2"/>
        <scheme val="minor"/>
      </rPr>
      <t xml:space="preserve">WHERE </t>
    </r>
    <r>
      <rPr>
        <sz val="11"/>
        <color rgb="FF000000"/>
        <rFont val="Calibri"/>
        <family val="2"/>
        <scheme val="minor"/>
      </rPr>
      <t xml:space="preserve">EUR_HISTINTE.HIN_NRINTINT = 1 AND MIN( EUR_HISTINTE.HIN_DTALTREG) GROUP BY EUR_HISTINTE.HIN_NRPROCES AND EUR_INTERVEN.INT_NRINTINT = 1 AND SUBSTRING( EUR_LININDEX.LIX_DTINICIO, 1, 10) &lt;= EUR_CREDITO.CRD_DTEMISSA AND MAX(EUR_LININDEX.LIX_DTINICIO ) GROUP BY EUR_HISTINTE.HIN_NRPROCES AND MAX(EUR_LININDEX ( INT ).LIX_DTINICIO ) GROUP BY EUR_INTERVEN.INT_NRPROCES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CAST(NULL AS DECIMAL( 23, 6 ) )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</si>
  <si>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PRSPREAD + PRTAXVIG || PRSPREAD + PRTAXVIG
N\A
N\A
N\A
N\A</t>
  </si>
  <si>
    <t>Current Active Rate Type Code</t>
  </si>
  <si>
    <t>cur_active_rate_type_code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</si>
  <si>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</si>
  <si>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Tipo de taxa de juro ativa (devedora) acordada atualmente no âmbito do contrato, por exemplo: fixa, mista ou variável.</t>
  </si>
  <si>
    <t>Rate Type:
?</t>
  </si>
  <si>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 xml:space="preserve">WHERE </t>
    </r>
    <r>
      <rPr>
        <sz val="11"/>
        <color rgb="FF000000"/>
        <rFont val="Calibri"/>
        <family val="2"/>
        <scheme val="minor"/>
      </rPr>
      <t xml:space="preserve">EUR_INTERVEN.INT_NRINTINT = 1
   AND PARAM_GENERAL_CODE_CONVERTER.OPTION_NUMBER = IF( EUR_INTERVEN.INT_CDINDADI = '9999', 1, 2)
 AND PARAM_GENERAL_CODE_CONVERTER.TARGET_FIELD = 'current_active_rate_type_code' AND PARAM_GENERAL_CODE_CONVERTER.SOURCE_VALUE = '' AND PARAM_GENERAL_CODE_CONVERTER.SOURCE_CODE = 'FA'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AND PARAM_GENERAL_CODE_CONVERTER.OPTION_NUMBER = 3 AND PARAM_GENERAL_CODE_CONVERTER.TARGET_FIELD = 'current_active_rate_type_code' AND PARAM_GENERAL_CODE_CONVERTER.SOURCE_VALUE = '' AND PARAM_GENERAL_CODE_CONVERTER.SOURCE_CODE = 'FA'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AND PARAM_GENERAL_CODE_CONVERTER.OPTION_NUMBER = 3
 AND PARAM_GENERAL_CODE_CONVERTER.TARGET_FIELD = 'current_active_rate_type_code' AND PARAM_GENERAL_CODE_CONVERTER.SOURCE_VALUE = '' AND PARAM_GENERAL_CODE_CONVERTER.SOURCE_CODE = 'FA'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WHERE TCT09_OPERCN.ISITUAC = '1'  AND TCT09_OPERCN.DENTRADA &lt;= TCT09_OPERCN.DATA_DATE_PART AND (GROUP BY TCT09_OPERCN.CKBALCAO, TCT09_OPERCN.CKNUMCTA)
</t>
    </r>
  </si>
  <si>
    <t>EUR_INTERVEN 
N\A
N\A
N\A
N\A</t>
  </si>
  <si>
    <t>CDINDADI 
N\A
N\A
N\A
N\A</t>
  </si>
  <si>
    <t>"REF" || "FIX"
"#N/A"
"#N/A"
"NULL"
"NULL"</t>
  </si>
  <si>
    <t>Current Active Indexing</t>
  </si>
  <si>
    <t>current_active_indexing</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</si>
  <si>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</si>
  <si>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Código do indexante, se aplicável, atualmente associada à taxa de juro ativa (devedora) do contrato, por exemplo, Euribor.</t>
  </si>
  <si>
    <t>EUR_CREDITO
EUR_INTERVEN
EUR_INDEXANT
EUR_INTERVEN
EUR_INTERVEN
INTERFACE_DCT01
TCT09_OPERCN</t>
  </si>
  <si>
    <t>N\A
N\A
INX_CDINDBAN
N\A
N\A
N\A
N\A</t>
  </si>
  <si>
    <r>
      <rPr>
        <b/>
        <sz val="11"/>
        <color rgb="FF000000"/>
        <rFont val="Calibri"/>
        <scheme val="minor"/>
      </rPr>
      <t xml:space="preserve">SELECT </t>
    </r>
    <r>
      <rPr>
        <sz val="11"/>
        <color rgb="FF000000"/>
        <rFont val="Calibri"/>
        <scheme val="minor"/>
      </rPr>
      <t xml:space="preserve">IF( EUR_INTERVEN.INT_CDINDADI= '9999',
      '#N/A',
      IF(TRIM( EUR_INDEXANT.INX_CDINDBAN) = '' OR EUR_INDEXANT.INX_CDINDBANIS NULL, 
        NULL ,
        EUR_INDEXANT.INX_CDINDBAN
      )
    )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</si>
  <si>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EUR_INTERVEN -&gt; EUR_INDEXANT || N\A
N\A
N\A
N\A
N\A</t>
  </si>
  <si>
    <t>CDINDADI -&gt; CDINDBAN || N\A
N\A
N\A
N\A
N\A</t>
  </si>
  <si>
    <t>N\A -&gt; N\A || "#N/A"
"0.00"
"0.00"
"NULL"
"NULL"</t>
  </si>
  <si>
    <t>Current Active Index Rate</t>
  </si>
  <si>
    <t>current_active_index_rate</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</si>
  <si>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</si>
  <si>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Quando aplicável, representa a taxa de juro ativa (devedora) do indexante atualmente acordado no contrato.</t>
  </si>
  <si>
    <t>EUR_CREDITO
EUR_INTERVEN
EUR_LININDEX
EUR_INTERVEN
EUR_INTERVEN
INTERFACE_DCT01
TCT09_OPERCN</t>
  </si>
  <si>
    <t>N\A
N\A
LIX_PRTAXVIG
N\A
N\A
N\A
N\A</t>
  </si>
  <si>
    <r>
      <rPr>
        <b/>
        <sz val="11"/>
        <color rgb="FF000000"/>
        <rFont val="Calibri"/>
        <family val="2"/>
        <scheme val="minor"/>
      </rPr>
      <t xml:space="preserve">SELECT </t>
    </r>
    <r>
      <rPr>
        <sz val="11"/>
        <color rgb="FF000000"/>
        <rFont val="Calibri"/>
        <family val="2"/>
        <scheme val="minor"/>
      </rPr>
      <t xml:space="preserve">IF( EUR_INTERVEN.INT_CDINDADI= '9999', 
      CAST(0 AS DECIMAL(23, 6)),
      CAST( EUR_LININDEX.LIX_PRTAXVIG AS DECIMAL(23, 6))
    )
</t>
    </r>
    <r>
      <rPr>
        <b/>
        <sz val="11"/>
        <color rgb="FF000000"/>
        <rFont val="Calibri"/>
        <family val="2"/>
        <scheme val="minor"/>
      </rPr>
      <t xml:space="preserve">WHERE </t>
    </r>
    <r>
      <rPr>
        <sz val="11"/>
        <color rgb="FF000000"/>
        <rFont val="Calibri"/>
        <family val="2"/>
        <scheme val="minor"/>
      </rPr>
      <t xml:space="preserve">EUR_INTERVEN.INT_NRINTINT AND MAX(EUR_LININDEX.LIX_DTINICIO) GROUP BY EUR_INTERVEN.INT_NRPROCES AND EUR_LININDEX.DTINICIO &lt;= EUR_INTERVEN.DATA_DATE_PART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</si>
  <si>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N\A || "0.00"
 "0.00"
"0.00"
"NULL"
"NULL"</t>
  </si>
  <si>
    <t>Current Active Spread</t>
  </si>
  <si>
    <t>current_active_spread</t>
  </si>
  <si>
    <t>Represents the current defined interest rate of additional interests or margins applied to the contract's principal. This field only applies to invoices, it does not apply to lines.</t>
  </si>
  <si>
    <t>Taxa de spread ativa (devedora) atualmente acordada no contrato.</t>
  </si>
  <si>
    <t>N\A
INT_PRSPREAD
N\A
N\A
N\A
N\A</t>
  </si>
  <si>
    <r>
      <rPr>
        <b/>
        <sz val="11"/>
        <color rgb="FF000000"/>
        <rFont val="Calibri"/>
        <family val="2"/>
        <scheme val="minor"/>
      </rPr>
      <t xml:space="preserve">SELECT </t>
    </r>
    <r>
      <rPr>
        <sz val="11"/>
        <color rgb="FF000000"/>
        <rFont val="Calibri"/>
        <family val="2"/>
        <scheme val="minor"/>
      </rPr>
      <t xml:space="preserve">CAST( EUR_INTERVEN.INT_PRSPREAD AS DECIMAL(23, 6))
</t>
    </r>
    <r>
      <rPr>
        <b/>
        <sz val="11"/>
        <color rgb="FF000000"/>
        <rFont val="Calibri"/>
        <family val="2"/>
        <scheme val="minor"/>
      </rPr>
      <t xml:space="preserve">WHERE </t>
    </r>
    <r>
      <rPr>
        <sz val="11"/>
        <color rgb="FF000000"/>
        <rFont val="Calibri"/>
        <family val="2"/>
        <scheme val="minor"/>
      </rPr>
      <t xml:space="preserve">EUR_INTERVEN.INT_NRINTINT = 1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</si>
  <si>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PRSPREAD
N\A
N\A
N\A
N\A</t>
  </si>
  <si>
    <t>N\A 
"0.00"
"0.00"
"NULL"
"NULL"</t>
  </si>
  <si>
    <t>Current Active Interest Rate</t>
  </si>
  <si>
    <t>current_active_interest_rate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</si>
  <si>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</si>
  <si>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 de juro ativa (devedora) atualmente acordada no âmbito do contrato (spread + indexante).</t>
  </si>
  <si>
    <t>Current Interest Rate Percentage</t>
  </si>
  <si>
    <t>CURATED_INTERNAL_EUROFAC
CURATED_INTERNAL_EUROFAC
CURATED_INTERNAL_EUROFAC
CURATED_INTERNAL_EUROFAC
CURATED_INTERNAL_EUROFAC
CURATED_INTERMAL_MAINFRAME_CONTAS
CURATED_INTERNAL_MAINFRAME_CONTENCIOSO</t>
  </si>
  <si>
    <t>N\A
INT_PRSPREAD
LIX_PRTAXVIG
N\A
N\A
N\A
N\A</t>
  </si>
  <si>
    <r>
      <rPr>
        <b/>
        <sz val="11"/>
        <color rgb="FF000000"/>
        <rFont val="Calibri"/>
        <family val="2"/>
        <scheme val="minor"/>
      </rPr>
      <t xml:space="preserve">SELECT </t>
    </r>
    <r>
      <rPr>
        <sz val="11"/>
        <color rgb="FF000000"/>
        <rFont val="Calibri"/>
        <family val="2"/>
        <scheme val="minor"/>
      </rPr>
      <t xml:space="preserve">CAST( EUR_INTERVEN.INT_PRSPREAD + EUR_LININDEX.LIX_PRTAXVIG AS DECIMAL(23, 6))
</t>
    </r>
    <r>
      <rPr>
        <b/>
        <sz val="11"/>
        <color rgb="FF000000"/>
        <rFont val="Calibri"/>
        <family val="2"/>
        <scheme val="minor"/>
      </rPr>
      <t xml:space="preserve">WHERE </t>
    </r>
    <r>
      <rPr>
        <sz val="11"/>
        <color rgb="FF000000"/>
        <rFont val="Calibri"/>
        <family val="2"/>
        <scheme val="minor"/>
      </rPr>
      <t xml:space="preserve">EUR_INTERVEN.INT_NRINTINT AND MAX(EUR_LININDEX.LIX_DTINICIO) GROUP BY EUR_INTERVEN.INT_NRPROCES AND EUR_LININDEX.DTINICIO &lt;= EUR_INTERVEN.DATA_DATE_PART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 NULL AS DECIMAL( 23, 6 ) ) 
SELECT CAST( NULL AS DECIMAL( 23, 6 ) )
WHERE TCT09_OPERCN.ISITUAC = '1'  AND TCT09_OPERCN.DENTRADA &lt;= TCT09_OPERCN.DATA_DATE_PART AND (GROUP BY TCT09_OPERCN.CKBALCAO, TCT09_OPERCN.CKNUMCTA)
</t>
    </r>
  </si>
  <si>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</si>
  <si>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</si>
  <si>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</si>
  <si>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</si>
  <si>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</si>
  <si>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CRD_TPRECURS
N\A
N\A
N\A
N\A</t>
  </si>
  <si>
    <r>
      <rPr>
        <b/>
        <sz val="11"/>
        <color rgb="FF000000"/>
        <rFont val="Calibri"/>
        <family val="2"/>
        <scheme val="minor"/>
      </rPr>
      <t xml:space="preserve">SELECT </t>
    </r>
    <r>
      <rPr>
        <sz val="11"/>
        <color rgb="FF000000"/>
        <rFont val="Calibri"/>
        <family val="2"/>
        <scheme val="minor"/>
      </rPr>
      <t xml:space="preserve">IF( EUR_CREDITO.CRD_TPRECURS= 'C',
      '1',
      IF( EUR_CREDITO.CRD_TPRECURS= 'S',
        '0', 
        NULL
      )
    )
</t>
    </r>
    <r>
      <rPr>
        <b/>
        <sz val="11"/>
        <color rgb="FF000000"/>
        <rFont val="Calibri"/>
        <family val="2"/>
        <scheme val="minor"/>
      </rPr>
      <t>SELECT</t>
    </r>
    <r>
      <rPr>
        <sz val="11"/>
        <color rgb="FF000000"/>
        <rFont val="Calibri"/>
        <family val="2"/>
        <scheme val="minor"/>
      </rPr>
      <t xml:space="preserve"> '1'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</si>
  <si>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TPRECURS
N\A
N\A
N\A
N\A</t>
  </si>
  <si>
    <t>N\A
"1"
"0"
"#N/A"
"#N/A"</t>
  </si>
  <si>
    <t>Contract Status Code</t>
  </si>
  <si>
    <t>contract_status_code</t>
  </si>
  <si>
    <t>Identifier of the contract status.</t>
  </si>
  <si>
    <t>Código do estado do contrato, por exemplo, aberto, suspenso, etc.</t>
  </si>
  <si>
    <t>Contract Status:
N\A (A - ATIVO; L - LIQUIDADO; P - PENDENTE)
N\A (A - ATIVO; L - LIQUIDADO; P - PENDENTE)
N\A (A - ATIVO; L - LIQUIDADO; P - PENDENTE)
TAT91 - CTABELA 205
TAT91 - CTABELA W98</t>
  </si>
  <si>
    <t>Contract basics high update</t>
  </si>
  <si>
    <t>Contract Status</t>
  </si>
  <si>
    <r>
      <rPr>
        <b/>
        <sz val="11"/>
        <color rgb="FF000000"/>
        <rFont val="Calibri"/>
        <family val="2"/>
        <scheme val="minor"/>
      </rPr>
      <t xml:space="preserve">SELECT </t>
    </r>
    <r>
      <rPr>
        <sz val="11"/>
        <color rgb="FF000000"/>
        <rFont val="Calibri"/>
        <family val="2"/>
        <scheme val="minor"/>
      </rPr>
      <t>PARAM_GENERAL_CODE_CONVERTER</t>
    </r>
    <r>
      <rPr>
        <b/>
        <sz val="11"/>
        <color rgb="FF000000"/>
        <rFont val="Calibri"/>
        <family val="2"/>
        <scheme val="minor"/>
      </rPr>
      <t>.</t>
    </r>
    <r>
      <rPr>
        <sz val="11"/>
        <color rgb="FF000000"/>
        <rFont val="Calibri"/>
        <family val="2"/>
        <scheme val="minor"/>
      </rPr>
      <t xml:space="preserve">TARGET_VALUE
</t>
    </r>
    <r>
      <rPr>
        <b/>
        <sz val="11"/>
        <color rgb="FF000000"/>
        <rFont val="Calibri"/>
        <family val="2"/>
        <scheme val="minor"/>
      </rPr>
      <t xml:space="preserve">WHERE </t>
    </r>
    <r>
      <rPr>
        <sz val="11"/>
        <color rgb="FF000000"/>
        <rFont val="Calibri"/>
        <family val="2"/>
        <scheme val="minor"/>
      </rPr>
      <t xml:space="preserve">IF(TRIM(EUR_CREDITO.CRD_IDSITCRE) = '', NULL, EUR_CREDITO.CRD_IDSITCRE) = PARAM_GENERAL_CODE_CONVERTER.SOURCE_VALUE AND PARAM_GENERAL_CODE_CONVERTER.SOURCE_CODE = 'FA' AND PARAM_GENERAL_CODE_CONVERTER.TARGET_FIELD = 'contract_status_code' AND GENERAL_CODE_CONVERTER.OPTION_NUMBER = 1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EUR_PROCESSO.PRO_CDFASPRO = PARAM_GENERAL_CODE_CONVERTER.SOURCE_VALUE AND PARAM_GENERAL_CODE_CONVERTER.TARGET_FIELD = 'FA' AND PARAM_GENERAL_CODE_CONVERTER.CODE_CATEGORY = 'contract_status_code' AND PARAM_GENERAL_CODE_CONVERTER.OPTION_NUMBER = 1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EUR_PROCESSO.PRO_CDFASPRO = PARAM_GENERAL_CODE_CONVERTER.SOURCE_VALUE AND PARAM_GENERAL_CODE_CONVERTER.SOURCE_CODE = 'FA' AND PARAM_GENERAL_CODE_CONVERTER.TARGET_FIELD = 'contract_status_code' AND PARAM_GENERAL_CODE_CONVERTER.OPTION_NUMBER = 1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INTERFACE_DCT01.DCYR8101_CSITCTA = PARAM_GENERAL_CODE_CONVERTER.SOURCE_VALUE AND PARAM_GENERAL_CODE_CONVERTER.SOURCE_CODE = 'DC' AND PARAM_GENERAL_CODE_CONVERTER.TARGET_FIELD = 'contract_status_code' AND PARAM_GENERAL_CODE_CONVERTER.OPTION_NUMBER = 1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AND TCT09_OPERCN.ISITUAC = PARAM_GENERAL_CODE_CONVERTER.SOURCE_VALUE AND PARAM_GENERAL_CODE_CONVERTER.SOURCE_CODE = 'TC' AND PARAM_GENERAL_CODE_CONVERTER.TARGET_FIELD = 'contract_status_code' AND PARAM_GENERAL_CODE_CONVERTER.OPTION_NUMBER = 1
</t>
    </r>
  </si>
  <si>
    <t>IDSITCRE
CDFASPRO
CDFASPRO
CSITCTA
ISITUAC</t>
  </si>
  <si>
    <t>Contract Opening Channel Code</t>
  </si>
  <si>
    <t>contract_opening_channel_code</t>
  </si>
  <si>
    <t>Identifier of the opening channel of the contract. The channel that was used to solicit the contract and not the channel used to actually open the contract. The receipts may enter the system thorugh one of the following modalities: Netbanco, CIB, in a file sent through e-mail, or received physically in a counter. As there is no way to distinguish which option is applicable in each case, the option with the most occurences, online, is chosen.</t>
  </si>
  <si>
    <t>Identificador do canal de abertura do contrato. Canal que foi utilizado para solicitar o contrato e não o canal utilizado para efetivamente abrir o contrato. As faturas podem entrar no sistema via uma das seguintes modalidades: Netbanco, CIB, em ficheiro excel enviado via e-mail, ou entregues fisicamente em Balcão. Não havendo forma de distinguir qual das 3 opções é aplicável a cada fatura, a modalidade com maior volume, 'Online', é colocada neste campo.</t>
  </si>
  <si>
    <t>Contract Opening Channel:
N\A
N\A
N\A
N\A
N\A</t>
  </si>
  <si>
    <t>Opening Channel</t>
  </si>
  <si>
    <t>CURATED_INTERNAL_EUROFAC
OPERATIONS_COMMON_REFERENCEDATA_CORE
CURATED_INTERNAL_EUROFAC
OPERATIONS_COMMON_REFERENCEDATA_CORE
CURATED_INTERNAL_EUROFAC
OPERATIONS_COMMON_REFERENCEDATA_CORE
CURATED_INTERMAL_MAINFRAME_CONTAS
OPERATIONS_COMMON_REFERENCEDATA_CORE
CURATED_INTERMAL_MAINFRAME_CONTENCIOSO
OPERATIONS_COMMON_REFERENCEDATA_CORE</t>
  </si>
  <si>
    <t xml:space="preserve">SELECT PARAM_GENERAL_CODE_CONVERTER.TARGET_VALUE
WHERE PARAM_GENERAL_CODE_CONVERTER.SOURCE_VALUE = '' AND PARAM_GENERAL_CODE_CONVERTER.SOURCE_CODE = 'FA' AND PARAM_GENERAL_CODE_CONVERTER.TARGET_FIELD = 'contract_opening_channel_code' AND PARAM_GENERAL_CODE_CONVERTER.OPTION_NUMBER = 1
SELECT PARAM_GENERAL_CODE_CONVERTER.TARGET_VALUE
WHERE EUR_INTERVEN.INT_NRINTINT = 1 AND EUR_PROCESSO.PRO_CDPRODUT NOT IN ('004', '005') AND EUR_PROCESSO.PRO_CDFASPRO = 5   AND PARAM_GENERAL_CODE_CONVERTER.SOURCE_VALUE = '' AND PARAM_GENERAL_CODE_CONVERTER.SOURCE_CODE = 'FA' AND PARAM_GENERAL_CODE_CONVERTER.TARGET_FIELD = 'contract_opening_channel_code' AND PARAM_GENERAL_CODE_CONVERTER.OPTION_NUMBER = 1
SELECT PARAM_GENERAL_CODE_CONVERTER.TARGET_VALUE
WHERE EUR_INTERVEN.INT_NRINTINT = 1 AND EUR_PROCESSO.PRO_CDPRODUT NOT IN ('004', '005') AND EUR_PROCESSO.PRO_CDFASPRO = 5
   AND PARAM_GENERAL_CODE_CONVERTER.SOURCE_VALUE = '' AND PARAM_GENERAL_CODE_CONVERTER.SOURCE_CODE = 'FA' AND PARAM_GENERAL_CODE_CONVERTER.TARGET_FIELD = 'contract_opening_channel_code' AND PARAM_GENERAL_CODE_CONVERTER.OPTION_NUMBER = 1
SELECT PARAM_GENERAL_CODE_CONVERTER.TARGET_VALUE
WHERE PARAM_GENERAL_CODE_CONVERTER.SOURCE_VALUE = '' AND PARAM_GENERAL_CODE_CONVERTER.SOURCE_CODE = 'DC' AND PARAM_GENERAL_CODE_CONVERTER.TARGET_FIELD = 'contract_opening_channel_code' AND PARAM_GENERAL_CODE_CONVERTER.OPTION_NUMBER = 1
SELECT PARAM_GENERAL_CODE_CONVERTER.TARGET_VALUE
WHERE PARAM_GENERAL_CODE_CONVERTER.SOURCE_VALUE = '' AND PARAM_GENERAL_CODE_CONVERTER.SOURCE_CODE = 'TC' AND PARAM_GENERAL_CODE_CONVERTER.TARGET_FIELD = 'contract_opening_channel_code' AND PARAM_GENERAL_CODE_CONVERTER.OPTION_NUMBER = 1
AND TCT09_OPERCN.ISITUAC = '1'  AND TCT09_OPERCN.DENTRADA &lt;= TCT09_OPERCN.DATA_DATE_PART AND (GROUP BY TCT09_OPERCN.CKBALCAO, TCT09_OPERCN.CKNUMCTA)
</t>
  </si>
  <si>
    <t>"Branch"
"Branch"
"Branch"
"Branch"
"Branch"</t>
  </si>
  <si>
    <t>Tec - Code</t>
  </si>
  <si>
    <t>Identifier of the Santander's application that generated the information. For example, EP for loans, CRT for cards, etc.</t>
  </si>
  <si>
    <t>Source:
N\A
N\A
N\A
N\A
N\A</t>
  </si>
  <si>
    <r>
      <rPr>
        <b/>
        <sz val="11"/>
        <color rgb="FF000000"/>
        <rFont val="Calibri"/>
        <family val="2"/>
        <scheme val="minor"/>
      </rPr>
      <t xml:space="preserve">SELECT </t>
    </r>
    <r>
      <rPr>
        <sz val="11"/>
        <color rgb="FF000000"/>
        <rFont val="Calibri"/>
        <family val="2"/>
        <scheme val="minor"/>
      </rPr>
      <t xml:space="preserve">'FA'
</t>
    </r>
    <r>
      <rPr>
        <b/>
        <sz val="11"/>
        <color rgb="FF000000"/>
        <rFont val="Calibri"/>
        <family val="2"/>
        <scheme val="minor"/>
      </rPr>
      <t>SELECT</t>
    </r>
    <r>
      <rPr>
        <sz val="11"/>
        <color rgb="FF000000"/>
        <rFont val="Calibri"/>
        <family val="2"/>
        <scheme val="minor"/>
      </rPr>
      <t xml:space="preserve"> 'FA'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'FA'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 xml:space="preserve">SELECT </t>
    </r>
    <r>
      <rPr>
        <sz val="11"/>
        <color rgb="FF000000"/>
        <rFont val="Calibri"/>
        <family val="2"/>
        <scheme val="minor"/>
      </rPr>
      <t xml:space="preserve">'DC'
</t>
    </r>
    <r>
      <rPr>
        <b/>
        <sz val="11"/>
        <color rgb="FF000000"/>
        <rFont val="Calibri"/>
        <family val="2"/>
        <scheme val="minor"/>
      </rPr>
      <t>SELECT '</t>
    </r>
    <r>
      <rPr>
        <sz val="11"/>
        <color rgb="FF000000"/>
        <rFont val="Calibri"/>
        <family val="2"/>
        <scheme val="minor"/>
      </rPr>
      <t xml:space="preserve">TC'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</si>
  <si>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"FA"
"FA"
"FA"
"DC"
"TC"</t>
  </si>
  <si>
    <t>Balance Datetime</t>
  </si>
  <si>
    <t>DATA_DATE_PART
DATA_DATE_PART
DATA_DATE_PART
DATA_DATE_PART
DATA_DATE_PART</t>
  </si>
  <si>
    <r>
      <rPr>
        <b/>
        <sz val="11"/>
        <color rgb="FF000000"/>
        <rFont val="Calibri"/>
        <family val="2"/>
        <scheme val="minor"/>
      </rPr>
      <t xml:space="preserve">SELECT </t>
    </r>
    <r>
      <rPr>
        <sz val="11"/>
        <color rgb="FF000000"/>
        <rFont val="Calibri"/>
        <family val="2"/>
        <scheme val="minor"/>
      </rPr>
      <t xml:space="preserve">EUR_CREDITO.DATA_DATE_PART
</t>
    </r>
    <r>
      <rPr>
        <b/>
        <sz val="11"/>
        <color rgb="FF000000"/>
        <rFont val="Calibri"/>
        <family val="2"/>
        <scheme val="minor"/>
      </rPr>
      <t>SELECT</t>
    </r>
    <r>
      <rPr>
        <sz val="11"/>
        <color rgb="FF000000"/>
        <rFont val="Calibri"/>
        <family val="2"/>
        <scheme val="minor"/>
      </rPr>
      <t xml:space="preserve"> EUR_INTERVEN.DATA_DATE_PART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INTERFACE_DCT01.DATA_DATE_PART
</t>
    </r>
    <r>
      <rPr>
        <b/>
        <sz val="11"/>
        <color rgb="FF000000"/>
        <rFont val="Calibri"/>
        <family val="2"/>
        <scheme val="minor"/>
      </rPr>
      <t>SELECT</t>
    </r>
    <r>
      <rPr>
        <sz val="11"/>
        <color rgb="FF000000"/>
        <rFont val="Calibri"/>
        <family val="2"/>
        <scheme val="minor"/>
      </rPr>
      <t xml:space="preserve"> TCT09_OPERCN.ISITUAC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</si>
  <si>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Factoring Transaction</t>
  </si>
  <si>
    <t>factoring_transaction</t>
  </si>
  <si>
    <t>Transactions - General
Transactions - General
Transactions - Loans</t>
  </si>
  <si>
    <t>Contract ID
Contract Number
Loan Number</t>
  </si>
  <si>
    <t>CURATED_INTERNAL_EUROFAC
CURATED_INTERNAL_EUROFAC
CURATED_INTERNAL_EUROFAC
CURATED_INTERNAL_MAINFRAME_CONTAS
CURATED_INTERNAL_MAINFRAME_CONTAS
CURATED_INTERNAL_MAINFRAME_CONTENCIOSO
CURATED_INTERNAL_MAINFRAME_CONTENCIOSO
COMMON_REFERENCEDATA_CORE
COMMON_REFERENCEDATA_CORE</t>
  </si>
  <si>
    <t>EUR_MOVICCOR
EUR_PROCESSO
EUR_CREDITO
MOVIMENTOS_CONSOLIDADOS
INTERFACE_DCT01
TCT72_MOVCTA
TCT09_OPERCN
PARAM_GENERAL_CODE_CONVERTER
PARAM_LITIGATION_PRODUCT</t>
  </si>
  <si>
    <t>N\A
N\A
N\A
N\A
N\A
N\A
N\A
TARGET_VALUE
N\A</t>
  </si>
  <si>
    <r>
      <rPr>
        <b/>
        <sz val="11"/>
        <color rgb="FF000000"/>
        <rFont val="Calibri"/>
        <family val="2"/>
        <scheme val="minor"/>
      </rPr>
      <t>SELECT</t>
    </r>
    <r>
      <rPr>
        <sz val="11"/>
        <color rgb="FF000000"/>
        <rFont val="Calibri"/>
        <family val="2"/>
        <scheme val="minor"/>
      </rPr>
      <t xml:space="preserve"> PARAM_GENERAL_CODE_CONVERTER.TARGET_VALUE
WHERE PARAM_GENERAL_CONVERTER.TARGET_FIELD = 'bank_id' AND PARAM_GENERAL_CONVERTER.SOURCE_CODE = 'FA' AND CASE
      WHEN LEN( EUR_MOVICCOR.MCC_NRORIG01 ) = 13 AND SUBSTRING( EUR_MOVICCOR.MCC_NRORIG01, 1, 2 ) = '15' THEN ''
      WHEN LEN( EUR_MOVICCOR.MCC_NRORIG02 ) = 13 AND SUBSTRING( EUR_MOVICCOR.MCC_NRORIG02, 1, 2 ) = '15' THEN ''
      WHEN LEN( EUR_MOVICCOR.MCC_NRORIG03 ) = 13 AND SUBSTRING( EUR_MOVICCOR.MCC_NRORIG03, 1, 2 ) = '15' THEN ''
      ELSE '#N/A' = SOURCE_VALUE AND PARAM_GENERAL_CONVERTER.OPTION_NUMBER = '1' 
   AND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PARAM_GENERAL_CONVERTER.TARGTE_VALUE
</t>
    </r>
    <r>
      <rPr>
        <b/>
        <sz val="11"/>
        <color rgb="FF000000"/>
        <rFont val="Calibri"/>
        <family val="2"/>
        <scheme val="minor"/>
      </rPr>
      <t>WHERE</t>
    </r>
    <r>
      <rPr>
        <sz val="11"/>
        <color rgb="FF000000"/>
        <rFont val="Calibri"/>
        <family val="2"/>
        <scheme val="minor"/>
      </rPr>
      <t xml:space="preserve"> PARAM_GENERAL_CONVERTER.TARGTE_FIELD = 'bank_id' AND PARAM_GENERAL_CONVERTER.SOURCE_CODE = 'DC' AND PARAM_GENERAL_CONVERTER.SOURCE_VALUE = '' AND PARAM_GENERAL_CONVERTER.OPTION_NUMBER = '1' 
    AND PARAM_LITIGATION_PRODUCT.SOURCE_PRODUCT_ID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PARAM_GENERAL_CONVERTER.CDM_VALUE
</t>
    </r>
    <r>
      <rPr>
        <b/>
        <sz val="11"/>
        <color rgb="FF000000"/>
        <rFont val="Calibri"/>
        <family val="2"/>
        <scheme val="minor"/>
      </rPr>
      <t>WHERE</t>
    </r>
    <r>
      <rPr>
        <sz val="11"/>
        <color rgb="FF000000"/>
        <rFont val="Calibri"/>
        <family val="2"/>
        <scheme val="minor"/>
      </rPr>
      <t xml:space="preserve"> PARAM_GENERAL_CONVERTER.CODE CATEGORY = 'bank_id' AND PARAM_GENERAL_CONVERTER.SOURCE_CODE = 'TC' AND PARAM_GENERAL_CONVERTER.SOURCE_VALUE = ''
    AND PARAM_LITIGATION_PRODUCT.SOURCE_PRODUCT_ID = INTERFACE_DCT01.DCYR8101_CKPRODUT AND PARAM_LITIGATION_PRODUCT.SOURCE_SUBPRODUCT_ID = INTERFACE_DCT01.DCYR8101_CKSUBPRO AND PARAM_LITIGATION_PRODUCT.SOURCE_CODE = 'FA'
</t>
    </r>
  </si>
  <si>
    <t>FA - Factoring Eurofac
DC - Contas a Vista
TC - Terminal Contencioso</t>
  </si>
  <si>
    <t>N\A || N\A
N\A
N\A</t>
  </si>
  <si>
    <t>"89" || "#N/A"
"31"
"31"</t>
  </si>
  <si>
    <t>Identifier of the contract associated with the transaction.</t>
  </si>
  <si>
    <t>Identificador do contrato associado à transação.</t>
  </si>
  <si>
    <t>CURATED_INTERNAL_EUROFAC
CURATED_INTERNAL_EUROFAC
CURATED_INTERNAL_EUROFAC
CURATED_INTERNAL_MAINFRAME_CONTAS
CURATED_INTERNAL_MAINFRAME_CONTAS
CURATED_INTERNAL_MAINFRAME_CONTENCIOSO
CURATED_INTERNAL_MAINFRAME_CONTENCIOSO
COMMON_REFERENCEDATA_CORE</t>
  </si>
  <si>
    <t>EUR_MOVICCOR
EUR_PROCESSO
EUR_CREDITO
MOVIMENTOS_CONSOLIDADOS
INTERFACE_DCT01
TCT72_MOVCTA
TCT09_OPERCN
PARAM_LITIGATION_PRODUCT</t>
  </si>
  <si>
    <t>MCC_NRORIG01, MCC_NRORIG02, MCC_NRORIG03
N\A
N\A
DCYR9750_CKBALCAO, DCYR9750_CKNUMCTA
N\A
CKBALCAO,CKNUMCTA, ZDEPOSIT
N\A
N\A</t>
  </si>
  <si>
    <r>
      <rPr>
        <b/>
        <sz val="11"/>
        <color rgb="FF000000"/>
        <rFont val="Calibri"/>
        <family val="2"/>
        <scheme val="minor"/>
      </rPr>
      <t>SELECT</t>
    </r>
    <r>
      <rPr>
        <sz val="11"/>
        <color rgb="FF000000"/>
        <rFont val="Calibri"/>
        <family val="2"/>
        <scheme val="minor"/>
      </rPr>
      <t xml:space="preserve"> CASE
      WHEN LEN( EUR_MOVICCOR.MCC_NRORIG01 ) = 13 AND SUBSTRING( EUR_MOVICCOR.MCC_NRORIG01, 1, 2) = '15' THEN CONCAT( '0000', SUBSTRING( EUR_MOVICCOR.MCC_NRPROCES, 3, 11 ), '00', RPAD( EUR_MOVICCOR.MCC_NRORIG01, 13,'0' ) )
      WHEN LEN( EUR_MOVICCOR.MCC_NRORIG02 ) = 13 AND SUBSTRING( EUR_MOVICCOR.MCC_NRORIG02, 1, 2) = '15' THEN CONCAT( '0000', SUBSTRING( EUR_MOVICCOR.MCC_NRPROCES, 3, 11 ), '00', RPAD( EUR_MOVICCOR.MCC_NRORIG02, 13,'0' ) )
      WHEN LEN( EUR_MOVICCOR.MCC_NRORIG03) = 13 AND SUBSTRING( EUR_MOVICCOR.MCC_NRORIG03, 1, 2) = '15' THEN CONCAT( '0000', SUBSTRING( EUR_MOVICCOR.MCC_NRPROCES, 3, 11 ), '00', RPAD( EUR_MOVICCOR.MCC_NRORIG03, 13, '0' ) )
      ELSE '#N/A'
    END
</t>
    </r>
    <r>
      <rPr>
        <b/>
        <sz val="11"/>
        <color rgb="FF000000"/>
        <rFont val="Calibri"/>
        <family val="2"/>
        <scheme val="minor"/>
      </rPr>
      <t xml:space="preserve">WHERE </t>
    </r>
    <r>
      <rPr>
        <sz val="11"/>
        <color rgb="FF000000"/>
        <rFont val="Calibri"/>
        <family val="2"/>
        <scheme val="minor"/>
      </rPr>
      <t xml:space="preserve">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CONCAT( MOVIMENTOS_CONSOLIDADOS.DCYR9750_CKBALCAO, MOVIMENTOS_CONSOLIDADOS.DCYR9750_CKNUMCTA, '000000000000000' )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 xml:space="preserve">
SELECT</t>
    </r>
    <r>
      <rPr>
        <sz val="11"/>
        <color rgb="FF000000"/>
        <rFont val="Calibri"/>
        <family val="2"/>
        <scheme val="minor"/>
      </rPr>
      <t xml:space="preserve"> CONCAT( TCT72_MOVCTA.CKBALCAO, TCT72_MOVCTA.CKNUMCTA, TCT72_MOVCTA.ZDEPOSIT )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</si>
  <si>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EUR_MOVICCOR || EUR_MOVICCOR || EUR_MOVICCOR || N\A
DCYR9750
TCT72_MOVCTA</t>
  </si>
  <si>
    <t>CONCAT( "0000", NRPROCES( 3, 11 ), "00", RPAD( NRORIG01, 13, '0' ) || CONCAT( "0000", NRPROCES( 3, 11 ), "00", RPAD( NRORIG02, 13, '0' ) ) || CONCAT( "0000", NRPROCES( 3, 11 ), "00", RPAD( NRORIG03, 13, '0' ) ) || N\A
CONCAT( CKBALCAO, CKNUMCTA, "000000000000000" )
CONCAT ( CKBALCAO, CKNUMCTA, ZDEPOSIT )</t>
  </si>
  <si>
    <t>N\A || N\A || N\A || "#N/A"
N\A
N\A</t>
  </si>
  <si>
    <t>Order Number</t>
  </si>
  <si>
    <t>order_number</t>
  </si>
  <si>
    <t>Int Inf - Trans Op Inf - Value</t>
  </si>
  <si>
    <t>BIGINT</t>
  </si>
  <si>
    <t>Represents the position in the sequencial order of transactions. In the case of factoring contracts it represents the order number inside all transactions performed in Eurofac (not inside the process nor the contract). In case of a litigation transaction, the counter resets every year and it counts inside of a contract.</t>
  </si>
  <si>
    <t>Representa o nº sequencial da ordem do transação. Sendo que, no caso de factoring o contador é transversal à aplicação e não por contrato. No caso das transações de contencioso, o contador é contabilizado por contrato e dá "reset" anualmente. No caso de contas passagens o contador é contabilizado por contrato e dá "reset" diariamente.</t>
  </si>
  <si>
    <t>Transactions - General
Transactions - General</t>
  </si>
  <si>
    <t>Operation Order
Transaction ID</t>
  </si>
  <si>
    <t>MCC_NRMOVIME 
N\A
N\A
DCYR9750_ZMOVCTA
N\A
ZMOVCTA
N\A
N\A</t>
  </si>
  <si>
    <r>
      <rPr>
        <b/>
        <sz val="11"/>
        <color rgb="FF000000"/>
        <rFont val="Calibri"/>
        <family val="2"/>
        <scheme val="minor"/>
      </rPr>
      <t>SELECT</t>
    </r>
    <r>
      <rPr>
        <sz val="11"/>
        <color rgb="FF000000"/>
        <rFont val="Calibri"/>
        <family val="2"/>
        <scheme val="minor"/>
      </rPr>
      <t xml:space="preserve"> CAST( EUR_MOVICCOR.MCC_NRMOVIME AS BIGINT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CAST( MOVIMENTOS_CONSOLIDADOS.DCYR9750_ZMOVCTA AS BIGINT )
</t>
    </r>
    <r>
      <rPr>
        <b/>
        <sz val="11"/>
        <color rgb="FF000000"/>
        <rFont val="Calibri"/>
        <family val="2"/>
        <scheme val="minor"/>
      </rPr>
      <t>WHERE</t>
    </r>
    <r>
      <rPr>
        <sz val="11"/>
        <color rgb="FF000000"/>
        <rFont val="Calibri"/>
        <family val="2"/>
        <scheme val="minor"/>
      </rPr>
      <t xml:space="preserve"> CONF_LITIGATION_PRODUCT.SOURCE_PRODUCT_ID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CAST( TCT72_MOVCTA.ZMOVCTA AS BIGINT )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</si>
  <si>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EUR_MOVICCOR
DCYR9750
TCT72_MOVCTA</t>
  </si>
  <si>
    <t>NRMOVIME
ZMOVCTA
ZMOVCTA</t>
  </si>
  <si>
    <t>N\A
N\A
N\A</t>
  </si>
  <si>
    <t>Order Number Stage</t>
  </si>
  <si>
    <t>order_number_stage</t>
  </si>
  <si>
    <t>Represents the sequencial stage order inside of the transaction. In case of factoring contracts the field does not apply unless it is a litigation transaction.</t>
  </si>
  <si>
    <t>Representa a nº da etapa dentro de uma transação.</t>
  </si>
  <si>
    <t>N\A
N\A
N\A
N\A
N\A
ZSEQMOV
N\A
N\A</t>
  </si>
  <si>
    <r>
      <rPr>
        <b/>
        <sz val="11"/>
        <color rgb="FF000000"/>
        <rFont val="Calibri"/>
        <family val="2"/>
        <scheme val="minor"/>
      </rPr>
      <t>SELECT</t>
    </r>
    <r>
      <rPr>
        <sz val="11"/>
        <color rgb="FF000000"/>
        <rFont val="Calibri"/>
        <family val="2"/>
        <scheme val="minor"/>
      </rPr>
      <t xml:space="preserve"> CAST( 1 AS BIGINT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CAST( 1 AS BIGINT )
</t>
    </r>
    <r>
      <rPr>
        <b/>
        <sz val="11"/>
        <color rgb="FF000000"/>
        <rFont val="Calibri"/>
        <family val="2"/>
        <scheme val="minor"/>
      </rPr>
      <t>WHERE</t>
    </r>
    <r>
      <rPr>
        <sz val="11"/>
        <color rgb="FF000000"/>
        <rFont val="Calibri"/>
        <family val="2"/>
        <scheme val="minor"/>
      </rPr>
      <t xml:space="preserve"> CONF_LITIGATION_PRODUCT.SOURCE_PRODUCT_ID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CAST( TCT72_MOVCTA.ZSEQMOV AS BIGINT )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</si>
  <si>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N\A
N\A
TCT72_MOVCTA</t>
  </si>
  <si>
    <t>N\A
N\A
ZSEQMOV</t>
  </si>
  <si>
    <t>"1"
"1"
N\A</t>
  </si>
  <si>
    <t>Identifica o banco interno (cempresa) do processo associado à transação.</t>
  </si>
  <si>
    <t xml:space="preserve">
</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</si>
  <si>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'process_bank_id' AND PARAM_GENERAL_CODE_CONVERTER.SOURCE_CODE = 'FA' AND PARAM_GENERAL_CODE_CONVERTER.SOURCE_VALUE = '' AND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CONF_LITIGATION_PRODUCT.SOURCE_PRODUCT_ID = INTERFACE_DCT01.DCYR8101_CKPRODUT AND PARAM_LITIGATION_PRODUCT.SOURCE_SUBPRODUCT_ID = PARAM_LITIGATION_PRODUCT.DCYR8101_CKSUBPRO AND PARAM_LITIGATION_PRODUCT.SOURCE_CODE = 'FA'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CONF_LITIGATION_PRODUCT.SOURCE_PRODUCT_ID = TCT09_OPERCN.CKPRODUT AND PARAM_LITIGATION_PRODUCT.SOURCE_SUBPRODUCT_ID = TCT09_OPERCN.CKSUBPRO AND PARAM_LITIGATION_PRODUCT.SOURCE_CODE = 'FA'</t>
    </r>
  </si>
  <si>
    <t>EUR_MOVICCOR
N\A
N\A</t>
  </si>
  <si>
    <t>"89"
"NULL"
"#N/A"</t>
  </si>
  <si>
    <t>Identifica o processo associado à transação.</t>
  </si>
  <si>
    <t>MCC_NRPROCES
N\A
N\A
N\A
N\A
N\A
N\A
N\A</t>
  </si>
  <si>
    <r>
      <rPr>
        <b/>
        <sz val="11"/>
        <color rgb="FF000000"/>
        <rFont val="Calibri"/>
        <family val="2"/>
        <scheme val="minor"/>
      </rPr>
      <t>SELECT</t>
    </r>
    <r>
      <rPr>
        <sz val="11"/>
        <color rgb="FF000000"/>
        <rFont val="Calibri"/>
        <family val="2"/>
        <scheme val="minor"/>
      </rPr>
      <t xml:space="preserve"> CONCAT('0000', SUBSTRING( EUR_MOVICCOR.MCC_NRPROCES, 3, 11 )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</si>
  <si>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CONCAT( "0000", NRPROCES( 3, 11 ) )
N\A
N\A</t>
  </si>
  <si>
    <t>N\A
"NULL"
"#N/A"</t>
  </si>
  <si>
    <t>Transaction Type Code</t>
  </si>
  <si>
    <t>transaction_type_code</t>
  </si>
  <si>
    <t>Ext Inf - Trans Op Inf - Code</t>
  </si>
  <si>
    <t>Represents the type of transaction performed, for example, principal, taxes, etc. This code aggregates many types of transaction, for example, many COPERACs correspond to one transaction type.</t>
  </si>
  <si>
    <t>Identifica o tipo de transação, isto é, se é capital, impostos, transferências, etc. Este código agrega diversos tipo de transação mais granulares, por exemplo, vários COPERACs correspondem a um tipo de transação.</t>
  </si>
  <si>
    <t>Transaction Type:
EUR_TAB_GERAL - 013; CURATED_INTERNAL_EUROFAC.EUR_TABGERAL - GER_CDTABGER 013
TAT91 - CTABELA 021;  CURATED_INTERNAL_MAINFRAME_ESTRUTURAIS.TAT91_TABELAS - TAYD91C0_CTABELA 021</t>
  </si>
  <si>
    <t>Transactions - General
Transaction Type</t>
  </si>
  <si>
    <t>Transaction Type ID
Transaction Type ID</t>
  </si>
  <si>
    <t>N\A
N\A
N\A
N\A
N\A
N\A
N\A
TARGET_VALUE
N\A
N\A</t>
  </si>
  <si>
    <r>
      <rPr>
        <b/>
        <sz val="11"/>
        <color rgb="FF000000"/>
        <rFont val="Calibri"/>
        <family val="2"/>
        <scheme val="minor"/>
      </rPr>
      <t>SELECT</t>
    </r>
    <r>
      <rPr>
        <sz val="11"/>
        <color rgb="FF000000"/>
        <rFont val="Calibri"/>
        <family val="2"/>
        <scheme val="minor"/>
      </rPr>
      <t xml:space="preserve"> PARAM_GENERAL_CONVERTER.TARGET_VALUE
</t>
    </r>
    <r>
      <rPr>
        <b/>
        <sz val="11"/>
        <color rgb="FF000000"/>
        <rFont val="Calibri"/>
        <family val="2"/>
        <scheme val="minor"/>
      </rPr>
      <t>WHERE</t>
    </r>
    <r>
      <rPr>
        <sz val="11"/>
        <color rgb="FF000000"/>
        <rFont val="Calibri"/>
        <family val="2"/>
        <scheme val="minor"/>
      </rPr>
      <t xml:space="preserve"> PARAM_GENERAL_CONVERTER.SOURCE_VALUE =  CONCAT( EUR_MOVICCOR.MCC_CDMOVIME, EUR_MOVICCOR.MCC_CDSUBMOV ) AND PARAM_GENERAL_CONVERTER.CODE CATEGORY = 'transaction_type_code' AND PARAM_GENERAL_CONVERTER.SOURCE_CODE = 'FA' AND PARAM_GENERAL_CONVERTER.OPTION_NUMBER = '1' 
   AND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CASE
        WHEN MOVIMENTOS_CONSOLIDADOS.DCYR9750_OPERBAS = '160' AND MOVIMENTOS_CONSOLIDADOS.DCYR9750_OPERBAN = '001' THEN IF(TRIM(SUBSTRING(TAT91_TABELAS_NEW.tayD91C0_NELEMC05, 3, 3)) IN ('', 'N/A'), NULL, PARAM_GENERAL_CODE_CONVERTER (COPERAC).TARGET_VALUE)
        ELSE PARAM_GENERAL_CODE_CONVERTER (OBB).TARGET_VALUE
      END
</t>
    </r>
    <r>
      <rPr>
        <b/>
        <sz val="11"/>
        <color rgb="FF000000"/>
        <rFont val="Calibri"/>
        <family val="2"/>
        <scheme val="minor"/>
      </rPr>
      <t>WHERE</t>
    </r>
    <r>
      <rPr>
        <sz val="11"/>
        <color rgb="FF000000"/>
        <rFont val="Calibri"/>
        <family val="2"/>
        <scheme val="minor"/>
      </rPr>
      <t xml:space="preserve">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AND PARAM_LITIGATION_PRODUCT.SOURCE_PRODUCT_ID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PARAM_GENERAL_CONVERTER.TARGET_VALUE_VALUE
</t>
    </r>
    <r>
      <rPr>
        <b/>
        <sz val="11"/>
        <color rgb="FF000000"/>
        <rFont val="Calibri"/>
        <family val="2"/>
        <scheme val="minor"/>
      </rPr>
      <t>WHERE</t>
    </r>
    <r>
      <rPr>
        <sz val="11"/>
        <color rgb="FF000000"/>
        <rFont val="Calibri"/>
        <family val="2"/>
        <scheme val="minor"/>
      </rPr>
      <t xml:space="preserve">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AND TCT72_MOVCTA.DDIAOP &gt; SUBSTRING( LAST_DATA_DATE_PART, 1, 10) AND TCT72_MOVCTA.DDIAOP &lt;= SUBSTRING( LAST_DATA_DATE_PART, 11, 10 )
   AND CONF_LITIGATION_PRODUCT.SOURCE_PRODUCT_ID = TCT09_OPERCN.CKPRODUT AND PARAM_LITIGATION_PRODUCT.SOURCE_SUBPRODUCT_ID = TCT09_OPERCN.CKSUBPRO AND PARAM_LITIGATION_PRODUCT.SOURCE_CODE = 'FA'</t>
    </r>
  </si>
  <si>
    <t>EUR_MOVICCOR
DCYR9750 || DCYR9750 
TCT72_MOVCTA</t>
  </si>
  <si>
    <t>CONCAT ( CDMOVIME, CDSUBMOV )
COPERAC || CONCAT( OPERBAS, OPERBAN )
COPERAC</t>
  </si>
  <si>
    <t>N\A
N\A || N\A
N\A</t>
  </si>
  <si>
    <t>Financial Flow Indicator</t>
  </si>
  <si>
    <t>financial_flow_indicator</t>
  </si>
  <si>
    <t>Ext Inf - Trans Op Inf - Ind</t>
  </si>
  <si>
    <t>Identifies the transactions that directly, or indirectly, impacts an account, this is, there is movement of money.</t>
  </si>
  <si>
    <t>Indentifca nas transações são financeiros. Isto é, apenas são consideradas transações financeiras as que efetivamente movimentam dinheiro, ou seja, que impactam uma conta (DO, Nostro Vosto, ect), por exemplo: pagamento através de um cartão de débito, pagamento do estrato do cartão de crédito, cobrança de prestação, etc. Também deverão ser considerados como transações financeiras os movimentos entre entidades do banco, por exemplo: cobrança de uma comissão a  um cliente Santander, envio de dinheiro de uma DO Santander para uma DO Santander, etc.</t>
  </si>
  <si>
    <t>N\A
N\A
N\A
N\A
N\A
N\A
N\A
N\A
N\A
TARGET_VALUE</t>
  </si>
  <si>
    <r>
      <rPr>
        <b/>
        <sz val="11"/>
        <color rgb="FF000000"/>
        <rFont val="Calibri"/>
        <family val="2"/>
      </rPr>
      <t>SELECT</t>
    </r>
    <r>
      <rPr>
        <sz val="11"/>
        <color rgb="FF000000"/>
        <rFont val="Calibri"/>
        <family val="2"/>
      </rPr>
      <t xml:space="preserve"> PARAM_GENERAL_CONVERTER.TARGET_VALUE
</t>
    </r>
    <r>
      <rPr>
        <b/>
        <sz val="11"/>
        <color rgb="FF000000"/>
        <rFont val="Calibri"/>
        <family val="2"/>
      </rPr>
      <t>WHERE</t>
    </r>
    <r>
      <rPr>
        <sz val="11"/>
        <color rgb="FF000000"/>
        <rFont val="Calibri"/>
        <family val="2"/>
      </rPr>
      <t xml:space="preserve"> PARAM_GENERAL_CONVERTER.SOURCE_VALUE =  CONCAT( EUR_MOVICCOR.MCC_CDMOVIME, EUR_MOVICCOR.MCC_CDSUBMOV ) AND PARAM_GENERAL_CONVERTER.TARGET_FIELD = 'financial_flow_indicator' AND PARAM_GENERAL_CONVERTER.SOURCE_CODE = 'FA' AND PARAM_GENERAL_CONVERTER.OPTION_NUMBER = '1' 
   AND SUBSTRING( EUR_MOVICCOR.MCC_DTALTREG, 1, 10 ) &gt; SUBSTRING( LAST_DATA_DATE_PART, 1, 10 ) AND SUBSTRING( EUR_MOVICCOR.MCC_DTALTREG, 11, 10) &lt;= SUBSTRING( LAST_DATA_DATE_PART, 11, 10 )
</t>
    </r>
    <r>
      <rPr>
        <b/>
        <sz val="11"/>
        <color rgb="FF000000"/>
        <rFont val="Calibri"/>
        <family val="2"/>
      </rPr>
      <t>SELECT</t>
    </r>
    <r>
      <rPr>
        <sz val="11"/>
        <color rgb="FF000000"/>
        <rFont val="Calibri"/>
        <family val="2"/>
      </rPr>
      <t xml:space="preserve"> PARAM_GENERAL_CONVERTER.TARGET_VALUE
</t>
    </r>
    <r>
      <rPr>
        <b/>
        <sz val="11"/>
        <color rgb="FF000000"/>
        <rFont val="Calibri"/>
        <family val="2"/>
      </rPr>
      <t>WHERE</t>
    </r>
    <r>
      <rPr>
        <sz val="11"/>
        <color rgb="FF000000"/>
        <rFont val="Calibri"/>
        <family val="2"/>
      </rPr>
      <t xml:space="preserve"> PARAM_GENERAL_CONVERTER.SOURCE_VALUE =  '' AND PARAM_GENERAL_CONVERTER.TARGET_FIELD = 'financial_flow_indicator' AND PARAM_GENERAL_CONVERTER.SOURCE_CODE = 'DC' AND PARAM_GENERAL_CONVERTER.OPTION_NUMBER = '1' 
CONF_LITIGATION_PRODUCT.SOURCE_PRODUCT_ID = INTERFACE_DCT01.DCYR8101_CKPRODUT AND CONF_LITIGATION_PRODUCT.SOURCE_SUBPRODUCT_ID = INTERFACE_DCT01.DCYR8101_CKSUBPRO AND CONF_LITIGATION_PRODUCT.SOURCE_CODE = 'FA'
</t>
    </r>
    <r>
      <rPr>
        <b/>
        <sz val="11"/>
        <color rgb="FF000000"/>
        <rFont val="Calibri"/>
        <family val="2"/>
      </rPr>
      <t>SELECT</t>
    </r>
    <r>
      <rPr>
        <sz val="11"/>
        <color rgb="FF000000"/>
        <rFont val="Calibri"/>
        <family val="2"/>
      </rPr>
      <t xml:space="preserve"> IF( TRIM( SUBSTRING( TAT91_TABELAS_NEW.TAYD91C0_NELEMC05, 2, 1) = '', NULL, SUBSTRING( TAT91_TABELAS_NEW.TAYD91C0_NELEMC05, 2, 1) )
</t>
    </r>
    <r>
      <rPr>
        <b/>
        <sz val="11"/>
        <color rgb="FF000000"/>
        <rFont val="Calibri"/>
        <family val="2"/>
      </rPr>
      <t>WHERE</t>
    </r>
    <r>
      <rPr>
        <sz val="11"/>
        <color rgb="FF000000"/>
        <rFont val="Calibri"/>
        <family val="2"/>
      </rPr>
      <t xml:space="preserve"> AND TAT91_TABELAS_NEW.TAYD91C0_CTABELA = '021' AND SUBSTRING( TAT91_TABELAS_NEW.TAYD91C0_CELEMTAB, 1, 3 ) = TCT72_MOVCTA.COPERAC
   AND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</si>
  <si>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EUR_MOVICCOR
N\A
TCT72_MOVCTA</t>
  </si>
  <si>
    <t>CONCAT ( CDMOVIME, CDSUBMOV )
N\A
COPERAC</t>
  </si>
  <si>
    <t>N\A
'1'
N\A</t>
  </si>
  <si>
    <t>Chargeback Indicator</t>
  </si>
  <si>
    <t>chargeback_indicator</t>
  </si>
  <si>
    <t>Indicates whether the transaction was annulled or not.</t>
  </si>
  <si>
    <t>Identifica se a transação foi estornada, ou anulada, ou não.</t>
  </si>
  <si>
    <t>Transactions - General</t>
  </si>
  <si>
    <t>Annulation Indicator</t>
  </si>
  <si>
    <t>MCC_IDANULAD
N\A
N\A
N\A
N\A
N\A
N\A
N\A</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</si>
  <si>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PARAM_GENERAL_CONVERTER.SOURCE_VALUE =  EUR_MOVICCOR.MCC_IDANULAD AND PARAM_GENERAL_CONVERTER.CODE CATEGORY = 'billing_indicator' AND PARAM_GENERAL_CONVERTER.SOURCE_CODE = 'FA' AND PARAM_GENERAL_CONVERTER.OPTION_NUMBER = '1' 
AND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</si>
  <si>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IDANULAD
N\A
N\A</t>
  </si>
  <si>
    <t>N\A
"NULL"
"NULL"</t>
  </si>
  <si>
    <t>Billing Indicator</t>
  </si>
  <si>
    <t>billing_indicator</t>
  </si>
  <si>
    <t>Indicates whether the transaction is a billing or an advancement.</t>
  </si>
  <si>
    <t>Identifica se a transação representa uma cobrança ao cliente ou um adiantamento de capital.</t>
  </si>
  <si>
    <t>Transaction Type ID</t>
  </si>
  <si>
    <t>MCC_TPOPERAC
N\A
N\A
N\A
N\A
N\A
N\A
N\A</t>
  </si>
  <si>
    <r>
      <rPr>
        <b/>
        <sz val="11"/>
        <color rgb="FF000000"/>
        <rFont val="Calibri"/>
        <family val="2"/>
        <scheme val="minor"/>
      </rPr>
      <t>SELECT</t>
    </r>
    <r>
      <rPr>
        <sz val="11"/>
        <color rgb="FF000000"/>
        <rFont val="Calibri"/>
        <family val="2"/>
        <scheme val="minor"/>
      </rPr>
      <t xml:space="preserve"> PARAM_GENERAL_CODE_CONVERTER.TARGET_VALUE
</t>
    </r>
    <r>
      <rPr>
        <sz val="11"/>
        <color rgb="FF000000"/>
        <rFont val="Calibri"/>
        <family val="2"/>
        <scheme val="minor"/>
      </rPr>
      <t xml:space="preserve">WHERE PARAM_GENERAL_CONVERTER.SOURCE_VALUE =  EUR_MOVICCOR.MCC_TPOPERAC AND PARAM_GENERAL_CONVERTER.TARGET_FIELD = 'chargeback_indicator' AND PARAM_GENERAL_CONVERTER.SOURCE_CODE = 'FA' AND PARAM_GENERAL_CONVERTER.OPTION_NUMBER = '1' 
</t>
    </r>
    <r>
      <rPr>
        <sz val="11"/>
        <color rgb="FF000000"/>
        <rFont val="Calibri"/>
        <family val="2"/>
        <scheme val="minor"/>
      </rPr>
      <t xml:space="preserve">AND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</si>
  <si>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TPOPERAC
N\A
N\A</t>
  </si>
  <si>
    <t>Billing Document ID</t>
  </si>
  <si>
    <t>billing_document_id</t>
  </si>
  <si>
    <t>Ext Inf - Trans Op Inf - ID</t>
  </si>
  <si>
    <t>Identifies the billing document that triggered the transaction.</t>
  </si>
  <si>
    <t>Identifica o documento de cobrança que causou a transação e à qual a mesma ficou associada.</t>
  </si>
  <si>
    <t>Transactions - Loans</t>
  </si>
  <si>
    <t>Cheque Number</t>
  </si>
  <si>
    <t>MCC_NRINTDOC
N\A
N\A
N\A
N\A
N\A
N\A
N\A</t>
  </si>
  <si>
    <r>
      <rPr>
        <b/>
        <sz val="11"/>
        <color rgb="FF000000"/>
        <rFont val="Calibri"/>
        <family val="2"/>
        <scheme val="minor"/>
      </rPr>
      <t>SELECT</t>
    </r>
    <r>
      <rPr>
        <sz val="11"/>
        <color rgb="FF000000"/>
        <rFont val="Calibri"/>
        <family val="2"/>
        <scheme val="minor"/>
      </rPr>
      <t xml:space="preserve"> IF( TRIM( CAST( EUR_MOVICCOR.MCC_NRINTDOC AS STRING ) ) = '', NULL, CAST( EUR_MOVICCOR.MCC_NRINTDOC AS STRING )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</si>
  <si>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NRINTDOC
N\A
N\A</t>
  </si>
  <si>
    <t>Final currency code of the transaction. Represents the currency after the currency exchange, if applicable. If there was no currency exchange it represents the currency of the transaction.</t>
  </si>
  <si>
    <t>Moeda final da transação. Representa a moeda após a conversão, se aplicável. Caso não exista conversão, representa a moeda associada à transação.</t>
  </si>
  <si>
    <t>Currency:
EUR_MOEDA; CURATED_INTERNAL_EUROFAC.EUR_MOEDA
TAT91 - CTABELA 206;  CURATED_INTERNAL_MAINFRAME_ESTRUTURAIS.TAT91_TABELAS - TAYD91C0_CTABELA 206</t>
  </si>
  <si>
    <t>Currency</t>
  </si>
  <si>
    <t>CDMOEDA
N\A
N\A
CMOEDA
N\A
CMOEDAOR
N\A
N\A</t>
  </si>
  <si>
    <r>
      <rPr>
        <b/>
        <sz val="11"/>
        <color rgb="FF000000"/>
        <rFont val="Calibri"/>
        <family val="2"/>
        <scheme val="minor"/>
      </rPr>
      <t>SELECT</t>
    </r>
    <r>
      <rPr>
        <sz val="11"/>
        <color rgb="FF000000"/>
        <rFont val="Calibri"/>
        <family val="2"/>
        <scheme val="minor"/>
      </rPr>
      <t xml:space="preserve">  IF( TRIM( EUR_INTERVEN.INT_CDMOEDA ) = '', NULL, EUR_INTERVEN.INT_CDMOEDA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IF( TRIM( MOVIMENTOS_CONSOLIDADOS.DCYR9750_CMOEDA ) = '', NULL, MOVIMENTOS_CONSOLIDADOS.DCYR9750_CMOEDA )
</t>
    </r>
    <r>
      <rPr>
        <b/>
        <sz val="11"/>
        <color rgb="FF000000"/>
        <rFont val="Calibri"/>
        <family val="2"/>
        <scheme val="minor"/>
      </rPr>
      <t>WHERE</t>
    </r>
    <r>
      <rPr>
        <sz val="11"/>
        <color rgb="FF000000"/>
        <rFont val="Calibri"/>
        <family val="2"/>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family val="2"/>
        <scheme val="minor"/>
      </rPr>
      <t>SELECT</t>
    </r>
    <r>
      <rPr>
        <sz val="11"/>
        <color rgb="FF000000"/>
        <rFont val="Calibri"/>
        <family val="2"/>
        <scheme val="minor"/>
      </rPr>
      <t xml:space="preserve"> IF( TRIM( TCT72_MOVCTA.CMOEDAOR ) = '', NULL, TCT72_MOVCTA.CMOEDAOR )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</si>
  <si>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EUR_INTERVEN
DCYR9750
TCT72_MOVCTA</t>
  </si>
  <si>
    <t>CDMOEDA
CMOEDA
CMOEDAOR</t>
  </si>
  <si>
    <t>Transaction Date</t>
  </si>
  <si>
    <t>transaction_date</t>
  </si>
  <si>
    <t>Ext Inf - Trans Cal Inf - Date</t>
  </si>
  <si>
    <t>Represents the date to which the transaction was planned. This does not correspond to the actual execution of the transaction, for example, due to weekends it can change from one to another.</t>
  </si>
  <si>
    <t>Data valor da transação, isto é, data planeada para a execução da transação.</t>
  </si>
  <si>
    <t>Execution Date Time</t>
  </si>
  <si>
    <t>MCC_DTVALMOV 
N\A
N\A
DCYR9750_DDIAVL
N\A
DDIAVL
N\A
N\A</t>
  </si>
  <si>
    <r>
      <rPr>
        <b/>
        <sz val="11"/>
        <color rgb="FF000000"/>
        <rFont val="Calibri"/>
        <family val="2"/>
        <scheme val="minor"/>
      </rPr>
      <t>SELECT</t>
    </r>
    <r>
      <rPr>
        <sz val="11"/>
        <color rgb="FF000000"/>
        <rFont val="Calibri"/>
        <family val="2"/>
        <scheme val="minor"/>
      </rPr>
      <t xml:space="preserve"> IF( TRIM( EUR_MOVICCOR.MCC_DTVALMOV ) = '', NULL, CAST( SUBSTRING( EUR_MOVICCOR.MCC_DTVALMOV , 1, 10 ) AS STRING )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IF( TRIM( MOVIMENTOS_CONSOLIDADOS.DCYR9750_DDIAVL ) = '', NULL, CAST( MOVIMENTOS_CONSOLIDADOS.DCYR9750_DDIAVL AS STRING ) )
</t>
    </r>
    <r>
      <rPr>
        <b/>
        <sz val="11"/>
        <color rgb="FF000000"/>
        <rFont val="Calibri"/>
        <family val="2"/>
        <scheme val="minor"/>
      </rPr>
      <t>WHERE</t>
    </r>
    <r>
      <rPr>
        <sz val="11"/>
        <color rgb="FF000000"/>
        <rFont val="Calibri"/>
        <family val="2"/>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family val="2"/>
        <scheme val="minor"/>
      </rPr>
      <t>SELECT</t>
    </r>
    <r>
      <rPr>
        <sz val="11"/>
        <color rgb="FF000000"/>
        <rFont val="Calibri"/>
        <family val="2"/>
        <scheme val="minor"/>
      </rPr>
      <t xml:space="preserve"> IF( TRIM( TCT72_MOVCTA.DDIAVL) = '', NULL, CAST( TCT72_MOVCTA.DDIAVLAS STRING ) )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</si>
  <si>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DTVALMOV
DDIAVL
DDIAVL</t>
  </si>
  <si>
    <t>Transaction Execution Date</t>
  </si>
  <si>
    <t>transaction_execution_date</t>
  </si>
  <si>
    <t>Represents the date in which the transaction was actually executed. Not to be mistaken by the moment in which the transaction was performed.</t>
  </si>
  <si>
    <t>Data efetiva de execução da transação.</t>
  </si>
  <si>
    <t>Transaction Date Time</t>
  </si>
  <si>
    <t>MCC_DTMOVIME 
N\A
N\A
DCYR9750_DDIAOP
N\A
DDIAOP
N\A
N\A</t>
  </si>
  <si>
    <r>
      <rPr>
        <b/>
        <sz val="11"/>
        <color rgb="FF000000"/>
        <rFont val="Calibri"/>
        <family val="2"/>
        <scheme val="minor"/>
      </rPr>
      <t>SELECT</t>
    </r>
    <r>
      <rPr>
        <sz val="11"/>
        <color rgb="FF000000"/>
        <rFont val="Calibri"/>
        <family val="2"/>
        <scheme val="minor"/>
      </rPr>
      <t xml:space="preserve"> CAST( SUBSTRING( EUR_MOVICCOR.MCC_DTMOVIME , 1, 10 ) AS STRING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MOVIMENTOS_CONSOLIDADOS.DCYR9750_DDIAOP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TCT72_MOVCTA.DDIAOP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</si>
  <si>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DTMOVIME
DDIAOP
DDIAOP</t>
  </si>
  <si>
    <t>Amount</t>
  </si>
  <si>
    <t>amount</t>
  </si>
  <si>
    <t>Ext Inf - Trans Mon Inf - Value</t>
  </si>
  <si>
    <t>Final amount of the transaction. Represents the amount after the currency exchange, if applicable. If there was no currency exchange it represents the amount of the transaction.</t>
  </si>
  <si>
    <t>Valor final da transação. Representa o valor associado à transação após a conversão de moeda, se aplicável. Caso não exista conversão, representa o valor da transação.</t>
  </si>
  <si>
    <t>Transaction Amount</t>
  </si>
  <si>
    <t>MCC_VLMOVIME
N\A
N\A
DCYR9750_MMOVIM
N\A
MMOVIM 
N\A
N\A</t>
  </si>
  <si>
    <r>
      <rPr>
        <b/>
        <sz val="11"/>
        <color rgb="FF000000"/>
        <rFont val="Calibri"/>
        <family val="2"/>
        <scheme val="minor"/>
      </rPr>
      <t>SELECT</t>
    </r>
    <r>
      <rPr>
        <sz val="11"/>
        <color rgb="FF000000"/>
        <rFont val="Calibri"/>
        <family val="2"/>
        <scheme val="minor"/>
      </rPr>
      <t xml:space="preserve"> CAST( EUR_MOVICCOR.MCC_VLMOVIME AS DECIMAL( 23, 6 )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CAST(CASE
      WHEN MOVIMENTOS_CONSOLIDADOS.DCYR9750_COPER = 'D' THEN -1 * MOVIMENTOS_CONSOLIDADOS.DCYR9750_MMOVIM 
      ELSE MOVIMENTOS_CONSOLIDADOS.DCYR9750_MMOVIM
    END AS DECIMAL(23, 6))
</t>
    </r>
    <r>
      <rPr>
        <b/>
        <sz val="11"/>
        <color rgb="FF000000"/>
        <rFont val="Calibri"/>
        <family val="2"/>
        <scheme val="minor"/>
      </rPr>
      <t>WHERE</t>
    </r>
    <r>
      <rPr>
        <sz val="11"/>
        <color rgb="FF000000"/>
        <rFont val="Calibri"/>
        <family val="2"/>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family val="2"/>
        <scheme val="minor"/>
      </rPr>
      <t>SELECT</t>
    </r>
    <r>
      <rPr>
        <sz val="11"/>
        <color rgb="FF000000"/>
        <rFont val="Calibri"/>
        <family val="2"/>
        <scheme val="minor"/>
      </rPr>
      <t xml:space="preserve"> CAST( TCT72_MOVCTA.MMOVIM AS DECIMAL( 23, 6 ) )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</si>
  <si>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VLMOVIME
MMOVIM
MMOVIM</t>
  </si>
  <si>
    <t>Party ID</t>
  </si>
  <si>
    <t>party_id</t>
  </si>
  <si>
    <t>Ext Inf - Clt Inf - ID</t>
  </si>
  <si>
    <t>Unique identifier of the party  involved in the transaction. It does not necessarly means that the transaction was started \ performed by the party. It only means it was the client affected by the transaction.</t>
  </si>
  <si>
    <t>Identifica o cliente associado à transação, isto é, enviou, recebeu ou está associado ao contrato indexado à transação.</t>
  </si>
  <si>
    <t>CLI_NRINTCLI
N\A
N\A
N\A
N\A
N\A
N\A
N\A</t>
  </si>
  <si>
    <r>
      <rPr>
        <b/>
        <sz val="11"/>
        <color rgb="FF000000"/>
        <rFont val="Calibri"/>
        <family val="2"/>
        <scheme val="minor"/>
      </rPr>
      <t>SELECT</t>
    </r>
    <r>
      <rPr>
        <sz val="11"/>
        <color rgb="FF000000"/>
        <rFont val="Calibri"/>
        <family val="2"/>
        <scheme val="minor"/>
      </rPr>
      <t xml:space="preserve"> IF( TRIM( EUR_CLIENTE.CLI_NRINTCLI ) = '', NULL, EUR_CLIENTE.CLI_NRINTCLI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</si>
  <si>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EUR_MOVICCOR -&gt; EUR_CLIENTE
N\A
N\A</t>
  </si>
  <si>
    <t>NRINTINT -&gt; NRINTCLI
N\A
N\A</t>
  </si>
  <si>
    <t>N\A -&gt; N\A
"NULL"
"NULL"</t>
  </si>
  <si>
    <t>Party Current Account Bank ID</t>
  </si>
  <si>
    <t>party_current_account_bank_id</t>
  </si>
  <si>
    <t>The bank identifier of the current account that received \ sent the transaction amount. This field only applies if the account belongs to Santander.</t>
  </si>
  <si>
    <t>Identifica o código interno de banco (cempresa) da conta à ordem que recebeu ou enviou a transação.</t>
  </si>
  <si>
    <r>
      <rPr>
        <b/>
        <sz val="11"/>
        <color rgb="FF000000"/>
        <rFont val="Calibri"/>
        <family val="2"/>
        <scheme val="minor"/>
      </rPr>
      <t>SELECT</t>
    </r>
    <r>
      <rPr>
        <sz val="11"/>
        <color rgb="FF000000"/>
        <rFont val="Calibri"/>
        <family val="2"/>
        <scheme val="minor"/>
      </rPr>
      <t xml:space="preserve"> CONF_GENERAL_CONVERTER.CDM_VALUE
</t>
    </r>
    <r>
      <rPr>
        <b/>
        <sz val="11"/>
        <color rgb="FF000000"/>
        <rFont val="Calibri"/>
        <family val="2"/>
        <scheme val="minor"/>
      </rPr>
      <t>WHERE</t>
    </r>
    <r>
      <rPr>
        <sz val="11"/>
        <color rgb="FF000000"/>
        <rFont val="Calibri"/>
        <family val="2"/>
        <scheme val="minor"/>
      </rPr>
      <t xml:space="preserve"> CONF_GENERAL_CONVERTER.CODE CATEGORY = 'bank_id' AND GENERAL_CONVERTER.SOURCE_CODE = 'DC' AND CONF_GENERAL_CONVERTER.SOURCE_VALUE = '' AND CONF_GENERAL_CONVERTER.PRIORITY_LEVEL = '1' 
   AND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CONF_LITIGATION_PRODUCT.SOURCE_PRODUCT_ID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</si>
  <si>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"31" || N\A
"NULL"
"NULL"</t>
  </si>
  <si>
    <t>Party Current Account Contract ID</t>
  </si>
  <si>
    <t>party_cur_account_contract_id</t>
  </si>
  <si>
    <t>The contract identifier of the current account that received \ sent the transaction amount. This field only applies if the account belongs to Santander.</t>
  </si>
  <si>
    <t>Identifica o contrato da conta origem \ destino da transação, caso a mesma seja Santander.</t>
  </si>
  <si>
    <t>Account ID</t>
  </si>
  <si>
    <t>MCC_NRIBANCHE
N\A
N\A
N\A
N\A
N\A
N\A
N\A</t>
  </si>
  <si>
    <r>
      <rPr>
        <b/>
        <sz val="11"/>
        <color rgb="FF000000"/>
        <rFont val="Calibri"/>
        <family val="2"/>
        <scheme val="minor"/>
      </rPr>
      <t>SELECT</t>
    </r>
    <r>
      <rPr>
        <sz val="11"/>
        <color rgb="FF000000"/>
        <rFont val="Calibri"/>
        <family val="2"/>
        <scheme val="minor"/>
      </rPr>
      <t xml:space="preserve"> IF( TRIM( EUR_MOVICCOR.MCC_NRIBANCHE ) = '' , NULL, CONCAT( SUBSTRING( EUR_MOVICCOR.MCC_NRIBANCHE , 9, 15 ), '000000000000000' )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CONF_LITIGATION_PRODUCT.SOURCE_PRODUCT_ID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</si>
  <si>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EUR_MOVICCOR 
N\A
N\A</t>
  </si>
  <si>
    <t>CONCAT( SUBSTRING( NRIBANCHE, 5 , 20 ), '000000000000000' ) || N\A
N\A
N\A</t>
  </si>
  <si>
    <t>Party Current Account IBAN</t>
  </si>
  <si>
    <t>party_current_account_iban</t>
  </si>
  <si>
    <t>The international identifier of the current account that received \ sent the transaction amount.</t>
  </si>
  <si>
    <t>Identifica o IBAN da conta origem \ destino da transação.</t>
  </si>
  <si>
    <r>
      <rPr>
        <b/>
        <sz val="11"/>
        <color rgb="FF000000"/>
        <rFont val="Calibri"/>
        <family val="2"/>
        <scheme val="minor"/>
      </rPr>
      <t>SELECT</t>
    </r>
    <r>
      <rPr>
        <sz val="11"/>
        <color rgb="FF000000"/>
        <rFont val="Calibri"/>
        <family val="2"/>
        <scheme val="minor"/>
      </rPr>
      <t xml:space="preserve"> IF( TRIM( EUR_MOVICCOR.MCC_NRIBANCHE) = '' , NULL, EUR_MOVICCOR.MCC_NRIBANCHE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</si>
  <si>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NRIBANCHE
N\A
N\A</t>
  </si>
  <si>
    <t>Identifica a aplicação onde foi realizada a transação.</t>
  </si>
  <si>
    <t>Information Source Application:
N\A; N\A
N\A; N\A</t>
  </si>
  <si>
    <t>N\A
N\A
N\A
N\A
N\A
N\A
N\A
N\A</t>
  </si>
  <si>
    <r>
      <rPr>
        <b/>
        <sz val="11"/>
        <color rgb="FF000000"/>
        <rFont val="Calibri"/>
        <family val="2"/>
        <scheme val="minor"/>
      </rPr>
      <t>SELECT</t>
    </r>
    <r>
      <rPr>
        <sz val="11"/>
        <color rgb="FF000000"/>
        <rFont val="Calibri"/>
        <family val="2"/>
        <scheme val="minor"/>
      </rPr>
      <t xml:space="preserve"> 'FA'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'DC'
</t>
    </r>
    <r>
      <rPr>
        <b/>
        <sz val="11"/>
        <color rgb="FF000000"/>
        <rFont val="Calibri"/>
        <family val="2"/>
        <scheme val="minor"/>
      </rPr>
      <t>WHERE</t>
    </r>
    <r>
      <rPr>
        <sz val="11"/>
        <color rgb="FF000000"/>
        <rFont val="Calibri"/>
        <family val="2"/>
        <scheme val="minor"/>
      </rPr>
      <t xml:space="preserve"> CONF_LITIGATION_PRODUCT.SOURCE_PRODUCT_ID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'TC'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</si>
  <si>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"FA"
"DC"
"TC"</t>
  </si>
  <si>
    <t>CURATED_INTERNAL_EUROFAC
CURATED_INTERNAL_EUROFAC
CURATED_INTERNAL_EUROFAC
CURATED_INTERNAL_MAINFRAME_CONTAS
CURATED_INTERNAL_MAINFRAME_CONTAS
CURATED_INTERNAL_MAINFRAME_CONTENCIOSO
CURATED_INTERNAL_MAINFRAME_CONTENCIOSO</t>
  </si>
  <si>
    <t>EUR_MOVICCOR
EUR_PROCESSO
EUR_CREDITO
MOVIMENTOS_CONSOLIDADOS
INTERFACE_DCT01
TCT72_MOVCTA
TCT09_OPERCN</t>
  </si>
  <si>
    <t>DATA_DATE_PART
N\A
N\A
DATA_DATE_PART
N\A
DATA_DATE_PART
N\A</t>
  </si>
  <si>
    <r>
      <rPr>
        <b/>
        <sz val="11"/>
        <color rgb="FF000000"/>
        <rFont val="Calibri"/>
        <family val="2"/>
        <scheme val="minor"/>
      </rPr>
      <t>SELECT</t>
    </r>
    <r>
      <rPr>
        <sz val="11"/>
        <color rgb="FF000000"/>
        <rFont val="Calibri"/>
        <family val="2"/>
        <scheme val="minor"/>
      </rPr>
      <t xml:space="preserve"> EUR_MOVICCOR.DATA_DATE_PART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MOVIMENTOS_CONSOLIDADOS.DATA_DATE_PART
</t>
    </r>
    <r>
      <rPr>
        <b/>
        <sz val="11"/>
        <color rgb="FF000000"/>
        <rFont val="Calibri"/>
        <family val="2"/>
        <scheme val="minor"/>
      </rPr>
      <t>WHERE</t>
    </r>
    <r>
      <rPr>
        <sz val="11"/>
        <color rgb="FF000000"/>
        <rFont val="Calibri"/>
        <family val="2"/>
        <scheme val="minor"/>
      </rPr>
      <t xml:space="preserve"> CONF_LITIGATION_PRODUCT.SOURCE_PRODUCT_ID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TCT72_MOVCTA.DATA_DATE_PART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</si>
  <si>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r>
      <rPr>
        <sz val="11"/>
        <color rgb="FF000000"/>
        <rFont val="Calibri"/>
        <family val="2"/>
        <scheme val="minor"/>
      </rPr>
      <t xml:space="preserve">Data da escrita dos dados na camada </t>
    </r>
    <r>
      <rPr>
        <i/>
        <sz val="11"/>
        <color rgb="FF000000"/>
        <rFont val="Calibri"/>
        <family val="2"/>
        <scheme val="minor"/>
      </rPr>
      <t>common</t>
    </r>
    <r>
      <rPr>
        <sz val="11"/>
        <color rgb="FF000000"/>
        <rFont val="Calibri"/>
        <family val="2"/>
        <scheme val="minor"/>
      </rPr>
      <t>.</t>
    </r>
  </si>
  <si>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 &lt;= SUBSTRING( LAST_DATA_DATE_PART, 11, 10 )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CONF_LITIGATION_PRODUCT.SOURCE_PRODUCT_ID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</si>
  <si>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 xml:space="preserve">WHERE </t>
    </r>
    <r>
      <rPr>
        <sz val="11"/>
        <color rgb="FF000000"/>
        <rFont val="Calibri"/>
        <family val="2"/>
        <scheme val="minor"/>
      </rPr>
      <t xml:space="preserve">TCT09_OPERCN.ISITUAC = '1'  AND TCT09_OPERCN.DENTRADA &lt;= TCT09_OPERCN.DATA_DATE_PART AND (GROUP BY TCT09_OPERCN.CKBALCAO, TCT09_OPERCN.CKNUMCTA)
</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</si>
  <si>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</si>
  <si>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</si>
  <si>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</si>
  <si>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</si>
  <si>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</si>
  <si>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</si>
  <si>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</si>
  <si>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</si>
  <si>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</si>
  <si>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</si>
  <si>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</si>
  <si>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</si>
  <si>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</si>
  <si>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</si>
  <si>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</si>
  <si>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</si>
  <si>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</si>
  <si>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</si>
  <si>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</si>
  <si>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inner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</si>
  <si>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</si>
  <si>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</si>
  <si>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</si>
  <si>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</si>
  <si>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</si>
  <si>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</si>
  <si>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</si>
  <si>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</si>
  <si>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</si>
  <si>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</si>
  <si>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</si>
  <si>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</si>
  <si>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tat91_tabelas_new</t>
  </si>
  <si>
    <t>tct09_opercn .cmoedalf = substring( tat91_tabelas_new.tayd91c0_nelemc01, 1, 3 )</t>
  </si>
  <si>
    <t>operations_common_referencedata_core</t>
  </si>
  <si>
    <t>CONCAT( '000000000000000', coint_ctoloc_p.e2616_idcent_l, SUBSTRING( coint_ctoloc_p.e2616_idcont_l, 2, 10 ), '0' ) = bank_guarantee_universe.contract_id AND '' = bank_guarantee_universe.bank_id AND bank_guarantee_universe.contract_alive_indicator = 1 AND bank_guarantee_universe.source_code = 'BG'</t>
  </si>
  <si>
    <t>curated_internal_mainframe_contas</t>
  </si>
  <si>
    <t>interface_dct01</t>
  </si>
  <si>
    <t>CONCAT( interface_dct01.dcyr8101_ckbalcao, interface_dct01.dcyr8101_cknumcta, '000000000000000' ) = bank_guarantee_universe.contract_id AND '' = bank_guarantee_universe.bank_id AND bank_guarantee_universe.contract_alive_indicator = 1 AND bank_guarantee_universe.source_code = 'DC'</t>
  </si>
  <si>
    <t>curated_internal_mainframe_cambios</t>
  </si>
  <si>
    <t>cbt02_cambios</t>
  </si>
  <si>
    <t>tat21_moeda.cmoeda = cbt02_cambios.cmoeda</t>
  </si>
  <si>
    <t>interface_dct01.dcyr8101_cmoeda = cbt02_cambios.cmoeda</t>
  </si>
  <si>
    <t>TRIM( tat91_tabelas_new.tayd91c0_celemtab ) = cbt02_cambios.cmoeda</t>
  </si>
  <si>
    <t>common_referencedata_core</t>
  </si>
  <si>
    <t>param_litigation_product</t>
  </si>
  <si>
    <t>param_litigation_product.source_product_id = interface_dct01.dcyr8101_ckprodut AND param_litigation_product.source_subproduct_id = interface_dct01.dcyr8101_cksubpro</t>
  </si>
  <si>
    <t>param_litigation_product.source_product_id = tct09_opercn.ckprodut AND param_litigation_product.source_subproduct_id = tct09_opercn.cksubpro</t>
  </si>
  <si>
    <t>coint_ctoloc_p.e2616_idempr = bg_contr_batch.idempr AND coint_ctoloc_p.e2616_idcent = bg_contr_batch.idcent AND coint_ctoloc_p.e2616_idprod = bg_contr_batch.codprod AND coint_ctoloc_p.e2616_idcontr = bg_contr_batch.numctr</t>
  </si>
  <si>
    <t>CONCAT( ckbalcao, cknumcta, '000000000000000' ) = universe.contract_id AND '' = universe.bank_id AND bank_guarantee_universe.contract_alive_indicator = 1 AND bank_guarantee_universe.source_code = 'TC'</t>
  </si>
  <si>
    <t>curated_internal_cofresaluguer</t>
  </si>
  <si>
    <t>contracts</t>
  </si>
  <si>
    <t>vaults</t>
  </si>
  <si>
    <t>contracts.vaultid = vaults.id</t>
  </si>
  <si>
    <t>contract_payments</t>
  </si>
  <si>
    <t>contracts.id = contract_payments.contractid</t>
  </si>
  <si>
    <t>contracts.doaccount = concat( interface_dct01.dcy58191_ckbalcao, dcy58191_cknumecta )</t>
  </si>
  <si>
    <t>visits</t>
  </si>
  <si>
    <t>visits.contractid = contracts.id</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</si>
  <si>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</si>
  <si>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</si>
  <si>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</si>
  <si>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</si>
  <si>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</si>
  <si>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</si>
  <si>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</si>
  <si>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</si>
  <si>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</si>
  <si>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</si>
  <si>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</si>
  <si>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</si>
  <si>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</si>
  <si>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</si>
  <si>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 = bills_promissory_notes_universe.bank_id AND CONCAT(eft02_crteft.ckbalcao, eft02_crteft.cknumcta, LPAD(SUBSTRING(eft02_crteft.zloteft, 1, 8), 8, '0'), LPAD(SUBSTRING(eft02_crteft.zseqeft, 1, 2), 2,'0'), '00000') = universe.contract_id AND 1 = bills_promissory_notes_universe.contract_alive_indicator AND ( 'EF' = bills_promissory_notes_universe.source_code OR ('TC' = bills_promissory_notes_universe.source_code AND contencioso.ckbalcao IS NOT NULL) )</t>
  </si>
  <si>
    <t>eft01_contefto.cmoeda = cbt02_cambios.cmoeda</t>
  </si>
  <si>
    <t>concat( tct09_opercn.ckbalcao, tct09_opercn.cknumcta, tct09_opercn.zdeposit ) = concat( eft02_crteft.ckbalcao, eft02_crteft.cknumcta, lpad( substring( eft02_crteft.zloteft, 1, 8 ), 8, '0' ), lpad( substring( eft02_crteft.zseqeft, 1, 2 ), 2, '0' ), '00000' )</t>
  </si>
  <si>
    <t>contract_party_relation</t>
  </si>
  <si>
    <t>curated_internal_datalake_loantapes</t>
  </si>
  <si>
    <t>cl001_interv_cto</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</si>
  <si>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</si>
  <si>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</si>
  <si>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</si>
  <si>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</si>
  <si>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</si>
  <si>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</si>
  <si>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tat91_tabelas</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</si>
  <si>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</si>
  <si>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</si>
  <si>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</si>
  <si>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</si>
  <si>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crt07_tbctatar.ckbalcao = tct09_opercn.ckbalcao and crt07_tbctatar.cknumcta = tct09_opercn.cknumcta</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</si>
  <si>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</si>
  <si>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</si>
  <si>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</si>
  <si>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</si>
  <si>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curated_internal_mainframe_contabilidade</t>
  </si>
  <si>
    <t>carteiras</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</si>
  <si>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</si>
  <si>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</si>
  <si>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</si>
  <si>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</si>
  <si>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</si>
  <si>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</si>
  <si>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</si>
  <si>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</si>
  <si>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</si>
  <si>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</si>
  <si>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</si>
  <si>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concat( lpad( crt07_tbctatar.codmar, 2, '0' ), lpad( crt07_tbctatar.indtipt, 2, '0' ) ) = tat91_tabelas.tayd91c0_celemtab and crt07_tbctatar.cmarca = TRIM( tat91_tabela_news.tayd91c0_cempmarc)</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</si>
  <si>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</si>
  <si>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</si>
  <si>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</si>
  <si>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</si>
  <si>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</si>
  <si>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</si>
  <si>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</si>
  <si>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</si>
  <si>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</si>
  <si>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</si>
  <si>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</si>
  <si>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</si>
  <si>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</si>
  <si>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</si>
  <si>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tct09_opercn.cmoedalf = substring( tat91_tabelas_new.tayd91c0_nelemc01, 1, 3 )</t>
  </si>
  <si>
    <t>tct09_opercn.zoper = tct01_posdivid.zoper and tct09_opercn.zanoproc = tct01_posdivid.zanoproc and tct09_opercn.zproc = tct01_posdivid.zproc</t>
  </si>
  <si>
    <t>credit_card_universe</t>
  </si>
  <si>
    <t>CONCAT(crt07.ckbalcao, crt07_tbctatar.cknumcta, '000000000000000') = credit_card_universe.contract_id AND '' = credit_card_universe.bank_id and credit_card_universe.contract_alive_indicator = '1' and credit_card_universe.source_code = 'CR' AND credit_card_universe.plan_indicator = 0</t>
  </si>
  <si>
    <t>CONCAT(tct09_opercn.ckbalcao, tct09_opercn.cknumcta, '000000000000000') = credit_card_universe.contract_id AND '' = credit_card_universe.bank_id and credit_card_universe.contract_alive_indicator = '1' and credit_card_universe.source_code = 'TC'</t>
  </si>
  <si>
    <t>CONCAT(interface_dct01.dcyr8101_ckbalcao, interface_dct01.dcyr8101_cknumcta, '000000000000000') = credit_card_universe.contract_id AND '' = credit_card_universe.bank_id and credit_card_universe.contract_alive_indicator = '1' and credit_card_universe.source_code = 'DC'</t>
  </si>
  <si>
    <t>crt07_tbctatar / crt63_adesecl</t>
  </si>
  <si>
    <t>CONCAT(crt07.ckbalcao, crt07.cknumcta, '0000000', 'P', LPAD(crt63.zplano, 3, '0'), '0001')= credit_card_universe.contract_id AND '' = credit_card_universe.bank_id and credit_card_universe.contract_alive_indicator = '1' and credit_card_universe.source_code = 'CR' AND credit_card_universe.plan_indicator = 1</t>
  </si>
  <si>
    <t>CONCAT(crt07.ckbalcao, crt07_tbctatar.cknumcta, '000000000000000') = credit_card_universe.contract_id AND '' = credit_card_universe.bank_id and credit_card_universe.contract_alive_indicator = '1' and credit_card_universe.plan_indicator = 0</t>
  </si>
  <si>
    <t>CONCAT(crt07.ckbalcao, crt07_tbctatar.cknumcta, '000000000000000') = credit_card_universe.contract_id AND '' = credit_card_universe.bank_id and credit_card_universe.plan_indicator = 0</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</si>
  <si>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</si>
  <si>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</si>
  <si>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</si>
  <si>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</si>
  <si>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crt09.numctatar = crt08.numctatar and crt09.codent = crt08.codent and crt09.numbencta = crt08.numbencta</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</si>
  <si>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</si>
  <si>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</si>
  <si>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</si>
  <si>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</si>
  <si>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</si>
  <si>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</si>
  <si>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curated_internal_eurofac</t>
  </si>
  <si>
    <t>eur_processo</t>
  </si>
  <si>
    <t>eur_interven</t>
  </si>
  <si>
    <t xml:space="preserve">eur_processo.pro_nrproces = eur_interven.int_nrproces </t>
  </si>
  <si>
    <t>eur_histinte</t>
  </si>
  <si>
    <t>eur_processo.pro_nrproces = eur_histinte.hin_nrproces</t>
  </si>
  <si>
    <t>eur_linindex</t>
  </si>
  <si>
    <t>eur_indexant</t>
  </si>
  <si>
    <t>eur_indexant.inx_cdindexa = eur_linindex.lix_cdindexa</t>
  </si>
  <si>
    <t>eur_credito</t>
  </si>
  <si>
    <t>eur_histinte.hin_nrproces = eur_credito.crd_nrproces</t>
  </si>
  <si>
    <t>eur_linindex.lix_cdindexa = eur_histinte.hin_cdindadi AND (SUBSTRING(eur_linindex.lix_dtinicio, 1, 10) &lt;= eur_credito.crd_dtemissa OR eur_linindex.lix_cdindexa = 9999</t>
  </si>
  <si>
    <t>eur_interven.int_nrproces = eur_credito.crd_nrproces</t>
  </si>
  <si>
    <t>eur_linindex ( INIT )</t>
  </si>
  <si>
    <t>eur_linindex.lix_cdindexa = eur_interven.int_cdindadi AND ( SUBSTRING(eur_linindex.lix_dtinicio, 1, 10) &lt;= eur_credito.crd_dtemissa OR eur_linindex.lix_cdindexa = 9999</t>
  </si>
  <si>
    <t>eur_linindex (CURR)</t>
  </si>
  <si>
    <t xml:space="preserve">eur_linindex.lix_cdindexa = eur_interven.int_cdindadi </t>
  </si>
  <si>
    <t xml:space="preserve">eur_linadian </t>
  </si>
  <si>
    <t>eur_adiantam</t>
  </si>
  <si>
    <t>eur_adiantam.adi_nradiant = eur_linadian.lad_nradiant</t>
  </si>
  <si>
    <t>eur_prvclicrd_bop_new</t>
  </si>
  <si>
    <t>eur_credito.crd_nrproces = eur_prvclicrd_bop_new.pcc_nrproces 
    AND (
      ( eur_credito.crd_nrintint = eur_prvclicrd_bop_new.pcc_nrintint AND eur_credito.crd_tprecurs = 'S')
      OR 
      (1 = eur_prvclicrd_bop_new.pcc_nrintint AND eur_credito.crd_tprecurs != 'S')
    )
    AND eur_credito.crd_nrintcre = eur_prvclicrd_bop_new.pcc_nrintcre</t>
  </si>
  <si>
    <t>eur_credito.crd_nrintcre = eur_linadian.lad_nrintcre</t>
  </si>
  <si>
    <t>CONCAT('0000', SUBSTRING( eur_credito.crd_nrproces, 3, 11), '00' , eur_credito.crd_nrintcre) = factoring_universe.contract_id AND factoring_universe.contract_alive_indicator = 1 AND factoring_universe.source_code = 'FA' AND factoring_universe.bank_id = ''</t>
  </si>
  <si>
    <t>eur_interven.int_nrproces = eur_processo.eur_nrproces</t>
  </si>
  <si>
    <t>eur_credito.crd_nrproces = eur_processo.eur_nrproces</t>
  </si>
  <si>
    <t>SUBSTRING( tat91_tabelas_new.tayd91c0_nelemc01, 1, 3) = eur_credito.crd_cdmoeda</t>
  </si>
  <si>
    <t>SUBSTRING( tat91_tabelas_new.tayd91c0_nelemc01, 1, 3) = eur_interven.int_cdmoeda</t>
  </si>
  <si>
    <t>eur_potencial_crc</t>
  </si>
  <si>
    <t>eur_interven.int_nrproces = eur_potencial_crc.pot_nrproces AND eur_interven.int_nrintint = eur_potencial_crc.pot_nrintint</t>
  </si>
  <si>
    <t>factoring_universe (ADE)</t>
  </si>
  <si>
    <t>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 factoring_universe.contract_id AND factoring_universe.contract_alive_indicator = 1 AND factoring_universe.source_code = 'FA' AND factoring_universe.bank_id = ''</t>
  </si>
  <si>
    <t>factoring_universe (DEV)</t>
  </si>
  <si>
    <t>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 factoring_universe.contract_id AND factoring_universe.contract_alive_indicator = 1 AND factoring_universe.source_code = 'FA' AND factoring_universe.bank_id = ''</t>
  </si>
  <si>
    <t>CONCAT( interface_dct01.dcyr8101_ckbalcao, interface_dct01.dcyr8101_cknumcta, '000000000000000') = factoring_universe.contract_id AND factoring_universe.contract_alive_indicator = 1 AND factoring_universe.source_code = 'DC' AND factoring_universe.bank_id = ''</t>
  </si>
  <si>
    <t>CONCAT( tct09_opercn.ckbalcao, tct09_opercn.cknumcta , '000000000000000') = factoring_universe.contract_id AND factoring_universe.contract_alive_indicator = 1 AND factoring_universe.source_code = 'TC' AND factoring_universe.bank_id = ''</t>
  </si>
  <si>
    <t>tct09_opercn.zanoproc = tct01_posdivid.zanoproc AND tct09_opercn.zproc = tct01_posdivid.zproc AND tct09_opercn.zoper = tct01_posdivid.zoper</t>
  </si>
  <si>
    <t>SUBSTRING( tat91_tabelas_new.tayd91c0_nelemc01, 1, 3) = tct09_opercn.cmoedalf</t>
  </si>
  <si>
    <t>TRIM(tat91_tabelas_new.tayd91c0_celemtab) = cbt02_cambios.cmoeda</t>
  </si>
  <si>
    <t>eur_prvclicrd_bop_new_moe</t>
  </si>
  <si>
    <t>ON eur_credito.crd_nrproces = eur_prvclicrd_bop_new_moe.pcc_nrproces 
      AND (
        (eur_credito.crd_nrintint = eur_prvclicrd_bop_new_moe.pcc_nrintint AND eur_credito.crd_tprecurs = 'S')
        OR 
        (1 = eur_prvclicrd_bop_new_moe.pcc_nrintint AND eur_credito.crd_tprecurs != 'S')
      )
      AND eur_credito.crd_nrintcre = eur_prvclicrd_bop_new_moe.pcc_nrintcre</t>
  </si>
  <si>
    <t>eur_plaf_dev_dia</t>
  </si>
  <si>
    <t>eur_plaf_dev_dia.ded_nrproces = eur_interven.int_nrproces
AND eur_plaf_dev_dia.ded_nrintint = eur_interven.int_nrintint</t>
  </si>
  <si>
    <t xml:space="preserve">    AND plaf_dev.ded_nrintint = inter.int_nrintint</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</si>
  <si>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</si>
  <si>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</si>
  <si>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internal_account_universe</t>
  </si>
  <si>
    <t>internal_account_universe.contract_id = CONCAT(interface_dct01.dcyr8101_ckbalcao, interface_dct01.dcyr8101_cknumcta, '000000000000000') AND internal_account_universe.bank_id = '' AND 1 = internal_account_universe.contract_alive_indicator AND 'DC' = internal_account_universe.source_code</t>
  </si>
  <si>
    <t>internal_account_universe.contract_id = CONCAT(tct09_opercn.ckbalcao, tct09_opercn.cknumcta, '000000000000000') AND internal_account_universe.bank_id = '' AND 1 = internal_account_universe.contract_alive_indicator AND 'TC' = internal_account_universe.source_code</t>
  </si>
  <si>
    <t>nostrovostro_account_universe</t>
  </si>
  <si>
    <t>nostrovostro_account_universe.contract_id = CONCAT(interface_dct01.dcyr8101_ckbalcao, interface_dct01.dcyr8101_cknumcta, '000000000000000') AND nostrovostro_account_universe.bank_id = '' AND 1 = nostrovostro_account_universe.contract_alive_indicator AND 'DC' = nostrovostro_account_universe.source_code</t>
  </si>
  <si>
    <t>nostrovostro_account_universe.contract_id = CONCAT(tct09_opercn.ckbalcao, tct09_opercn.cknumcta, '000000000000000') AND nostrovostro_account_universe.bank_id = '' AND 1 = nostrovostro_account_universe.contract_alive_indicator AND 'TC' = nostrovostro_account_universe.source_code</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</si>
  <si>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</si>
  <si>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</si>
  <si>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</si>
  <si>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</si>
  <si>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</si>
  <si>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</si>
  <si>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</si>
  <si>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tat41_canal</t>
  </si>
  <si>
    <t>dp_dpyr0580_movimentos.canal = tat41_canal.cdcanal</t>
  </si>
  <si>
    <t>saving_account_universe</t>
  </si>
  <si>
    <t>' = saving_account_universe.bank_id
    AND  CONCAT(dp_dpyr0550_depositos.ckbalcao, saving_acc.cknumcta, SUBSTRING(dp_dpyr0550_depositos.zdeposit, 2, 6), '000000000') = saving_account_universe.contract_id
    AND dp_dpyr0550_depositos.dabertur = saving_account_universe.opening_date
    AND dp_dpyr0550_depositos.csitcta = saving_account_universe.contract_status_code
    AND 'DP' = saving_account_universe.source_code</t>
  </si>
  <si>
    <t>dp_dpyr0560_saldos_depositos.moeda = cbt02_cambios.cmoeda</t>
  </si>
  <si>
    <t>curated_internal_mainframe_estrangeiro</t>
  </si>
  <si>
    <t>est54_remimp</t>
  </si>
  <si>
    <t>tat91_tabelas _new (OPENING CHANNEL CODE)</t>
  </si>
  <si>
    <t>TRIM( tat91_tabelas_new.tayd91c0_celemtab ) = est54_remimp.esyd54c0_ckbalcao</t>
  </si>
  <si>
    <t>est51_inf_det</t>
  </si>
  <si>
    <t xml:space="preserve"> remimp.esyd54c0_ckrefest = est51_inf_det.ckrefest</t>
  </si>
  <si>
    <t>tat91_tabelas_new (CURRENCY CODE)</t>
  </si>
  <si>
    <t>est54_remimp.esyd54c0_cmoeda = TRIM(tat91_tabelas_new.tayd91c0_nelemc01)</t>
  </si>
  <si>
    <t>' = trade_finance_universe.bank_id AND CONCAT(est54_remimp.esyd54c0_ckbalcao, est54_remimp.esyd54c0_cknumcta, est54_remimp.esyd54c0_ckrefest, '0') = universe.contract_id
    AND 1 = trade_finance_universe.contract_alive_indicator
    AND 'RM' = trade_finance_universe.source_code</t>
  </si>
  <si>
    <t>est78_remexp</t>
  </si>
  <si>
    <t>est78_remexp (INIT)</t>
  </si>
  <si>
    <t>est78_remexp.ckrefest = est78_remexp ( INIT ).ckrefest</t>
  </si>
  <si>
    <t>TRIM( tat91_tabelas_new.tayd91c0_celemtab ) = est78_remexp.ckbalcao</t>
  </si>
  <si>
    <t>est78_remexp.cmoeda = TRIM( tat91_tabelas_new.tayd91c0_nelemc01 )</t>
  </si>
  <si>
    <t xml:space="preserve"> est78_remexp.ckrefest = est51_inf_det.ckrefest</t>
  </si>
  <si>
    <t>"" = trade_finance_universe.bank_id AND CONCAT(est78_remexp.ckbalcao, est78_remexp.cknumcta, est78_remexp.ckrefest, '0') = universe.contract_id AND 1 = trade_finance_universe.contract_alive_indicator AND 'RX' = trade_finance_universe.source_code</t>
  </si>
  <si>
    <t>est85_creimp</t>
  </si>
  <si>
    <t>est85_creimp (INIT)</t>
  </si>
  <si>
    <t>est85_creimp.ckrefest = est85_creimp ( INIT ).ckrefest</t>
  </si>
  <si>
    <t>TRIM( tat91_tabelas_new.tayd91c0_celemtab ) = est85_creimp.ckbalcao</t>
  </si>
  <si>
    <t>est85_creimp.cmoeda = TRIM( tat91_tabelas_new.tayd91c0_nelemc01 )</t>
  </si>
  <si>
    <t>est48_creswift</t>
  </si>
  <si>
    <t>est85_creimp.ckrefest = est48_creswift.ckrefest</t>
  </si>
  <si>
    <t>"" = trade_finance_universe.bank_id AND CONCAT(est85_creimp.ckbalcao, est85_creimp.cknumcta, est85_creimp.ckrefest, '0') = trade_finance_universe.contract_id AND 1 = trade_finance_universe.contract_alive_indicator AND 'MC' = trade_finance_universe.source_code</t>
  </si>
  <si>
    <t>est89_creexp</t>
  </si>
  <si>
    <t>est89_creexp (INIT)</t>
  </si>
  <si>
    <t>est89_creexp.ckrefest = est89_creexp ( INIT ).ckrefest</t>
  </si>
  <si>
    <t>tat91_tabelas_new.tayd91c0_celemtab = est89_creexp .ckbalcao</t>
  </si>
  <si>
    <t>est89_creexp .cmoeda = TRIM( tat91_tabelas_new.tayd91c0_nelemc01 )</t>
  </si>
  <si>
    <t>est89_creexp .ckrefest = est48_creswift.ckrefest</t>
  </si>
  <si>
    <t>"" = trade_finance_universe.bank_id AND CONCAT(est89_creexp .ckbalcao, est89_creexp .cknumcta, est89_creexp .ckrefest, '0') = trade_finance_universe.contract_id AND 1 = trade_finance_universe.contract_alive_indicator AND 'XC' = trade_finance_universe.source_code</t>
  </si>
  <si>
    <t>"" = trade_finance_universe.bank_id AND CONCAT(interface_dct01.dcyr8101_ckbalcao, interface_dct01.dcyr8101_cknumcta, '000000000000000') = trade_finance_universe.contract_id AND 1 = trade_finance_universe.contract_alive_indicator AND 'DC' = trade_finance_universe.source_code</t>
  </si>
  <si>
    <t>"" = trade_finance_universe.bank_id AND CONCAT(tct09_opercn.ckbalcao, tct09_opercn.cknumcta, '000000000000000') = trade_finance_universe.contract_id AND 1 = trade_finance_universe.contract_alive_indicator AND 'TC' = trade_finance_universe.source_code</t>
  </si>
  <si>
    <t>tct09_opercn (VARIABLE)</t>
  </si>
  <si>
    <t>tct09_opercn (STATIC)</t>
  </si>
  <si>
    <t>tct09_opercn (VARIABLE).ckbalcao = tct09_opercn (VARIABLE).ckbalcao AND tct09_opercn (VARIABLE).cknumcta = tct09_opercn (VARIABLE).cknumcta AND MAX( tct09_opercn (VARIABLE).zdeposit ) = tct09_opercn (VARIABLE).zdeposit</t>
  </si>
  <si>
    <t>tct09_opercn.cmoedalf = TRIM( tat91_tabelas_new.tayd91c0_nelemc01 )</t>
  </si>
  <si>
    <t>trade_finance_universe</t>
  </si>
  <si>
    <t>' = trade_finance_universe.bank_id AND CONCAT(est54_remimp.esyd54c0_ckbalcao, est54_remimp.esyd54c0_cknumcta, est54_remimp.esyd54c0_ckrefest, '0') = trade_finance_universe.contract_id AND 1 = trade_finance_universe.contract_alive_indicator AND 'RM' = trade_finance_universe.source_code</t>
  </si>
  <si>
    <t>"" = trade_finance_universe.bank_id AND CONCAT(est78_remexp.ckbalcao, est78_remexp.cknumcta, est78_remexp.ckrefest, '0') = trade_finance_universe.contract_id AND 1 = trade_finance_universe.contract_alive_indicator AND 'RX' = trade_finance_universe.source_code</t>
  </si>
  <si>
    <t>est85_creimp (U Regular)</t>
  </si>
  <si>
    <t>est85_creimp (U UPA)</t>
  </si>
  <si>
    <t>"" = trade_finance_universe.bank_id AND CONCAT(est85_creimp.ckbalcao, est85_creimp.cknumcta, est85_creimp.ckrefest, '9') = trade_finance_universe.contract_id AND 1 = trade_finance_universe.contract_alive_indicator AND 'MC' = trade_finance_universe.source_code</t>
  </si>
  <si>
    <t>est85_creimp (U UPA Patrimonial)</t>
  </si>
  <si>
    <t>"" = trade_finance_universe.bank_id AND CONCAT(est85_creimp.ckbalcao, est85_creimp.cknumcta, est85_creimp.ckrefest, est87_cdneg.esyd87c1_zseqneg) = trade_finance_universe.contract_id AND 1 = trade_finance_universe.contract_alive_indicator AND 'MC' = trade_finance_universe.source_code</t>
  </si>
  <si>
    <t>"" = trade_finance_universe.bank_id AND CONCAT(est89_creexp.ckbalcao, est89_creexp.cknumcta, est89_creexp.ckrefest, '0') = trade_finance_universe.contract_id AND 1 = trade_finance_universe.contract_alive_indicator AND 'XC' = trade_finance_universe.source_code</t>
  </si>
  <si>
    <t>trade_finance_universe.contract_id = CONCAT(interface_dct01.dcyr8101_ckbalcao, interface_dct01.dcyr8101_cknumcta, '000000000000000') AND trade_finance_universe.bank_id = '' AND 1 = trade_finance_universe.contract_alive_indicator AND 'DC' = trade_finance_universe.source_code</t>
  </si>
  <si>
    <t>trade_finance_universe.contract_id = CONCAT(tct09_opercn.ckbalcao, tct09_opercn.cknumcta, '000000000000000') AND trade_finance_universe.bank_id = '' AND 1 = trade_finance_universe.contract_alive_indicator AND 'TC' = trade_finance_universe.source_code</t>
  </si>
  <si>
    <t>est87_cdneg</t>
  </si>
  <si>
    <t>est85_creimp.ckrefest = est87_cdneg.esyd87c1_ckrefest AND 0 = est87_cdneg.esyd87c1_zseqliq</t>
  </si>
  <si>
    <t>trim(tat91_tabelas_new .tayd91c0_celemtab) = cbt02_cambios.cmoeda and cbt02_cambios.ctcamb = 'F' and cbt02_cambios.cmarca = 'BT' and cbt02_cambios.zseqcamb = '99'</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</si>
  <si>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</si>
  <si>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</si>
  <si>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</si>
  <si>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</si>
  <si>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</si>
  <si>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</si>
  <si>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</si>
  <si>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</si>
  <si>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</si>
  <si>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</si>
  <si>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</si>
  <si>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</si>
  <si>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</si>
  <si>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</si>
  <si>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contracts.statusid in ( 5, 6 )</t>
  </si>
  <si>
    <t>5 - ATIVO
6 - DENUNCIADO</t>
  </si>
  <si>
    <t>1 - PENDENTE DOCUMENTACAO
2 - PENDENTE INTERVENIENTES
3 - PENDENTE FORMALIZACAO
4 - CESSADO</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</si>
  <si>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</si>
  <si>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</si>
  <si>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</si>
  <si>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</si>
  <si>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</si>
  <si>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</si>
  <si>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</si>
  <si>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</si>
  <si>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bill_promissory_note_process</t>
  </si>
  <si>
    <t>cl001_interv_cto.dfim_relacao = '9999-12-31'</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</si>
  <si>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</si>
  <si>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</si>
  <si>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</si>
  <si>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 and tat91_tabelas.tayd91c0_ctabela = '593' and ( substring( tat91_tabelas.tayd91c0_nelemc08, 1, 1 ) = '1' or substring( tat91_tabelas.tayd91c0_nelemc08, 1, 1 ) = '3'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</si>
  <si>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</si>
  <si>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</si>
  <si>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</si>
  <si>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</si>
  <si>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</si>
  <si>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</si>
  <si>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</si>
  <si>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</si>
  <si>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</si>
  <si>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</si>
  <si>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crt07_tbctatar.fecbaja = '0'</t>
  </si>
  <si>
    <t>N/A</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</si>
  <si>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</si>
  <si>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</si>
  <si>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eur_processo.pro_cdfaspro = '05'</t>
  </si>
  <si>
    <t>05 - CONTRATO</t>
  </si>
  <si>
    <t>01 - OPORTUNIDADE
02 - ANÁLISE
03 - PROPOSTA
04- ASSINATURA
06 - ARQUIVO</t>
  </si>
  <si>
    <t>common_contracts_incomesavingsaccounts</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</si>
  <si>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</si>
  <si>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</si>
  <si>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</si>
  <si>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</si>
  <si>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</si>
  <si>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</si>
  <si>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</si>
  <si>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</si>
  <si>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dp_dpyr0550_depositos.csitcta = 'NR'</t>
  </si>
  <si>
    <t>AN - ANULADO
CA - CANCELADO</t>
  </si>
  <si>
    <t>max( est54_remimp.esyd54c0_zseqmov ) and est54_remimp.esyd54c0_montabe &gt; 0</t>
  </si>
  <si>
    <t>est78_remexp.zseqrem = '999' and est78_remexp.montabe &gt; 0</t>
  </si>
  <si>
    <t>est85_creimp.zseqcre = '999' and est85_creimp.montab &gt; 0</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</si>
  <si>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</si>
  <si>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</si>
  <si>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</si>
  <si>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est89_creexp.zseqcre = '99' and est89_creexp.montab &gt; 0 </t>
  </si>
  <si>
    <t>ID</t>
  </si>
  <si>
    <t>Case Test</t>
  </si>
  <si>
    <t>Description</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</si>
  <si>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</si>
  <si>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</si>
  <si>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</si>
  <si>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</si>
  <si>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</si>
  <si>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</si>
  <si>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</si>
  <si>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</si>
  <si>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</si>
  <si>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</si>
  <si>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</si>
  <si>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</si>
  <si>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</si>
  <si>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</si>
  <si>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</si>
  <si>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</si>
  <si>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</si>
  <si>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</si>
  <si>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</si>
  <si>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</si>
  <si>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</si>
  <si>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</si>
  <si>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</si>
  <si>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</si>
  <si>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</si>
  <si>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</si>
  <si>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</si>
  <si>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</si>
  <si>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</si>
  <si>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</si>
  <si>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</si>
  <si>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</si>
  <si>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</si>
  <si>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</si>
  <si>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</si>
  <si>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</si>
  <si>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</si>
  <si>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</si>
  <si>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</si>
  <si>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</si>
  <si>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</si>
  <si>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</si>
  <si>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</si>
  <si>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</si>
  <si>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</si>
  <si>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</si>
  <si>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</si>
  <si>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</si>
  <si>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</si>
  <si>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</si>
  <si>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</si>
  <si>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</si>
  <si>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</si>
  <si>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</si>
  <si>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</si>
  <si>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</si>
  <si>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</si>
  <si>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</si>
  <si>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</si>
  <si>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</si>
  <si>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</si>
  <si>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</si>
  <si>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</si>
  <si>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</si>
  <si>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</si>
  <si>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</si>
  <si>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</si>
  <si>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</si>
  <si>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</si>
  <si>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</si>
  <si>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</si>
  <si>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</si>
  <si>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</si>
  <si>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</si>
  <si>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</si>
  <si>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</si>
  <si>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</si>
  <si>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</si>
  <si>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</si>
  <si>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</si>
  <si>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</si>
  <si>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</si>
  <si>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</si>
  <si>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</si>
  <si>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</si>
  <si>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</si>
  <si>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</si>
  <si>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</si>
  <si>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</si>
  <si>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</si>
  <si>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</si>
  <si>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</si>
  <si>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</si>
  <si>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</si>
  <si>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</si>
  <si>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</si>
  <si>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</si>
  <si>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</si>
  <si>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</si>
  <si>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</si>
  <si>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</si>
  <si>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</si>
  <si>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</si>
  <si>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</si>
  <si>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</si>
  <si>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</si>
  <si>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</si>
  <si>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</si>
  <si>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</si>
  <si>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</si>
  <si>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</si>
  <si>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</si>
  <si>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</si>
  <si>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</si>
  <si>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</si>
  <si>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</si>
  <si>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</si>
  <si>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</si>
  <si>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</si>
  <si>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</si>
  <si>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</si>
  <si>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</si>
  <si>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</si>
  <si>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</si>
  <si>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</si>
  <si>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</si>
  <si>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</si>
  <si>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current_active_rate_type_code</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</si>
  <si>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</si>
  <si>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</si>
  <si>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</si>
  <si>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</si>
  <si>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</si>
  <si>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</si>
  <si>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</si>
  <si>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</si>
  <si>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</si>
  <si>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</si>
  <si>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</si>
  <si>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</si>
  <si>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</si>
  <si>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</si>
  <si>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</si>
  <si>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</si>
  <si>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</si>
  <si>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</si>
  <si>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</si>
  <si>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</si>
  <si>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</si>
  <si>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</si>
  <si>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</si>
  <si>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</si>
  <si>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</si>
  <si>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</si>
  <si>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</si>
  <si>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</si>
  <si>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</si>
  <si>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</si>
  <si>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</si>
  <si>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</si>
  <si>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</si>
  <si>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</si>
  <si>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</si>
  <si>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</si>
  <si>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</si>
  <si>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</si>
  <si>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</si>
  <si>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</si>
  <si>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</si>
  <si>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</si>
  <si>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</si>
  <si>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</si>
  <si>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</si>
  <si>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</si>
  <si>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current_ledger_balance</t>
  </si>
  <si>
    <t>current_reserved_balance</t>
  </si>
  <si>
    <t>current_available_balance</t>
  </si>
  <si>
    <t>init_passive_rate_type_code</t>
  </si>
  <si>
    <t>initial_passive_indexing</t>
  </si>
  <si>
    <t>initial_passive_index_rate</t>
  </si>
  <si>
    <t>initial_passive_spread</t>
  </si>
  <si>
    <t>initial_passive_interest_rate</t>
  </si>
  <si>
    <t>cur_passive_rate_type_code</t>
  </si>
  <si>
    <t>current_passive_indexing</t>
  </si>
  <si>
    <t>current_passive_index_rate</t>
  </si>
  <si>
    <t>current_passive_spread</t>
  </si>
  <si>
    <t>current_passive_interest_rate</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</si>
  <si>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</si>
  <si>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</si>
  <si>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</si>
  <si>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</si>
  <si>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</si>
  <si>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</si>
  <si>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</si>
  <si>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</si>
  <si>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</si>
  <si>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</si>
  <si>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</si>
  <si>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</si>
  <si>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</si>
  <si>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</si>
  <si>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</si>
  <si>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</si>
  <si>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</si>
  <si>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</si>
  <si>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</si>
  <si>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</si>
  <si>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</si>
  <si>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</si>
  <si>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</si>
  <si>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</si>
  <si>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</si>
  <si>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</si>
  <si>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</si>
  <si>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</si>
  <si>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</si>
  <si>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</si>
  <si>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</si>
  <si>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</si>
  <si>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</si>
  <si>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</si>
  <si>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</si>
  <si>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</si>
  <si>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</si>
  <si>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</si>
  <si>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</si>
  <si>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</si>
  <si>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</si>
  <si>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</si>
  <si>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</si>
  <si>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</si>
  <si>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</si>
  <si>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</si>
  <si>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cur_ovrdrft_outsng_principal_bal</t>
  </si>
  <si>
    <t>cur_ovrdrft_overdue_princip_bal</t>
  </si>
  <si>
    <t>cur_ovrdrft_debt_litig_princ_bal</t>
  </si>
  <si>
    <t>init_ovrdrft_act_rate_type_code</t>
  </si>
  <si>
    <t>init_overdraft_active_indexing</t>
  </si>
  <si>
    <t>init_overdraft_active_index_rate</t>
  </si>
  <si>
    <t>initial_overdraft_active_spread</t>
  </si>
  <si>
    <t>init_overdraft_active_intr_rate</t>
  </si>
  <si>
    <t>cur_ovrdrft_act_rate_type_code</t>
  </si>
  <si>
    <t>cur_overdraft_active_indexing</t>
  </si>
  <si>
    <t>cur_overdraft_active_index_rate</t>
  </si>
  <si>
    <t>cur_overdraft_active_spread</t>
  </si>
  <si>
    <t>cur_ovrdrft_active_interest_rate</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</si>
  <si>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</si>
  <si>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</si>
  <si>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</si>
  <si>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</si>
  <si>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</si>
  <si>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</si>
  <si>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</si>
  <si>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</si>
  <si>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</si>
  <si>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</si>
  <si>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</si>
  <si>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</si>
  <si>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</si>
  <si>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</si>
  <si>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</si>
  <si>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</si>
  <si>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</si>
  <si>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</si>
  <si>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</si>
  <si>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</si>
  <si>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</si>
  <si>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</si>
  <si>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</si>
  <si>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</si>
  <si>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</si>
  <si>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</si>
  <si>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</si>
  <si>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</si>
  <si>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</si>
  <si>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</si>
  <si>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</si>
  <si>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</si>
  <si>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</si>
  <si>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</si>
  <si>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</si>
  <si>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</si>
  <si>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</si>
  <si>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</si>
  <si>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</si>
  <si>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</si>
  <si>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</si>
  <si>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</si>
  <si>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</si>
  <si>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</si>
  <si>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</si>
  <si>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</si>
  <si>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</si>
  <si>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</si>
  <si>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</si>
  <si>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</si>
  <si>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</si>
  <si>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</si>
  <si>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</si>
  <si>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</si>
  <si>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</si>
  <si>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</si>
  <si>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</si>
  <si>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</si>
  <si>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</si>
  <si>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cur_bill_litig_princip_amt</t>
  </si>
  <si>
    <t>last_advance_annulment_indicator</t>
  </si>
  <si>
    <t>last_advance_exec_date</t>
  </si>
  <si>
    <t>last_advance_transfer_ref_num</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</si>
  <si>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</si>
  <si>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</si>
  <si>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</si>
  <si>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</si>
  <si>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</si>
  <si>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</si>
  <si>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</si>
  <si>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</si>
  <si>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</si>
  <si>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</si>
  <si>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</si>
  <si>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</si>
  <si>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</si>
  <si>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</si>
  <si>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</si>
  <si>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</si>
  <si>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</si>
  <si>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</si>
  <si>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</si>
  <si>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</si>
  <si>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</si>
  <si>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</si>
  <si>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</si>
  <si>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</si>
  <si>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</si>
  <si>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</si>
  <si>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</si>
  <si>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</si>
  <si>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</si>
  <si>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</si>
  <si>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</si>
  <si>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</si>
  <si>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</si>
  <si>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</si>
  <si>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</si>
  <si>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</si>
  <si>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</si>
  <si>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</si>
  <si>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</si>
  <si>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</si>
  <si>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</si>
  <si>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</si>
  <si>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</si>
  <si>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</si>
  <si>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</si>
  <si>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</si>
  <si>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</si>
  <si>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</si>
  <si>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</si>
  <si>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</si>
  <si>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</si>
  <si>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</si>
  <si>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</si>
  <si>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</si>
  <si>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</si>
  <si>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</si>
  <si>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</si>
  <si>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bank_vault_id</t>
  </si>
  <si>
    <t>bank_vault_branch_code</t>
  </si>
  <si>
    <t>last_annual_fee_payment_date</t>
  </si>
  <si>
    <t>last_annual_fee_paym_princip_amt</t>
  </si>
  <si>
    <t>security_deposit_payment_date</t>
  </si>
  <si>
    <t>security_deposit_principal_amt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</si>
  <si>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</si>
  <si>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</si>
  <si>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</si>
  <si>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</si>
  <si>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</si>
  <si>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</si>
  <si>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</si>
  <si>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</si>
  <si>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</si>
  <si>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</si>
  <si>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</si>
  <si>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</si>
  <si>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</si>
  <si>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</si>
  <si>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</si>
  <si>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</si>
  <si>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</si>
  <si>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</si>
  <si>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</si>
  <si>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</si>
  <si>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</si>
  <si>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</si>
  <si>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</si>
  <si>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</si>
  <si>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</si>
  <si>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</si>
  <si>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</si>
  <si>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</si>
  <si>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</si>
  <si>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</si>
  <si>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</si>
  <si>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</si>
  <si>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</si>
  <si>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</si>
  <si>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</si>
  <si>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</si>
  <si>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</si>
  <si>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</si>
  <si>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</si>
  <si>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</si>
  <si>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</si>
  <si>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</si>
  <si>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</si>
  <si>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</si>
  <si>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</si>
  <si>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</si>
  <si>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</si>
  <si>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</si>
  <si>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</si>
  <si>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</si>
  <si>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</si>
  <si>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</si>
  <si>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</si>
  <si>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</si>
  <si>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</si>
  <si>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</si>
  <si>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</si>
  <si>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</si>
  <si>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</si>
  <si>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</si>
  <si>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</si>
  <si>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</si>
  <si>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</si>
  <si>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</si>
  <si>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</si>
  <si>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</si>
  <si>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</si>
  <si>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</si>
  <si>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</si>
  <si>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</si>
  <si>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</si>
  <si>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</si>
  <si>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</si>
  <si>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</si>
  <si>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</si>
  <si>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</si>
  <si>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</si>
  <si>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</si>
  <si>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</si>
  <si>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</si>
  <si>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</si>
  <si>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</si>
  <si>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</si>
  <si>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</si>
  <si>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</si>
  <si>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</si>
  <si>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</si>
  <si>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</si>
  <si>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</si>
  <si>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</si>
  <si>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</si>
  <si>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</si>
  <si>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</si>
  <si>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</si>
  <si>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</si>
  <si>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</si>
  <si>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</si>
  <si>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</si>
  <si>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</si>
  <si>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</si>
  <si>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</si>
  <si>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</si>
  <si>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</si>
  <si>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</si>
  <si>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</si>
  <si>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</si>
  <si>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</si>
  <si>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</si>
  <si>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</si>
  <si>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</si>
  <si>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</si>
  <si>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</si>
  <si>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</si>
  <si>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bank_vault_visit_id</t>
  </si>
  <si>
    <t>visit_start_employee_id</t>
  </si>
  <si>
    <t>visit_end_employee_id</t>
  </si>
  <si>
    <t>start_datetime</t>
  </si>
  <si>
    <t>end_datetime</t>
  </si>
  <si>
    <t>visit_type_code</t>
  </si>
  <si>
    <t>observation</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</si>
  <si>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</si>
  <si>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</si>
  <si>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</si>
  <si>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</si>
  <si>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</si>
  <si>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</si>
  <si>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</si>
  <si>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</si>
  <si>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</si>
  <si>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</si>
  <si>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</si>
  <si>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</si>
  <si>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</si>
  <si>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</si>
  <si>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</si>
  <si>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</si>
  <si>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</si>
  <si>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</si>
  <si>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</si>
  <si>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</si>
  <si>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</si>
  <si>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</si>
  <si>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</si>
  <si>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</si>
  <si>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</si>
  <si>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</si>
  <si>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</si>
  <si>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</si>
  <si>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</si>
  <si>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contract_intervention_type_code</t>
  </si>
  <si>
    <t>contract_beneficiary_order_num</t>
  </si>
  <si>
    <t>relationship_start_date</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</si>
  <si>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</si>
  <si>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</si>
  <si>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</si>
  <si>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</si>
  <si>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</si>
  <si>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</si>
  <si>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</si>
  <si>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</si>
  <si>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</si>
  <si>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</si>
  <si>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</si>
  <si>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</si>
  <si>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</si>
  <si>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</si>
  <si>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</si>
  <si>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</si>
  <si>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</si>
  <si>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</si>
  <si>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</si>
  <si>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</si>
  <si>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</si>
  <si>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</si>
  <si>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</si>
  <si>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</si>
  <si>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</si>
  <si>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</si>
  <si>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</si>
  <si>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</si>
  <si>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</si>
  <si>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</si>
  <si>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</si>
  <si>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</si>
  <si>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</si>
  <si>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</si>
  <si>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</si>
  <si>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</si>
  <si>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</si>
  <si>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</si>
  <si>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</si>
  <si>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</si>
  <si>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</si>
  <si>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</si>
  <si>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</si>
  <si>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</si>
  <si>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</si>
  <si>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</si>
  <si>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</si>
  <si>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</si>
  <si>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</si>
  <si>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</si>
  <si>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</si>
  <si>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</si>
  <si>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</si>
  <si>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</si>
  <si>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</si>
  <si>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</si>
  <si>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</si>
  <si>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</si>
  <si>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</si>
  <si>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</si>
  <si>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</si>
  <si>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</si>
  <si>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</si>
  <si>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</si>
  <si>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</si>
  <si>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</si>
  <si>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</si>
  <si>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</si>
  <si>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</si>
  <si>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</si>
  <si>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</si>
  <si>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</si>
  <si>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</si>
  <si>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</si>
  <si>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</si>
  <si>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</si>
  <si>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</si>
  <si>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initial_active_variable_rate_ind</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</si>
  <si>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</si>
  <si>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</si>
  <si>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</si>
  <si>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</si>
  <si>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</si>
  <si>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</si>
  <si>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card_number</t>
  </si>
  <si>
    <t>main_contract_bank_id</t>
  </si>
  <si>
    <t>main_contract_id</t>
  </si>
  <si>
    <t>beneficiary_order_number</t>
  </si>
  <si>
    <t>card_activation_date</t>
  </si>
  <si>
    <t>card_expiration_date</t>
  </si>
  <si>
    <t>daily_atm_limit</t>
  </si>
  <si>
    <t>daily_purchase_limit</t>
  </si>
  <si>
    <t>card_status_code</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</si>
  <si>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</si>
  <si>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</si>
  <si>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</si>
  <si>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</si>
  <si>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</si>
  <si>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</si>
  <si>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</si>
  <si>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</si>
  <si>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</si>
  <si>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</si>
  <si>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</si>
  <si>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</si>
  <si>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</si>
  <si>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</si>
  <si>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</si>
  <si>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</si>
  <si>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</si>
  <si>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</si>
  <si>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</si>
  <si>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</si>
  <si>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</si>
  <si>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</si>
  <si>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</si>
  <si>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</si>
  <si>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</si>
  <si>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</si>
  <si>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</si>
  <si>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</si>
  <si>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</si>
  <si>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</si>
  <si>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</si>
  <si>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</si>
  <si>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</si>
  <si>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</si>
  <si>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</si>
  <si>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</si>
  <si>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</si>
  <si>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</si>
  <si>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</si>
  <si>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</si>
  <si>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</si>
  <si>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</si>
  <si>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</si>
  <si>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</si>
  <si>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</si>
  <si>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</si>
  <si>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</si>
  <si>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</si>
  <si>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</si>
  <si>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</si>
  <si>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</si>
  <si>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</si>
  <si>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</si>
  <si>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</si>
  <si>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</si>
  <si>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</si>
  <si>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</si>
  <si>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</si>
  <si>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</si>
  <si>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</si>
  <si>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</si>
  <si>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</si>
  <si>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</si>
  <si>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</si>
  <si>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</si>
  <si>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</si>
  <si>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</si>
  <si>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</si>
  <si>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</si>
  <si>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</si>
  <si>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</si>
  <si>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</si>
  <si>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</si>
  <si>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</si>
  <si>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</si>
  <si>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</si>
  <si>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</si>
  <si>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</si>
  <si>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</si>
  <si>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</si>
  <si>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</si>
  <si>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</si>
  <si>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card_account_id</t>
  </si>
  <si>
    <t>card_account_status_code</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</si>
  <si>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</si>
  <si>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</si>
  <si>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</si>
  <si>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</si>
  <si>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</si>
  <si>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</si>
  <si>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</si>
  <si>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</si>
  <si>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</si>
  <si>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</si>
  <si>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</si>
  <si>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</si>
  <si>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</si>
  <si>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</si>
  <si>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</si>
  <si>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</si>
  <si>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</si>
  <si>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</si>
  <si>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</si>
  <si>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</si>
  <si>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</si>
  <si>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</si>
  <si>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</si>
  <si>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</si>
  <si>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</si>
  <si>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</si>
  <si>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</si>
  <si>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</si>
  <si>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</si>
  <si>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</si>
  <si>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</si>
  <si>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</si>
  <si>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</si>
  <si>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</si>
  <si>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</si>
  <si>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</si>
  <si>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</si>
  <si>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</si>
  <si>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</si>
  <si>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</si>
  <si>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</si>
  <si>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</si>
  <si>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</si>
  <si>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repayment_type_code</t>
  </si>
  <si>
    <t>fixed_repayment_amount</t>
  </si>
  <si>
    <t>repayment_rate</t>
  </si>
  <si>
    <t>total_number_installments</t>
  </si>
  <si>
    <t>current_outstanding_balance</t>
  </si>
  <si>
    <t>next_regular_amort_principal_amt</t>
  </si>
  <si>
    <t>last_settled_amort_due_date</t>
  </si>
  <si>
    <t>last_settled_amort_princip_amt</t>
  </si>
  <si>
    <t>last_early_amort_pay_date</t>
  </si>
  <si>
    <t>last_early_amort_principal_amt</t>
  </si>
  <si>
    <t>last_regular_amort_princip_amt</t>
  </si>
  <si>
    <t>last_regular_amort_install_num</t>
  </si>
  <si>
    <t>init_active_rate_type_code</t>
  </si>
  <si>
    <t>revolving_plan_indicator</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</si>
  <si>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</si>
  <si>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</si>
  <si>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</si>
  <si>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</si>
  <si>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</si>
  <si>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</si>
  <si>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</si>
  <si>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</si>
  <si>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</si>
  <si>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</si>
  <si>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</si>
  <si>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</si>
  <si>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</si>
  <si>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</si>
  <si>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</si>
  <si>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</si>
  <si>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</si>
  <si>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</si>
  <si>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</si>
  <si>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</si>
  <si>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</si>
  <si>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</si>
  <si>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</si>
  <si>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</si>
  <si>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</si>
  <si>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</si>
  <si>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</si>
  <si>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</si>
  <si>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</si>
  <si>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</si>
  <si>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</si>
  <si>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</si>
  <si>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</si>
  <si>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</si>
  <si>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</si>
  <si>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</si>
  <si>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</si>
  <si>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</si>
  <si>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</si>
  <si>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</si>
  <si>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</si>
  <si>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</si>
  <si>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</si>
  <si>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</si>
  <si>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</si>
  <si>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</si>
  <si>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</si>
  <si>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</si>
  <si>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</si>
  <si>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</si>
  <si>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</si>
  <si>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</si>
  <si>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</si>
  <si>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</si>
  <si>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</si>
  <si>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</si>
  <si>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</si>
  <si>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</si>
  <si>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</si>
  <si>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</si>
  <si>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</si>
  <si>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</si>
  <si>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</si>
  <si>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</si>
  <si>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</si>
  <si>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</si>
  <si>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</si>
  <si>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</si>
  <si>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</si>
  <si>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</si>
  <si>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</si>
  <si>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</si>
  <si>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total_num_past_due_installments</t>
  </si>
  <si>
    <t>current_asked_amount</t>
  </si>
  <si>
    <t>nxt_subsd_reg_amort_princip_amt</t>
  </si>
  <si>
    <t>subsidized_rate_type_code</t>
  </si>
  <si>
    <t>init_active_subsid_interest_rate</t>
  </si>
  <si>
    <t>cur_active_subsid_interest_rate</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</si>
  <si>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</si>
  <si>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</si>
  <si>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</si>
  <si>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</si>
  <si>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</si>
  <si>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</si>
  <si>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</si>
  <si>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</si>
  <si>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</si>
  <si>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</si>
  <si>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</si>
  <si>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</si>
  <si>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</si>
  <si>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</si>
  <si>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</si>
  <si>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</si>
  <si>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</si>
  <si>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</si>
  <si>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</si>
  <si>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</si>
  <si>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</si>
  <si>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</si>
  <si>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</si>
  <si>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</si>
  <si>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</si>
  <si>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</si>
  <si>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</si>
  <si>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</si>
  <si>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</si>
  <si>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</si>
  <si>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</si>
  <si>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</si>
  <si>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</si>
  <si>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</si>
  <si>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</si>
  <si>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</si>
  <si>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</si>
  <si>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</si>
  <si>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</si>
  <si>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</si>
  <si>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</si>
  <si>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</si>
  <si>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</si>
  <si>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</si>
  <si>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</si>
  <si>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</si>
  <si>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</si>
  <si>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</si>
  <si>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</si>
  <si>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</si>
  <si>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</si>
  <si>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</si>
  <si>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</si>
  <si>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</si>
  <si>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</si>
  <si>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</si>
  <si>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</si>
  <si>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</si>
  <si>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</si>
  <si>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</si>
  <si>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</si>
  <si>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</si>
  <si>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</si>
  <si>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</si>
  <si>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</si>
  <si>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</si>
  <si>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</si>
  <si>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</si>
  <si>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</si>
  <si>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</si>
  <si>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</si>
  <si>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</si>
  <si>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</si>
  <si>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</si>
  <si>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</si>
  <si>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</si>
  <si>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</si>
  <si>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</si>
  <si>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</si>
  <si>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</si>
  <si>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</si>
  <si>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</si>
  <si>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</si>
  <si>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initial_deposit_amount</t>
  </si>
  <si>
    <t>early_withdraw_penalty_fee</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</si>
  <si>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</si>
  <si>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</si>
  <si>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</si>
  <si>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</si>
  <si>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</si>
  <si>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</si>
  <si>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</si>
  <si>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</si>
  <si>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</si>
  <si>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</si>
  <si>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</si>
  <si>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</si>
  <si>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</si>
  <si>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</si>
  <si>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</si>
  <si>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</si>
  <si>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</si>
  <si>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</si>
  <si>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</si>
  <si>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</si>
  <si>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</si>
  <si>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</si>
  <si>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</si>
  <si>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</si>
  <si>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</si>
  <si>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</si>
  <si>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</si>
  <si>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</si>
  <si>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</si>
  <si>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</si>
  <si>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</si>
  <si>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</si>
  <si>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</si>
  <si>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</si>
  <si>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</si>
  <si>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</si>
  <si>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</si>
  <si>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</si>
  <si>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</si>
  <si>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</si>
  <si>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</si>
  <si>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</si>
  <si>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</si>
  <si>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</si>
  <si>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</si>
  <si>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</si>
  <si>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</si>
  <si>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</si>
  <si>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</si>
  <si>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</si>
  <si>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</si>
  <si>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</si>
  <si>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</si>
  <si>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</si>
  <si>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</si>
  <si>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</si>
  <si>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</si>
  <si>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</si>
  <si>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</si>
  <si>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</si>
  <si>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</si>
  <si>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</si>
  <si>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</si>
  <si>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</si>
  <si>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</si>
  <si>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</si>
  <si>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</si>
  <si>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</si>
  <si>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</si>
  <si>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</si>
  <si>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</si>
  <si>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</si>
  <si>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</si>
  <si>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</si>
  <si>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</si>
  <si>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</si>
  <si>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</si>
  <si>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</si>
  <si>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</si>
  <si>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</si>
  <si>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</si>
  <si>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</si>
  <si>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</si>
  <si>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</si>
  <si>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</si>
  <si>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</si>
  <si>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</si>
  <si>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</si>
  <si>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</si>
  <si>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</si>
  <si>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</si>
  <si>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</si>
  <si>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</si>
  <si>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</si>
  <si>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</si>
  <si>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</si>
  <si>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</si>
  <si>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</si>
  <si>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</si>
  <si>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</si>
  <si>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</si>
  <si>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</si>
  <si>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</si>
  <si>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</si>
  <si>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</si>
  <si>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</si>
  <si>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</si>
  <si>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transport_imo_id</t>
  </si>
  <si>
    <t>arrival_location_name</t>
  </si>
  <si>
    <t>departure_location_name</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</si>
  <si>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</si>
  <si>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</si>
  <si>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</si>
  <si>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</si>
  <si>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</si>
  <si>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</si>
  <si>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</si>
  <si>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</si>
  <si>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</si>
  <si>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</si>
  <si>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</si>
  <si>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</si>
  <si>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</si>
  <si>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</si>
  <si>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</si>
  <si>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</si>
  <si>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</si>
  <si>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</si>
  <si>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</si>
  <si>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</si>
  <si>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</si>
  <si>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</si>
  <si>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</si>
  <si>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</si>
  <si>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</si>
  <si>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</si>
  <si>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</si>
  <si>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</si>
  <si>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</si>
  <si>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</si>
  <si>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</si>
  <si>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</si>
  <si>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</si>
  <si>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</si>
  <si>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</si>
  <si>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</si>
  <si>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</si>
  <si>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</si>
  <si>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</si>
  <si>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</si>
  <si>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</si>
  <si>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</si>
  <si>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</si>
  <si>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</si>
  <si>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</si>
  <si>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</si>
  <si>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</si>
  <si>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</si>
  <si>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</si>
  <si>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</si>
  <si>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</si>
  <si>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</si>
  <si>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</si>
  <si>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</si>
  <si>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</si>
  <si>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</si>
  <si>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</si>
  <si>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</si>
  <si>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</si>
  <si>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</si>
  <si>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</si>
  <si>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</si>
  <si>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</si>
  <si>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</si>
  <si>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</si>
  <si>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</si>
  <si>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</si>
  <si>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</si>
  <si>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</si>
  <si>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</si>
  <si>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</si>
  <si>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</si>
  <si>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main_current_account_nib</t>
  </si>
  <si>
    <t>main_current_acc_supp_bank_code</t>
  </si>
  <si>
    <t>main_current_account_agency_id</t>
  </si>
  <si>
    <t>main_current_account_number</t>
  </si>
  <si>
    <t>initial_advance_principal_amount</t>
  </si>
  <si>
    <t>current_advance_principal_amount</t>
  </si>
  <si>
    <t>current_overdue_taxes_balance</t>
  </si>
  <si>
    <t>current_overdue_expenses_bal</t>
  </si>
  <si>
    <t>current_overdue_interest_bal</t>
  </si>
  <si>
    <t>residual_value_principal_amount</t>
  </si>
  <si>
    <t>residual_value_taxes_amount</t>
  </si>
  <si>
    <t>residual_value_interest_amount</t>
  </si>
  <si>
    <t>residual_value_expenses_amount</t>
  </si>
  <si>
    <t>last_settled_amort_taxes_amount</t>
  </si>
  <si>
    <t>last_settled_amort_expenses_amt</t>
  </si>
  <si>
    <t>last_settled_amort_interest_amount</t>
  </si>
  <si>
    <t>last_early_amort_taxes_amount</t>
  </si>
  <si>
    <t>last_early_amort_expenses_amt</t>
  </si>
  <si>
    <t>last_installment_payment_date</t>
  </si>
  <si>
    <t>last_install_payment_princip_amt</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</si>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</sst>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47">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1"/>
      <name val="Calibri"/>
      <family val="2"/>
      <scheme val="minor"/>
    </font>
    <font>
      <sz val="11"/>
      <color rgb="FF000000"/>
      <name val="Calibri"/>
      <family val="2"/>
    </font>
    <font>
      <sz val="11"/>
      <name val="Calibri"/>
      <family val="2"/>
    </font>
    <font>
      <sz val="11"/>
      <color rgb="FF000000"/>
      <name val="Calibri"/>
      <family val="2"/>
      <scheme val="minor"/>
    </font>
    <font>
      <i/>
      <sz val="11"/>
      <color rgb="FF000000"/>
      <name val="Calibri"/>
      <family val="2"/>
      <scheme val="minor"/>
    </font>
    <font>
      <sz val="8"/>
      <color theme="1"/>
      <name val="Calibri"/>
      <family val="2"/>
    </font>
    <font>
      <sz val="8"/>
      <color theme="1"/>
      <name val="Calibri"/>
      <family val="2"/>
      <scheme val="minor"/>
    </font>
    <font>
      <b/>
      <sz val="11"/>
      <color theme="0"/>
      <name val="Calibri"/>
      <family val="2"/>
      <scheme val="minor"/>
    </font>
    <font>
      <b/>
      <sz val="11"/>
      <color theme="1"/>
      <name val="Calibri"/>
      <family val="2"/>
      <scheme val="minor"/>
    </font>
    <font>
      <sz val="11"/>
      <color rgb="FF242424"/>
      <name val="Aptos Narrow"/>
      <family val="2"/>
    </font>
    <font>
      <b/>
      <sz val="11"/>
      <color rgb="FFFF0000"/>
      <name val="Calibri"/>
      <family val="2"/>
      <scheme val="minor"/>
    </font>
    <font>
      <b/>
      <sz val="11"/>
      <color rgb="FF000000"/>
      <name val="Calibri"/>
      <family val="2"/>
      <scheme val="minor"/>
    </font>
    <font>
      <b/>
      <sz val="11"/>
      <color rgb="FF000000"/>
      <name val="Calibri"/>
      <family val="2"/>
    </font>
    <font>
      <sz val="11"/>
      <color theme="1"/>
      <name val="Calibri"/>
      <family val="2"/>
    </font>
    <font>
      <strike/>
      <sz val="11"/>
      <color rgb="FF000000"/>
      <name val="Calibri"/>
      <family val="2"/>
      <scheme val="minor"/>
    </font>
    <font>
      <sz val="11"/>
      <color rgb="FFFF0000"/>
      <name val="Calibri"/>
      <family val="2"/>
      <scheme val="minor"/>
    </font>
    <font>
      <b/>
      <sz val="11"/>
      <color rgb="FF000000"/>
      <name val="Calibri"/>
      <scheme val="minor"/>
    </font>
    <font>
      <sz val="11"/>
      <color rgb="FF000000"/>
      <name val="Calibri"/>
      <scheme val="minor"/>
    </font>
  </fonts>
  <fills count="14">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s>
  <borders count="30">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350">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0" fillId="0" borderId="0" xfId="0" applyAlignment="1">
      <alignment wrapText="1"/>
    </xf>
    <xf numFmtId="0" fontId="0" fillId="0" borderId="0" xfId="0" applyAlignment="1">
      <alignment horizontal="left" vertical="center"/>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29"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29" fillId="0" borderId="11" xfId="0" applyFont="1" applyBorder="1" applyAlignment="1">
      <alignment horizontal="left" vertical="center" wrapText="1"/>
    </xf>
    <xf numFmtId="0" fontId="29" fillId="0" borderId="11" xfId="0" applyFont="1" applyBorder="1" applyAlignment="1">
      <alignment vertical="center" wrapText="1"/>
    </xf>
    <xf numFmtId="0" fontId="28" fillId="0" borderId="11" xfId="0" applyFont="1" applyBorder="1" applyAlignment="1">
      <alignment vertical="center" wrapText="1"/>
    </xf>
    <xf numFmtId="0" fontId="29" fillId="0" borderId="11" xfId="0" applyFont="1" applyBorder="1" applyAlignment="1">
      <alignment vertical="center"/>
    </xf>
    <xf numFmtId="0" fontId="0" fillId="8" borderId="11" xfId="0" applyFill="1" applyBorder="1" applyAlignment="1">
      <alignment vertical="center" wrapText="1"/>
    </xf>
    <xf numFmtId="0" fontId="0" fillId="0" borderId="13" xfId="0" applyBorder="1" applyAlignment="1" applyProtection="1">
      <alignment horizontal="center" vertical="center" wrapText="1"/>
      <protection locked="0"/>
    </xf>
    <xf numFmtId="0" fontId="27" fillId="0" borderId="11" xfId="0" applyFont="1" applyBorder="1" applyAlignment="1">
      <alignment horizontal="left" vertical="center" wrapText="1"/>
    </xf>
    <xf numFmtId="0" fontId="28" fillId="0" borderId="11" xfId="0" applyFont="1" applyBorder="1" applyAlignment="1">
      <alignment vertical="center"/>
    </xf>
    <xf numFmtId="0" fontId="0" fillId="0" borderId="11" xfId="0" applyBorder="1" applyAlignment="1" applyProtection="1">
      <alignment vertical="center"/>
      <protection locked="0"/>
    </xf>
    <xf numFmtId="49" fontId="29" fillId="0" borderId="11" xfId="0" applyNumberFormat="1" applyFont="1" applyBorder="1" applyAlignment="1">
      <alignment vertical="center" wrapText="1"/>
    </xf>
    <xf numFmtId="0" fontId="32"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31" fillId="0" borderId="11" xfId="0" applyFont="1" applyBorder="1" applyAlignment="1">
      <alignment vertical="center" wrapText="1"/>
    </xf>
    <xf numFmtId="0" fontId="30" fillId="0" borderId="11" xfId="0" applyFont="1" applyBorder="1" applyAlignment="1">
      <alignment vertical="center" wrapText="1"/>
    </xf>
    <xf numFmtId="0" fontId="0" fillId="0" borderId="17" xfId="0" applyBorder="1" applyAlignment="1">
      <alignment horizontal="left" vertical="center" wrapText="1"/>
    </xf>
    <xf numFmtId="0" fontId="0" fillId="0" borderId="11" xfId="0" applyBorder="1" applyAlignment="1" applyProtection="1">
      <alignment vertical="center" wrapText="1"/>
      <protection locked="0"/>
    </xf>
    <xf numFmtId="0" fontId="0" fillId="0" borderId="0" xfId="0" applyAlignment="1">
      <alignment horizontal="center" vertical="center"/>
    </xf>
    <xf numFmtId="0" fontId="35" fillId="0" borderId="11" xfId="0" applyFont="1" applyBorder="1" applyAlignment="1">
      <alignment horizontal="left" vertical="center"/>
    </xf>
    <xf numFmtId="0" fontId="35" fillId="0" borderId="12" xfId="0" applyFont="1" applyBorder="1" applyAlignment="1">
      <alignment horizontal="left" vertical="center" wrapText="1"/>
    </xf>
    <xf numFmtId="0" fontId="35" fillId="0" borderId="11" xfId="0" applyFont="1" applyBorder="1" applyAlignment="1">
      <alignment horizontal="left" vertical="center" wrapText="1"/>
    </xf>
    <xf numFmtId="0" fontId="35"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4" fillId="0" borderId="16" xfId="0" applyFont="1" applyBorder="1" applyAlignment="1">
      <alignment horizontal="center" vertical="center"/>
    </xf>
    <xf numFmtId="0" fontId="35" fillId="0" borderId="16" xfId="0" applyFont="1" applyBorder="1" applyAlignment="1">
      <alignment horizontal="center" vertical="center"/>
    </xf>
    <xf numFmtId="0" fontId="35"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5" fillId="0" borderId="14" xfId="0" applyFont="1" applyBorder="1" applyAlignment="1">
      <alignment horizontal="left" vertical="center"/>
    </xf>
    <xf numFmtId="0" fontId="35" fillId="0" borderId="24"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22" fontId="0" fillId="0" borderId="0" xfId="0" applyNumberFormat="1"/>
    <xf numFmtId="0" fontId="0" fillId="0" borderId="0" xfId="0" applyAlignment="1">
      <alignment horizontal="left"/>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5" xfId="0" applyFont="1" applyFill="1" applyBorder="1" applyAlignment="1">
      <alignment horizontal="center" vertical="center" wrapText="1"/>
    </xf>
    <xf numFmtId="0" fontId="0" fillId="0" borderId="14" xfId="0" applyBorder="1"/>
    <xf numFmtId="0" fontId="0" fillId="0" borderId="13" xfId="0" applyBorder="1"/>
    <xf numFmtId="22" fontId="0" fillId="0" borderId="13" xfId="0" applyNumberFormat="1" applyBorder="1"/>
    <xf numFmtId="0" fontId="0" fillId="0" borderId="15" xfId="0" applyBorder="1"/>
    <xf numFmtId="22" fontId="0" fillId="0" borderId="15" xfId="0" applyNumberFormat="1" applyBorder="1"/>
    <xf numFmtId="0" fontId="0" fillId="0" borderId="23" xfId="0" applyBorder="1"/>
    <xf numFmtId="0" fontId="0" fillId="0" borderId="16" xfId="0" applyBorder="1"/>
    <xf numFmtId="0" fontId="0" fillId="0" borderId="21" xfId="0" applyBorder="1"/>
    <xf numFmtId="0" fontId="0" fillId="0" borderId="13" xfId="0" applyBorder="1" applyAlignment="1">
      <alignment horizontal="left"/>
    </xf>
    <xf numFmtId="0" fontId="0" fillId="0" borderId="15" xfId="0" applyBorder="1" applyAlignment="1">
      <alignment vertical="center"/>
    </xf>
    <xf numFmtId="22" fontId="0" fillId="0" borderId="15" xfId="0" applyNumberFormat="1" applyBorder="1" applyAlignment="1">
      <alignment vertical="center"/>
    </xf>
    <xf numFmtId="0" fontId="0" fillId="0" borderId="13" xfId="0" applyBorder="1" applyAlignment="1">
      <alignment horizontal="left" vertical="center"/>
    </xf>
    <xf numFmtId="22" fontId="0" fillId="0" borderId="13" xfId="0" applyNumberFormat="1" applyBorder="1" applyAlignment="1">
      <alignment horizontal="left" vertical="center"/>
    </xf>
    <xf numFmtId="0" fontId="0" fillId="0" borderId="14" xfId="0" applyBorder="1" applyAlignment="1">
      <alignment vertical="center"/>
    </xf>
    <xf numFmtId="0" fontId="0" fillId="0" borderId="16" xfId="0" applyBorder="1" applyAlignment="1">
      <alignment vertical="center"/>
    </xf>
    <xf numFmtId="0" fontId="0" fillId="0" borderId="23" xfId="0" applyBorder="1" applyAlignment="1">
      <alignment vertical="center"/>
    </xf>
    <xf numFmtId="0" fontId="0" fillId="0" borderId="13" xfId="0" applyBorder="1" applyAlignment="1">
      <alignment vertical="center"/>
    </xf>
    <xf numFmtId="22" fontId="0" fillId="0" borderId="13" xfId="0" applyNumberFormat="1" applyBorder="1" applyAlignment="1">
      <alignment vertical="center"/>
    </xf>
    <xf numFmtId="0" fontId="0" fillId="0" borderId="21" xfId="0" applyBorder="1" applyAlignment="1">
      <alignment horizontal="left" vertical="center"/>
    </xf>
    <xf numFmtId="0" fontId="0" fillId="0" borderId="23" xfId="0" applyBorder="1" applyAlignment="1">
      <alignment horizontal="left" vertical="center"/>
    </xf>
    <xf numFmtId="0" fontId="0" fillId="0" borderId="14" xfId="0" applyBorder="1" applyAlignment="1">
      <alignment horizontal="left" vertical="center"/>
    </xf>
    <xf numFmtId="0" fontId="0" fillId="0" borderId="17" xfId="0" applyBorder="1" applyAlignment="1">
      <alignment vertical="center" wrapText="1"/>
    </xf>
    <xf numFmtId="0" fontId="36" fillId="10" borderId="15" xfId="0" applyFont="1" applyFill="1" applyBorder="1" applyAlignment="1">
      <alignment horizontal="left"/>
    </xf>
    <xf numFmtId="0" fontId="36" fillId="10" borderId="16" xfId="0" applyFont="1" applyFill="1" applyBorder="1" applyAlignment="1">
      <alignment horizontal="left"/>
    </xf>
    <xf numFmtId="0" fontId="36" fillId="10" borderId="16" xfId="0" applyFont="1" applyFill="1" applyBorder="1" applyAlignment="1">
      <alignment horizontal="center" vertical="center"/>
    </xf>
    <xf numFmtId="0" fontId="36" fillId="10" borderId="11" xfId="0" applyFont="1" applyFill="1" applyBorder="1" applyAlignment="1">
      <alignment horizontal="left"/>
    </xf>
    <xf numFmtId="0" fontId="36" fillId="10" borderId="14" xfId="0" applyFont="1" applyFill="1" applyBorder="1" applyAlignment="1">
      <alignment horizontal="center" vertical="center"/>
    </xf>
    <xf numFmtId="0" fontId="36" fillId="10" borderId="15" xfId="0" applyFont="1" applyFill="1" applyBorder="1" applyAlignment="1">
      <alignment horizontal="center" vertical="center"/>
    </xf>
    <xf numFmtId="0" fontId="36" fillId="10" borderId="12" xfId="0" applyFont="1" applyFill="1" applyBorder="1" applyAlignment="1">
      <alignment horizontal="left"/>
    </xf>
    <xf numFmtId="0" fontId="36" fillId="10" borderId="0" xfId="0" applyFont="1" applyFill="1" applyAlignment="1">
      <alignment horizontal="center" vertical="center"/>
    </xf>
    <xf numFmtId="0" fontId="36" fillId="0" borderId="13" xfId="0" applyFont="1" applyBorder="1" applyAlignment="1">
      <alignment vertical="center"/>
    </xf>
    <xf numFmtId="0" fontId="36" fillId="10" borderId="23" xfId="0" applyFont="1" applyFill="1" applyBorder="1" applyAlignment="1">
      <alignment horizontal="center" vertical="center"/>
    </xf>
    <xf numFmtId="0" fontId="36" fillId="10" borderId="13" xfId="0" applyFont="1" applyFill="1" applyBorder="1" applyAlignment="1">
      <alignment horizontal="center" vertical="center"/>
    </xf>
    <xf numFmtId="0" fontId="36" fillId="10" borderId="21" xfId="0" applyFont="1" applyFill="1" applyBorder="1" applyAlignment="1">
      <alignment horizontal="center" vertical="center"/>
    </xf>
    <xf numFmtId="0" fontId="0" fillId="0" borderId="23" xfId="0" applyBorder="1" applyAlignment="1">
      <alignment vertical="center" wrapText="1"/>
    </xf>
    <xf numFmtId="0" fontId="0" fillId="0" borderId="26" xfId="0" applyBorder="1" applyAlignment="1">
      <alignment vertical="center"/>
    </xf>
    <xf numFmtId="0" fontId="0" fillId="0" borderId="24" xfId="0" applyBorder="1" applyAlignment="1">
      <alignment vertical="center"/>
    </xf>
    <xf numFmtId="0" fontId="0" fillId="0" borderId="12" xfId="0" applyBorder="1" applyAlignment="1">
      <alignment vertical="center" wrapText="1"/>
    </xf>
    <xf numFmtId="0" fontId="36" fillId="10" borderId="11" xfId="0" applyFont="1" applyFill="1" applyBorder="1" applyAlignment="1">
      <alignment vertical="center"/>
    </xf>
    <xf numFmtId="0" fontId="36" fillId="10" borderId="12" xfId="0" applyFont="1" applyFill="1" applyBorder="1" applyAlignment="1">
      <alignment vertical="center"/>
    </xf>
    <xf numFmtId="0" fontId="36" fillId="0" borderId="0" xfId="0" applyFont="1" applyAlignment="1">
      <alignment vertical="center"/>
    </xf>
    <xf numFmtId="0" fontId="0" fillId="0" borderId="15" xfId="0" applyBorder="1" applyAlignment="1">
      <alignment horizontal="left" vertical="center"/>
    </xf>
    <xf numFmtId="0" fontId="0" fillId="0" borderId="16" xfId="0" applyBorder="1" applyAlignment="1">
      <alignment horizontal="left" vertical="center"/>
    </xf>
    <xf numFmtId="22" fontId="0" fillId="0" borderId="15" xfId="0" applyNumberFormat="1" applyBorder="1" applyAlignment="1">
      <alignment horizontal="left" vertical="center"/>
    </xf>
    <xf numFmtId="49" fontId="0" fillId="0" borderId="23" xfId="0" applyNumberFormat="1" applyBorder="1" applyAlignment="1">
      <alignment vertical="center" wrapText="1"/>
    </xf>
    <xf numFmtId="49" fontId="0" fillId="0" borderId="10" xfId="0" applyNumberFormat="1" applyBorder="1" applyAlignment="1">
      <alignment vertical="center" wrapText="1"/>
    </xf>
    <xf numFmtId="0" fontId="36" fillId="10" borderId="15" xfId="0" applyFont="1" applyFill="1" applyBorder="1"/>
    <xf numFmtId="0" fontId="36" fillId="10" borderId="10" xfId="0" applyFont="1" applyFill="1" applyBorder="1" applyAlignment="1">
      <alignment horizontal="center" vertical="center"/>
    </xf>
    <xf numFmtId="0" fontId="36" fillId="10" borderId="27" xfId="0" applyFont="1" applyFill="1" applyBorder="1" applyAlignment="1">
      <alignment horizontal="center" vertical="center"/>
    </xf>
    <xf numFmtId="0" fontId="0" fillId="0" borderId="15" xfId="0" applyBorder="1" applyAlignment="1">
      <alignment horizontal="left"/>
    </xf>
    <xf numFmtId="0" fontId="0" fillId="0" borderId="16" xfId="0" applyBorder="1" applyAlignment="1">
      <alignment horizontal="left"/>
    </xf>
    <xf numFmtId="0" fontId="0" fillId="0" borderId="13" xfId="0" applyBorder="1" applyAlignment="1">
      <alignment horizontal="left" vertical="center" wrapText="1"/>
    </xf>
    <xf numFmtId="0" fontId="0" fillId="0" borderId="23" xfId="0" applyBorder="1" applyAlignment="1">
      <alignment horizontal="left" vertical="center" wrapText="1"/>
    </xf>
    <xf numFmtId="0" fontId="0" fillId="0" borderId="13" xfId="0" applyBorder="1" applyAlignment="1">
      <alignment vertical="center" wrapText="1"/>
    </xf>
    <xf numFmtId="0" fontId="0" fillId="0" borderId="11" xfId="0" quotePrefix="1" applyBorder="1" applyAlignment="1">
      <alignment vertical="center" wrapText="1"/>
    </xf>
    <xf numFmtId="49" fontId="30" fillId="0" borderId="0" xfId="0" applyNumberFormat="1" applyFont="1"/>
    <xf numFmtId="0" fontId="37" fillId="0" borderId="0" xfId="0" applyFont="1"/>
    <xf numFmtId="0" fontId="0" fillId="0" borderId="11" xfId="0" applyBorder="1" applyAlignment="1" applyProtection="1">
      <alignment horizontal="left" vertical="center" wrapText="1"/>
      <protection locked="0"/>
    </xf>
    <xf numFmtId="0" fontId="0" fillId="0" borderId="0" xfId="0" applyAlignment="1">
      <alignment horizontal="right"/>
    </xf>
    <xf numFmtId="0" fontId="0" fillId="0" borderId="0" xfId="0" applyAlignment="1">
      <alignment horizontal="right" vertical="center"/>
    </xf>
    <xf numFmtId="0" fontId="36" fillId="10" borderId="28" xfId="0" applyFont="1" applyFill="1" applyBorder="1" applyAlignment="1">
      <alignment horizontal="right" vertical="center"/>
    </xf>
    <xf numFmtId="0" fontId="0" fillId="0" borderId="13" xfId="0" applyBorder="1" applyAlignment="1">
      <alignment horizontal="right"/>
    </xf>
    <xf numFmtId="0" fontId="0" fillId="0" borderId="15" xfId="0" applyBorder="1" applyAlignment="1">
      <alignment horizontal="right"/>
    </xf>
    <xf numFmtId="0" fontId="37" fillId="0" borderId="0" xfId="0" applyFont="1" applyAlignment="1">
      <alignment horizontal="right"/>
    </xf>
    <xf numFmtId="0" fontId="36" fillId="6" borderId="15" xfId="0" applyFont="1" applyFill="1" applyBorder="1" applyAlignment="1">
      <alignment horizontal="center" vertical="center"/>
    </xf>
    <xf numFmtId="0" fontId="36" fillId="6" borderId="14" xfId="0" applyFont="1" applyFill="1" applyBorder="1" applyAlignment="1">
      <alignment horizontal="center" vertical="center"/>
    </xf>
    <xf numFmtId="0" fontId="36" fillId="6" borderId="15" xfId="0" applyFont="1" applyFill="1" applyBorder="1" applyAlignment="1">
      <alignment horizontal="right" vertical="center"/>
    </xf>
    <xf numFmtId="0" fontId="36" fillId="10" borderId="29" xfId="0" applyFont="1" applyFill="1" applyBorder="1" applyAlignment="1">
      <alignment horizontal="right" vertical="center"/>
    </xf>
    <xf numFmtId="0" fontId="0" fillId="0" borderId="21" xfId="0" applyBorder="1" applyAlignment="1">
      <alignment horizontal="right"/>
    </xf>
    <xf numFmtId="0" fontId="0" fillId="0" borderId="10" xfId="0" applyBorder="1" applyAlignment="1">
      <alignment vertical="center"/>
    </xf>
    <xf numFmtId="0" fontId="0" fillId="2" borderId="15" xfId="0" applyFill="1" applyBorder="1" applyAlignment="1">
      <alignment vertical="center"/>
    </xf>
    <xf numFmtId="0" fontId="0" fillId="2" borderId="14" xfId="0" applyFill="1" applyBorder="1" applyAlignment="1">
      <alignment vertical="center"/>
    </xf>
    <xf numFmtId="0" fontId="0" fillId="2" borderId="11" xfId="0" applyFill="1" applyBorder="1" applyAlignment="1">
      <alignment vertical="center" wrapText="1"/>
    </xf>
    <xf numFmtId="0" fontId="0" fillId="2" borderId="13" xfId="0" applyFill="1" applyBorder="1" applyAlignment="1">
      <alignment vertical="center" wrapText="1"/>
    </xf>
    <xf numFmtId="0" fontId="0" fillId="2" borderId="23" xfId="0" applyFill="1" applyBorder="1" applyAlignment="1">
      <alignment vertical="center" wrapText="1"/>
    </xf>
    <xf numFmtId="0" fontId="0" fillId="0" borderId="26" xfId="0" applyBorder="1" applyAlignment="1">
      <alignment horizontal="left" vertical="center"/>
    </xf>
    <xf numFmtId="0" fontId="0" fillId="0" borderId="24"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8" xfId="0" applyBorder="1" applyAlignment="1">
      <alignment horizontal="left" vertical="center"/>
    </xf>
    <xf numFmtId="0" fontId="0" fillId="0" borderId="12"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0" xfId="0" applyBorder="1" applyAlignment="1">
      <alignment vertical="center" wrapText="1"/>
    </xf>
    <xf numFmtId="0" fontId="38" fillId="0" borderId="0" xfId="0" applyFont="1"/>
    <xf numFmtId="0" fontId="0" fillId="0" borderId="0" xfId="0" quotePrefix="1" applyAlignment="1">
      <alignment horizontal="left" vertical="center"/>
    </xf>
    <xf numFmtId="0" fontId="0" fillId="0" borderId="16" xfId="0" quotePrefix="1" applyBorder="1" applyAlignment="1">
      <alignment horizontal="left"/>
    </xf>
    <xf numFmtId="2" fontId="0" fillId="0" borderId="0" xfId="0" applyNumberFormat="1" applyAlignment="1">
      <alignment horizontal="left" vertical="center"/>
    </xf>
    <xf numFmtId="49" fontId="35" fillId="0" borderId="14"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3" xfId="0" applyNumberFormat="1" applyBorder="1" applyAlignment="1">
      <alignment horizontal="left" vertical="center" wrapText="1"/>
    </xf>
    <xf numFmtId="0" fontId="0" fillId="0" borderId="10" xfId="0" applyBorder="1" applyAlignment="1">
      <alignment horizontal="left" vertical="center" wrapText="1"/>
    </xf>
    <xf numFmtId="49" fontId="0" fillId="0" borderId="10" xfId="0" applyNumberFormat="1" applyBorder="1" applyAlignment="1">
      <alignment horizontal="left" vertical="center" wrapText="1"/>
    </xf>
    <xf numFmtId="0" fontId="0" fillId="0" borderId="24"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0" fillId="0" borderId="17" xfId="0" applyBorder="1" applyAlignment="1">
      <alignment horizontal="left" vertical="center"/>
    </xf>
    <xf numFmtId="0" fontId="36" fillId="10" borderId="28" xfId="0" applyFont="1" applyFill="1" applyBorder="1" applyAlignment="1">
      <alignment horizontal="center" vertical="center"/>
    </xf>
    <xf numFmtId="0" fontId="36" fillId="0" borderId="10" xfId="0" applyFont="1" applyBorder="1" applyAlignment="1">
      <alignment horizontal="center" vertical="center"/>
    </xf>
    <xf numFmtId="0" fontId="0" fillId="0" borderId="10" xfId="0" applyBorder="1"/>
    <xf numFmtId="0" fontId="0" fillId="0" borderId="10"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36" fillId="9" borderId="16" xfId="0" applyFont="1" applyFill="1" applyBorder="1"/>
    <xf numFmtId="0" fontId="36" fillId="0" borderId="0" xfId="0" applyFont="1" applyAlignment="1">
      <alignment horizontal="center" vertical="center"/>
    </xf>
    <xf numFmtId="0" fontId="0" fillId="0" borderId="0" xfId="0" applyAlignment="1">
      <alignment vertical="center"/>
    </xf>
    <xf numFmtId="0" fontId="0" fillId="0" borderId="10" xfId="0" applyBorder="1" applyAlignment="1">
      <alignment horizontal="left" vertical="center"/>
    </xf>
    <xf numFmtId="0" fontId="36" fillId="9" borderId="0" xfId="0" applyFont="1" applyFill="1"/>
    <xf numFmtId="0" fontId="36" fillId="9" borderId="0" xfId="0" applyFont="1" applyFill="1" applyAlignment="1">
      <alignment horizontal="center" vertical="center"/>
    </xf>
    <xf numFmtId="2" fontId="0" fillId="0" borderId="0" xfId="0" applyNumberFormat="1" applyAlignment="1">
      <alignment horizontal="left"/>
    </xf>
    <xf numFmtId="0" fontId="36" fillId="0" borderId="0" xfId="0" applyFont="1"/>
    <xf numFmtId="0" fontId="36" fillId="9" borderId="27" xfId="0" applyFont="1" applyFill="1" applyBorder="1"/>
    <xf numFmtId="1" fontId="0" fillId="0" borderId="0" xfId="0" quotePrefix="1" applyNumberFormat="1" applyAlignment="1">
      <alignment horizontal="left" vertical="center"/>
    </xf>
    <xf numFmtId="0" fontId="0" fillId="0" borderId="14" xfId="0" applyBorder="1" applyAlignment="1">
      <alignment horizontal="left" vertical="center" wrapText="1"/>
    </xf>
    <xf numFmtId="0" fontId="0" fillId="2" borderId="13" xfId="0" applyFill="1" applyBorder="1"/>
    <xf numFmtId="49" fontId="35" fillId="0" borderId="0" xfId="0" applyNumberFormat="1" applyFont="1" applyAlignment="1">
      <alignment horizontal="left" vertical="center"/>
    </xf>
    <xf numFmtId="0" fontId="35" fillId="0" borderId="0" xfId="0" applyFont="1" applyAlignment="1">
      <alignment horizontal="left" vertical="center"/>
    </xf>
    <xf numFmtId="0" fontId="32" fillId="0" borderId="18" xfId="0" applyFont="1" applyBorder="1" applyAlignment="1">
      <alignment vertical="center" wrapText="1"/>
    </xf>
    <xf numFmtId="49" fontId="32" fillId="0" borderId="10" xfId="0" applyNumberFormat="1" applyFont="1" applyBorder="1" applyAlignment="1">
      <alignment vertical="center" wrapText="1"/>
    </xf>
    <xf numFmtId="0" fontId="32" fillId="0" borderId="17" xfId="0" applyFont="1" applyBorder="1" applyAlignment="1">
      <alignment vertical="center" wrapText="1"/>
    </xf>
    <xf numFmtId="0" fontId="0" fillId="0" borderId="18" xfId="0" applyBorder="1" applyAlignment="1">
      <alignment vertical="center" wrapText="1"/>
    </xf>
    <xf numFmtId="0" fontId="36" fillId="11" borderId="15" xfId="0" applyFont="1" applyFill="1" applyBorder="1" applyAlignment="1">
      <alignment horizontal="center" vertical="center"/>
    </xf>
    <xf numFmtId="0" fontId="0" fillId="11" borderId="13" xfId="0" applyFill="1" applyBorder="1"/>
    <xf numFmtId="0" fontId="0" fillId="11" borderId="15" xfId="0" applyFill="1" applyBorder="1" applyAlignment="1">
      <alignment horizontal="left"/>
    </xf>
    <xf numFmtId="0" fontId="0" fillId="0" borderId="27" xfId="0" applyBorder="1"/>
    <xf numFmtId="0" fontId="0" fillId="12" borderId="0" xfId="0" applyFill="1" applyAlignment="1">
      <alignment horizontal="left" vertical="center"/>
    </xf>
    <xf numFmtId="3" fontId="0" fillId="12" borderId="0" xfId="0" applyNumberFormat="1" applyFill="1" applyAlignment="1">
      <alignment horizontal="left" vertical="center"/>
    </xf>
    <xf numFmtId="14" fontId="0" fillId="12" borderId="0" xfId="0" applyNumberFormat="1" applyFill="1" applyAlignment="1">
      <alignment horizontal="left" vertical="center"/>
    </xf>
    <xf numFmtId="167" fontId="0" fillId="0" borderId="0" xfId="0" quotePrefix="1" applyNumberFormat="1" applyAlignment="1">
      <alignment horizontal="left" vertical="center"/>
    </xf>
    <xf numFmtId="49" fontId="32" fillId="0" borderId="0" xfId="0" applyNumberFormat="1" applyFont="1" applyAlignment="1">
      <alignment horizontal="left" vertical="center"/>
    </xf>
    <xf numFmtId="0" fontId="0" fillId="2" borderId="26" xfId="0" applyFill="1" applyBorder="1" applyAlignment="1">
      <alignment vertical="center"/>
    </xf>
    <xf numFmtId="0" fontId="32" fillId="2" borderId="17" xfId="0" applyFont="1" applyFill="1" applyBorder="1" applyAlignment="1">
      <alignment vertical="center" wrapText="1"/>
    </xf>
    <xf numFmtId="49" fontId="0" fillId="2" borderId="23" xfId="0" applyNumberFormat="1" applyFill="1" applyBorder="1" applyAlignment="1">
      <alignment vertical="center" wrapText="1"/>
    </xf>
    <xf numFmtId="49" fontId="32" fillId="0" borderId="23" xfId="0" applyNumberFormat="1" applyFont="1" applyBorder="1" applyAlignment="1">
      <alignment vertical="center" wrapText="1"/>
    </xf>
    <xf numFmtId="0" fontId="0" fillId="2" borderId="17" xfId="0" applyFill="1" applyBorder="1" applyAlignment="1">
      <alignment vertical="center" wrapText="1"/>
    </xf>
    <xf numFmtId="0" fontId="0" fillId="2" borderId="24" xfId="0" applyFill="1" applyBorder="1" applyAlignment="1">
      <alignment vertical="center" wrapText="1"/>
    </xf>
    <xf numFmtId="0" fontId="0" fillId="2" borderId="18" xfId="0" applyFill="1" applyBorder="1" applyAlignment="1">
      <alignment vertical="center" wrapText="1"/>
    </xf>
    <xf numFmtId="49" fontId="0" fillId="2" borderId="10" xfId="0" applyNumberFormat="1" applyFill="1" applyBorder="1" applyAlignment="1">
      <alignment vertical="center" wrapText="1"/>
    </xf>
    <xf numFmtId="0" fontId="0" fillId="2" borderId="10" xfId="0" applyFill="1" applyBorder="1" applyAlignment="1">
      <alignment vertical="center" wrapText="1"/>
    </xf>
    <xf numFmtId="0" fontId="0" fillId="2" borderId="24"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0" fillId="2" borderId="11" xfId="0" applyFill="1" applyBorder="1" applyAlignment="1">
      <alignment horizontal="left" vertical="center" wrapText="1"/>
    </xf>
    <xf numFmtId="49" fontId="0" fillId="2" borderId="23" xfId="0" applyNumberFormat="1" applyFill="1" applyBorder="1" applyAlignment="1">
      <alignment horizontal="left" vertical="center" wrapText="1"/>
    </xf>
    <xf numFmtId="0" fontId="0" fillId="2" borderId="24" xfId="0" applyFill="1" applyBorder="1" applyAlignment="1">
      <alignment horizontal="left" vertical="center" wrapText="1"/>
    </xf>
    <xf numFmtId="0" fontId="0" fillId="2" borderId="12" xfId="0" applyFill="1" applyBorder="1" applyAlignment="1">
      <alignment horizontal="left" vertical="center" wrapText="1"/>
    </xf>
    <xf numFmtId="49" fontId="0" fillId="2" borderId="10"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39" fillId="6" borderId="15"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3" xfId="0" applyFill="1" applyBorder="1" applyAlignment="1">
      <alignment vertical="center"/>
    </xf>
    <xf numFmtId="0" fontId="0" fillId="8" borderId="23" xfId="0" applyFill="1" applyBorder="1" applyAlignment="1">
      <alignment horizontal="left" vertical="center"/>
    </xf>
    <xf numFmtId="0" fontId="0" fillId="8" borderId="13" xfId="0" applyFill="1" applyBorder="1" applyAlignment="1">
      <alignment horizontal="left" vertical="center" wrapText="1"/>
    </xf>
    <xf numFmtId="0" fontId="0" fillId="8" borderId="23" xfId="0" applyFill="1" applyBorder="1" applyAlignment="1">
      <alignment vertical="center" wrapText="1"/>
    </xf>
    <xf numFmtId="0" fontId="30" fillId="0" borderId="11" xfId="0" applyFont="1" applyBorder="1"/>
    <xf numFmtId="0" fontId="30" fillId="0" borderId="17" xfId="0" applyFont="1" applyBorder="1"/>
    <xf numFmtId="0" fontId="30" fillId="0" borderId="14" xfId="0" applyFont="1" applyBorder="1" applyAlignment="1">
      <alignment vertical="center"/>
    </xf>
    <xf numFmtId="0" fontId="0" fillId="2" borderId="13" xfId="0" applyFill="1" applyBorder="1" applyAlignment="1">
      <alignment horizontal="left" vertical="center" wrapText="1"/>
    </xf>
    <xf numFmtId="0" fontId="32" fillId="0" borderId="12" xfId="0" applyFont="1" applyBorder="1" applyAlignment="1">
      <alignment horizontal="left" vertical="center" wrapText="1"/>
    </xf>
    <xf numFmtId="0" fontId="36" fillId="9" borderId="26" xfId="0" applyFont="1" applyFill="1" applyBorder="1"/>
    <xf numFmtId="0" fontId="36" fillId="10" borderId="26" xfId="0" applyFont="1" applyFill="1" applyBorder="1" applyAlignment="1">
      <alignment horizontal="center" vertical="center"/>
    </xf>
    <xf numFmtId="0" fontId="36" fillId="9" borderId="26" xfId="0" applyFont="1" applyFill="1" applyBorder="1" applyAlignment="1">
      <alignment horizontal="center" vertical="center"/>
    </xf>
    <xf numFmtId="0" fontId="36" fillId="9" borderId="22" xfId="0" applyFont="1" applyFill="1" applyBorder="1" applyAlignment="1">
      <alignment horizontal="center" vertical="center"/>
    </xf>
    <xf numFmtId="0" fontId="0" fillId="0" borderId="22" xfId="0" applyBorder="1"/>
    <xf numFmtId="0" fontId="36" fillId="9" borderId="15" xfId="0" applyFont="1" applyFill="1" applyBorder="1" applyAlignment="1">
      <alignment horizontal="center" vertical="center"/>
    </xf>
    <xf numFmtId="0" fontId="36" fillId="9" borderId="15" xfId="0" applyFont="1" applyFill="1" applyBorder="1"/>
    <xf numFmtId="0" fontId="0" fillId="8" borderId="26" xfId="0" applyFill="1" applyBorder="1" applyAlignment="1">
      <alignment vertical="center"/>
    </xf>
    <xf numFmtId="0" fontId="0" fillId="8" borderId="24" xfId="0" applyFill="1" applyBorder="1" applyAlignment="1">
      <alignment vertical="center"/>
    </xf>
    <xf numFmtId="0" fontId="0" fillId="8" borderId="12" xfId="0" applyFill="1" applyBorder="1" applyAlignment="1">
      <alignment vertical="center" wrapText="1"/>
    </xf>
    <xf numFmtId="0" fontId="0" fillId="8" borderId="0" xfId="0" applyFill="1" applyAlignment="1">
      <alignment horizontal="center" vertical="center"/>
    </xf>
    <xf numFmtId="0" fontId="0" fillId="8" borderId="10" xfId="0" applyFill="1" applyBorder="1" applyAlignment="1">
      <alignment vertical="center" wrapText="1"/>
    </xf>
    <xf numFmtId="0" fontId="32" fillId="0" borderId="11" xfId="0" applyFont="1" applyBorder="1" applyAlignment="1">
      <alignment vertical="center" wrapText="1"/>
    </xf>
    <xf numFmtId="0" fontId="32" fillId="0" borderId="17" xfId="0" applyFont="1" applyBorder="1" applyAlignment="1">
      <alignment horizontal="left" vertical="center" wrapText="1"/>
    </xf>
    <xf numFmtId="0" fontId="32" fillId="0" borderId="11" xfId="0" applyFont="1" applyBorder="1" applyAlignment="1" applyProtection="1">
      <alignment horizontal="left" vertical="center" wrapText="1"/>
      <protection locked="0"/>
    </xf>
    <xf numFmtId="0" fontId="25" fillId="9"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42" fillId="0" borderId="11" xfId="0" applyFont="1" applyBorder="1" applyAlignment="1">
      <alignment vertical="center" wrapText="1"/>
    </xf>
    <xf numFmtId="0" fontId="30" fillId="0" borderId="11" xfId="0" applyFont="1" applyBorder="1" applyAlignment="1">
      <alignment horizontal="left" vertical="center"/>
    </xf>
    <xf numFmtId="0" fontId="30" fillId="0" borderId="11" xfId="0" applyFont="1" applyBorder="1" applyAlignment="1">
      <alignment vertical="center"/>
    </xf>
    <xf numFmtId="0" fontId="0" fillId="0" borderId="12" xfId="0" applyBorder="1" applyAlignment="1">
      <alignment horizontal="center" vertical="center"/>
    </xf>
    <xf numFmtId="0" fontId="29" fillId="0" borderId="12" xfId="0" applyFont="1" applyBorder="1" applyAlignment="1">
      <alignment vertical="center" wrapText="1"/>
    </xf>
    <xf numFmtId="0" fontId="0" fillId="0" borderId="12" xfId="0" applyBorder="1" applyAlignment="1">
      <alignment horizontal="center" vertical="center" wrapText="1"/>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0" fillId="2" borderId="11" xfId="0" applyFill="1" applyBorder="1" applyAlignment="1">
      <alignment horizontal="left" vertical="center"/>
    </xf>
    <xf numFmtId="0" fontId="32" fillId="2" borderId="11" xfId="0" applyFont="1" applyFill="1" applyBorder="1" applyAlignment="1">
      <alignment horizontal="left" vertical="center" wrapText="1"/>
    </xf>
    <xf numFmtId="0" fontId="0" fillId="0" borderId="11" xfId="0" quotePrefix="1" applyBorder="1" applyAlignment="1">
      <alignment horizontal="left" vertical="center" wrapText="1"/>
    </xf>
    <xf numFmtId="0" fontId="0" fillId="0" borderId="14" xfId="0" applyBorder="1" applyAlignment="1">
      <alignment horizontal="center" vertical="center"/>
    </xf>
    <xf numFmtId="0" fontId="28" fillId="0" borderId="11" xfId="0" applyFont="1" applyBorder="1" applyAlignment="1">
      <alignment horizontal="left" vertical="center"/>
    </xf>
    <xf numFmtId="0" fontId="38" fillId="13" borderId="0" xfId="0" applyFont="1" applyFill="1"/>
    <xf numFmtId="0" fontId="30" fillId="0" borderId="16" xfId="0" applyFont="1" applyBorder="1" applyAlignment="1">
      <alignment vertical="center"/>
    </xf>
    <xf numFmtId="0" fontId="32" fillId="0" borderId="16" xfId="0" applyFont="1" applyBorder="1" applyAlignment="1">
      <alignment horizontal="left" vertical="center" wrapText="1"/>
    </xf>
    <xf numFmtId="0" fontId="0" fillId="0" borderId="16" xfId="0" applyBorder="1" applyAlignment="1">
      <alignment horizontal="left" vertical="center" wrapText="1"/>
    </xf>
    <xf numFmtId="0" fontId="28" fillId="0" borderId="12" xfId="0" applyFont="1" applyBorder="1" applyAlignment="1">
      <alignment vertical="center" wrapText="1"/>
    </xf>
    <xf numFmtId="0" fontId="1" fillId="0" borderId="11" xfId="0" applyFont="1" applyBorder="1" applyAlignment="1">
      <alignment vertical="center" wrapText="1"/>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quotePrefix="1" applyFont="1" applyBorder="1" applyAlignment="1">
      <alignment horizontal="left" vertical="center" wrapText="1"/>
    </xf>
    <xf numFmtId="0" fontId="1" fillId="0" borderId="11" xfId="0" applyFont="1" applyBorder="1" applyAlignment="1" applyProtection="1">
      <alignment horizontal="left" vertical="center"/>
      <protection locked="0"/>
    </xf>
    <xf numFmtId="0" fontId="1" fillId="0" borderId="14" xfId="0" applyFont="1" applyBorder="1" applyAlignment="1">
      <alignment horizontal="left" vertical="center" wrapText="1"/>
    </xf>
    <xf numFmtId="0" fontId="1" fillId="0" borderId="17" xfId="0" applyFont="1" applyBorder="1" applyAlignment="1">
      <alignment horizontal="left" vertical="center"/>
    </xf>
    <xf numFmtId="0" fontId="1" fillId="0" borderId="11" xfId="0" quotePrefix="1" applyFont="1" applyBorder="1" applyAlignment="1">
      <alignment horizontal="left" vertical="center" wrapText="1"/>
    </xf>
    <xf numFmtId="0" fontId="1" fillId="0" borderId="0" xfId="0" applyFont="1" applyAlignment="1">
      <alignment horizontal="left" vertical="center"/>
    </xf>
    <xf numFmtId="0" fontId="30" fillId="0" borderId="11" xfId="0" applyFont="1" applyBorder="1" applyAlignment="1">
      <alignment horizontal="left" vertical="center" wrapText="1"/>
    </xf>
    <xf numFmtId="0" fontId="24" fillId="2" borderId="4" xfId="0" applyFont="1" applyFill="1" applyBorder="1" applyAlignment="1">
      <alignment horizontal="left" vertical="center" indent="1"/>
    </xf>
    <xf numFmtId="0" fontId="32" fillId="0" borderId="11" xfId="0" applyFont="1" applyBorder="1" applyAlignment="1">
      <alignment horizontal="left" vertical="center"/>
    </xf>
    <xf numFmtId="0" fontId="32" fillId="2" borderId="15" xfId="0" applyFont="1" applyFill="1" applyBorder="1" applyAlignment="1">
      <alignment horizontal="left" vertical="center"/>
    </xf>
    <xf numFmtId="0" fontId="32" fillId="2" borderId="14" xfId="0" applyFont="1" applyFill="1" applyBorder="1" applyAlignment="1">
      <alignment horizontal="left" vertical="center"/>
    </xf>
    <xf numFmtId="49" fontId="32" fillId="2" borderId="23" xfId="0" applyNumberFormat="1" applyFont="1" applyFill="1" applyBorder="1" applyAlignment="1">
      <alignment horizontal="left" vertical="center" wrapText="1"/>
    </xf>
    <xf numFmtId="16" fontId="32" fillId="0" borderId="17" xfId="0" applyNumberFormat="1" applyFont="1" applyBorder="1" applyAlignment="1">
      <alignment vertical="center" wrapText="1"/>
    </xf>
    <xf numFmtId="0" fontId="30" fillId="13" borderId="0" xfId="0" applyFont="1" applyFill="1"/>
    <xf numFmtId="0" fontId="0" fillId="2" borderId="11" xfId="0" applyFill="1" applyBorder="1" applyAlignment="1" applyProtection="1">
      <alignment horizontal="left" vertical="center"/>
      <protection locked="0"/>
    </xf>
    <xf numFmtId="0" fontId="0" fillId="2" borderId="12" xfId="0" applyFill="1" applyBorder="1" applyAlignment="1">
      <alignment horizontal="left" vertical="center"/>
    </xf>
    <xf numFmtId="0" fontId="42" fillId="0" borderId="11" xfId="0" applyFont="1" applyBorder="1" applyAlignment="1">
      <alignment horizontal="center" vertical="center" wrapText="1"/>
    </xf>
    <xf numFmtId="0" fontId="42" fillId="0" borderId="11" xfId="0" applyFont="1" applyBorder="1" applyAlignment="1">
      <alignment horizontal="left" vertical="center" wrapText="1"/>
    </xf>
    <xf numFmtId="0" fontId="31" fillId="0" borderId="11" xfId="0" applyFont="1" applyBorder="1" applyAlignment="1">
      <alignment horizontal="left" vertical="center" wrapText="1"/>
    </xf>
    <xf numFmtId="0" fontId="32" fillId="0" borderId="0" xfId="0" applyFont="1" applyProtection="1">
      <protection locked="0"/>
    </xf>
    <xf numFmtId="0" fontId="32" fillId="0" borderId="0" xfId="0" applyFont="1" applyAlignment="1" applyProtection="1">
      <alignment vertical="center"/>
      <protection locked="0"/>
    </xf>
    <xf numFmtId="0" fontId="31" fillId="0" borderId="11" xfId="0" applyFont="1" applyBorder="1" applyAlignment="1">
      <alignment horizontal="center" vertical="center"/>
    </xf>
    <xf numFmtId="0" fontId="42" fillId="0" borderId="11" xfId="0" applyFont="1" applyBorder="1" applyAlignment="1">
      <alignment vertical="center"/>
    </xf>
    <xf numFmtId="0" fontId="32" fillId="0" borderId="11" xfId="0" applyFont="1" applyBorder="1" applyAlignment="1">
      <alignment vertical="center"/>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25" fillId="3" borderId="12" xfId="0" applyFont="1" applyFill="1" applyBorder="1" applyAlignment="1" applyProtection="1">
      <alignment horizontal="center" vertical="center" wrapText="1" readingOrder="1"/>
      <protection locked="0"/>
    </xf>
    <xf numFmtId="0" fontId="25"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9"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46" fillId="0" borderId="12" xfId="0" applyFont="1" applyBorder="1" applyAlignment="1">
      <alignment horizontal="left" vertical="center" wrapText="1"/>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89">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left"/>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1056716</xdr:colOff>
      <xdr:row>3</xdr:row>
      <xdr:rowOff>7906</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697941</xdr:colOff>
      <xdr:row>0</xdr:row>
      <xdr:rowOff>374525</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93" totalsRowShown="0" headerRowBorderDxfId="1187" tableBorderDxfId="1188" totalsRowBorderDxfId="1186">
  <autoFilter ref="B5:D693" xr:uid="{00000000-0009-0000-0100-000001000000}"/>
  <sortState xmlns:xlrd2="http://schemas.microsoft.com/office/spreadsheetml/2017/richdata2" ref="B6:D56">
    <sortCondition ref="B5:B56"/>
  </sortState>
  <tableColumns count="3">
    <tableColumn id="1" xr3:uid="{00000000-0010-0000-0000-000001000000}" name="SCHEMA" dataDxfId="1185"/>
    <tableColumn id="2" xr3:uid="{00000000-0010-0000-0000-000002000000}" name="TABELA" dataDxfId="1184"/>
    <tableColumn id="3" xr3:uid="{00000000-0010-0000-0000-000003000000}" name="DESCRIÇÃO" dataDxfId="118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A107" totalsRowShown="0" headerRowDxfId="1182" dataDxfId="1181" tableBorderDxfId="1180">
  <autoFilter ref="B7:AA107" xr:uid="{00000000-0009-0000-0100-000003000000}">
    <filterColumn colId="19">
      <filters>
        <filter val="EUR_CREDITO_x000a_EUR_HISTINTE_x000a_EUR_INTERVEN_x000a_EUR_INDEXANT (HIST) || EUR_INDEXANT (INT) _x000a_EUR_INTERVEN_x000a_EUR_INTERVEN_x000a_INTERFACE_DCT01_x000a_TCT09_OPERCN"/>
        <filter val="EUR_CREDITO_x000a_EUR_HISTINTE_x000a_EUR_INTERVEN_x000a_EUR_INTERVEN_x000a_EUR_INTERVEN_x000a_INTERFACE_DCT01_x000a_TCT09_OPERCN"/>
        <filter val="EUR_CREDITO_x000a_EUR_HISTINTE_x000a_EUR_INTERVEN_x000a_EUR_INTERVEN_x000a_INTERFACE_DCT01_x000a_TCT09_OPERCN"/>
        <filter val="EUR_CREDITO_x000a_EUR_HISTINTE_x000a_EUR_INTERVEN_x000a_EUR_LININDEX (HIST) || EUR_LININDEX (INT)_x000a_EUR_INTERVEN_x000a_EUR_INTERVEN_x000a_INTERFACE_DCT01_x000a_TCT09_OPERCN"/>
        <filter val="EUR_CREDITO_x000a_EUR_INTERVEN_x000a_EUR_INDEXANT_x000a_EUR_INTERVEN_x000a_EUR_INTERVEN_x000a_INTERFACE_DCT01_x000a_TCT09_OPERCN"/>
        <filter val="EUR_CREDITO_x000a_EUR_INTERVEN_x000a_EUR_INTERVEN_x000a_EUR_INTERVEN_x000a_INTERFACE_DCT01_x000a_TCT09_OPERCN"/>
        <filter val="EUR_CREDITO_x000a_EUR_INTERVEN_x000a_EUR_INTERVEN_x000a_EUR_POTENCIAL_CRC_x000a_EUR_INTERVEN_x000a_EUR_POTENCIAL_CRC_x000a_INTERFACE_DCT01_x000a_TCT09_OPERCN"/>
        <filter val="EUR_CREDITO_x000a_EUR_INTERVEN_x000a_EUR_INTERVEN_x000a_INTERFACE_DCT01_x000a_TCT09_OPERCN"/>
        <filter val="EUR_CREDITO_x000a_EUR_INTERVEN_x000a_EUR_INTERVEN_x000a_INTERFACE_DCT01_x000a_TCT09_OPERCN_x000a_TCT01_POSDIV"/>
        <filter val="EUR_CREDITO_x000a_EUR_INTERVEN_x000a_EUR_LININDEX_x000a_EUR_INTERVEN_x000a_EUR_INTERVEN_x000a_INTERFACE_DCT01_x000a_TCT09_OPERCN"/>
        <filter val="EUR_CREDITO_x000a_EUR_INTERVEN_x000a_EUR_PROCESSO_x000a_PARAM_GENERAL_CODE_CONVERTER_x000a_INTERFACE_DCT01_x000a_TCT09_OPERCN"/>
        <filter val="EUR_CREDITO_x000a_EUR_INTERVEN_x000a_EUR_PROCESSO_x000a_TCT09_OPERCN_x000a_INTERFACE_DCT01_x000a_PARAM_LITIGATION_PRODUCT"/>
        <filter val="EUR_CREDITO_x000a_EUR_INTERVEN_x000a_EUR_PRVCLICRD_BOP_NEW_x000a_EUR_INTERVEN_x000a_EUR_INTERVEN_x000a_INTERFACE_DCT01_x000a_TCT09_OPERCN"/>
        <filter val="EUR_CREDITO_x000a_EUR_INTERVEN_x000a_EUR_PRVCLICRD_BOP_NEW_MOE_x000a_EUR_INTERVEN_x000a_EUR_INTERVEN_x000a_INTERFACE_DCT01_x000a_TCT09_OPERCN"/>
        <filter val="EUR_CREDITO_x000a_EUR_INTERVEN_x000a_PARAM_GENERAL_CODE_CONVERTER_x000a_EUR_INTERVEN_x000a_PARAM_GENERAL_CODE_CONVERTER_x000a_EUR_INTERVEN_x000a_PARAM_GENERAL_CODE_CONVERTER_x000a_INTERFACE_DCT01_x000a_TCT09_OPERCN"/>
        <filter val="EUR_CREDITO_x000a_EUR_INTERVEN_x000a_PARAM_GENERAL_CODE_CONVERTER_x000a_EUR_INTERVEN_x000a_PARAM_GENERAL_CODE_CONVERTER_x000a_EUR_INTERVEN_x000a_PARAM_GENERAL_CODE_CONVERTER_x000a_INTERFACE_DCT01_x000a_TCT09_OPERCN_x000a_PARAM_GENERAL_CODE_CONVERTER"/>
        <filter val="EUR_CREDITO_x000a_EUR_LINADIAN_x000a_EUR_ADIANTAM_x000a_EUR_INTERVEN_x000a_INTERFACE_DCT01_x000a_TCT09_OPERCN"/>
        <filter val="EUR_CREDITO_x000a_EUR_LINADIAN_x000a_EUR_INTERVEN_x000a_EUR_INTERVEN_x000a_INTERFACE_DCT01_x000a_TCT09_OPERCN"/>
        <filter val="EUR_CREDITO_x000a_EUR_PROCESSO_x000a_EUR_PROCESSO_x000a_INTERFACE_DCT01_x000a_TCT09_OPERCN"/>
        <filter val="EUR_CREDITO_x000a_EUR_PRVCLICRD_BOP_NEW_MOE_x000a_EUR_INTERVEN_x000a_EUR_INTERVEN_x000a_EUR_INTERVEN_x000a_INTERFACE_DCT01_x000a_TCT09_OPERCN"/>
        <filter val="EUR_CREDITO_x000a_PARAM_GENERAL_CODE_CONVERTER_x000a_EUR_INTERVEN_x000a_PARAM_GENERAL_CODE_CONVERTER_x000a_EUR_INTERVEN_x000a_PARAM_GENERAL_CODE_CONVERTER_x000a_INTERFACE_DCT01_x000a_PARAM_GENERAL_CODE_CONVERTER_x000a_TCT09_OPERCN_x000a_PARAM_GENERAL_CODE_CONVERTER"/>
        <filter val="EUR_CREDITO_x000a_PARAM_GENERAL_CODE_CONVERTER_x000a_EUR_INTERVEN_x000a_PARAM_GENERAL_CODE_CONVERTER_x000a_EUR_INTERVEN_x000a_PARAM_GENERAL_CODE_CONVERTER_x000a_INTERFACE_DCT01_x000a_TCT09_OPERCN"/>
        <filter val="EUR_CREDITO_x000a_TAT91_TABELAS_NEW_x000a_EUR_INTERVEN_x000a_TAT91_TABELAS_NEW_x000a_EUR_INTERVEN_x000a_TAT91_TABELAS_NEW_x000a_INTERFACE_DCT01_x000a_TCT09_OPERCN_x000a_TAT91_TABELAS_NEW"/>
        <filter val="EUR_INTERVEN_x000a_EUR_CREDITO_x000a_EUR_INTERVEN_x000a_EUR_INTERVEN_x000a_INTERFACE_DCT01_x000a_TCT09_OPERCN"/>
        <filter val="EUR_MOVICCOR_x000a_EUR_PROCESSO_x000a_EUR_CREDITO_x000a_MOVIMENTOS_CONSOLIDADOS_x000a_INTERFACE_DCT01_x000a_TCT72_MOVCTA_x000a_TCT09_OPERCN"/>
        <filter val="EUR_MOVICCOR_x000a_EUR_PROCESSO_x000a_EUR_CREDITO_x000a_MOVIMENTOS_CONSOLIDADOS_x000a_INTERFACE_DCT01_x000a_TCT72_MOVCTA_x000a_TCT09_OPERCN_x000a_PARAM_GENERAL_CODE_CONVERTER_x000a_PARAM_LITIGATION_PRODUCT"/>
        <filter val="EUR_MOVICCOR_x000a_EUR_PROCESSO_x000a_EUR_CREDITO_x000a_MOVIMENTOS_CONSOLIDADOS_x000a_INTERFACE_DCT01_x000a_TCT72_MOVCTA_x000a_TCT09_OPERCN_x000a_PARAM_LITIGATION_PRODUCT"/>
        <filter val="EUR_PROCESSO_x000a_EUR_CREDITO_x000a_EUR_PROCESSO_x000a_EUR_INTERVEN_x000a_EUR_PROCESSO_x000a_EUR_INTERVEN_x000a_INTERFACE_DCT01_x000a_TCT09_OPERCN"/>
      </filters>
    </filterColumn>
  </autoFilter>
  <tableColumns count="26">
    <tableColumn id="1" xr3:uid="{00000000-0010-0000-0100-000001000000}" name="NOME BD" dataDxfId="1179"/>
    <tableColumn id="2" xr3:uid="{00000000-0010-0000-0100-000002000000}" name="NOME TABELA" dataDxfId="1178"/>
    <tableColumn id="3" xr3:uid="{00000000-0010-0000-0100-000003000000}" name="NOME FÍSICO TABELA" dataDxfId="1177"/>
    <tableColumn id="4" xr3:uid="{00000000-0010-0000-0100-000004000000}" name="NÍVEL TABELA" dataDxfId="1176"/>
    <tableColumn id="28" xr3:uid="{00000000-0010-0000-0100-00001C000000}" name="NOME CAMPO" dataDxfId="1175"/>
    <tableColumn id="29" xr3:uid="{00000000-0010-0000-0100-00001D000000}" name="NOME FÍSICO CAMPO" dataDxfId="1174"/>
    <tableColumn id="7" xr3:uid="{00000000-0010-0000-0100-000007000000}" name="BLOCO" dataDxfId="1173"/>
    <tableColumn id="8" xr3:uid="{00000000-0010-0000-0100-000008000000}" name="ORDEM" dataDxfId="1172"/>
    <tableColumn id="9" xr3:uid="{00000000-0010-0000-0100-000009000000}" name="FORMATO" dataDxfId="1171"/>
    <tableColumn id="10" xr3:uid="{00000000-0010-0000-0100-00000A000000}" name="COMP_ CAMPO" dataDxfId="1170"/>
    <tableColumn id="11" xr3:uid="{00000000-0010-0000-0100-00000B000000}" name="NUM_ DECIMAIS" dataDxfId="1169"/>
    <tableColumn id="5" xr3:uid="{00000000-0010-0000-0100-000005000000}" name="COMP_FIXO" dataDxfId="1168"/>
    <tableColumn id="12" xr3:uid="{00000000-0010-0000-0100-00000C000000}" name="DESCRIÇÃO FUNCIONAL (ENG)" dataDxfId="1167"/>
    <tableColumn id="13" xr3:uid="{00000000-0010-0000-0100-00000D000000}" name="DESCRIÇÃO FUNCIONAL (PT)" dataDxfId="1166"/>
    <tableColumn id="14" xr3:uid="{00000000-0010-0000-0100-00000E000000}" name="CHAVE PRIMÁRIA" dataDxfId="1165"/>
    <tableColumn id="15" xr3:uid="{00000000-0010-0000-0100-00000F000000}" name="DADOS REFERÊNCIA" dataDxfId="1164"/>
    <tableColumn id="16" xr3:uid="{00000000-0010-0000-0100-000010000000}" name="NOME TABELA ONEFCC" dataDxfId="1163"/>
    <tableColumn id="17" xr3:uid="{00000000-0010-0000-0100-000011000000}" name="NOME CAMPO ONEFCC" dataDxfId="1162"/>
    <tableColumn id="18" xr3:uid="{00000000-0010-0000-0100-000012000000}" name="NOME BD CURATED" dataDxfId="1161"/>
    <tableColumn id="19" xr3:uid="{00000000-0010-0000-0100-000013000000}" name="NOME FISICO TABELA CURATED" dataDxfId="1160"/>
    <tableColumn id="20" xr3:uid="{00000000-0010-0000-0100-000014000000}" name="NOME FISICO CAMPO CURATED" dataDxfId="1159"/>
    <tableColumn id="22" xr3:uid="{00000000-0010-0000-0100-000016000000}" name="CONDIÇÃO CURATED - CDM"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74" totalsRowShown="0" headerRowDxfId="1153" dataDxfId="1152" tableBorderDxfId="1151">
  <autoFilter ref="B2:I174" xr:uid="{00000000-0009-0000-0100-000005000000}">
    <filterColumn colId="1">
      <filters>
        <filter val="factoring_contract"/>
      </filters>
    </filterColumn>
    <filterColumn colId="3">
      <filters>
        <filter val="eur_credito"/>
      </filters>
    </filterColumn>
  </autoFilter>
  <sortState xmlns:xlrd2="http://schemas.microsoft.com/office/spreadsheetml/2017/richdata2" ref="B3:I160">
    <sortCondition ref="C2:C160"/>
  </sortState>
  <tableColumns count="8">
    <tableColumn id="1" xr3:uid="{00000000-0010-0000-0200-000001000000}" name="NOME BD " dataDxfId="1149" totalsRowDxfId="1150"/>
    <tableColumn id="2" xr3:uid="{00000000-0010-0000-0200-000002000000}" name="NOME FÍSICO TABELA" dataDxfId="1147" totalsRowDxfId="1148"/>
    <tableColumn id="6" xr3:uid="{00000000-0010-0000-0200-000006000000}" name="NOME FÍSICO BD FONTE ESQUERDA" dataDxfId="1145" totalsRowDxfId="1146"/>
    <tableColumn id="3" xr3:uid="{00000000-0010-0000-0200-000003000000}" name="NOME FÍSICO TABELA FONTE ESQUERDA" dataDxfId="1143" totalsRowDxfId="1144"/>
    <tableColumn id="7" xr3:uid="{00000000-0010-0000-0200-000007000000}" name="NOME FÍSICO BD FONTE DIREITA" dataDxfId="1141" totalsRowDxfId="1142"/>
    <tableColumn id="4" xr3:uid="{00000000-0010-0000-0200-000004000000}" name="NOME FÍSICO TABELA FONTE DIREITA" dataDxfId="1139" totalsRowDxfId="1140"/>
    <tableColumn id="5" xr3:uid="{00000000-0010-0000-0200-000005000000}" name="REGRA DE CRUZAMENTO" dataDxfId="1137" totalsRowDxfId="1138"/>
    <tableColumn id="8" xr3:uid="{00000000-0010-0000-0200-000008000000}" name="TIPO CRUZAMENTO" dataDxfId="1135" totalsRowDxfId="113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36" totalsRowShown="0" headerRowDxfId="1134" dataDxfId="1133" tableBorderDxfId="1132">
  <autoFilter ref="B2:H36" xr:uid="{00000000-0009-0000-0100-000006000000}"/>
  <sortState xmlns:xlrd2="http://schemas.microsoft.com/office/spreadsheetml/2017/richdata2" ref="B3:H36">
    <sortCondition ref="C2:C36"/>
  </sortState>
  <tableColumns count="7">
    <tableColumn id="1" xr3:uid="{00000000-0010-0000-0300-000001000000}" name="NOME BD" dataDxfId="1130" totalsRowDxfId="1131"/>
    <tableColumn id="2" xr3:uid="{00000000-0010-0000-0300-000002000000}" name="NOME FÍSICO TABELA" dataDxfId="1128" totalsRowDxfId="1129"/>
    <tableColumn id="5" xr3:uid="{00000000-0010-0000-0300-000005000000}" name="NOME FÍSICO BD FONTE" dataDxfId="1126" totalsRowDxfId="1127"/>
    <tableColumn id="6" xr3:uid="{00000000-0010-0000-0300-000006000000}" name="NOME FÍSICO TABELA FONTE" dataDxfId="1124" totalsRowDxfId="1125"/>
    <tableColumn id="3" xr3:uid="{00000000-0010-0000-0300-000003000000}" name="REGRA DE ATAQUE" dataDxfId="1122" totalsRowDxfId="1123"/>
    <tableColumn id="4" xr3:uid="{00000000-0010-0000-0300-000004000000}" name="DESCRIÇÃO ESTADOS CONSIDERADOS" dataDxfId="1120" totalsRowDxfId="1121"/>
    <tableColumn id="7" xr3:uid="{00000000-0010-0000-0300-000007000000}" name="DESCRIÇÃO ESTADOS DESCONSIDERADOS" dataDxfId="1118" totalsRowDxfId="111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6" dataDxfId="1115" headerRowBorderDxfId="1113" tableBorderDxfId="1114" totalsRowBorderDxfId="1112">
  <autoFilter ref="B2:E23" xr:uid="{00000000-0009-0000-0100-000002000000}"/>
  <tableColumns count="4">
    <tableColumn id="1" xr3:uid="{00000000-0010-0000-0400-000001000000}" name="ID" dataDxfId="1111">
      <calculatedColumnFormula>ROW() - ROW(Table2[[#Headers],[ID]])</calculatedColumnFormula>
    </tableColumn>
    <tableColumn id="2" xr3:uid="{00000000-0010-0000-0400-000002000000}" name="Case Test" dataDxfId="1110"/>
    <tableColumn id="3" xr3:uid="{00000000-0010-0000-0400-000003000000}" name="Description" dataDxfId="1109"/>
    <tableColumn id="4" xr3:uid="{00000000-0010-0000-0400-000004000000}" name="Observation" dataDxfId="110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7" dataDxfId="1106">
  <autoFilter ref="B2:AB23" xr:uid="{00000000-0009-0000-0100-000010000000}"/>
  <tableColumns count="27">
    <tableColumn id="1" xr3:uid="{00000000-0010-0000-0500-000001000000}" name="case_test" dataDxfId="1105"/>
    <tableColumn id="2" xr3:uid="{00000000-0010-0000-0500-000002000000}" name="test_id" dataDxfId="1104"/>
    <tableColumn id="3" xr3:uid="{00000000-0010-0000-0500-000003000000}" name="test_timestamp" dataDxfId="1103"/>
    <tableColumn id="4" xr3:uid="{00000000-0010-0000-0500-000004000000}" name="query_driver_data_date_part" dataDxfId="1102"/>
    <tableColumn id="5" xr3:uid="{00000000-0010-0000-0500-000005000000}" name="test_number" dataDxfId="1101"/>
    <tableColumn id="6" xr3:uid="{00000000-0010-0000-0500-000006000000}" name="score" dataDxfId="1100"/>
    <tableColumn id="7" xr3:uid="{00000000-0010-0000-0500-000007000000}" name="general_result" dataDxfId="1099"/>
    <tableColumn id="8" xr3:uid="{00000000-0010-0000-0500-000008000000}" name="bank_id" dataDxfId="1098"/>
    <tableColumn id="9" xr3:uid="{00000000-0010-0000-0500-000009000000}" name="contract_id" dataDxfId="1097"/>
    <tableColumn id="10" xr3:uid="{00000000-0010-0000-0500-00000A000000}" name="product_family_id" dataDxfId="1096"/>
    <tableColumn id="11" xr3:uid="{00000000-0010-0000-0500-00000B000000}" name="product_id" dataDxfId="1095"/>
    <tableColumn id="12" xr3:uid="{00000000-0010-0000-0500-00000C000000}" name="subproduct_id" dataDxfId="1094"/>
    <tableColumn id="13" xr3:uid="{00000000-0010-0000-0500-00000D000000}" name="main_current_account_bank_id" dataDxfId="1093"/>
    <tableColumn id="14" xr3:uid="{00000000-0010-0000-0500-00000E000000}" name="main_current_account_contract_id" dataDxfId="1092"/>
    <tableColumn id="15" xr3:uid="{00000000-0010-0000-0500-00000F000000}" name="opening_date" dataDxfId="1091"/>
    <tableColumn id="16" xr3:uid="{00000000-0010-0000-0500-000010000000}" name="current_maturity_date" dataDxfId="1090"/>
    <tableColumn id="17" xr3:uid="{00000000-0010-0000-0500-000011000000}" name="currency_code" dataDxfId="1089"/>
    <tableColumn id="18" xr3:uid="{00000000-0010-0000-0500-000012000000}" name="litigation_indicator" dataDxfId="1088"/>
    <tableColumn id="19" xr3:uid="{00000000-0010-0000-0500-000013000000}" name="initial_authorized_amount" dataDxfId="1087"/>
    <tableColumn id="20" xr3:uid="{00000000-0010-0000-0500-000014000000}" name="current_authorized_amount" dataDxfId="1086"/>
    <tableColumn id="21" xr3:uid="{00000000-0010-0000-0500-000015000000}" name="current_overdue_principal_bal" dataDxfId="1085"/>
    <tableColumn id="22" xr3:uid="{00000000-0010-0000-0500-000016000000}" name="cur_debt_litigation_princip_bal" dataDxfId="1084"/>
    <tableColumn id="23" xr3:uid="{00000000-0010-0000-0500-000017000000}" name="contract_status_code" dataDxfId="1083"/>
    <tableColumn id="24" xr3:uid="{00000000-0010-0000-0500-000018000000}" name="contract_opening_channel_code" dataDxfId="1082"/>
    <tableColumn id="25" xr3:uid="{00000000-0010-0000-0500-000019000000}" name="source_code" dataDxfId="1081"/>
    <tableColumn id="26" xr3:uid="{00000000-0010-0000-0500-00001A000000}" name="data_date_part" dataDxfId="1080"/>
    <tableColumn id="27" xr3:uid="{00000000-0010-0000-0500-00001B000000}" name="data_timestamp_part" dataDxfId="1079"/>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8" headerRowBorderDxfId="1076"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5"/>
    <tableColumn id="2" xr3:uid="{00000000-0010-0000-0600-000002000000}" name="Field" dataDxfId="1074"/>
    <tableColumn id="3" xr3:uid="{00000000-0010-0000-0600-000003000000}" name="Justification" dataDxfId="1073"/>
    <tableColumn id="4" xr3:uid="{00000000-0010-0000-0600-000004000000}" name="Number of Occurences" dataDxfId="1072"/>
    <tableColumn id="5" xr3:uid="{00000000-0010-0000-0600-000005000000}" name="Justification State" dataDxfId="1071"/>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0" dataDxfId="1069">
  <autoFilter ref="B2:AN23" xr:uid="{00000000-0009-0000-0100-000009000000}"/>
  <tableColumns count="39">
    <tableColumn id="1" xr3:uid="{00000000-0010-0000-0700-000001000000}" name="case_tests" dataDxfId="1068"/>
    <tableColumn id="2" xr3:uid="{00000000-0010-0000-0700-000002000000}" name="test_id" dataDxfId="1067"/>
    <tableColumn id="3" xr3:uid="{00000000-0010-0000-0700-000003000000}" name="test_timestamp" dataDxfId="1066"/>
    <tableColumn id="4" xr3:uid="{00000000-0010-0000-0700-000004000000}" name="query_driver_data_date_part" dataDxfId="1065"/>
    <tableColumn id="5" xr3:uid="{00000000-0010-0000-0700-000005000000}" name="test_number" dataDxfId="1064"/>
    <tableColumn id="6" xr3:uid="{00000000-0010-0000-0700-000006000000}" name="score" dataDxfId="1063"/>
    <tableColumn id="7" xr3:uid="{00000000-0010-0000-0700-000007000000}" name="general_result" dataDxfId="1062"/>
    <tableColumn id="8" xr3:uid="{00000000-0010-0000-0700-000008000000}" name="bank_id" dataDxfId="1061"/>
    <tableColumn id="9" xr3:uid="{00000000-0010-0000-0700-000009000000}" name="contract_id" dataDxfId="1060"/>
    <tableColumn id="10" xr3:uid="{00000000-0010-0000-0700-00000A000000}" name="product_family_id" dataDxfId="1059"/>
    <tableColumn id="11" xr3:uid="{00000000-0010-0000-0700-00000B000000}" name="product_id" dataDxfId="1058"/>
    <tableColumn id="12" xr3:uid="{00000000-0010-0000-0700-00000C000000}" name="subproduct_id" dataDxfId="1057"/>
    <tableColumn id="13" xr3:uid="{00000000-0010-0000-0700-00000D000000}" name="main_current_account_bank_id" dataDxfId="1056"/>
    <tableColumn id="14" xr3:uid="{00000000-0010-0000-0700-00000E000000}" name="main_current_account_contract_id" dataDxfId="1055"/>
    <tableColumn id="15" xr3:uid="{00000000-0010-0000-0700-00000F000000}" name="process_bank_id" dataDxfId="1054"/>
    <tableColumn id="16" xr3:uid="{00000000-0010-0000-0700-000010000000}" name="process_id" dataDxfId="1053"/>
    <tableColumn id="17" xr3:uid="{00000000-0010-0000-0700-000011000000}" name="opening_date" dataDxfId="1052"/>
    <tableColumn id="18" xr3:uid="{00000000-0010-0000-0700-000012000000}" name="current_maturity_date" dataDxfId="1051"/>
    <tableColumn id="19" xr3:uid="{00000000-0010-0000-0700-000013000000}" name="currency_code" dataDxfId="1050"/>
    <tableColumn id="20" xr3:uid="{00000000-0010-0000-0700-000014000000}" name="litigation_indicator" dataDxfId="1049"/>
    <tableColumn id="21" xr3:uid="{00000000-0010-0000-0700-000015000000}" name="initial_amount_granted" dataDxfId="1048"/>
    <tableColumn id="22" xr3:uid="{00000000-0010-0000-0700-000016000000}" name="current_amount_granted" dataDxfId="1047"/>
    <tableColumn id="23" xr3:uid="{00000000-0010-0000-0700-000017000000}" name="cur_outsng_principal_balance" dataDxfId="1046"/>
    <tableColumn id="24" xr3:uid="{00000000-0010-0000-0700-000018000000}" name="current_overdue_principal_bal" dataDxfId="1045"/>
    <tableColumn id="25" xr3:uid="{00000000-0010-0000-0700-000019000000}" name="cur_debt_litigation_princip_bal" dataDxfId="1044"/>
    <tableColumn id="26" xr3:uid="{00000000-0010-0000-0700-00001A000000}" name="pred_billing_due_date" dataDxfId="1043"/>
    <tableColumn id="27" xr3:uid="{00000000-0010-0000-0700-00001B000000}" name="last_billing_date" dataDxfId="1042"/>
    <tableColumn id="28" xr3:uid="{00000000-0010-0000-0700-00001C000000}" name="cur_total_billed_principal_amt" dataDxfId="1041"/>
    <tableColumn id="29" xr3:uid="{00000000-0010-0000-0700-00001D000000}" name="cur_ttl_bill_litig_princip_amt" dataDxfId="1040"/>
    <tableColumn id="30" xr3:uid="{00000000-0010-0000-0700-00001E000000}" name="current_active_rate_type_code" dataDxfId="1039"/>
    <tableColumn id="31" xr3:uid="{00000000-0010-0000-0700-00001F000000}" name="current_active_indexing" dataDxfId="1038"/>
    <tableColumn id="32" xr3:uid="{00000000-0010-0000-0700-000020000000}" name="current_active_index_rate" dataDxfId="1037"/>
    <tableColumn id="33" xr3:uid="{00000000-0010-0000-0700-000021000000}" name="current_active_spread" dataDxfId="1036"/>
    <tableColumn id="34" xr3:uid="{00000000-0010-0000-0700-000022000000}" name="current_active_interest_rate" dataDxfId="1035"/>
    <tableColumn id="35" xr3:uid="{00000000-0010-0000-0700-000023000000}" name="contract_status_code" dataDxfId="1034"/>
    <tableColumn id="36" xr3:uid="{00000000-0010-0000-0700-000024000000}" name="contract_opening_channel_code" dataDxfId="1033"/>
    <tableColumn id="37" xr3:uid="{00000000-0010-0000-0700-000025000000}" name="source_code" dataDxfId="1032"/>
    <tableColumn id="38" xr3:uid="{00000000-0010-0000-0700-000026000000}" name="data_date_part" dataDxfId="1031"/>
    <tableColumn id="39" xr3:uid="{00000000-0010-0000-0700-000027000000}" name="data_timestamp_part" dataDxfId="1030"/>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29" headerRowBorderDxfId="1027" tableBorderDxfId="1028">
  <autoFilter ref="B31:F37" xr:uid="{00000000-0009-0000-0100-00000F000000}"/>
  <tableColumns count="5">
    <tableColumn id="1" xr3:uid="{00000000-0010-0000-0800-000001000000}" name="Test ID" dataDxfId="1026"/>
    <tableColumn id="2" xr3:uid="{00000000-0010-0000-0800-000002000000}" name="Field" dataDxfId="1025"/>
    <tableColumn id="3" xr3:uid="{00000000-0010-0000-0800-000003000000}" name="Justification" dataDxfId="1024"/>
    <tableColumn id="5" xr3:uid="{00000000-0010-0000-0800-000005000000}" name="Number of Occurences" dataDxfId="1023"/>
    <tableColumn id="4" xr3:uid="{00000000-0010-0000-0800-000004000000}" name="Justification State" dataDxfId="1022"/>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1" headerRowBorderDxfId="1019" tableBorderDxfId="1020">
  <autoFilter ref="B32:F50" xr:uid="{00000000-0009-0000-0100-000017000000}"/>
  <tableColumns count="5">
    <tableColumn id="1" xr3:uid="{00000000-0010-0000-0900-000001000000}" name="Test ID" dataDxfId="1018"/>
    <tableColumn id="2" xr3:uid="{00000000-0010-0000-0900-000002000000}" name="Field" dataDxfId="1017"/>
    <tableColumn id="3" xr3:uid="{00000000-0010-0000-0900-000003000000}" name="Justification" dataDxfId="1016"/>
    <tableColumn id="4" xr3:uid="{00000000-0010-0000-0900-000004000000}" name="Number of Occurences" dataDxfId="1015"/>
    <tableColumn id="5" xr3:uid="{00000000-0010-0000-0900-000005000000}" name="Justification State" dataDxfId="101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3" dataDxfId="1012">
  <autoFilter ref="B2:AJ23" xr:uid="{00000000-0009-0000-0100-000016000000}"/>
  <tableColumns count="35">
    <tableColumn id="1" xr3:uid="{00000000-0010-0000-0A00-000001000000}" name="Case_Test" dataDxfId="1011"/>
    <tableColumn id="2" xr3:uid="{00000000-0010-0000-0A00-000002000000}" name="test_id" dataDxfId="1010"/>
    <tableColumn id="3" xr3:uid="{00000000-0010-0000-0A00-000003000000}" name="test_timestamp" dataDxfId="1009"/>
    <tableColumn id="4" xr3:uid="{00000000-0010-0000-0A00-000004000000}" name="query_driver_data_date_part" dataDxfId="1008"/>
    <tableColumn id="5" xr3:uid="{00000000-0010-0000-0A00-000005000000}" name="test_number" dataDxfId="1007"/>
    <tableColumn id="6" xr3:uid="{00000000-0010-0000-0A00-000006000000}" name="score" dataDxfId="1006"/>
    <tableColumn id="7" xr3:uid="{00000000-0010-0000-0A00-000007000000}" name="general_result" dataDxfId="1005"/>
    <tableColumn id="8" xr3:uid="{00000000-0010-0000-0A00-000008000000}" name="bank_id" dataDxfId="1004"/>
    <tableColumn id="9" xr3:uid="{00000000-0010-0000-0A00-000009000000}" name="contract_id" dataDxfId="1003"/>
    <tableColumn id="10" xr3:uid="{00000000-0010-0000-0A00-00000A000000}" name="product_family_id" dataDxfId="1002"/>
    <tableColumn id="11" xr3:uid="{00000000-0010-0000-0A00-00000B000000}" name="product_id" dataDxfId="1001"/>
    <tableColumn id="12" xr3:uid="{00000000-0010-0000-0A00-00000C000000}" name="subproduct_id" dataDxfId="1000"/>
    <tableColumn id="13" xr3:uid="{00000000-0010-0000-0A00-00000D000000}" name="main_current_account_bank_id" dataDxfId="999"/>
    <tableColumn id="14" xr3:uid="{00000000-0010-0000-0A00-00000E000000}" name="main_current_account_contract_id" dataDxfId="998"/>
    <tableColumn id="15" xr3:uid="{00000000-0010-0000-0A00-00000F000000}" name="opening_date" dataDxfId="997"/>
    <tableColumn id="16" xr3:uid="{00000000-0010-0000-0A00-000010000000}" name="current_maturity_date" dataDxfId="996"/>
    <tableColumn id="17" xr3:uid="{00000000-0010-0000-0A00-000011000000}" name="currency_code" dataDxfId="995"/>
    <tableColumn id="18" xr3:uid="{00000000-0010-0000-0A00-000012000000}" name="current_ledger_balance" dataDxfId="994"/>
    <tableColumn id="19" xr3:uid="{00000000-0010-0000-0A00-000013000000}" name="current_reserved_balance" dataDxfId="993"/>
    <tableColumn id="20" xr3:uid="{00000000-0010-0000-0A00-000014000000}" name="current_available_balance" dataDxfId="992"/>
    <tableColumn id="21" xr3:uid="{00000000-0010-0000-0A00-000015000000}" name="init_passive_rate_type_code" dataDxfId="991"/>
    <tableColumn id="22" xr3:uid="{00000000-0010-0000-0A00-000016000000}" name="initial_passive_indexing" dataDxfId="990"/>
    <tableColumn id="23" xr3:uid="{00000000-0010-0000-0A00-000017000000}" name="initial_passive_index_rate" dataDxfId="989"/>
    <tableColumn id="24" xr3:uid="{00000000-0010-0000-0A00-000018000000}" name="initial_passive_spread" dataDxfId="988"/>
    <tableColumn id="25" xr3:uid="{00000000-0010-0000-0A00-000019000000}" name="initial_passive_interest_rate" dataDxfId="987"/>
    <tableColumn id="26" xr3:uid="{00000000-0010-0000-0A00-00001A000000}" name="cur_passive_rate_type_code" dataDxfId="986"/>
    <tableColumn id="27" xr3:uid="{00000000-0010-0000-0A00-00001B000000}" name="current_passive_indexing" dataDxfId="985"/>
    <tableColumn id="28" xr3:uid="{00000000-0010-0000-0A00-00001C000000}" name="current_passive_index_rate" dataDxfId="984"/>
    <tableColumn id="29" xr3:uid="{00000000-0010-0000-0A00-00001D000000}" name="current_passive_spread" dataDxfId="983"/>
    <tableColumn id="30" xr3:uid="{00000000-0010-0000-0A00-00001E000000}" name="current_passive_interest_rate" dataDxfId="982"/>
    <tableColumn id="31" xr3:uid="{00000000-0010-0000-0A00-00001F000000}" name="contract_status_code" dataDxfId="981"/>
    <tableColumn id="32" xr3:uid="{00000000-0010-0000-0A00-000020000000}" name="contract_opening_channel_code" dataDxfId="980"/>
    <tableColumn id="33" xr3:uid="{00000000-0010-0000-0A00-000021000000}" name="source_code" dataDxfId="979"/>
    <tableColumn id="34" xr3:uid="{00000000-0010-0000-0A00-000022000000}" name="data_date_part" dataDxfId="978"/>
    <tableColumn id="35" xr3:uid="{00000000-0010-0000-0A00-000023000000}" name="data_timestamp_part" dataDxfId="977"/>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B000000}" name="Table15192425" displayName="Table15192425" ref="B31:F41" totalsRowShown="0" headerRowDxfId="976" headerRowBorderDxfId="974" tableBorderDxfId="975">
  <autoFilter ref="B31:F41" xr:uid="{00000000-0009-0000-0100-000018000000}"/>
  <sortState xmlns:xlrd2="http://schemas.microsoft.com/office/spreadsheetml/2017/richdata2" ref="B32:F41">
    <sortCondition ref="B31:B41"/>
  </sortState>
  <tableColumns count="5">
    <tableColumn id="1" xr3:uid="{00000000-0010-0000-0B00-000001000000}" name="Test ID" dataDxfId="973"/>
    <tableColumn id="2" xr3:uid="{00000000-0010-0000-0B00-000002000000}" name="Field" dataDxfId="972"/>
    <tableColumn id="3" xr3:uid="{00000000-0010-0000-0B00-000003000000}" name="Justification" dataDxfId="971"/>
    <tableColumn id="4" xr3:uid="{00000000-0010-0000-0B00-000004000000}" name="Number of Occurences" dataDxfId="970"/>
    <tableColumn id="5" xr3:uid="{00000000-0010-0000-0B00-000005000000}" name="Justification State" dataDxfId="969"/>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C000000}" name="Table162326" displayName="Table162326" ref="B2:AN23" totalsRowShown="0" headerRowDxfId="968" dataDxfId="967">
  <autoFilter ref="B2:AN23" xr:uid="{00000000-0009-0000-0100-000019000000}"/>
  <tableColumns count="39">
    <tableColumn id="1" xr3:uid="{00000000-0010-0000-0C00-000001000000}" name="Case_Test" dataDxfId="966"/>
    <tableColumn id="2" xr3:uid="{00000000-0010-0000-0C00-000002000000}" name="test_id" dataDxfId="965"/>
    <tableColumn id="3" xr3:uid="{00000000-0010-0000-0C00-000003000000}" name="test_timestamp" dataDxfId="964"/>
    <tableColumn id="4" xr3:uid="{00000000-0010-0000-0C00-000004000000}" name="query_driver_data_date_part" dataDxfId="963"/>
    <tableColumn id="5" xr3:uid="{00000000-0010-0000-0C00-000005000000}" name="test_number" dataDxfId="962"/>
    <tableColumn id="6" xr3:uid="{00000000-0010-0000-0C00-000006000000}" name="score" dataDxfId="961"/>
    <tableColumn id="7" xr3:uid="{00000000-0010-0000-0C00-000007000000}" name="general_result" dataDxfId="960"/>
    <tableColumn id="8" xr3:uid="{00000000-0010-0000-0C00-000008000000}" name="bank_id" dataDxfId="959"/>
    <tableColumn id="9" xr3:uid="{00000000-0010-0000-0C00-000009000000}" name="contract_id" dataDxfId="958"/>
    <tableColumn id="10" xr3:uid="{00000000-0010-0000-0C00-00000A000000}" name="product_family_id" dataDxfId="957"/>
    <tableColumn id="11" xr3:uid="{00000000-0010-0000-0C00-00000B000000}" name="product_id" dataDxfId="956"/>
    <tableColumn id="12" xr3:uid="{00000000-0010-0000-0C00-00000C000000}" name="subproduct_id" dataDxfId="955"/>
    <tableColumn id="13" xr3:uid="{00000000-0010-0000-0C00-00000D000000}" name="opening_date" dataDxfId="954"/>
    <tableColumn id="14" xr3:uid="{00000000-0010-0000-0C00-00000E000000}" name="current_maturity_date" dataDxfId="953"/>
    <tableColumn id="15" xr3:uid="{00000000-0010-0000-0C00-00000F000000}" name="currency_code" dataDxfId="952"/>
    <tableColumn id="16" xr3:uid="{00000000-0010-0000-0C00-000010000000}" name="litigation_indicator" dataDxfId="951"/>
    <tableColumn id="17" xr3:uid="{00000000-0010-0000-0C00-000011000000}" name="current_ledger_balance" dataDxfId="950"/>
    <tableColumn id="18" xr3:uid="{00000000-0010-0000-0C00-000012000000}" name="current_reserved_balance" dataDxfId="949"/>
    <tableColumn id="19" xr3:uid="{00000000-0010-0000-0C00-000013000000}" name="current_available_balance" dataDxfId="948"/>
    <tableColumn id="20" xr3:uid="{00000000-0010-0000-0C00-000014000000}" name="current_overdraft_limit_amount" dataDxfId="947"/>
    <tableColumn id="21" xr3:uid="{00000000-0010-0000-0C00-000015000000}" name="overdraft_available_limit_amount" dataDxfId="946"/>
    <tableColumn id="22" xr3:uid="{00000000-0010-0000-0C00-000016000000}" name="cur_ovrdrft_outsng_principal_bal" dataDxfId="945"/>
    <tableColumn id="23" xr3:uid="{00000000-0010-0000-0C00-000017000000}" name="cur_ovrdrft_overdue_princip_bal" dataDxfId="944"/>
    <tableColumn id="24" xr3:uid="{00000000-0010-0000-0C00-000018000000}" name="cur_ovrdrft_debt_litig_princ_bal" dataDxfId="943"/>
    <tableColumn id="25" xr3:uid="{00000000-0010-0000-0C00-000019000000}" name="init_ovrdrft_act_rate_type_code" dataDxfId="942"/>
    <tableColumn id="26" xr3:uid="{00000000-0010-0000-0C00-00001A000000}" name="init_overdraft_active_indexing" dataDxfId="941"/>
    <tableColumn id="27" xr3:uid="{00000000-0010-0000-0C00-00001B000000}" name="init_overdraft_active_index_rate" dataDxfId="940"/>
    <tableColumn id="28" xr3:uid="{00000000-0010-0000-0C00-00001C000000}" name="initial_overdraft_active_spread" dataDxfId="939"/>
    <tableColumn id="29" xr3:uid="{00000000-0010-0000-0C00-00001D000000}" name="init_overdraft_active_intr_rate" dataDxfId="938"/>
    <tableColumn id="30" xr3:uid="{00000000-0010-0000-0C00-00001E000000}" name="cur_ovrdrft_act_rate_type_code" dataDxfId="937"/>
    <tableColumn id="31" xr3:uid="{00000000-0010-0000-0C00-00001F000000}" name="cur_overdraft_active_indexing" dataDxfId="936"/>
    <tableColumn id="32" xr3:uid="{00000000-0010-0000-0C00-000020000000}" name="cur_overdraft_active_index_rate" dataDxfId="935"/>
    <tableColumn id="33" xr3:uid="{00000000-0010-0000-0C00-000021000000}" name="cur_overdraft_active_spread" dataDxfId="934"/>
    <tableColumn id="34" xr3:uid="{00000000-0010-0000-0C00-000022000000}" name="cur_ovrdrft_active_interest_rate" dataDxfId="933"/>
    <tableColumn id="35" xr3:uid="{00000000-0010-0000-0C00-000023000000}" name="contract_status_code" dataDxfId="932"/>
    <tableColumn id="36" xr3:uid="{00000000-0010-0000-0C00-000024000000}" name="contract_opening_channel_code" dataDxfId="931"/>
    <tableColumn id="37" xr3:uid="{00000000-0010-0000-0C00-000025000000}" name="source_code" dataDxfId="930"/>
    <tableColumn id="38" xr3:uid="{00000000-0010-0000-0C00-000026000000}" name="data_date_part" dataDxfId="929"/>
    <tableColumn id="39" xr3:uid="{00000000-0010-0000-0C00-000027000000}" name="data_timestamp_part" dataDxfId="928"/>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D000000}" name="Table7" displayName="Table7" ref="B2:AS23" totalsRowShown="0" headerRowDxfId="927" dataDxfId="926">
  <autoFilter ref="B2:AS23" xr:uid="{00000000-0009-0000-0100-000007000000}"/>
  <tableColumns count="44">
    <tableColumn id="1" xr3:uid="{00000000-0010-0000-0D00-000001000000}" name="case_test" dataDxfId="925"/>
    <tableColumn id="2" xr3:uid="{00000000-0010-0000-0D00-000002000000}" name="test_id" dataDxfId="924"/>
    <tableColumn id="3" xr3:uid="{00000000-0010-0000-0D00-000003000000}" name="test_timestamp" dataDxfId="923"/>
    <tableColumn id="4" xr3:uid="{00000000-0010-0000-0D00-000004000000}" name="query_driver_data_date_part" dataDxfId="922"/>
    <tableColumn id="5" xr3:uid="{00000000-0010-0000-0D00-000005000000}" name="test_number" dataDxfId="921"/>
    <tableColumn id="6" xr3:uid="{00000000-0010-0000-0D00-000006000000}" name="score" dataDxfId="920"/>
    <tableColumn id="7" xr3:uid="{00000000-0010-0000-0D00-000007000000}" name="general_result" dataDxfId="919"/>
    <tableColumn id="8" xr3:uid="{00000000-0010-0000-0D00-000008000000}" name="bank_id" dataDxfId="918"/>
    <tableColumn id="9" xr3:uid="{00000000-0010-0000-0D00-000009000000}" name="contract_id" dataDxfId="917"/>
    <tableColumn id="10" xr3:uid="{00000000-0010-0000-0D00-00000A000000}" name="product_family_id" dataDxfId="916"/>
    <tableColumn id="11" xr3:uid="{00000000-0010-0000-0D00-00000B000000}" name="product_id" dataDxfId="915"/>
    <tableColumn id="12" xr3:uid="{00000000-0010-0000-0D00-00000C000000}" name="subproduct_id" dataDxfId="914"/>
    <tableColumn id="13" xr3:uid="{00000000-0010-0000-0D00-00000D000000}" name="main_current_account_bank_id" dataDxfId="913"/>
    <tableColumn id="14" xr3:uid="{00000000-0010-0000-0D00-00000E000000}" name="main_current_account_contract_id" dataDxfId="912"/>
    <tableColumn id="15" xr3:uid="{00000000-0010-0000-0D00-00000F000000}" name="process_bank_id" dataDxfId="911"/>
    <tableColumn id="16" xr3:uid="{00000000-0010-0000-0D00-000010000000}" name="process_id" dataDxfId="910"/>
    <tableColumn id="17" xr3:uid="{00000000-0010-0000-0D00-000011000000}" name="opening_date" dataDxfId="909"/>
    <tableColumn id="18" xr3:uid="{00000000-0010-0000-0D00-000012000000}" name="current_maturity_date" dataDxfId="908"/>
    <tableColumn id="19" xr3:uid="{00000000-0010-0000-0D00-000013000000}" name="currency_code" dataDxfId="907"/>
    <tableColumn id="20" xr3:uid="{00000000-0010-0000-0D00-000014000000}" name="litigation_indicator" dataDxfId="906"/>
    <tableColumn id="21" xr3:uid="{00000000-0010-0000-0D00-000015000000}" name="current_authorized_amount" dataDxfId="905"/>
    <tableColumn id="22" xr3:uid="{00000000-0010-0000-0D00-000016000000}" name="current_available_amount" dataDxfId="904"/>
    <tableColumn id="23" xr3:uid="{00000000-0010-0000-0D00-000017000000}" name="cur_outsng_principal_balance" dataDxfId="903"/>
    <tableColumn id="24" xr3:uid="{00000000-0010-0000-0D00-000018000000}" name="current_overdue_principal_bal" dataDxfId="902"/>
    <tableColumn id="40" xr3:uid="{00000000-0010-0000-0D00-000028000000}" name="cur_debt_litigation_princip_bal" dataDxfId="901"/>
    <tableColumn id="25" xr3:uid="{00000000-0010-0000-0D00-000019000000}" name="next_regular_amort_due_date" dataDxfId="900"/>
    <tableColumn id="26" xr3:uid="{00000000-0010-0000-0D00-00001A000000}" name="last_regular_amort_pay_date" dataDxfId="899"/>
    <tableColumn id="27" xr3:uid="{00000000-0010-0000-0D00-00001B000000}" name="current_bill_princip_amount" dataDxfId="898"/>
    <tableColumn id="28" xr3:uid="{00000000-0010-0000-0D00-00001C000000}" name="cur_bill_litig_princip_amt" dataDxfId="897"/>
    <tableColumn id="29" xr3:uid="{00000000-0010-0000-0D00-00001D000000}" name="last_advance_annulment_indicator" dataDxfId="896"/>
    <tableColumn id="30" xr3:uid="{00000000-0010-0000-0D00-00001E000000}" name="last_advance_date" dataDxfId="895"/>
    <tableColumn id="31" xr3:uid="{00000000-0010-0000-0D00-00001F000000}" name="last_advance_exec_date" dataDxfId="894"/>
    <tableColumn id="32" xr3:uid="{00000000-0010-0000-0D00-000020000000}" name="last_advance_transfer_ref_num" dataDxfId="893"/>
    <tableColumn id="33" xr3:uid="{00000000-0010-0000-0D00-000021000000}" name="cur_advance_principal_amt" dataDxfId="892"/>
    <tableColumn id="34" xr3:uid="{00000000-0010-0000-0D00-000022000000}" name="current_active_rate_type_code" dataDxfId="891"/>
    <tableColumn id="35" xr3:uid="{00000000-0010-0000-0D00-000023000000}" name="current_active_indexing" dataDxfId="890"/>
    <tableColumn id="36" xr3:uid="{00000000-0010-0000-0D00-000024000000}" name="current_active_index_rate" dataDxfId="889"/>
    <tableColumn id="37" xr3:uid="{00000000-0010-0000-0D00-000025000000}" name="current_active_spread" dataDxfId="888"/>
    <tableColumn id="38" xr3:uid="{00000000-0010-0000-0D00-000026000000}" name="current_active_interest_rate" dataDxfId="887"/>
    <tableColumn id="42" xr3:uid="{00000000-0010-0000-0D00-00002A000000}" name="contract_status_code" dataDxfId="886"/>
    <tableColumn id="43" xr3:uid="{00000000-0010-0000-0D00-00002B000000}" name="contract_opening_channel_code" dataDxfId="885"/>
    <tableColumn id="44" xr3:uid="{00000000-0010-0000-0D00-00002C000000}" name="source_code" dataDxfId="884"/>
    <tableColumn id="45" xr3:uid="{00000000-0010-0000-0D00-00002D000000}" name="data_date_part" dataDxfId="883"/>
    <tableColumn id="46" xr3:uid="{00000000-0010-0000-0D00-00002E000000}" name="data_timestamp_part" dataDxfId="882"/>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E000000}" name="Table1522" displayName="Table1522" ref="B31:F53" totalsRowShown="0" headerRowDxfId="881" dataDxfId="880" headerRowBorderDxfId="878" tableBorderDxfId="879">
  <autoFilter ref="B31:F53" xr:uid="{00000000-0009-0000-0100-000015000000}"/>
  <sortState xmlns:xlrd2="http://schemas.microsoft.com/office/spreadsheetml/2017/richdata2" ref="B32:F53">
    <sortCondition ref="B31:B53"/>
  </sortState>
  <tableColumns count="5">
    <tableColumn id="1" xr3:uid="{00000000-0010-0000-0E00-000001000000}" name="Test ID" dataDxfId="877"/>
    <tableColumn id="2" xr3:uid="{00000000-0010-0000-0E00-000002000000}" name="Field" dataDxfId="876"/>
    <tableColumn id="3" xr3:uid="{00000000-0010-0000-0E00-000003000000}" name="Justification" dataDxfId="875"/>
    <tableColumn id="5" xr3:uid="{00000000-0010-0000-0E00-000005000000}" name="Number of Occurences" dataDxfId="874"/>
    <tableColumn id="4" xr3:uid="{00000000-0010-0000-0E00-000004000000}" name="Justification State" dataDxfId="87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2" dataDxfId="871">
  <autoFilter ref="B2:AC19" xr:uid="{00000000-0009-0000-0100-000008000000}"/>
  <tableColumns count="28">
    <tableColumn id="1" xr3:uid="{00000000-0010-0000-0F00-000001000000}" name="case_test" dataDxfId="870"/>
    <tableColumn id="2" xr3:uid="{00000000-0010-0000-0F00-000002000000}" name="test_id" dataDxfId="869"/>
    <tableColumn id="3" xr3:uid="{00000000-0010-0000-0F00-000003000000}" name="test_timestamp" dataDxfId="868"/>
    <tableColumn id="4" xr3:uid="{00000000-0010-0000-0F00-000004000000}" name="query_driver_data_date_part" dataDxfId="867"/>
    <tableColumn id="5" xr3:uid="{00000000-0010-0000-0F00-000005000000}" name="test_number" dataDxfId="866"/>
    <tableColumn id="6" xr3:uid="{00000000-0010-0000-0F00-000006000000}" name="score" dataDxfId="865"/>
    <tableColumn id="7" xr3:uid="{00000000-0010-0000-0F00-000007000000}" name="general_result" dataDxfId="864"/>
    <tableColumn id="8" xr3:uid="{00000000-0010-0000-0F00-000008000000}" name="bank_id" dataDxfId="863"/>
    <tableColumn id="9" xr3:uid="{00000000-0010-0000-0F00-000009000000}" name="contract_id" dataDxfId="862"/>
    <tableColumn id="10" xr3:uid="{00000000-0010-0000-0F00-00000A000000}" name="bank_vault_id" dataDxfId="861"/>
    <tableColumn id="11" xr3:uid="{00000000-0010-0000-0F00-00000B000000}" name="product_family_id" dataDxfId="860"/>
    <tableColumn id="12" xr3:uid="{00000000-0010-0000-0F00-00000C000000}" name="product_id" dataDxfId="859"/>
    <tableColumn id="13" xr3:uid="{00000000-0010-0000-0F00-00000D000000}" name="subproduct_id" dataDxfId="858"/>
    <tableColumn id="14" xr3:uid="{00000000-0010-0000-0F00-00000E000000}" name="bank_vault_branch_code" dataDxfId="857"/>
    <tableColumn id="15" xr3:uid="{00000000-0010-0000-0F00-00000F000000}" name="main_current_account_bank_id" dataDxfId="856"/>
    <tableColumn id="16" xr3:uid="{00000000-0010-0000-0F00-000010000000}" name="main_current_account_contract_id" dataDxfId="855"/>
    <tableColumn id="17" xr3:uid="{00000000-0010-0000-0F00-000011000000}" name="opening_date" dataDxfId="854"/>
    <tableColumn id="18" xr3:uid="{00000000-0010-0000-0F00-000012000000}" name="current_maturity_date" dataDxfId="853"/>
    <tableColumn id="19" xr3:uid="{00000000-0010-0000-0F00-000013000000}" name="currency_code" dataDxfId="852"/>
    <tableColumn id="20" xr3:uid="{00000000-0010-0000-0F00-000014000000}" name="last_annual_fee_payment_date" dataDxfId="851"/>
    <tableColumn id="21" xr3:uid="{00000000-0010-0000-0F00-000015000000}" name="last_annual_fee_paym_princip_amt" dataDxfId="850"/>
    <tableColumn id="23" xr3:uid="{00000000-0010-0000-0F00-000017000000}" name="security_deposit_payment_date" dataDxfId="849"/>
    <tableColumn id="24" xr3:uid="{00000000-0010-0000-0F00-000018000000}" name="security_deposit_principal_amt" dataDxfId="848"/>
    <tableColumn id="26" xr3:uid="{00000000-0010-0000-0F00-00001A000000}" name="contract_status_code" dataDxfId="847"/>
    <tableColumn id="27" xr3:uid="{00000000-0010-0000-0F00-00001B000000}" name="contract_opening_channel_code" dataDxfId="846"/>
    <tableColumn id="28" xr3:uid="{00000000-0010-0000-0F00-00001C000000}" name="source_code" dataDxfId="845"/>
    <tableColumn id="29" xr3:uid="{00000000-0010-0000-0F00-00001D000000}" name="data_date_part" dataDxfId="844"/>
    <tableColumn id="30" xr3:uid="{00000000-0010-0000-0F00-00001E000000}" name="data_timestamp_part" dataDxfId="843"/>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2" headerRowBorderDxfId="840" tableBorderDxfId="841">
  <autoFilter ref="B28:F34" xr:uid="{00000000-0009-0000-0100-00000E000000}"/>
  <tableColumns count="5">
    <tableColumn id="1" xr3:uid="{00000000-0010-0000-1000-000001000000}" name="Test ID" dataDxfId="839"/>
    <tableColumn id="2" xr3:uid="{00000000-0010-0000-1000-000002000000}" name="Field" dataDxfId="838"/>
    <tableColumn id="3" xr3:uid="{00000000-0010-0000-1000-000003000000}" name="Justification" dataDxfId="837"/>
    <tableColumn id="5" xr3:uid="{00000000-0010-0000-1000-000005000000}" name="Number of Occurences" dataDxfId="836"/>
    <tableColumn id="4" xr3:uid="{00000000-0010-0000-1000-000004000000}" name="Justification State" dataDxfId="835"/>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4" dataDxfId="833">
  <autoFilter ref="B2:W21" xr:uid="{00000000-0009-0000-0100-00000B000000}"/>
  <tableColumns count="22">
    <tableColumn id="1" xr3:uid="{00000000-0010-0000-1100-000001000000}" name="case_test" dataDxfId="832"/>
    <tableColumn id="2" xr3:uid="{00000000-0010-0000-1100-000002000000}" name="test_id" dataDxfId="831"/>
    <tableColumn id="3" xr3:uid="{00000000-0010-0000-1100-000003000000}" name="test_timestamp" dataDxfId="830"/>
    <tableColumn id="4" xr3:uid="{00000000-0010-0000-1100-000004000000}" name="query_driver_data_date_part" dataDxfId="829"/>
    <tableColumn id="5" xr3:uid="{00000000-0010-0000-1100-000005000000}" name="test_number" dataDxfId="828"/>
    <tableColumn id="6" xr3:uid="{00000000-0010-0000-1100-000006000000}" name="score" dataDxfId="827"/>
    <tableColumn id="7" xr3:uid="{00000000-0010-0000-1100-000007000000}" name="general_result" dataDxfId="826"/>
    <tableColumn id="8" xr3:uid="{00000000-0010-0000-1100-000008000000}" name="bank_id" dataDxfId="825"/>
    <tableColumn id="9" xr3:uid="{00000000-0010-0000-1100-000009000000}" name="process_id" dataDxfId="824"/>
    <tableColumn id="10" xr3:uid="{00000000-0010-0000-1100-00000A000000}" name="product_family_id" dataDxfId="823"/>
    <tableColumn id="11" xr3:uid="{00000000-0010-0000-1100-00000B000000}" name="product_id" dataDxfId="822"/>
    <tableColumn id="12" xr3:uid="{00000000-0010-0000-1100-00000C000000}" name="subproduct_id" dataDxfId="821"/>
    <tableColumn id="13" xr3:uid="{00000000-0010-0000-1100-00000D000000}" name="main_current_account_bank_id" dataDxfId="820"/>
    <tableColumn id="14" xr3:uid="{00000000-0010-0000-1100-00000E000000}" name="main_current_account_contract_id" dataDxfId="819"/>
    <tableColumn id="15" xr3:uid="{00000000-0010-0000-1100-00000F000000}" name="opening_date" dataDxfId="818"/>
    <tableColumn id="16" xr3:uid="{00000000-0010-0000-1100-000010000000}" name="current_maturity_date" dataDxfId="817"/>
    <tableColumn id="17" xr3:uid="{00000000-0010-0000-1100-000011000000}" name="currency_code" dataDxfId="816"/>
    <tableColumn id="18" xr3:uid="{00000000-0010-0000-1100-000012000000}" name="cur_outsng_principal_balance" dataDxfId="815"/>
    <tableColumn id="19" xr3:uid="{00000000-0010-0000-1100-000013000000}" name="process_status_code" dataDxfId="814"/>
    <tableColumn id="20" xr3:uid="{00000000-0010-0000-1100-000014000000}" name="process_opening_channel_code" dataDxfId="813"/>
    <tableColumn id="21" xr3:uid="{00000000-0010-0000-1100-000015000000}" name="data_date_part" dataDxfId="812"/>
    <tableColumn id="22" xr3:uid="{00000000-0010-0000-1100-000016000000}" name="data_timestamp_part" dataDxfId="811"/>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0" headerRowBorderDxfId="808" tableBorderDxfId="809">
  <autoFilter ref="B29:F30" xr:uid="{00000000-0009-0000-0100-000013000000}"/>
  <tableColumns count="5">
    <tableColumn id="1" xr3:uid="{00000000-0010-0000-1200-000001000000}" name="Test ID" dataDxfId="807"/>
    <tableColumn id="2" xr3:uid="{00000000-0010-0000-1200-000002000000}" name="Field" dataDxfId="806"/>
    <tableColumn id="3" xr3:uid="{00000000-0010-0000-1200-000003000000}" name="Justification" dataDxfId="805"/>
    <tableColumn id="5" xr3:uid="{00000000-0010-0000-1200-000005000000}" name="Number of Occurences" dataDxfId="804"/>
    <tableColumn id="4" xr3:uid="{00000000-0010-0000-1200-000004000000}" name="Justification State" dataDxfId="80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2" dataDxfId="801">
  <autoFilter ref="B2:W21" xr:uid="{00000000-0009-0000-0100-000004000000}"/>
  <tableColumns count="22">
    <tableColumn id="1" xr3:uid="{00000000-0010-0000-1300-000001000000}" name="case_test" dataDxfId="800"/>
    <tableColumn id="2" xr3:uid="{00000000-0010-0000-1300-000002000000}" name="test_id" dataDxfId="799"/>
    <tableColumn id="3" xr3:uid="{00000000-0010-0000-1300-000003000000}" name="test_timestamp" dataDxfId="798"/>
    <tableColumn id="4" xr3:uid="{00000000-0010-0000-1300-000004000000}" name="query_driver_data_date_part" dataDxfId="797"/>
    <tableColumn id="5" xr3:uid="{00000000-0010-0000-1300-000005000000}" name="test_number" dataDxfId="796"/>
    <tableColumn id="6" xr3:uid="{00000000-0010-0000-1300-000006000000}" name="score" dataDxfId="795"/>
    <tableColumn id="7" xr3:uid="{00000000-0010-0000-1300-000007000000}" name="general_result" dataDxfId="794"/>
    <tableColumn id="8" xr3:uid="{00000000-0010-0000-1300-000008000000}" name="bank_id" dataDxfId="793"/>
    <tableColumn id="9" xr3:uid="{00000000-0010-0000-1300-000009000000}" name="process_id" dataDxfId="792"/>
    <tableColumn id="10" xr3:uid="{00000000-0010-0000-1300-00000A000000}" name="product_family_id" dataDxfId="791"/>
    <tableColumn id="11" xr3:uid="{00000000-0010-0000-1300-00000B000000}" name="product_id" dataDxfId="790"/>
    <tableColumn id="12" xr3:uid="{00000000-0010-0000-1300-00000C000000}" name="subproduct_id" dataDxfId="789"/>
    <tableColumn id="13" xr3:uid="{00000000-0010-0000-1300-00000D000000}" name="main_current_account_bank_id" dataDxfId="788"/>
    <tableColumn id="14" xr3:uid="{00000000-0010-0000-1300-00000E000000}" name="main_current_account_contract_id" dataDxfId="787"/>
    <tableColumn id="15" xr3:uid="{00000000-0010-0000-1300-00000F000000}" name="opening_date" dataDxfId="786"/>
    <tableColumn id="16" xr3:uid="{00000000-0010-0000-1300-000010000000}" name="current_maturity_date" dataDxfId="785"/>
    <tableColumn id="17" xr3:uid="{00000000-0010-0000-1300-000011000000}" name="currency_code" dataDxfId="784"/>
    <tableColumn id="18" xr3:uid="{00000000-0010-0000-1300-000012000000}" name="current_authorized_amount" dataDxfId="783"/>
    <tableColumn id="19" xr3:uid="{00000000-0010-0000-1300-000013000000}" name="process_status_code" dataDxfId="782"/>
    <tableColumn id="20" xr3:uid="{00000000-0010-0000-1300-000014000000}" name="process_opening_channel_code" dataDxfId="781"/>
    <tableColumn id="21" xr3:uid="{00000000-0010-0000-1300-000015000000}" name="data_date_part" dataDxfId="780"/>
    <tableColumn id="22" xr3:uid="{00000000-0010-0000-1300-000016000000}" name="data_timestamp_part" dataDxfId="77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8" headerRowBorderDxfId="776" tableBorderDxfId="777">
  <autoFilter ref="B29:F30" xr:uid="{00000000-0009-0000-0100-000014000000}"/>
  <tableColumns count="5">
    <tableColumn id="1" xr3:uid="{00000000-0010-0000-1400-000001000000}" name="Test ID" dataDxfId="775"/>
    <tableColumn id="2" xr3:uid="{00000000-0010-0000-1400-000002000000}" name="Field" dataDxfId="774"/>
    <tableColumn id="3" xr3:uid="{00000000-0010-0000-1400-000003000000}" name="Justification" dataDxfId="773"/>
    <tableColumn id="5" xr3:uid="{00000000-0010-0000-1400-000005000000}" name="Number of Occurences" dataDxfId="772"/>
    <tableColumn id="4" xr3:uid="{00000000-0010-0000-1400-000004000000}" name="Justification State" dataDxfId="77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0" dataDxfId="769" headerRowBorderDxfId="767" tableBorderDxfId="768">
  <autoFilter ref="B29:F35" xr:uid="{00000000-0009-0000-0100-00001A000000}"/>
  <tableColumns count="5">
    <tableColumn id="1" xr3:uid="{00000000-0010-0000-1500-000001000000}" name="Test ID" dataDxfId="766"/>
    <tableColumn id="2" xr3:uid="{00000000-0010-0000-1500-000002000000}" name="Field" dataDxfId="765"/>
    <tableColumn id="3" xr3:uid="{00000000-0010-0000-1500-000003000000}" name="Justification" dataDxfId="764"/>
    <tableColumn id="4" xr3:uid="{00000000-0010-0000-1500-000004000000}" name="Number of Occurences" dataDxfId="763"/>
    <tableColumn id="5" xr3:uid="{00000000-0010-0000-1500-000005000000}" name="Justification State" dataDxfId="762"/>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1" dataDxfId="760">
  <autoFilter ref="B2:Y22" xr:uid="{00000000-0009-0000-0100-00001B000000}"/>
  <tableColumns count="24">
    <tableColumn id="1" xr3:uid="{00000000-0010-0000-1600-000001000000}" name="Case_Test" dataDxfId="759"/>
    <tableColumn id="2" xr3:uid="{00000000-0010-0000-1600-000002000000}" name="test_id" dataDxfId="758"/>
    <tableColumn id="3" xr3:uid="{00000000-0010-0000-1600-000003000000}" name="test_timestamp" dataDxfId="757"/>
    <tableColumn id="4" xr3:uid="{00000000-0010-0000-1600-000004000000}" name="query_driver_data_date_part" dataDxfId="756"/>
    <tableColumn id="5" xr3:uid="{00000000-0010-0000-1600-000005000000}" name="test_number" dataDxfId="755"/>
    <tableColumn id="6" xr3:uid="{00000000-0010-0000-1600-000006000000}" name="score" dataDxfId="754"/>
    <tableColumn id="7" xr3:uid="{00000000-0010-0000-1600-000007000000}" name="general_result" dataDxfId="753"/>
    <tableColumn id="8" xr3:uid="{00000000-0010-0000-1600-000008000000}" name="bank_id" dataDxfId="752"/>
    <tableColumn id="9" xr3:uid="{00000000-0010-0000-1600-000009000000}" name="process_id" dataDxfId="751"/>
    <tableColumn id="10" xr3:uid="{00000000-0010-0000-1600-00000A000000}" name="main_current_account_bank_id" dataDxfId="750"/>
    <tableColumn id="11" xr3:uid="{00000000-0010-0000-1600-00000B000000}" name="main_current_account_contract_id" dataDxfId="749"/>
    <tableColumn id="12" xr3:uid="{00000000-0010-0000-1600-00000C000000}" name="main_current_account_iban" dataDxfId="748"/>
    <tableColumn id="13" xr3:uid="{00000000-0010-0000-1600-00000D000000}" name="main_loan_account_bank_id" dataDxfId="747"/>
    <tableColumn id="14" xr3:uid="{00000000-0010-0000-1600-00000E000000}" name="main_loan_account_contract_id" dataDxfId="746"/>
    <tableColumn id="15" xr3:uid="{00000000-0010-0000-1600-00000F000000}" name="main_loan_account_iban" dataDxfId="745"/>
    <tableColumn id="16" xr3:uid="{00000000-0010-0000-1600-000010000000}" name="opening_date" dataDxfId="744"/>
    <tableColumn id="17" xr3:uid="{00000000-0010-0000-1600-000011000000}" name="current_maturity_date" dataDxfId="743"/>
    <tableColumn id="18" xr3:uid="{00000000-0010-0000-1600-000012000000}" name="currency_code" dataDxfId="742"/>
    <tableColumn id="19" xr3:uid="{00000000-0010-0000-1600-000013000000}" name="initial_limit_amount" dataDxfId="741"/>
    <tableColumn id="20" xr3:uid="{00000000-0010-0000-1600-000014000000}" name="current_limit_amount" dataDxfId="740"/>
    <tableColumn id="21" xr3:uid="{00000000-0010-0000-1600-000015000000}" name="process_status_code" dataDxfId="739"/>
    <tableColumn id="22" xr3:uid="{00000000-0010-0000-1600-000016000000}" name="process_opening_channel_code" dataDxfId="738"/>
    <tableColumn id="23" xr3:uid="{00000000-0010-0000-1600-000017000000}" name="data_date_part" dataDxfId="737"/>
    <tableColumn id="24" xr3:uid="{00000000-0010-0000-1600-000018000000}" name="data_timestamp_part" dataDxfId="736"/>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5" dataDxfId="734">
  <autoFilter ref="B2:S21" xr:uid="{00000000-0009-0000-0100-00000A000000}"/>
  <tableColumns count="18">
    <tableColumn id="1" xr3:uid="{00000000-0010-0000-1700-000001000000}" name="case_test" dataDxfId="733"/>
    <tableColumn id="2" xr3:uid="{00000000-0010-0000-1700-000002000000}" name="test_id" dataDxfId="732"/>
    <tableColumn id="3" xr3:uid="{00000000-0010-0000-1700-000003000000}" name="test_timestamp" dataDxfId="731"/>
    <tableColumn id="4" xr3:uid="{00000000-0010-0000-1700-000004000000}" name="query_driver_data_date_part" dataDxfId="730"/>
    <tableColumn id="5" xr3:uid="{00000000-0010-0000-1700-000005000000}" name="test_number" dataDxfId="729"/>
    <tableColumn id="6" xr3:uid="{00000000-0010-0000-1700-000006000000}" name="score" dataDxfId="728"/>
    <tableColumn id="7" xr3:uid="{00000000-0010-0000-1700-000007000000}" name="general_result" dataDxfId="727"/>
    <tableColumn id="8" xr3:uid="{00000000-0010-0000-1700-000008000000}" name="bank_vault_visit_id" dataDxfId="726"/>
    <tableColumn id="9" xr3:uid="{00000000-0010-0000-1700-000009000000}" name="bank_id" dataDxfId="725"/>
    <tableColumn id="10" xr3:uid="{00000000-0010-0000-1700-00000A000000}" name="contract_id" dataDxfId="724"/>
    <tableColumn id="11" xr3:uid="{00000000-0010-0000-1700-00000B000000}" name="visit_start_employee_id" dataDxfId="723"/>
    <tableColumn id="12" xr3:uid="{00000000-0010-0000-1700-00000C000000}" name="visit_end_employee_id" dataDxfId="722"/>
    <tableColumn id="13" xr3:uid="{00000000-0010-0000-1700-00000D000000}" name="start_datetime" dataDxfId="721"/>
    <tableColumn id="14" xr3:uid="{00000000-0010-0000-1700-00000E000000}" name="end_datetime" dataDxfId="720"/>
    <tableColumn id="15" xr3:uid="{00000000-0010-0000-1700-00000F000000}" name="visit_type_code" dataDxfId="719"/>
    <tableColumn id="16" xr3:uid="{00000000-0010-0000-1700-000010000000}" name="observation" dataDxfId="718"/>
    <tableColumn id="17" xr3:uid="{00000000-0010-0000-1700-000011000000}" name="data_date_part" dataDxfId="717"/>
    <tableColumn id="18" xr3:uid="{00000000-0010-0000-1700-000012000000}" name="data_timestamp_part" dataDxfId="71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5" dataDxfId="714" headerRowBorderDxfId="712" tableBorderDxfId="713">
  <autoFilter ref="B31:F33" xr:uid="{00000000-0009-0000-0100-000011000000}"/>
  <tableColumns count="5">
    <tableColumn id="1" xr3:uid="{00000000-0010-0000-1800-000001000000}" name="Test ID" dataDxfId="711"/>
    <tableColumn id="2" xr3:uid="{00000000-0010-0000-1800-000002000000}" name="Field" dataDxfId="710"/>
    <tableColumn id="3" xr3:uid="{00000000-0010-0000-1800-000003000000}" name="Justification" dataDxfId="709"/>
    <tableColumn id="5" xr3:uid="{00000000-0010-0000-1800-000005000000}" name="Number of Occurences" dataDxfId="708"/>
    <tableColumn id="4" xr3:uid="{00000000-0010-0000-1800-000004000000}" name="Justification State" dataDxfId="707"/>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6" dataDxfId="705">
  <autoFilter ref="B2:P19" xr:uid="{00000000-0009-0000-0100-00000D000000}"/>
  <tableColumns count="15">
    <tableColumn id="1" xr3:uid="{00000000-0010-0000-1900-000001000000}" name="case_test" dataDxfId="704"/>
    <tableColumn id="2" xr3:uid="{00000000-0010-0000-1900-000002000000}" name="test_id" dataDxfId="703"/>
    <tableColumn id="3" xr3:uid="{00000000-0010-0000-1900-000003000000}" name="test_timestamp" dataDxfId="702"/>
    <tableColumn id="4" xr3:uid="{00000000-0010-0000-1900-000004000000}" name="query_driver_data_date_part" dataDxfId="701"/>
    <tableColumn id="5" xr3:uid="{00000000-0010-0000-1900-000005000000}" name="test_number" dataDxfId="700"/>
    <tableColumn id="6" xr3:uid="{00000000-0010-0000-1900-000006000000}" name="score" dataDxfId="699"/>
    <tableColumn id="7" xr3:uid="{00000000-0010-0000-1900-000007000000}" name="general_result" dataDxfId="698"/>
    <tableColumn id="8" xr3:uid="{00000000-0010-0000-1900-000008000000}" name="bank_id" dataDxfId="697"/>
    <tableColumn id="9" xr3:uid="{00000000-0010-0000-1900-000009000000}" name="contract_id" dataDxfId="696"/>
    <tableColumn id="10" xr3:uid="{00000000-0010-0000-1900-00000A000000}" name="party_id" dataDxfId="695"/>
    <tableColumn id="11" xr3:uid="{00000000-0010-0000-1900-00000B000000}" name="contract_intervention_type_code" dataDxfId="694"/>
    <tableColumn id="12" xr3:uid="{00000000-0010-0000-1900-00000C000000}" name="contract_beneficiary_order_num" dataDxfId="693"/>
    <tableColumn id="13" xr3:uid="{00000000-0010-0000-1900-00000D000000}" name="relationship_start_date" dataDxfId="692"/>
    <tableColumn id="14" xr3:uid="{00000000-0010-0000-1900-00000E000000}" name="data_date_part" dataDxfId="691"/>
    <tableColumn id="15" xr3:uid="{00000000-0010-0000-1900-00000F000000}" name="data_timestamp_part" dataDxfId="690"/>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89" dataDxfId="688" headerRowBorderDxfId="686" tableBorderDxfId="687">
  <autoFilter ref="B28:F29" xr:uid="{00000000-0009-0000-0100-00000C000000}"/>
  <tableColumns count="5">
    <tableColumn id="1" xr3:uid="{00000000-0010-0000-1A00-000001000000}" name="Test ID" dataDxfId="685"/>
    <tableColumn id="2" xr3:uid="{00000000-0010-0000-1A00-000002000000}" name="Field" dataDxfId="684"/>
    <tableColumn id="3" xr3:uid="{00000000-0010-0000-1A00-000003000000}" name="Justification" dataDxfId="683"/>
    <tableColumn id="5" xr3:uid="{00000000-0010-0000-1A00-000005000000}" name="Number of Occurences" dataDxfId="682"/>
    <tableColumn id="4" xr3:uid="{00000000-0010-0000-1A00-000004000000}" name="Justification State" dataDxfId="681"/>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0" dataDxfId="679" headerRowBorderDxfId="677" tableBorderDxfId="678">
  <autoFilter ref="B31:F65" xr:uid="{00000000-0009-0000-0100-00001C000000}"/>
  <tableColumns count="5">
    <tableColumn id="1" xr3:uid="{00000000-0010-0000-1B00-000001000000}" name="Test ID" dataDxfId="676"/>
    <tableColumn id="2" xr3:uid="{00000000-0010-0000-1B00-000002000000}" name="Field" dataDxfId="675"/>
    <tableColumn id="3" xr3:uid="{00000000-0010-0000-1B00-000003000000}" name="Justification" dataDxfId="674"/>
    <tableColumn id="4" xr3:uid="{00000000-0010-0000-1B00-000004000000}" name="Number of Occurences" dataDxfId="673"/>
    <tableColumn id="5" xr3:uid="{00000000-0010-0000-1B00-000005000000}" name="Justification State" dataDxfId="672"/>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1" dataDxfId="670">
  <autoFilter ref="B2:BA23" xr:uid="{00000000-0009-0000-0100-00001D000000}"/>
  <tableColumns count="52">
    <tableColumn id="1" xr3:uid="{00000000-0010-0000-1C00-000001000000}" name="Case_Test" dataDxfId="669"/>
    <tableColumn id="2" xr3:uid="{00000000-0010-0000-1C00-000002000000}" name="test_id" dataDxfId="668"/>
    <tableColumn id="3" xr3:uid="{00000000-0010-0000-1C00-000003000000}" name="test_timestamp" dataDxfId="667"/>
    <tableColumn id="4" xr3:uid="{00000000-0010-0000-1C00-000004000000}" name="query_driver_data_date_part" dataDxfId="666"/>
    <tableColumn id="5" xr3:uid="{00000000-0010-0000-1C00-000005000000}" name="test_number" dataDxfId="665"/>
    <tableColumn id="6" xr3:uid="{00000000-0010-0000-1C00-000006000000}" name="score" dataDxfId="664"/>
    <tableColumn id="7" xr3:uid="{00000000-0010-0000-1C00-000007000000}" name="general_result" dataDxfId="663"/>
    <tableColumn id="8" xr3:uid="{00000000-0010-0000-1C00-000008000000}" name="bank_id" dataDxfId="662"/>
    <tableColumn id="9" xr3:uid="{00000000-0010-0000-1C00-000009000000}" name="contract_id" dataDxfId="661"/>
    <tableColumn id="10" xr3:uid="{00000000-0010-0000-1C00-00000A000000}" name="product_family_id" dataDxfId="660"/>
    <tableColumn id="11" xr3:uid="{00000000-0010-0000-1C00-00000B000000}" name="product_id" dataDxfId="659"/>
    <tableColumn id="12" xr3:uid="{00000000-0010-0000-1C00-00000C000000}" name="subproduct_id" dataDxfId="658"/>
    <tableColumn id="52" xr3:uid="{00000000-0010-0000-1C00-000034000000}" name="main_current_account_bank_id" dataDxfId="657"/>
    <tableColumn id="54" xr3:uid="{00000000-0010-0000-1C00-000036000000}" name="main_current_account_contract_id" dataDxfId="656"/>
    <tableColumn id="55" xr3:uid="{00000000-0010-0000-1C00-000037000000}" name="main_current_account_iban" dataDxfId="655"/>
    <tableColumn id="56" xr3:uid="{00000000-0010-0000-1C00-000038000000}" name="main_loan_account_bank_id" dataDxfId="654"/>
    <tableColumn id="57" xr3:uid="{00000000-0010-0000-1C00-000039000000}" name="main_loan_account_contract_id" dataDxfId="653"/>
    <tableColumn id="42" xr3:uid="{00000000-0010-0000-1C00-00002A000000}" name="main_loan_account_iban" dataDxfId="652"/>
    <tableColumn id="43" xr3:uid="{00000000-0010-0000-1C00-00002B000000}" name="process_bank_id" dataDxfId="651"/>
    <tableColumn id="44" xr3:uid="{00000000-0010-0000-1C00-00002C000000}" name="process_id" dataDxfId="650"/>
    <tableColumn id="13" xr3:uid="{00000000-0010-0000-1C00-00000D000000}" name="opening_date" dataDxfId="649"/>
    <tableColumn id="14" xr3:uid="{00000000-0010-0000-1C00-00000E000000}" name="current_maturity_date" dataDxfId="648"/>
    <tableColumn id="15" xr3:uid="{00000000-0010-0000-1C00-00000F000000}" name="currency_code" dataDxfId="647"/>
    <tableColumn id="46" xr3:uid="{00000000-0010-0000-1C00-00002E000000}" name="litigation_indicator" dataDxfId="646"/>
    <tableColumn id="47" xr3:uid="{00000000-0010-0000-1C00-00002F000000}" name="current_authorized_amount" dataDxfId="645"/>
    <tableColumn id="48" xr3:uid="{00000000-0010-0000-1C00-000030000000}" name="current_available_amount" dataDxfId="644"/>
    <tableColumn id="49" xr3:uid="{00000000-0010-0000-1C00-000031000000}" name="current_retention_rate" dataDxfId="643"/>
    <tableColumn id="50" xr3:uid="{00000000-0010-0000-1C00-000032000000}" name="cur_outsng_principal_balance" dataDxfId="642"/>
    <tableColumn id="51" xr3:uid="{00000000-0010-0000-1C00-000033000000}" name="current_overdue_principal_bal" dataDxfId="641"/>
    <tableColumn id="53" xr3:uid="{00000000-0010-0000-1C00-000035000000}" name="cur_debt_litigation_princip_bal" dataDxfId="640"/>
    <tableColumn id="16" xr3:uid="{00000000-0010-0000-1C00-000010000000}" name="next_regular_amort_due_date" dataDxfId="639"/>
    <tableColumn id="17" xr3:uid="{00000000-0010-0000-1C00-000011000000}" name="last_regular_amort_pay_date" dataDxfId="638"/>
    <tableColumn id="18" xr3:uid="{00000000-0010-0000-1C00-000012000000}" name="current_bill_princip_amount" dataDxfId="637"/>
    <tableColumn id="19" xr3:uid="{00000000-0010-0000-1C00-000013000000}" name="last_advance_date" dataDxfId="636"/>
    <tableColumn id="58" xr3:uid="{00000000-0010-0000-1C00-00003A000000}" name="last_advance_principal_amount" dataDxfId="635"/>
    <tableColumn id="59" xr3:uid="{00000000-0010-0000-1C00-00003B000000}" name="cur_advance_principal_amt" dataDxfId="634"/>
    <tableColumn id="62" xr3:uid="{00000000-0010-0000-1C00-00003E000000}" name="initial_active_rate_type_code" dataDxfId="633"/>
    <tableColumn id="61" xr3:uid="{00000000-0010-0000-1C00-00003D000000}" name="initial_active_indexing" dataDxfId="632"/>
    <tableColumn id="60" xr3:uid="{00000000-0010-0000-1C00-00003C000000}" name="initial_active_index_rate" dataDxfId="631"/>
    <tableColumn id="20" xr3:uid="{00000000-0010-0000-1C00-000014000000}" name="initial_active_spread" dataDxfId="630"/>
    <tableColumn id="21" xr3:uid="{00000000-0010-0000-1C00-000015000000}" name="initial_active_interest_rate" dataDxfId="629"/>
    <tableColumn id="22" xr3:uid="{00000000-0010-0000-1C00-000016000000}" name="cur_active_rate_type_code" dataDxfId="628"/>
    <tableColumn id="23" xr3:uid="{00000000-0010-0000-1C00-000017000000}" name="current_active_indexing" dataDxfId="627"/>
    <tableColumn id="24" xr3:uid="{00000000-0010-0000-1C00-000018000000}" name="current_active_index_rate" dataDxfId="626"/>
    <tableColumn id="25" xr3:uid="{00000000-0010-0000-1C00-000019000000}" name="current_active_spread" dataDxfId="625"/>
    <tableColumn id="26" xr3:uid="{00000000-0010-0000-1C00-00001A000000}" name="current_active_interest_rate" dataDxfId="624"/>
    <tableColumn id="27" xr3:uid="{00000000-0010-0000-1C00-00001B000000}" name="recourse_indicator" dataDxfId="623"/>
    <tableColumn id="28" xr3:uid="{00000000-0010-0000-1C00-00001C000000}" name="contract_status_code" dataDxfId="622"/>
    <tableColumn id="29" xr3:uid="{00000000-0010-0000-1C00-00001D000000}" name="contract_opening_channel_code" dataDxfId="621"/>
    <tableColumn id="30" xr3:uid="{00000000-0010-0000-1C00-00001E000000}" name="source_code" dataDxfId="620"/>
    <tableColumn id="31" xr3:uid="{00000000-0010-0000-1C00-00001F000000}" name="data_date_part" dataDxfId="619"/>
    <tableColumn id="32" xr3:uid="{00000000-0010-0000-1C00-000020000000}" name="data_timestamp_part" dataDxfId="61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7" dataDxfId="616">
  <autoFilter ref="B2:S21" xr:uid="{00000000-0009-0000-0100-000020000000}"/>
  <tableColumns count="18">
    <tableColumn id="1" xr3:uid="{00000000-0010-0000-1D00-000001000000}" name="case_test" dataDxfId="615"/>
    <tableColumn id="2" xr3:uid="{00000000-0010-0000-1D00-000002000000}" name="test_id" dataDxfId="614"/>
    <tableColumn id="3" xr3:uid="{00000000-0010-0000-1D00-000003000000}" name="test_timestamp" dataDxfId="613"/>
    <tableColumn id="4" xr3:uid="{00000000-0010-0000-1D00-000004000000}" name="query_driver_data_date_part" dataDxfId="612"/>
    <tableColumn id="5" xr3:uid="{00000000-0010-0000-1D00-000005000000}" name="test_number" dataDxfId="611"/>
    <tableColumn id="6" xr3:uid="{00000000-0010-0000-1D00-000006000000}" name="score" dataDxfId="610"/>
    <tableColumn id="7" xr3:uid="{00000000-0010-0000-1D00-000007000000}" name="general_result" dataDxfId="609"/>
    <tableColumn id="8" xr3:uid="{00000000-0010-0000-1D00-000008000000}" name="card_number" dataDxfId="608"/>
    <tableColumn id="9" xr3:uid="{00000000-0010-0000-1D00-000009000000}" name="main_contract_bank_id" dataDxfId="607"/>
    <tableColumn id="10" xr3:uid="{00000000-0010-0000-1D00-00000A000000}" name="main_contract_id" dataDxfId="606"/>
    <tableColumn id="11" xr3:uid="{00000000-0010-0000-1D00-00000B000000}" name="beneficiary_order_number" dataDxfId="605"/>
    <tableColumn id="12" xr3:uid="{00000000-0010-0000-1D00-00000C000000}" name="card_activation_date" dataDxfId="604"/>
    <tableColumn id="13" xr3:uid="{00000000-0010-0000-1D00-00000D000000}" name="card_expiration_date" dataDxfId="603"/>
    <tableColumn id="14" xr3:uid="{00000000-0010-0000-1D00-00000E000000}" name="daily_atm_limit" dataDxfId="602"/>
    <tableColumn id="15" xr3:uid="{00000000-0010-0000-1D00-00000F000000}" name="daily_purchase_limit" dataDxfId="601"/>
    <tableColumn id="16" xr3:uid="{00000000-0010-0000-1D00-000010000000}" name="card_status_code" dataDxfId="600"/>
    <tableColumn id="17" xr3:uid="{00000000-0010-0000-1D00-000011000000}" name="data_date_part" dataDxfId="599"/>
    <tableColumn id="18" xr3:uid="{00000000-0010-0000-1D00-000012000000}" name="data_timestamp_part" dataDxfId="598"/>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7" headerRowBorderDxfId="595" tableBorderDxfId="596">
  <autoFilter ref="B29:F30" xr:uid="{00000000-0009-0000-0100-000021000000}"/>
  <tableColumns count="5">
    <tableColumn id="1" xr3:uid="{00000000-0010-0000-1E00-000001000000}" name="Test ID" dataDxfId="594"/>
    <tableColumn id="2" xr3:uid="{00000000-0010-0000-1E00-000002000000}" name="Field" dataDxfId="593"/>
    <tableColumn id="3" xr3:uid="{00000000-0010-0000-1E00-000003000000}" name="Justification" dataDxfId="592"/>
    <tableColumn id="5" xr3:uid="{00000000-0010-0000-1E00-000005000000}" name="Number of Occurences" dataDxfId="591"/>
    <tableColumn id="4" xr3:uid="{00000000-0010-0000-1E00-000004000000}" name="Justification State" dataDxfId="590"/>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89" dataDxfId="588">
  <autoFilter ref="B2:S21" xr:uid="{00000000-0009-0000-0100-00001E000000}"/>
  <tableColumns count="18">
    <tableColumn id="1" xr3:uid="{00000000-0010-0000-1F00-000001000000}" name="case_test" dataDxfId="587"/>
    <tableColumn id="2" xr3:uid="{00000000-0010-0000-1F00-000002000000}" name="test_id" dataDxfId="586"/>
    <tableColumn id="3" xr3:uid="{00000000-0010-0000-1F00-000003000000}" name="test_timestamp" dataDxfId="585"/>
    <tableColumn id="4" xr3:uid="{00000000-0010-0000-1F00-000004000000}" name="query_driver_data_date_part" dataDxfId="584"/>
    <tableColumn id="5" xr3:uid="{00000000-0010-0000-1F00-000005000000}" name="test_number" dataDxfId="583"/>
    <tableColumn id="6" xr3:uid="{00000000-0010-0000-1F00-000006000000}" name="score" dataDxfId="582"/>
    <tableColumn id="7" xr3:uid="{00000000-0010-0000-1F00-000007000000}" name="general_result" dataDxfId="581"/>
    <tableColumn id="8" xr3:uid="{00000000-0010-0000-1F00-000008000000}" name="card_number" dataDxfId="580"/>
    <tableColumn id="9" xr3:uid="{00000000-0010-0000-1F00-000009000000}" name="main_card_account_bank_id" dataDxfId="579"/>
    <tableColumn id="10" xr3:uid="{00000000-0010-0000-1F00-00000A000000}" name="main_card_account_contract_id" dataDxfId="578"/>
    <tableColumn id="11" xr3:uid="{00000000-0010-0000-1F00-00000B000000}" name="beneficiary_order_number" dataDxfId="577"/>
    <tableColumn id="12" xr3:uid="{00000000-0010-0000-1F00-00000C000000}" name="card_activation_date" dataDxfId="576"/>
    <tableColumn id="13" xr3:uid="{00000000-0010-0000-1F00-00000D000000}" name="card_expiration_date" dataDxfId="575"/>
    <tableColumn id="14" xr3:uid="{00000000-0010-0000-1F00-00000E000000}" name="daily_atm_limit" dataDxfId="574"/>
    <tableColumn id="15" xr3:uid="{00000000-0010-0000-1F00-00000F000000}" name="daily_purchase_limit" dataDxfId="573"/>
    <tableColumn id="16" xr3:uid="{00000000-0010-0000-1F00-000010000000}" name="card_status_code" dataDxfId="572"/>
    <tableColumn id="17" xr3:uid="{00000000-0010-0000-1F00-000011000000}" name="data_date_part" dataDxfId="571"/>
    <tableColumn id="18" xr3:uid="{00000000-0010-0000-1F00-000012000000}" name="data_timestamp_part" dataDxfId="570"/>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69" headerRowBorderDxfId="567" tableBorderDxfId="568">
  <autoFilter ref="B29:F30" xr:uid="{00000000-0009-0000-0100-00001F000000}"/>
  <tableColumns count="5">
    <tableColumn id="1" xr3:uid="{00000000-0010-0000-2000-000001000000}" name="Test ID" dataDxfId="566"/>
    <tableColumn id="2" xr3:uid="{00000000-0010-0000-2000-000002000000}" name="Field" dataDxfId="565"/>
    <tableColumn id="3" xr3:uid="{00000000-0010-0000-2000-000003000000}" name="Justification" dataDxfId="564"/>
    <tableColumn id="5" xr3:uid="{00000000-0010-0000-2000-000005000000}" name="Number of Occurences" dataDxfId="563"/>
    <tableColumn id="4" xr3:uid="{00000000-0010-0000-2000-000004000000}" name="Justification State" dataDxfId="56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1" dataDxfId="560">
  <autoFilter ref="B2:W21" xr:uid="{00000000-0009-0000-0100-000026000000}"/>
  <tableColumns count="22">
    <tableColumn id="1" xr3:uid="{00000000-0010-0000-2100-000001000000}" name="case_test" dataDxfId="559"/>
    <tableColumn id="2" xr3:uid="{00000000-0010-0000-2100-000002000000}" name="test_id" dataDxfId="558"/>
    <tableColumn id="3" xr3:uid="{00000000-0010-0000-2100-000003000000}" name="test_timestamp" dataDxfId="557"/>
    <tableColumn id="4" xr3:uid="{00000000-0010-0000-2100-000004000000}" name="query_driver_data_date_part" dataDxfId="556"/>
    <tableColumn id="5" xr3:uid="{00000000-0010-0000-2100-000005000000}" name="test_number" dataDxfId="555"/>
    <tableColumn id="6" xr3:uid="{00000000-0010-0000-2100-000006000000}" name="score" dataDxfId="554"/>
    <tableColumn id="7" xr3:uid="{00000000-0010-0000-2100-000007000000}" name="general_result" dataDxfId="553"/>
    <tableColumn id="8" xr3:uid="{00000000-0010-0000-2100-000008000000}" name="bank_id" dataDxfId="552"/>
    <tableColumn id="9" xr3:uid="{00000000-0010-0000-2100-000009000000}" name="contract_id" dataDxfId="551"/>
    <tableColumn id="10" xr3:uid="{00000000-0010-0000-2100-00000A000000}" name="product_family_id" dataDxfId="550"/>
    <tableColumn id="11" xr3:uid="{00000000-0010-0000-2100-00000B000000}" name="product_id" dataDxfId="549"/>
    <tableColumn id="12" xr3:uid="{00000000-0010-0000-2100-00000C000000}" name="subproduct_id" dataDxfId="548"/>
    <tableColumn id="13" xr3:uid="{00000000-0010-0000-2100-00000D000000}" name="main_current_account_bank_id" dataDxfId="547"/>
    <tableColumn id="14" xr3:uid="{00000000-0010-0000-2100-00000E000000}" name="main_current_account_contract_id" dataDxfId="546"/>
    <tableColumn id="15" xr3:uid="{00000000-0010-0000-2100-00000F000000}" name="opening_date" dataDxfId="545"/>
    <tableColumn id="16" xr3:uid="{00000000-0010-0000-2100-000010000000}" name="current_maturity_date" dataDxfId="544"/>
    <tableColumn id="17" xr3:uid="{00000000-0010-0000-2100-000011000000}" name="currency_code" dataDxfId="543"/>
    <tableColumn id="19" xr3:uid="{00000000-0010-0000-2100-000013000000}" name="contract_status_code" dataDxfId="542"/>
    <tableColumn id="20" xr3:uid="{00000000-0010-0000-2100-000014000000}" name="contract_opening_channel_code" dataDxfId="541"/>
    <tableColumn id="21" xr3:uid="{00000000-0010-0000-2100-000015000000}" name="source_code" dataDxfId="540"/>
    <tableColumn id="22" xr3:uid="{00000000-0010-0000-2100-000016000000}" name="data_date_part" dataDxfId="539"/>
    <tableColumn id="23" xr3:uid="{00000000-0010-0000-2100-000017000000}" name="data_timestamp_part" dataDxfId="53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7" headerRowBorderDxfId="535" tableBorderDxfId="536">
  <autoFilter ref="B29:F30" xr:uid="{00000000-0009-0000-0100-000027000000}"/>
  <tableColumns count="5">
    <tableColumn id="1" xr3:uid="{00000000-0010-0000-2200-000001000000}" name="Test ID" dataDxfId="534"/>
    <tableColumn id="2" xr3:uid="{00000000-0010-0000-2200-000002000000}" name="Field" dataDxfId="533"/>
    <tableColumn id="3" xr3:uid="{00000000-0010-0000-2200-000003000000}" name="Justification" dataDxfId="532"/>
    <tableColumn id="5" xr3:uid="{00000000-0010-0000-2200-000005000000}" name="Number of Occurences" dataDxfId="531"/>
    <tableColumn id="4" xr3:uid="{00000000-0010-0000-2200-000004000000}" name="Justification State" dataDxfId="530"/>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29" dataDxfId="528">
  <autoFilter ref="B2:S21" xr:uid="{00000000-0009-0000-0100-000024000000}"/>
  <tableColumns count="18">
    <tableColumn id="1" xr3:uid="{00000000-0010-0000-2300-000001000000}" name="case_test" dataDxfId="527"/>
    <tableColumn id="2" xr3:uid="{00000000-0010-0000-2300-000002000000}" name="test_id" dataDxfId="526"/>
    <tableColumn id="3" xr3:uid="{00000000-0010-0000-2300-000003000000}" name="test_timestamp" dataDxfId="525"/>
    <tableColumn id="4" xr3:uid="{00000000-0010-0000-2300-000004000000}" name="query_driver_data_date_part" dataDxfId="524"/>
    <tableColumn id="5" xr3:uid="{00000000-0010-0000-2300-000005000000}" name="test_number" dataDxfId="523"/>
    <tableColumn id="6" xr3:uid="{00000000-0010-0000-2300-000006000000}" name="score" dataDxfId="522"/>
    <tableColumn id="7" xr3:uid="{00000000-0010-0000-2300-000007000000}" name="general_result" dataDxfId="521"/>
    <tableColumn id="8" xr3:uid="{00000000-0010-0000-2300-000008000000}" name="card_number" dataDxfId="520"/>
    <tableColumn id="9" xr3:uid="{00000000-0010-0000-2300-000009000000}" name="main_contract_bank_id" dataDxfId="519"/>
    <tableColumn id="10" xr3:uid="{00000000-0010-0000-2300-00000A000000}" name="main_contract_id" dataDxfId="518"/>
    <tableColumn id="11" xr3:uid="{00000000-0010-0000-2300-00000B000000}" name="beneficiary_order_number" dataDxfId="517"/>
    <tableColumn id="12" xr3:uid="{00000000-0010-0000-2300-00000C000000}" name="card_activation_date" dataDxfId="516"/>
    <tableColumn id="13" xr3:uid="{00000000-0010-0000-2300-00000D000000}" name="card_expiration_date" dataDxfId="515"/>
    <tableColumn id="14" xr3:uid="{00000000-0010-0000-2300-00000E000000}" name="daily_atm_limit" dataDxfId="514"/>
    <tableColumn id="15" xr3:uid="{00000000-0010-0000-2300-00000F000000}" name="daily_purchase_limit" dataDxfId="513"/>
    <tableColumn id="16" xr3:uid="{00000000-0010-0000-2300-000010000000}" name="card_status_code" dataDxfId="512"/>
    <tableColumn id="17" xr3:uid="{00000000-0010-0000-2300-000011000000}" name="data_date_part" dataDxfId="511"/>
    <tableColumn id="18" xr3:uid="{00000000-0010-0000-2300-000012000000}" name="data_timestamp_part" dataDxfId="510"/>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09" dataDxfId="508" headerRowBorderDxfId="506" tableBorderDxfId="507">
  <autoFilter ref="B29:F30" xr:uid="{00000000-0009-0000-0100-000025000000}"/>
  <tableColumns count="5">
    <tableColumn id="1" xr3:uid="{00000000-0010-0000-2400-000001000000}" name="Test ID" dataDxfId="505"/>
    <tableColumn id="2" xr3:uid="{00000000-0010-0000-2400-000002000000}" name="Field" dataDxfId="504"/>
    <tableColumn id="3" xr3:uid="{00000000-0010-0000-2400-000003000000}" name="Justification" dataDxfId="503"/>
    <tableColumn id="5" xr3:uid="{00000000-0010-0000-2400-000005000000}" name="Number of Occurences" dataDxfId="502"/>
    <tableColumn id="4" xr3:uid="{00000000-0010-0000-2400-000004000000}" name="Justification State" dataDxfId="501"/>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0" dataDxfId="499">
  <autoFilter ref="B2:U21" xr:uid="{00000000-0009-0000-0100-000022000000}"/>
  <tableColumns count="20">
    <tableColumn id="1" xr3:uid="{00000000-0010-0000-2500-000001000000}" name="case_test" dataDxfId="498"/>
    <tableColumn id="2" xr3:uid="{00000000-0010-0000-2500-000002000000}" name="test_id" dataDxfId="497"/>
    <tableColumn id="3" xr3:uid="{00000000-0010-0000-2500-000003000000}" name="test_timestamp" dataDxfId="496"/>
    <tableColumn id="4" xr3:uid="{00000000-0010-0000-2500-000004000000}" name="query_driver_data_date_part" dataDxfId="495"/>
    <tableColumn id="5" xr3:uid="{00000000-0010-0000-2500-000005000000}" name="test_number" dataDxfId="494"/>
    <tableColumn id="6" xr3:uid="{00000000-0010-0000-2500-000006000000}" name="score" dataDxfId="493"/>
    <tableColumn id="7" xr3:uid="{00000000-0010-0000-2500-000007000000}" name="general_result" dataDxfId="492"/>
    <tableColumn id="8" xr3:uid="{00000000-0010-0000-2500-000008000000}" name="bank_id" dataDxfId="491"/>
    <tableColumn id="9" xr3:uid="{00000000-0010-0000-2500-000009000000}" name="card_account_id" dataDxfId="490"/>
    <tableColumn id="10" xr3:uid="{00000000-0010-0000-2500-00000A000000}" name="product_family_id" dataDxfId="489"/>
    <tableColumn id="11" xr3:uid="{00000000-0010-0000-2500-00000B000000}" name="product_id" dataDxfId="488"/>
    <tableColumn id="12" xr3:uid="{00000000-0010-0000-2500-00000C000000}" name="subproduct_id" dataDxfId="487"/>
    <tableColumn id="13" xr3:uid="{00000000-0010-0000-2500-00000D000000}" name="main_current_account_bank_id" dataDxfId="486"/>
    <tableColumn id="14" xr3:uid="{00000000-0010-0000-2500-00000E000000}" name="main_current_account_contract_id" dataDxfId="485"/>
    <tableColumn id="15" xr3:uid="{00000000-0010-0000-2500-00000F000000}" name="opening_date" dataDxfId="484"/>
    <tableColumn id="16" xr3:uid="{00000000-0010-0000-2500-000010000000}" name="current_maturity_date" dataDxfId="483"/>
    <tableColumn id="17" xr3:uid="{00000000-0010-0000-2500-000011000000}" name="currency_code" dataDxfId="482"/>
    <tableColumn id="18" xr3:uid="{00000000-0010-0000-2500-000012000000}" name="card_account_status_code" dataDxfId="481"/>
    <tableColumn id="19" xr3:uid="{00000000-0010-0000-2500-000013000000}" name="data_date_part" dataDxfId="480"/>
    <tableColumn id="20" xr3:uid="{00000000-0010-0000-2500-000014000000}" name="data_timestamp_part" dataDxfId="479"/>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8" dataDxfId="477" headerRowBorderDxfId="475" tableBorderDxfId="476">
  <autoFilter ref="B29:F30" xr:uid="{00000000-0009-0000-0100-000023000000}"/>
  <tableColumns count="5">
    <tableColumn id="1" xr3:uid="{00000000-0010-0000-2600-000001000000}" name="Test ID" dataDxfId="474"/>
    <tableColumn id="2" xr3:uid="{00000000-0010-0000-2600-000002000000}" name="Field" dataDxfId="473"/>
    <tableColumn id="3" xr3:uid="{00000000-0010-0000-2600-000003000000}" name="Justification" dataDxfId="472"/>
    <tableColumn id="5" xr3:uid="{00000000-0010-0000-2600-000005000000}" name="Number of Occurences" dataDxfId="471"/>
    <tableColumn id="4" xr3:uid="{00000000-0010-0000-2600-000004000000}" name="Justification State" dataDxfId="470"/>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69" dataDxfId="468">
  <autoFilter ref="B2:W21" xr:uid="{00000000-0009-0000-0100-00002A000000}"/>
  <tableColumns count="22">
    <tableColumn id="1" xr3:uid="{00000000-0010-0000-2700-000001000000}" name="case_test" dataDxfId="467"/>
    <tableColumn id="2" xr3:uid="{00000000-0010-0000-2700-000002000000}" name="test_id" dataDxfId="466"/>
    <tableColumn id="3" xr3:uid="{00000000-0010-0000-2700-000003000000}" name="test_timestamp" dataDxfId="465"/>
    <tableColumn id="4" xr3:uid="{00000000-0010-0000-2700-000004000000}" name="query_driver_data_date_part" dataDxfId="464"/>
    <tableColumn id="5" xr3:uid="{00000000-0010-0000-2700-000005000000}" name="test_number" dataDxfId="463"/>
    <tableColumn id="6" xr3:uid="{00000000-0010-0000-2700-000006000000}" name="score" dataDxfId="462"/>
    <tableColumn id="7" xr3:uid="{00000000-0010-0000-2700-000007000000}" name="general_result" dataDxfId="461"/>
    <tableColumn id="8" xr3:uid="{00000000-0010-0000-2700-000008000000}" name="bank_id" dataDxfId="460"/>
    <tableColumn id="9" xr3:uid="{00000000-0010-0000-2700-000009000000}" name="contract_id" dataDxfId="459"/>
    <tableColumn id="10" xr3:uid="{00000000-0010-0000-2700-00000A000000}" name="product_family_id" dataDxfId="458"/>
    <tableColumn id="11" xr3:uid="{00000000-0010-0000-2700-00000B000000}" name="product_id" dataDxfId="457"/>
    <tableColumn id="12" xr3:uid="{00000000-0010-0000-2700-00000C000000}" name="subproduct_id" dataDxfId="456"/>
    <tableColumn id="13" xr3:uid="{00000000-0010-0000-2700-00000D000000}" name="main_current_account_bank_id" dataDxfId="455"/>
    <tableColumn id="14" xr3:uid="{00000000-0010-0000-2700-00000E000000}" name="main_current_account_contract_id" dataDxfId="454"/>
    <tableColumn id="15" xr3:uid="{00000000-0010-0000-2700-00000F000000}" name="opening_date" dataDxfId="453"/>
    <tableColumn id="16" xr3:uid="{00000000-0010-0000-2700-000010000000}" name="current_maturity_date" dataDxfId="452"/>
    <tableColumn id="17" xr3:uid="{00000000-0010-0000-2700-000011000000}" name="currency_code" dataDxfId="451"/>
    <tableColumn id="19" xr3:uid="{00000000-0010-0000-2700-000013000000}" name="contract_status_code" dataDxfId="450"/>
    <tableColumn id="20" xr3:uid="{00000000-0010-0000-2700-000014000000}" name="contract_opening_channel_code" dataDxfId="449"/>
    <tableColumn id="21" xr3:uid="{00000000-0010-0000-2700-000015000000}" name="source_code" dataDxfId="448"/>
    <tableColumn id="22" xr3:uid="{00000000-0010-0000-2700-000016000000}" name="data_date_part" dataDxfId="447"/>
    <tableColumn id="23" xr3:uid="{00000000-0010-0000-2700-000017000000}" name="data_timestamp_part" dataDxfId="446"/>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5" headerRowBorderDxfId="443" tableBorderDxfId="444">
  <autoFilter ref="B29:F30" xr:uid="{00000000-0009-0000-0100-00002B000000}"/>
  <tableColumns count="5">
    <tableColumn id="1" xr3:uid="{00000000-0010-0000-2800-000001000000}" name="Test ID" dataDxfId="442"/>
    <tableColumn id="2" xr3:uid="{00000000-0010-0000-2800-000002000000}" name="Field" dataDxfId="441"/>
    <tableColumn id="3" xr3:uid="{00000000-0010-0000-2800-000003000000}" name="Justification" dataDxfId="440"/>
    <tableColumn id="5" xr3:uid="{00000000-0010-0000-2800-000005000000}" name="Number of Occurences" dataDxfId="439"/>
    <tableColumn id="4" xr3:uid="{00000000-0010-0000-2800-000004000000}" name="Justification State" dataDxfId="438"/>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7" dataDxfId="436">
  <autoFilter ref="B2:AY21" xr:uid="{00000000-0009-0000-0100-000028000000}"/>
  <tableColumns count="50">
    <tableColumn id="1" xr3:uid="{00000000-0010-0000-2900-000001000000}" name="case_test" dataDxfId="435"/>
    <tableColumn id="2" xr3:uid="{00000000-0010-0000-2900-000002000000}" name="test_id" dataDxfId="434"/>
    <tableColumn id="3" xr3:uid="{00000000-0010-0000-2900-000003000000}" name="test_timestamp" dataDxfId="433"/>
    <tableColumn id="4" xr3:uid="{00000000-0010-0000-2900-000004000000}" name="query_driver_data_date_part" dataDxfId="432"/>
    <tableColumn id="5" xr3:uid="{00000000-0010-0000-2900-000005000000}" name="test_number" dataDxfId="431"/>
    <tableColumn id="6" xr3:uid="{00000000-0010-0000-2900-000006000000}" name="score" dataDxfId="430"/>
    <tableColumn id="7" xr3:uid="{00000000-0010-0000-2900-000007000000}" name="general_result" dataDxfId="429"/>
    <tableColumn id="8" xr3:uid="{00000000-0010-0000-2900-000008000000}" name="bank_id" dataDxfId="428"/>
    <tableColumn id="9" xr3:uid="{00000000-0010-0000-2900-000009000000}" name="contract_id" dataDxfId="427"/>
    <tableColumn id="10" xr3:uid="{00000000-0010-0000-2900-00000A000000}" name="product_family_id" dataDxfId="426"/>
    <tableColumn id="11" xr3:uid="{00000000-0010-0000-2900-00000B000000}" name="product_id" dataDxfId="425"/>
    <tableColumn id="12" xr3:uid="{00000000-0010-0000-2900-00000C000000}" name="subproduct_id" dataDxfId="424"/>
    <tableColumn id="13" xr3:uid="{00000000-0010-0000-2900-00000D000000}" name="main_current_account_bank_id" dataDxfId="423"/>
    <tableColumn id="14" xr3:uid="{00000000-0010-0000-2900-00000E000000}" name="main_current_account_contract_id" dataDxfId="422"/>
    <tableColumn id="15" xr3:uid="{00000000-0010-0000-2900-00000F000000}" name="main_card_account_bank_id" dataDxfId="421"/>
    <tableColumn id="16" xr3:uid="{00000000-0010-0000-2900-000010000000}" name="main_card_account_contract_id" dataDxfId="420"/>
    <tableColumn id="17" xr3:uid="{00000000-0010-0000-2900-000011000000}" name="opening_date" dataDxfId="419"/>
    <tableColumn id="18" xr3:uid="{00000000-0010-0000-2900-000012000000}" name="current_maturity_date" dataDxfId="418"/>
    <tableColumn id="19" xr3:uid="{00000000-0010-0000-2900-000013000000}" name="currency_code" dataDxfId="417"/>
    <tableColumn id="20" xr3:uid="{00000000-0010-0000-2900-000014000000}" name="litigation_indicator" dataDxfId="416"/>
    <tableColumn id="21" xr3:uid="{00000000-0010-0000-2900-000015000000}" name="repayment_type_code" dataDxfId="415"/>
    <tableColumn id="22" xr3:uid="{00000000-0010-0000-2900-000016000000}" name="fixed_repayment_amount" dataDxfId="414"/>
    <tableColumn id="23" xr3:uid="{00000000-0010-0000-2900-000017000000}" name="repayment_rate" dataDxfId="413"/>
    <tableColumn id="24" xr3:uid="{00000000-0010-0000-2900-000018000000}" name="total_number_installments" dataDxfId="412"/>
    <tableColumn id="25" xr3:uid="{00000000-0010-0000-2900-000019000000}" name="initial_authorized_amount" dataDxfId="411"/>
    <tableColumn id="26" xr3:uid="{00000000-0010-0000-2900-00001A000000}" name="current_authorized_amount" dataDxfId="410"/>
    <tableColumn id="27" xr3:uid="{00000000-0010-0000-2900-00001B000000}" name="current_available_amount" dataDxfId="409"/>
    <tableColumn id="28" xr3:uid="{00000000-0010-0000-2900-00001C000000}" name="current_outstanding_balance" dataDxfId="408"/>
    <tableColumn id="29" xr3:uid="{00000000-0010-0000-2900-00001D000000}" name="cur_outsng_principal_balance" dataDxfId="407"/>
    <tableColumn id="30" xr3:uid="{00000000-0010-0000-2900-00001E000000}" name="current_overdue_principal_bal" dataDxfId="406"/>
    <tableColumn id="31" xr3:uid="{00000000-0010-0000-2900-00001F000000}" name="cur_debt_litigation_princip_bal" dataDxfId="405"/>
    <tableColumn id="32" xr3:uid="{00000000-0010-0000-2900-000020000000}" name="next_regular_amort_due_date" dataDxfId="404"/>
    <tableColumn id="33" xr3:uid="{00000000-0010-0000-2900-000021000000}" name="next_regular_amort_principal_amt" dataDxfId="403"/>
    <tableColumn id="34" xr3:uid="{00000000-0010-0000-2900-000022000000}" name="last_settled_amort_due_date" dataDxfId="402"/>
    <tableColumn id="35" xr3:uid="{00000000-0010-0000-2900-000023000000}" name="last_settled_amort_princip_amt" dataDxfId="401"/>
    <tableColumn id="36" xr3:uid="{00000000-0010-0000-2900-000024000000}" name="last_early_amort_pay_date" dataDxfId="400"/>
    <tableColumn id="37" xr3:uid="{00000000-0010-0000-2900-000025000000}" name="last_early_amort_principal_amt" dataDxfId="399"/>
    <tableColumn id="38" xr3:uid="{00000000-0010-0000-2900-000026000000}" name="last_regular_amort_pay_date" dataDxfId="398"/>
    <tableColumn id="39" xr3:uid="{00000000-0010-0000-2900-000027000000}" name="last_regular_amort_princip_amt" dataDxfId="397"/>
    <tableColumn id="40" xr3:uid="{00000000-0010-0000-2900-000028000000}" name="last_regular_amort_install_num" dataDxfId="396"/>
    <tableColumn id="41" xr3:uid="{00000000-0010-0000-2900-000029000000}" name="init_active_rate_type_code" dataDxfId="395"/>
    <tableColumn id="42" xr3:uid="{00000000-0010-0000-2900-00002A000000}" name="initial_active_interest_rate" dataDxfId="394"/>
    <tableColumn id="43" xr3:uid="{00000000-0010-0000-2900-00002B000000}" name="cur_active_rate_type_code" dataDxfId="393"/>
    <tableColumn id="44" xr3:uid="{00000000-0010-0000-2900-00002C000000}" name="current_active_interest_rate" dataDxfId="392"/>
    <tableColumn id="45" xr3:uid="{00000000-0010-0000-2900-00002D000000}" name="revolving_plan_indicator" dataDxfId="391"/>
    <tableColumn id="46" xr3:uid="{00000000-0010-0000-2900-00002E000000}" name="contract_status_code" dataDxfId="390"/>
    <tableColumn id="47" xr3:uid="{00000000-0010-0000-2900-00002F000000}" name="contract_opening_channel_code" dataDxfId="389"/>
    <tableColumn id="48" xr3:uid="{00000000-0010-0000-2900-000030000000}" name="source_code" dataDxfId="388"/>
    <tableColumn id="49" xr3:uid="{00000000-0010-0000-2900-000031000000}" name="data_date_part" dataDxfId="387"/>
    <tableColumn id="50" xr3:uid="{00000000-0010-0000-2900-000032000000}" name="data_timestamp_part" dataDxfId="3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5" dataDxfId="384" headerRowBorderDxfId="382" tableBorderDxfId="383">
  <autoFilter ref="B29:F46" xr:uid="{00000000-0009-0000-0100-000029000000}"/>
  <tableColumns count="5">
    <tableColumn id="1" xr3:uid="{00000000-0010-0000-2A00-000001000000}" name="Test ID" dataDxfId="381"/>
    <tableColumn id="2" xr3:uid="{00000000-0010-0000-2A00-000002000000}" name="Field" dataDxfId="380"/>
    <tableColumn id="3" xr3:uid="{00000000-0010-0000-2A00-000003000000}" name="Justification" dataDxfId="379"/>
    <tableColumn id="5" xr3:uid="{00000000-0010-0000-2A00-000005000000}" name="Number of Occurences" dataDxfId="378"/>
    <tableColumn id="4" xr3:uid="{00000000-0010-0000-2A00-000004000000}" name="Justification State" dataDxfId="3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6" dataDxfId="375">
  <autoFilter ref="B2:BB23" xr:uid="{00000000-0009-0000-0100-00002C000000}"/>
  <tableColumns count="53">
    <tableColumn id="1" xr3:uid="{00000000-0010-0000-2B00-000001000000}" name="case_test" dataDxfId="374"/>
    <tableColumn id="2" xr3:uid="{00000000-0010-0000-2B00-000002000000}" name="test_id" dataDxfId="373"/>
    <tableColumn id="3" xr3:uid="{00000000-0010-0000-2B00-000003000000}" name="test_timestamp" dataDxfId="372"/>
    <tableColumn id="4" xr3:uid="{00000000-0010-0000-2B00-000004000000}" name="query_driver_data_date_part **" dataDxfId="371"/>
    <tableColumn id="5" xr3:uid="{00000000-0010-0000-2B00-000005000000}" name="test_number" dataDxfId="370"/>
    <tableColumn id="6" xr3:uid="{00000000-0010-0000-2B00-000006000000}" name="score" dataDxfId="369"/>
    <tableColumn id="7" xr3:uid="{00000000-0010-0000-2B00-000007000000}" name="general_result" dataDxfId="368"/>
    <tableColumn id="8" xr3:uid="{00000000-0010-0000-2B00-000008000000}" name="bank_id" dataDxfId="367"/>
    <tableColumn id="9" xr3:uid="{00000000-0010-0000-2B00-000009000000}" name="contract_id" dataDxfId="366"/>
    <tableColumn id="10" xr3:uid="{00000000-0010-0000-2B00-00000A000000}" name="product_family_id" dataDxfId="365"/>
    <tableColumn id="11" xr3:uid="{00000000-0010-0000-2B00-00000B000000}" name="product_id" dataDxfId="364"/>
    <tableColumn id="12" xr3:uid="{00000000-0010-0000-2B00-00000C000000}" name="subproduct_id" dataDxfId="363"/>
    <tableColumn id="13" xr3:uid="{00000000-0010-0000-2B00-00000D000000}" name="main_current_account_bank_id" dataDxfId="362"/>
    <tableColumn id="14" xr3:uid="{00000000-0010-0000-2B00-00000E000000}" name="main_current_account_contract_id" dataDxfId="361"/>
    <tableColumn id="15" xr3:uid="{00000000-0010-0000-2B00-00000F000000}" name="opening_date" dataDxfId="360"/>
    <tableColumn id="16" xr3:uid="{00000000-0010-0000-2B00-000010000000}" name="current_maturity_date" dataDxfId="359"/>
    <tableColumn id="17" xr3:uid="{00000000-0010-0000-2B00-000011000000}" name="currency_code" dataDxfId="358"/>
    <tableColumn id="18" xr3:uid="{00000000-0010-0000-2B00-000012000000}" name="litigation_indicator" dataDxfId="357"/>
    <tableColumn id="19" xr3:uid="{00000000-0010-0000-2B00-000013000000}" name="total_num_past_due_installments" dataDxfId="356"/>
    <tableColumn id="20" xr3:uid="{00000000-0010-0000-2B00-000014000000}" name="current_asked_amount" dataDxfId="355"/>
    <tableColumn id="21" xr3:uid="{00000000-0010-0000-2B00-000015000000}" name="current_authorized_amount" dataDxfId="354"/>
    <tableColumn id="22" xr3:uid="{00000000-0010-0000-2B00-000016000000}" name="cur_advance_principal_amt" dataDxfId="353"/>
    <tableColumn id="23" xr3:uid="{00000000-0010-0000-2B00-000017000000}" name="cur_outsng_principal_balance" dataDxfId="352"/>
    <tableColumn id="24" xr3:uid="{00000000-0010-0000-2B00-000018000000}" name="current_overdue_principal_bal" dataDxfId="351"/>
    <tableColumn id="25" xr3:uid="{00000000-0010-0000-2B00-000019000000}" name="cur_debt_litigation_princip_bal" dataDxfId="350"/>
    <tableColumn id="26" xr3:uid="{00000000-0010-0000-2B00-00001A000000}" name="next_regular_amort_due_date" dataDxfId="349"/>
    <tableColumn id="27" xr3:uid="{00000000-0010-0000-2B00-00001B000000}" name="next_regular_amort_principal_amt" dataDxfId="348"/>
    <tableColumn id="28" xr3:uid="{00000000-0010-0000-2B00-00001C000000}" name="nxt_subsd_reg_amort_princip_amt" dataDxfId="347"/>
    <tableColumn id="29" xr3:uid="{00000000-0010-0000-2B00-00001D000000}" name="last_settled_amort_due_date" dataDxfId="346"/>
    <tableColumn id="30" xr3:uid="{00000000-0010-0000-2B00-00001E000000}" name="last_settled_amort_princip_amt" dataDxfId="345"/>
    <tableColumn id="31" xr3:uid="{00000000-0010-0000-2B00-00001F000000}" name="last_early_amort_pay_date" dataDxfId="344"/>
    <tableColumn id="32" xr3:uid="{00000000-0010-0000-2B00-000020000000}" name="last_early_amort_principal_amt" dataDxfId="343"/>
    <tableColumn id="33" xr3:uid="{00000000-0010-0000-2B00-000021000000}" name="last_regular_amort_pay_date" dataDxfId="342"/>
    <tableColumn id="34" xr3:uid="{00000000-0010-0000-2B00-000022000000}" name="last_regular_amort_princip_amt" dataDxfId="341"/>
    <tableColumn id="35" xr3:uid="{00000000-0010-0000-2B00-000023000000}" name="last_regular_amort_install_num" dataDxfId="340"/>
    <tableColumn id="36" xr3:uid="{00000000-0010-0000-2B00-000024000000}" name="subsidized_rate_type_code" dataDxfId="339"/>
    <tableColumn id="37" xr3:uid="{00000000-0010-0000-2B00-000025000000}" name="initial_active_rate_type_code" dataDxfId="338"/>
    <tableColumn id="38" xr3:uid="{00000000-0010-0000-2B00-000026000000}" name="initial_active_indexing" dataDxfId="337"/>
    <tableColumn id="39" xr3:uid="{00000000-0010-0000-2B00-000027000000}" name="initial_active_index_rate" dataDxfId="336"/>
    <tableColumn id="40" xr3:uid="{00000000-0010-0000-2B00-000028000000}" name="initial_active_spread" dataDxfId="335"/>
    <tableColumn id="41" xr3:uid="{00000000-0010-0000-2B00-000029000000}" name="initial_active_interest_rate" dataDxfId="334"/>
    <tableColumn id="42" xr3:uid="{00000000-0010-0000-2B00-00002A000000}" name="init_active_subsid_interest_rate" dataDxfId="333"/>
    <tableColumn id="43" xr3:uid="{00000000-0010-0000-2B00-00002B000000}" name="cur_active_rate_type_code" dataDxfId="332"/>
    <tableColumn id="44" xr3:uid="{00000000-0010-0000-2B00-00002C000000}" name="current_active_indexing" dataDxfId="331"/>
    <tableColumn id="45" xr3:uid="{00000000-0010-0000-2B00-00002D000000}" name="current_active_index_rate" dataDxfId="330"/>
    <tableColumn id="46" xr3:uid="{00000000-0010-0000-2B00-00002E000000}" name="current_active_spread" dataDxfId="329"/>
    <tableColumn id="47" xr3:uid="{00000000-0010-0000-2B00-00002F000000}" name="current_active_interest_rate" dataDxfId="328"/>
    <tableColumn id="48" xr3:uid="{00000000-0010-0000-2B00-000030000000}" name="cur_active_subsid_interest_rate" dataDxfId="327"/>
    <tableColumn id="49" xr3:uid="{00000000-0010-0000-2B00-000031000000}" name="contract_status_code" dataDxfId="326"/>
    <tableColumn id="50" xr3:uid="{00000000-0010-0000-2B00-000032000000}" name="contract_opening_channel_code" dataDxfId="325"/>
    <tableColumn id="51" xr3:uid="{00000000-0010-0000-2B00-000033000000}" name="source_code" dataDxfId="324"/>
    <tableColumn id="52" xr3:uid="{00000000-0010-0000-2B00-000034000000}" name="data_date_part" dataDxfId="323"/>
    <tableColumn id="53" xr3:uid="{00000000-0010-0000-2B00-000035000000}" name="data_timestamp_part" dataDxfId="322"/>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1" dataDxfId="320" headerRowBorderDxfId="318" tableBorderDxfId="319">
  <autoFilter ref="B31:F56" xr:uid="{00000000-0009-0000-0100-00002D000000}"/>
  <tableColumns count="5">
    <tableColumn id="1" xr3:uid="{00000000-0010-0000-2C00-000001000000}" name="Test ID" dataDxfId="317"/>
    <tableColumn id="2" xr3:uid="{00000000-0010-0000-2C00-000002000000}" name="Field" dataDxfId="316"/>
    <tableColumn id="3" xr3:uid="{00000000-0010-0000-2C00-000003000000}" name="Justification" dataDxfId="315"/>
    <tableColumn id="5" xr3:uid="{00000000-0010-0000-2C00-000005000000}" name="Number of Occurences" dataDxfId="314"/>
    <tableColumn id="4" xr3:uid="{00000000-0010-0000-2C00-000004000000}" name="Justification State" dataDxfId="313"/>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2" headerRowBorderDxfId="310"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09"/>
    <tableColumn id="2" xr3:uid="{00000000-0010-0000-2D00-000002000000}" name="Field" dataDxfId="308"/>
    <tableColumn id="3" xr3:uid="{00000000-0010-0000-2D00-000003000000}" name="Justification" dataDxfId="307"/>
    <tableColumn id="4" xr3:uid="{00000000-0010-0000-2D00-000004000000}" name="Number of Occurences" dataDxfId="306"/>
    <tableColumn id="5" xr3:uid="{00000000-0010-0000-2D00-000005000000}" name="Justification State" dataDxfId="305"/>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4" dataDxfId="303">
  <autoFilter ref="B2:AJ23" xr:uid="{00000000-0009-0000-0100-00002F000000}"/>
  <tableColumns count="35">
    <tableColumn id="1" xr3:uid="{00000000-0010-0000-2E00-000001000000}" name="Case_Test" dataDxfId="302"/>
    <tableColumn id="2" xr3:uid="{00000000-0010-0000-2E00-000002000000}" name="test_id" dataDxfId="301"/>
    <tableColumn id="3" xr3:uid="{00000000-0010-0000-2E00-000003000000}" name="test_timestamp" dataDxfId="300"/>
    <tableColumn id="4" xr3:uid="{00000000-0010-0000-2E00-000004000000}" name="query_driver_data_date_part" dataDxfId="299"/>
    <tableColumn id="5" xr3:uid="{00000000-0010-0000-2E00-000005000000}" name="test_number" dataDxfId="298"/>
    <tableColumn id="6" xr3:uid="{00000000-0010-0000-2E00-000006000000}" name="score" dataDxfId="297"/>
    <tableColumn id="7" xr3:uid="{00000000-0010-0000-2E00-000007000000}" name="general_result" dataDxfId="296"/>
    <tableColumn id="8" xr3:uid="{00000000-0010-0000-2E00-000008000000}" name="bank_id" dataDxfId="295"/>
    <tableColumn id="9" xr3:uid="{00000000-0010-0000-2E00-000009000000}" name="contract_id" dataDxfId="294"/>
    <tableColumn id="10" xr3:uid="{00000000-0010-0000-2E00-00000A000000}" name="product_family_id" dataDxfId="293"/>
    <tableColumn id="11" xr3:uid="{00000000-0010-0000-2E00-00000B000000}" name="product_id" dataDxfId="292"/>
    <tableColumn id="12" xr3:uid="{00000000-0010-0000-2E00-00000C000000}" name="subproduct_id" dataDxfId="291"/>
    <tableColumn id="13" xr3:uid="{00000000-0010-0000-2E00-00000D000000}" name="main_current_account_bank_id" dataDxfId="290"/>
    <tableColumn id="14" xr3:uid="{00000000-0010-0000-2E00-00000E000000}" name="main_current_account_contract_id" dataDxfId="289"/>
    <tableColumn id="15" xr3:uid="{00000000-0010-0000-2E00-00000F000000}" name="opening_date" dataDxfId="288"/>
    <tableColumn id="16" xr3:uid="{00000000-0010-0000-2E00-000010000000}" name="current_maturity_date" dataDxfId="287"/>
    <tableColumn id="17" xr3:uid="{00000000-0010-0000-2E00-000011000000}" name="currency_code" dataDxfId="286"/>
    <tableColumn id="18" xr3:uid="{00000000-0010-0000-2E00-000012000000}" name="initial_deposit_amount" dataDxfId="285"/>
    <tableColumn id="19" xr3:uid="{00000000-0010-0000-2E00-000013000000}" name="current_available_balance" dataDxfId="284"/>
    <tableColumn id="20" xr3:uid="{00000000-0010-0000-2E00-000014000000}" name="early_withdraw_penalty_fee" dataDxfId="283"/>
    <tableColumn id="21" xr3:uid="{00000000-0010-0000-2E00-000015000000}" name="init_passive_rate_type_code" dataDxfId="282"/>
    <tableColumn id="22" xr3:uid="{00000000-0010-0000-2E00-000016000000}" name="initial_passive_indexing" dataDxfId="281"/>
    <tableColumn id="23" xr3:uid="{00000000-0010-0000-2E00-000017000000}" name="initial_passive_index_rate" dataDxfId="280"/>
    <tableColumn id="24" xr3:uid="{00000000-0010-0000-2E00-000018000000}" name="initial_passive_spread" dataDxfId="279"/>
    <tableColumn id="25" xr3:uid="{00000000-0010-0000-2E00-000019000000}" name="initial_passive_interest_rate" dataDxfId="278"/>
    <tableColumn id="26" xr3:uid="{00000000-0010-0000-2E00-00001A000000}" name="cur_passive_rate_type_code" dataDxfId="277"/>
    <tableColumn id="27" xr3:uid="{00000000-0010-0000-2E00-00001B000000}" name="current_passive_indexing" dataDxfId="276"/>
    <tableColumn id="28" xr3:uid="{00000000-0010-0000-2E00-00001C000000}" name="current_passive_index_rate" dataDxfId="275"/>
    <tableColumn id="29" xr3:uid="{00000000-0010-0000-2E00-00001D000000}" name="current_passive_spread" dataDxfId="274"/>
    <tableColumn id="30" xr3:uid="{00000000-0010-0000-2E00-00001E000000}" name="current_passive_interest_rate" dataDxfId="273"/>
    <tableColumn id="31" xr3:uid="{00000000-0010-0000-2E00-00001F000000}" name="contract_status_code" dataDxfId="272"/>
    <tableColumn id="32" xr3:uid="{00000000-0010-0000-2E00-000020000000}" name="contract_opening_channel_code" dataDxfId="271"/>
    <tableColumn id="33" xr3:uid="{00000000-0010-0000-2E00-000021000000}" name="source_code" dataDxfId="270"/>
    <tableColumn id="34" xr3:uid="{00000000-0010-0000-2E00-000022000000}" name="data_date_part" dataDxfId="269"/>
    <tableColumn id="35" xr3:uid="{00000000-0010-0000-2E00-000023000000}" name="data_timestamp_part" dataDxfId="268"/>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7" headerRowBorderDxfId="265"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4"/>
    <tableColumn id="2" xr3:uid="{00000000-0010-0000-2F00-000002000000}" name="Field" dataDxfId="263"/>
    <tableColumn id="3" xr3:uid="{00000000-0010-0000-2F00-000003000000}" name="Justification" dataDxfId="262"/>
    <tableColumn id="4" xr3:uid="{00000000-0010-0000-2F00-000004000000}" name="Number of Occurences" dataDxfId="261"/>
    <tableColumn id="5" xr3:uid="{00000000-0010-0000-2F00-000005000000}" name="Justification State" dataDxfId="260"/>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59" dataDxfId="258">
  <autoFilter ref="B2:AJ23" xr:uid="{00000000-0009-0000-0100-000039000000}"/>
  <tableColumns count="35">
    <tableColumn id="1" xr3:uid="{00000000-0010-0000-3000-000001000000}" name="Case_Test" dataDxfId="257"/>
    <tableColumn id="2" xr3:uid="{00000000-0010-0000-3000-000002000000}" name="test_id" dataDxfId="256"/>
    <tableColumn id="3" xr3:uid="{00000000-0010-0000-3000-000003000000}" name="test_timestamp" dataDxfId="255"/>
    <tableColumn id="4" xr3:uid="{00000000-0010-0000-3000-000004000000}" name="query_driver_data_date_part" dataDxfId="254"/>
    <tableColumn id="5" xr3:uid="{00000000-0010-0000-3000-000005000000}" name="test_number" dataDxfId="253"/>
    <tableColumn id="6" xr3:uid="{00000000-0010-0000-3000-000006000000}" name="score" dataDxfId="252"/>
    <tableColumn id="7" xr3:uid="{00000000-0010-0000-3000-000007000000}" name="general_result" dataDxfId="251"/>
    <tableColumn id="8" xr3:uid="{00000000-0010-0000-3000-000008000000}" name="bank_id" dataDxfId="250"/>
    <tableColumn id="9" xr3:uid="{00000000-0010-0000-3000-000009000000}" name="contract_id" dataDxfId="249"/>
    <tableColumn id="10" xr3:uid="{00000000-0010-0000-3000-00000A000000}" name="product_family_id" dataDxfId="248"/>
    <tableColumn id="11" xr3:uid="{00000000-0010-0000-3000-00000B000000}" name="product_id" dataDxfId="247"/>
    <tableColumn id="12" xr3:uid="{00000000-0010-0000-3000-00000C000000}" name="subproduct_id" dataDxfId="246"/>
    <tableColumn id="13" xr3:uid="{00000000-0010-0000-3000-00000D000000}" name="opening_date" dataDxfId="245"/>
    <tableColumn id="14" xr3:uid="{00000000-0010-0000-3000-00000E000000}" name="current_maturity_date" dataDxfId="244"/>
    <tableColumn id="15" xr3:uid="{00000000-0010-0000-3000-00000F000000}" name="currency_code" dataDxfId="243"/>
    <tableColumn id="16" xr3:uid="{00000000-0010-0000-3000-000010000000}" name="litigation_indicator" dataDxfId="242"/>
    <tableColumn id="17" xr3:uid="{00000000-0010-0000-3000-000011000000}" name="current_ledger_balance" dataDxfId="241"/>
    <tableColumn id="18" xr3:uid="{00000000-0010-0000-3000-000012000000}" name="current_reserved_balance" dataDxfId="240"/>
    <tableColumn id="19" xr3:uid="{00000000-0010-0000-3000-000013000000}" name="current_available_balance" dataDxfId="239"/>
    <tableColumn id="35" xr3:uid="{00000000-0010-0000-3000-000023000000}" name="cur_debt_litigation_princip_bal" dataDxfId="238"/>
    <tableColumn id="20" xr3:uid="{00000000-0010-0000-3000-000014000000}" name="initial_active_variable_rate_ind" dataDxfId="237"/>
    <tableColumn id="21" xr3:uid="{00000000-0010-0000-3000-000015000000}" name="initial_active_indexing" dataDxfId="236"/>
    <tableColumn id="22" xr3:uid="{00000000-0010-0000-3000-000016000000}" name="initial_active_index_rate" dataDxfId="235"/>
    <tableColumn id="23" xr3:uid="{00000000-0010-0000-3000-000017000000}" name="initial_active_spread" dataDxfId="234"/>
    <tableColumn id="24" xr3:uid="{00000000-0010-0000-3000-000018000000}" name="initial_active_interest_rate" dataDxfId="233"/>
    <tableColumn id="25" xr3:uid="{00000000-0010-0000-3000-000019000000}" name="cur_active_rate_type_code" dataDxfId="232"/>
    <tableColumn id="26" xr3:uid="{00000000-0010-0000-3000-00001A000000}" name="current_active_indexing" dataDxfId="231"/>
    <tableColumn id="27" xr3:uid="{00000000-0010-0000-3000-00001B000000}" name="current_active_index_rate" dataDxfId="230"/>
    <tableColumn id="28" xr3:uid="{00000000-0010-0000-3000-00001C000000}" name="current_active_spread" dataDxfId="229"/>
    <tableColumn id="29" xr3:uid="{00000000-0010-0000-3000-00001D000000}" name="current_active_interest_rate" dataDxfId="228"/>
    <tableColumn id="30" xr3:uid="{00000000-0010-0000-3000-00001E000000}" name="contract_status_code" dataDxfId="227"/>
    <tableColumn id="31" xr3:uid="{00000000-0010-0000-3000-00001F000000}" name="contract_opening_channel_code" dataDxfId="226"/>
    <tableColumn id="32" xr3:uid="{00000000-0010-0000-3000-000020000000}" name="source_code" dataDxfId="225"/>
    <tableColumn id="33" xr3:uid="{00000000-0010-0000-3000-000021000000}" name="data_date_part" dataDxfId="224"/>
    <tableColumn id="34" xr3:uid="{00000000-0010-0000-3000-000022000000}" name="data_timestamp_part" dataDxfId="223"/>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2" headerRowBorderDxfId="220"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19"/>
    <tableColumn id="2" xr3:uid="{00000000-0010-0000-3100-000002000000}" name="Field" dataDxfId="218"/>
    <tableColumn id="3" xr3:uid="{00000000-0010-0000-3100-000003000000}" name="Justification" dataDxfId="217"/>
    <tableColumn id="4" xr3:uid="{00000000-0010-0000-3100-000004000000}" name="Number of Occurences" dataDxfId="216"/>
    <tableColumn id="5" xr3:uid="{00000000-0010-0000-3100-000005000000}" name="Justification State" dataDxfId="215"/>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4" dataDxfId="213">
  <autoFilter ref="B2:AJ23" xr:uid="{00000000-0009-0000-0100-000035000000}"/>
  <tableColumns count="35">
    <tableColumn id="1" xr3:uid="{00000000-0010-0000-3200-000001000000}" name="Case_Test" dataDxfId="212"/>
    <tableColumn id="2" xr3:uid="{00000000-0010-0000-3200-000002000000}" name="test_id" dataDxfId="211"/>
    <tableColumn id="3" xr3:uid="{00000000-0010-0000-3200-000003000000}" name="test_timestamp" dataDxfId="210"/>
    <tableColumn id="4" xr3:uid="{00000000-0010-0000-3200-000004000000}" name="query_driver_data_date_part" dataDxfId="209"/>
    <tableColumn id="5" xr3:uid="{00000000-0010-0000-3200-000005000000}" name="test_number" dataDxfId="208"/>
    <tableColumn id="6" xr3:uid="{00000000-0010-0000-3200-000006000000}" name="score" dataDxfId="207"/>
    <tableColumn id="7" xr3:uid="{00000000-0010-0000-3200-000007000000}" name="general_result" dataDxfId="206"/>
    <tableColumn id="8" xr3:uid="{00000000-0010-0000-3200-000008000000}" name="bank_id" dataDxfId="205"/>
    <tableColumn id="9" xr3:uid="{00000000-0010-0000-3200-000009000000}" name="contract_id" dataDxfId="204"/>
    <tableColumn id="10" xr3:uid="{00000000-0010-0000-3200-00000A000000}" name="product_family_id" dataDxfId="203"/>
    <tableColumn id="11" xr3:uid="{00000000-0010-0000-3200-00000B000000}" name="product_id" dataDxfId="202"/>
    <tableColumn id="12" xr3:uid="{00000000-0010-0000-3200-00000C000000}" name="subproduct_id" dataDxfId="201"/>
    <tableColumn id="13" xr3:uid="{00000000-0010-0000-3200-00000D000000}" name="opening_date" dataDxfId="200"/>
    <tableColumn id="14" xr3:uid="{00000000-0010-0000-3200-00000E000000}" name="current_maturity_date" dataDxfId="199"/>
    <tableColumn id="15" xr3:uid="{00000000-0010-0000-3200-00000F000000}" name="currency_code" dataDxfId="198"/>
    <tableColumn id="16" xr3:uid="{00000000-0010-0000-3200-000010000000}" name="litigation_indicator" dataDxfId="197"/>
    <tableColumn id="17" xr3:uid="{00000000-0010-0000-3200-000011000000}" name="current_ledger_balance" dataDxfId="196"/>
    <tableColumn id="18" xr3:uid="{00000000-0010-0000-3200-000012000000}" name="current_reserved_balance" dataDxfId="195"/>
    <tableColumn id="19" xr3:uid="{00000000-0010-0000-3200-000013000000}" name="current_available_balance" dataDxfId="194"/>
    <tableColumn id="35" xr3:uid="{00000000-0010-0000-3200-000023000000}" name="cur_debt_litigation_princip_bal" dataDxfId="193"/>
    <tableColumn id="20" xr3:uid="{00000000-0010-0000-3200-000014000000}" name="initial_active_variable_rate_ind" dataDxfId="192"/>
    <tableColumn id="21" xr3:uid="{00000000-0010-0000-3200-000015000000}" name="initial_active_indexing" dataDxfId="191"/>
    <tableColumn id="22" xr3:uid="{00000000-0010-0000-3200-000016000000}" name="initial_active_index_rate" dataDxfId="190"/>
    <tableColumn id="23" xr3:uid="{00000000-0010-0000-3200-000017000000}" name="initial_active_spread" dataDxfId="189"/>
    <tableColumn id="24" xr3:uid="{00000000-0010-0000-3200-000018000000}" name="initial_active_interest_rate" dataDxfId="188"/>
    <tableColumn id="25" xr3:uid="{00000000-0010-0000-3200-000019000000}" name="cur_active_rate_type_code" dataDxfId="187"/>
    <tableColumn id="26" xr3:uid="{00000000-0010-0000-3200-00001A000000}" name="current_active_indexing" dataDxfId="186"/>
    <tableColumn id="27" xr3:uid="{00000000-0010-0000-3200-00001B000000}" name="current_active_index_rate" dataDxfId="185"/>
    <tableColumn id="28" xr3:uid="{00000000-0010-0000-3200-00001C000000}" name="current_active_spread" dataDxfId="184"/>
    <tableColumn id="29" xr3:uid="{00000000-0010-0000-3200-00001D000000}" name="current_active_interest_rate" dataDxfId="183"/>
    <tableColumn id="30" xr3:uid="{00000000-0010-0000-3200-00001E000000}" name="contract_status_code" dataDxfId="182"/>
    <tableColumn id="31" xr3:uid="{00000000-0010-0000-3200-00001F000000}" name="contract_opening_channel_code" dataDxfId="181"/>
    <tableColumn id="32" xr3:uid="{00000000-0010-0000-3200-000020000000}" name="source_code" dataDxfId="180"/>
    <tableColumn id="33" xr3:uid="{00000000-0010-0000-3200-000021000000}" name="data_date_part" dataDxfId="179"/>
    <tableColumn id="34" xr3:uid="{00000000-0010-0000-3200-000022000000}" name="data_timestamp_part" dataDxfId="178"/>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7" headerRowBorderDxfId="175"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4"/>
    <tableColumn id="2" xr3:uid="{00000000-0010-0000-3300-000002000000}" name="Field" dataDxfId="173"/>
    <tableColumn id="3" xr3:uid="{00000000-0010-0000-3300-000003000000}" name="Justification" dataDxfId="172"/>
    <tableColumn id="4" xr3:uid="{00000000-0010-0000-3300-000004000000}" name="Number of Occurences" dataDxfId="171"/>
    <tableColumn id="5" xr3:uid="{00000000-0010-0000-3300-000005000000}" name="Justification State" dataDxfId="170"/>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69" dataDxfId="168">
  <autoFilter ref="B2:O23" xr:uid="{00000000-0009-0000-0100-000031000000}"/>
  <tableColumns count="14">
    <tableColumn id="1" xr3:uid="{00000000-0010-0000-3400-000001000000}" name="Case_Test" dataDxfId="167"/>
    <tableColumn id="2" xr3:uid="{00000000-0010-0000-3400-000002000000}" name="test_id" dataDxfId="166"/>
    <tableColumn id="3" xr3:uid="{00000000-0010-0000-3400-000003000000}" name="test_timestamp" dataDxfId="165"/>
    <tableColumn id="4" xr3:uid="{00000000-0010-0000-3400-000004000000}" name="query_driver_data_date_part" dataDxfId="164"/>
    <tableColumn id="5" xr3:uid="{00000000-0010-0000-3400-000005000000}" name="test_number" dataDxfId="163"/>
    <tableColumn id="6" xr3:uid="{00000000-0010-0000-3400-000006000000}" name="score" dataDxfId="162"/>
    <tableColumn id="7" xr3:uid="{00000000-0010-0000-3400-000007000000}" name="general_result" dataDxfId="161"/>
    <tableColumn id="8" xr3:uid="{00000000-0010-0000-3400-000008000000}" name="bank_id" dataDxfId="160"/>
    <tableColumn id="9" xr3:uid="{00000000-0010-0000-3400-000009000000}" name="contract_id" dataDxfId="159"/>
    <tableColumn id="10" xr3:uid="{00000000-0010-0000-3400-00000A000000}" name="product_family_id" dataDxfId="158"/>
    <tableColumn id="11" xr3:uid="{00000000-0010-0000-3400-00000B000000}" name="product_id" dataDxfId="157"/>
    <tableColumn id="12" xr3:uid="{00000000-0010-0000-3400-00000C000000}" name="subproduct_id" dataDxfId="156"/>
    <tableColumn id="13" xr3:uid="{00000000-0010-0000-3400-00000D000000}" name="opening_date" dataDxfId="155"/>
    <tableColumn id="14" xr3:uid="{00000000-0010-0000-3400-00000E000000}" name="current_maturity_date" dataDxfId="154"/>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3" headerRowBorderDxfId="151"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0"/>
    <tableColumn id="2" xr3:uid="{00000000-0010-0000-3500-000002000000}" name="Field" dataDxfId="149"/>
    <tableColumn id="3" xr3:uid="{00000000-0010-0000-3500-000003000000}" name="Justification" dataDxfId="148"/>
    <tableColumn id="4" xr3:uid="{00000000-0010-0000-3500-000004000000}" name="Number of Occurences" dataDxfId="147"/>
    <tableColumn id="5" xr3:uid="{00000000-0010-0000-3500-000005000000}" name="Justification State" dataDxfId="146"/>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5" dataDxfId="144">
  <autoFilter ref="B2:Q21" xr:uid="{00000000-0009-0000-0100-000033000000}"/>
  <tableColumns count="16">
    <tableColumn id="1" xr3:uid="{00000000-0010-0000-3600-000001000000}" name="Case_Test" dataDxfId="143"/>
    <tableColumn id="2" xr3:uid="{00000000-0010-0000-3600-000002000000}" name="test_id" dataDxfId="142"/>
    <tableColumn id="3" xr3:uid="{00000000-0010-0000-3600-000003000000}" name="test_timestamp" dataDxfId="141"/>
    <tableColumn id="4" xr3:uid="{00000000-0010-0000-3600-000004000000}" name="query_driver_data_date_part" dataDxfId="140"/>
    <tableColumn id="5" xr3:uid="{00000000-0010-0000-3600-000005000000}" name="test_number" dataDxfId="139"/>
    <tableColumn id="6" xr3:uid="{00000000-0010-0000-3600-000006000000}" name="score" dataDxfId="138"/>
    <tableColumn id="7" xr3:uid="{00000000-0010-0000-3600-000007000000}" name="general_result" dataDxfId="137"/>
    <tableColumn id="8" xr3:uid="{00000000-0010-0000-3600-000008000000}" name="bank_id" dataDxfId="136"/>
    <tableColumn id="9" xr3:uid="{00000000-0010-0000-3600-000009000000}" name="contract_id" dataDxfId="135"/>
    <tableColumn id="10" xr3:uid="{00000000-0010-0000-3600-00000A000000}" name="order_number" dataDxfId="134"/>
    <tableColumn id="11" xr3:uid="{00000000-0010-0000-3600-00000B000000}" name="transport_imo_id" dataDxfId="133"/>
    <tableColumn id="12" xr3:uid="{00000000-0010-0000-3600-00000C000000}" name="arrival_location_name" dataDxfId="132"/>
    <tableColumn id="13" xr3:uid="{00000000-0010-0000-3600-00000D000000}" name="departure_location_name" dataDxfId="131"/>
    <tableColumn id="14" xr3:uid="{00000000-0010-0000-3600-00000E000000}" name="source_code" dataDxfId="130"/>
    <tableColumn id="15" xr3:uid="{00000000-0010-0000-3600-00000F000000}" name="data_date_part" dataDxfId="129"/>
    <tableColumn id="16" xr3:uid="{00000000-0010-0000-3600-000010000000}" name="data_timestamp_part" dataDxfId="128"/>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7" dataDxfId="126">
  <autoFilter ref="B2:AN23" xr:uid="{00000000-0009-0000-0100-000036000000}"/>
  <tableColumns count="39">
    <tableColumn id="1" xr3:uid="{00000000-0010-0000-3700-000001000000}" name="case_test" dataDxfId="125"/>
    <tableColumn id="2" xr3:uid="{00000000-0010-0000-3700-000002000000}" name="test_id" dataDxfId="124"/>
    <tableColumn id="3" xr3:uid="{00000000-0010-0000-3700-000003000000}" name="test_timestamp" dataDxfId="123"/>
    <tableColumn id="4" xr3:uid="{00000000-0010-0000-3700-000004000000}" name="query_driver_data_date_part" dataDxfId="122"/>
    <tableColumn id="5" xr3:uid="{00000000-0010-0000-3700-000005000000}" name="test_number" dataDxfId="121"/>
    <tableColumn id="6" xr3:uid="{00000000-0010-0000-3700-000006000000}" name="score" dataDxfId="120"/>
    <tableColumn id="7" xr3:uid="{00000000-0010-0000-3700-000007000000}" name="general_result" dataDxfId="119"/>
    <tableColumn id="8" xr3:uid="{00000000-0010-0000-3700-000008000000}" name="bank_id" dataDxfId="118"/>
    <tableColumn id="9" xr3:uid="{00000000-0010-0000-3700-000009000000}" name="contract_id" dataDxfId="117"/>
    <tableColumn id="10" xr3:uid="{00000000-0010-0000-3700-00000A000000}" name="product_family_id" dataDxfId="116"/>
    <tableColumn id="11" xr3:uid="{00000000-0010-0000-3700-00000B000000}" name="product_id" dataDxfId="115"/>
    <tableColumn id="12" xr3:uid="{00000000-0010-0000-3700-00000C000000}" name="subproduct_id" dataDxfId="114"/>
    <tableColumn id="13" xr3:uid="{00000000-0010-0000-3700-00000D000000}" name="main_current_account_bank_id" dataDxfId="113"/>
    <tableColumn id="14" xr3:uid="{00000000-0010-0000-3700-00000E000000}" name="main_current_account_contract_id" dataDxfId="112"/>
    <tableColumn id="15" xr3:uid="{00000000-0010-0000-3700-00000F000000}" name="opening_date" dataDxfId="111"/>
    <tableColumn id="16" xr3:uid="{00000000-0010-0000-3700-000010000000}" name="current_maturity_date" dataDxfId="110"/>
    <tableColumn id="17" xr3:uid="{00000000-0010-0000-3700-000011000000}" name="currency_code" dataDxfId="109"/>
    <tableColumn id="18" xr3:uid="{00000000-0010-0000-3700-000012000000}" name="litigation_indicator" dataDxfId="108"/>
    <tableColumn id="19" xr3:uid="{00000000-0010-0000-3700-000013000000}" name="current_authorized_amount" dataDxfId="107"/>
    <tableColumn id="20" xr3:uid="{00000000-0010-0000-3700-000014000000}" name="current_available_amount" dataDxfId="106"/>
    <tableColumn id="40" xr3:uid="{00000000-0010-0000-3700-000028000000}" name="current_reserved_balance" dataDxfId="105"/>
    <tableColumn id="41" xr3:uid="{00000000-0010-0000-3700-000029000000}" name="cur_outsng_principal_balance" dataDxfId="104"/>
    <tableColumn id="42" xr3:uid="{00000000-0010-0000-3700-00002A000000}" name="current_overdue_principal_bal" dataDxfId="103"/>
    <tableColumn id="43" xr3:uid="{00000000-0010-0000-3700-00002B000000}" name="cur_debt_litigation_princip_bal" dataDxfId="102"/>
    <tableColumn id="44" xr3:uid="{00000000-0010-0000-3700-00002C000000}" name="initial_active_variable_rate_ind" dataDxfId="101"/>
    <tableColumn id="45" xr3:uid="{00000000-0010-0000-3700-00002D000000}" name="initial_active_indexing" dataDxfId="100"/>
    <tableColumn id="46" xr3:uid="{00000000-0010-0000-3700-00002E000000}" name="initial_active_index_rate" dataDxfId="99"/>
    <tableColumn id="47" xr3:uid="{00000000-0010-0000-3700-00002F000000}" name="initial_active_spread" dataDxfId="98"/>
    <tableColumn id="48" xr3:uid="{00000000-0010-0000-3700-000030000000}" name="initial_active_interest_rate" dataDxfId="97"/>
    <tableColumn id="49" xr3:uid="{00000000-0010-0000-3700-000031000000}" name="cur_active_rate_type_code" dataDxfId="96"/>
    <tableColumn id="50" xr3:uid="{00000000-0010-0000-3700-000032000000}" name="current_active_indexing" dataDxfId="95"/>
    <tableColumn id="51" xr3:uid="{00000000-0010-0000-3700-000033000000}" name="current_active_index_rate" dataDxfId="94"/>
    <tableColumn id="52" xr3:uid="{00000000-0010-0000-3700-000034000000}" name="current_active_spread" dataDxfId="93"/>
    <tableColumn id="53" xr3:uid="{00000000-0010-0000-3700-000035000000}" name="current_active_interest_rate" dataDxfId="92"/>
    <tableColumn id="54" xr3:uid="{00000000-0010-0000-3700-000036000000}" name="contract_status_code" dataDxfId="91"/>
    <tableColumn id="55" xr3:uid="{00000000-0010-0000-3700-000037000000}" name="contract_opening_channel_code" dataDxfId="90"/>
    <tableColumn id="56" xr3:uid="{00000000-0010-0000-3700-000038000000}" name="source_code" dataDxfId="89"/>
    <tableColumn id="57" xr3:uid="{00000000-0010-0000-3700-000039000000}" name="data_date_part" dataDxfId="88"/>
    <tableColumn id="58" xr3:uid="{00000000-0010-0000-3700-00003A000000}" name="data_timestamp_part" dataDxfId="87"/>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6" dataDxfId="85" headerRowBorderDxfId="83" tableBorderDxfId="84">
  <autoFilter ref="B31:F48" xr:uid="{00000000-0009-0000-0100-000037000000}"/>
  <tableColumns count="5">
    <tableColumn id="1" xr3:uid="{00000000-0010-0000-3800-000001000000}" name="Test ID" dataDxfId="82"/>
    <tableColumn id="2" xr3:uid="{00000000-0010-0000-3800-000002000000}" name="Field" dataDxfId="81"/>
    <tableColumn id="3" xr3:uid="{00000000-0010-0000-3800-000003000000}" name="Justification" dataDxfId="80"/>
    <tableColumn id="5" xr3:uid="{00000000-0010-0000-3800-000005000000}" name="Number of Occurences" dataDxfId="79"/>
    <tableColumn id="4" xr3:uid="{00000000-0010-0000-3800-000004000000}" name="Justification State" dataDxfId="78"/>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7" headerRowBorderDxfId="75"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4"/>
    <tableColumn id="2" xr3:uid="{00000000-0010-0000-3900-000002000000}" name="Field" dataDxfId="73"/>
    <tableColumn id="3" xr3:uid="{00000000-0010-0000-3900-000003000000}" name="Justification" dataDxfId="72"/>
    <tableColumn id="4" xr3:uid="{00000000-0010-0000-3900-000004000000}" name="Number of Occurences" dataDxfId="71"/>
    <tableColumn id="5" xr3:uid="{00000000-0010-0000-3900-000005000000}" name="Justification State" dataDxfId="70"/>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69" dataDxfId="68">
  <autoFilter ref="B2:BQ23" xr:uid="{00000000-0009-0000-0100-00003B000000}"/>
  <tableColumns count="68">
    <tableColumn id="1" xr3:uid="{00000000-0010-0000-3A00-000001000000}" name="Case_Test" dataDxfId="67"/>
    <tableColumn id="2" xr3:uid="{00000000-0010-0000-3A00-000002000000}" name="test_id" dataDxfId="66"/>
    <tableColumn id="3" xr3:uid="{00000000-0010-0000-3A00-000003000000}" name="test_timestamp" dataDxfId="65"/>
    <tableColumn id="4" xr3:uid="{00000000-0010-0000-3A00-000004000000}" name="query_driver_data_date_part" dataDxfId="64"/>
    <tableColumn id="5" xr3:uid="{00000000-0010-0000-3A00-000005000000}" name="test_number" dataDxfId="63"/>
    <tableColumn id="6" xr3:uid="{00000000-0010-0000-3A00-000006000000}" name="score" dataDxfId="62"/>
    <tableColumn id="7" xr3:uid="{00000000-0010-0000-3A00-000007000000}" name="general_result" dataDxfId="61"/>
    <tableColumn id="8" xr3:uid="{00000000-0010-0000-3A00-000008000000}" name="bank_id" dataDxfId="60"/>
    <tableColumn id="9" xr3:uid="{00000000-0010-0000-3A00-000009000000}" name="contract_id" dataDxfId="59"/>
    <tableColumn id="10" xr3:uid="{00000000-0010-0000-3A00-00000A000000}" name="product_family_id" dataDxfId="58"/>
    <tableColumn id="11" xr3:uid="{00000000-0010-0000-3A00-00000B000000}" name="product_id" dataDxfId="57"/>
    <tableColumn id="12" xr3:uid="{00000000-0010-0000-3A00-00000C000000}" name="subproduct_id" dataDxfId="56"/>
    <tableColumn id="13" xr3:uid="{00000000-0010-0000-3A00-00000D000000}" name="main_current_account_bank_id" dataDxfId="55"/>
    <tableColumn id="14" xr3:uid="{00000000-0010-0000-3A00-00000E000000}" name="main_current_account_contract_id" dataDxfId="54"/>
    <tableColumn id="15" xr3:uid="{00000000-0010-0000-3A00-00000F000000}" name="main_current_account_iban" dataDxfId="53"/>
    <tableColumn id="16" xr3:uid="{00000000-0010-0000-3A00-000010000000}" name="main_current_account_nib" dataDxfId="52"/>
    <tableColumn id="17" xr3:uid="{00000000-0010-0000-3A00-000011000000}" name="main_current_acc_supp_bank_code" dataDxfId="51"/>
    <tableColumn id="18" xr3:uid="{00000000-0010-0000-3A00-000012000000}" name="main_current_account_agency_id" dataDxfId="50"/>
    <tableColumn id="19" xr3:uid="{00000000-0010-0000-3A00-000013000000}" name="main_current_account_number" dataDxfId="49"/>
    <tableColumn id="20" xr3:uid="{00000000-0010-0000-3A00-000014000000}" name="opening_date" dataDxfId="48"/>
    <tableColumn id="21" xr3:uid="{00000000-0010-0000-3A00-000015000000}" name="current_maturity_date" dataDxfId="47"/>
    <tableColumn id="22" xr3:uid="{00000000-0010-0000-3A00-000016000000}" name="currency_code" dataDxfId="46"/>
    <tableColumn id="23" xr3:uid="{00000000-0010-0000-3A00-000017000000}" name="litigation_indicator" dataDxfId="45"/>
    <tableColumn id="24" xr3:uid="{00000000-0010-0000-3A00-000018000000}" name="total_num_past_due_installments" dataDxfId="44"/>
    <tableColumn id="25" xr3:uid="{00000000-0010-0000-3A00-000019000000}" name="initial_authorized_amount" dataDxfId="43"/>
    <tableColumn id="26" xr3:uid="{00000000-0010-0000-3A00-00001A000000}" name="current_authorized_amount" dataDxfId="42"/>
    <tableColumn id="27" xr3:uid="{00000000-0010-0000-3A00-00001B000000}" name="initial_advance_principal_amount" dataDxfId="41"/>
    <tableColumn id="28" xr3:uid="{00000000-0010-0000-3A00-00001C000000}" name="current_advance_principal_amount" dataDxfId="40"/>
    <tableColumn id="29" xr3:uid="{00000000-0010-0000-3A00-00001D000000}" name="current_available_amount" dataDxfId="39"/>
    <tableColumn id="30" xr3:uid="{00000000-0010-0000-3A00-00001E000000}" name="cur_outsng_principal_balance" dataDxfId="38"/>
    <tableColumn id="31" xr3:uid="{00000000-0010-0000-3A00-00001F000000}" name="current_overdue_principal_bal" dataDxfId="37"/>
    <tableColumn id="32" xr3:uid="{00000000-0010-0000-3A00-000020000000}" name="current_overdue_taxes_balance" dataDxfId="36"/>
    <tableColumn id="33" xr3:uid="{00000000-0010-0000-3A00-000021000000}" name="current_overdue_expenses_bal" dataDxfId="35"/>
    <tableColumn id="34" xr3:uid="{00000000-0010-0000-3A00-000022000000}" name="current_overdue_interest_bal" dataDxfId="34"/>
    <tableColumn id="35" xr3:uid="{00000000-0010-0000-3A00-000023000000}" name="cur_debt_litigation_princip_bal" dataDxfId="33"/>
    <tableColumn id="36" xr3:uid="{00000000-0010-0000-3A00-000024000000}" name="residual_value_principal_amount" dataDxfId="32"/>
    <tableColumn id="37" xr3:uid="{00000000-0010-0000-3A00-000025000000}" name="residual_value_taxes_amount" dataDxfId="31"/>
    <tableColumn id="38" xr3:uid="{00000000-0010-0000-3A00-000026000000}" name="residual_value_interest_amount" dataDxfId="30"/>
    <tableColumn id="39" xr3:uid="{00000000-0010-0000-3A00-000027000000}" name="residual_value_expenses_amount" dataDxfId="29"/>
    <tableColumn id="40" xr3:uid="{00000000-0010-0000-3A00-000028000000}" name="next_regular_amort_due_date" dataDxfId="28"/>
    <tableColumn id="41" xr3:uid="{00000000-0010-0000-3A00-000029000000}" name="next_regular_amort_principal_amt" dataDxfId="27"/>
    <tableColumn id="42" xr3:uid="{00000000-0010-0000-3A00-00002A000000}" name="last_settled_amort_due_date" dataDxfId="26"/>
    <tableColumn id="43" xr3:uid="{00000000-0010-0000-3A00-00002B000000}" name="last_settled_amort_princip_amt" dataDxfId="25"/>
    <tableColumn id="44" xr3:uid="{00000000-0010-0000-3A00-00002C000000}" name="last_settled_amort_taxes_amount" dataDxfId="24"/>
    <tableColumn id="45" xr3:uid="{00000000-0010-0000-3A00-00002D000000}" name="last_settled_amort_expenses_amt" dataDxfId="23"/>
    <tableColumn id="46" xr3:uid="{00000000-0010-0000-3A00-00002E000000}" name="last_settled_amort_interest_amount" dataDxfId="22"/>
    <tableColumn id="47" xr3:uid="{00000000-0010-0000-3A00-00002F000000}" name="last_early_amort_pay_date" dataDxfId="21"/>
    <tableColumn id="48" xr3:uid="{00000000-0010-0000-3A00-000030000000}" name="last_early_amort_principal_amt" dataDxfId="20"/>
    <tableColumn id="49" xr3:uid="{00000000-0010-0000-3A00-000031000000}" name="last_early_amort_taxes_amount" dataDxfId="19"/>
    <tableColumn id="50" xr3:uid="{00000000-0010-0000-3A00-000032000000}" name="last_early_amort_expenses_amt" dataDxfId="18"/>
    <tableColumn id="51" xr3:uid="{00000000-0010-0000-3A00-000033000000}" name="last_installment_payment_date" dataDxfId="17"/>
    <tableColumn id="52" xr3:uid="{00000000-0010-0000-3A00-000034000000}" name="last_install_payment_princip_amt" dataDxfId="16"/>
    <tableColumn id="53" xr3:uid="{00000000-0010-0000-3A00-000035000000}" name="last_regular_amort_install_num" dataDxfId="15"/>
    <tableColumn id="54" xr3:uid="{00000000-0010-0000-3A00-000036000000}" name="initial_active_rate_type_code" dataDxfId="14"/>
    <tableColumn id="55" xr3:uid="{00000000-0010-0000-3A00-000037000000}" name="initial_active_indexing" dataDxfId="13"/>
    <tableColumn id="56" xr3:uid="{00000000-0010-0000-3A00-000038000000}" name="initial_active_index_rate" dataDxfId="12"/>
    <tableColumn id="57" xr3:uid="{00000000-0010-0000-3A00-000039000000}" name="initial_active_spread" dataDxfId="11"/>
    <tableColumn id="58" xr3:uid="{00000000-0010-0000-3A00-00003A000000}" name="initial_active_interest_rate" dataDxfId="10"/>
    <tableColumn id="59" xr3:uid="{00000000-0010-0000-3A00-00003B000000}" name="cur_active_rate_type_code" dataDxfId="9"/>
    <tableColumn id="60" xr3:uid="{00000000-0010-0000-3A00-00003C000000}" name="current_active_indexing" dataDxfId="8"/>
    <tableColumn id="61" xr3:uid="{00000000-0010-0000-3A00-00003D000000}" name="current_active_index_rate" dataDxfId="7"/>
    <tableColumn id="62" xr3:uid="{00000000-0010-0000-3A00-00003E000000}" name="current_active_spread" dataDxfId="6"/>
    <tableColumn id="63" xr3:uid="{00000000-0010-0000-3A00-00003F000000}" name="current_active_interest_rate" dataDxfId="5"/>
    <tableColumn id="64" xr3:uid="{00000000-0010-0000-3A00-000040000000}" name="contract_status_code" dataDxfId="4"/>
    <tableColumn id="65" xr3:uid="{00000000-0010-0000-3A00-000041000000}" name="contract_opening_channel_code" dataDxfId="3"/>
    <tableColumn id="66" xr3:uid="{00000000-0010-0000-3A00-000042000000}" name="source_code" dataDxfId="2"/>
    <tableColumn id="67" xr3:uid="{00000000-0010-0000-3A00-000043000000}" name="data_date_part" dataDxfId="1"/>
    <tableColumn id="68" xr3:uid="{00000000-0010-0000-3A00-000044000000}" name="data_timestamp_part"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69"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93"/>
  <sheetViews>
    <sheetView zoomScale="115" zoomScaleNormal="115" workbookViewId="0">
      <selection activeCell="B31" sqref="B31"/>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c r="A6" s="22"/>
      <c r="B6" s="39" t="s">
        <v>4</v>
      </c>
      <c r="C6" s="39" t="s">
        <v>5</v>
      </c>
      <c r="D6" s="25" t="s">
        <v>6</v>
      </c>
      <c r="E6" s="22"/>
    </row>
    <row r="7" spans="1:5">
      <c r="A7" s="22"/>
      <c r="B7" s="39" t="s">
        <v>4</v>
      </c>
      <c r="C7" s="39" t="s">
        <v>7</v>
      </c>
      <c r="D7" s="40" t="s">
        <v>8</v>
      </c>
      <c r="E7" s="22"/>
    </row>
    <row r="8" spans="1:5">
      <c r="A8" s="22"/>
      <c r="B8" s="39" t="s">
        <v>9</v>
      </c>
      <c r="C8" s="39" t="s">
        <v>10</v>
      </c>
      <c r="D8" s="25" t="s">
        <v>11</v>
      </c>
      <c r="E8" s="22"/>
    </row>
    <row r="9" spans="1:5">
      <c r="A9" s="22"/>
      <c r="B9" s="39" t="s">
        <v>9</v>
      </c>
      <c r="C9" s="39" t="s">
        <v>12</v>
      </c>
      <c r="D9" s="40" t="s">
        <v>13</v>
      </c>
      <c r="E9" s="22"/>
    </row>
    <row r="10" spans="1:5">
      <c r="B10" s="39" t="s">
        <v>14</v>
      </c>
      <c r="C10" s="39" t="s">
        <v>15</v>
      </c>
      <c r="D10" s="25" t="s">
        <v>16</v>
      </c>
    </row>
    <row r="11" spans="1:5" s="4" customFormat="1">
      <c r="B11" s="39" t="s">
        <v>14</v>
      </c>
      <c r="C11" s="39" t="s">
        <v>17</v>
      </c>
      <c r="D11" s="25" t="s">
        <v>18</v>
      </c>
    </row>
    <row r="12" spans="1:5" s="4" customFormat="1">
      <c r="B12" s="39" t="s">
        <v>14</v>
      </c>
      <c r="C12" s="39" t="s">
        <v>19</v>
      </c>
      <c r="D12" s="40" t="s">
        <v>20</v>
      </c>
    </row>
    <row r="13" spans="1:5" s="4" customFormat="1">
      <c r="B13" s="39" t="s">
        <v>21</v>
      </c>
      <c r="C13" s="39" t="s">
        <v>22</v>
      </c>
      <c r="D13" s="320" t="s">
        <v>23</v>
      </c>
    </row>
    <row r="14" spans="1:5" s="4" customFormat="1">
      <c r="B14" s="39" t="s">
        <v>21</v>
      </c>
      <c r="C14" s="39" t="s">
        <v>24</v>
      </c>
      <c r="D14" s="40" t="s">
        <v>25</v>
      </c>
    </row>
    <row r="15" spans="1:5" s="4" customFormat="1">
      <c r="B15" s="39" t="s">
        <v>26</v>
      </c>
      <c r="C15" s="39" t="s">
        <v>27</v>
      </c>
      <c r="D15" s="40" t="s">
        <v>28</v>
      </c>
    </row>
    <row r="16" spans="1:5" s="4" customFormat="1">
      <c r="B16" s="39" t="s">
        <v>26</v>
      </c>
      <c r="C16" s="39" t="s">
        <v>29</v>
      </c>
      <c r="D16" s="40" t="s">
        <v>30</v>
      </c>
    </row>
    <row r="17" spans="2:4" s="4" customFormat="1">
      <c r="B17" s="39" t="s">
        <v>26</v>
      </c>
      <c r="C17" s="39" t="s">
        <v>31</v>
      </c>
      <c r="D17" s="40" t="s">
        <v>32</v>
      </c>
    </row>
    <row r="18" spans="2:4" s="4" customFormat="1">
      <c r="B18" s="39" t="s">
        <v>33</v>
      </c>
      <c r="C18" s="39" t="s">
        <v>34</v>
      </c>
      <c r="D18" s="40" t="s">
        <v>35</v>
      </c>
    </row>
    <row r="19" spans="2:4" s="4" customFormat="1">
      <c r="B19" s="39" t="s">
        <v>36</v>
      </c>
      <c r="C19" s="39" t="s">
        <v>37</v>
      </c>
      <c r="D19" s="40" t="s">
        <v>38</v>
      </c>
    </row>
    <row r="20" spans="2:4" s="4" customFormat="1">
      <c r="B20" s="39" t="s">
        <v>36</v>
      </c>
      <c r="C20" s="39" t="s">
        <v>39</v>
      </c>
      <c r="D20" s="40" t="s">
        <v>40</v>
      </c>
    </row>
    <row r="21" spans="2:4" s="4" customFormat="1">
      <c r="B21" s="39" t="s">
        <v>41</v>
      </c>
      <c r="C21" s="39" t="s">
        <v>42</v>
      </c>
      <c r="D21" s="40" t="s">
        <v>43</v>
      </c>
    </row>
    <row r="22" spans="2:4" s="4" customFormat="1">
      <c r="B22" s="39" t="s">
        <v>41</v>
      </c>
      <c r="C22" s="39" t="s">
        <v>44</v>
      </c>
      <c r="D22" s="40" t="s">
        <v>45</v>
      </c>
    </row>
    <row r="23" spans="2:4" s="4" customFormat="1">
      <c r="B23" s="39" t="s">
        <v>46</v>
      </c>
      <c r="C23" s="39" t="s">
        <v>47</v>
      </c>
      <c r="D23" s="40" t="s">
        <v>48</v>
      </c>
    </row>
    <row r="24" spans="2:4" s="4" customFormat="1">
      <c r="B24" s="39" t="s">
        <v>49</v>
      </c>
      <c r="C24" s="39" t="s">
        <v>50</v>
      </c>
      <c r="D24" s="40" t="s">
        <v>51</v>
      </c>
    </row>
    <row r="25" spans="2:4" s="4" customFormat="1">
      <c r="B25" s="39" t="s">
        <v>52</v>
      </c>
      <c r="C25" s="39" t="s">
        <v>53</v>
      </c>
      <c r="D25" s="40" t="s">
        <v>54</v>
      </c>
    </row>
    <row r="26" spans="2:4" s="4" customFormat="1">
      <c r="B26" s="39" t="s">
        <v>55</v>
      </c>
      <c r="C26" s="39" t="s">
        <v>56</v>
      </c>
      <c r="D26" s="40" t="s">
        <v>57</v>
      </c>
    </row>
    <row r="27" spans="2:4" s="4" customFormat="1">
      <c r="B27" s="39" t="s">
        <v>55</v>
      </c>
      <c r="C27" s="39" t="s">
        <v>58</v>
      </c>
      <c r="D27" s="40" t="s">
        <v>59</v>
      </c>
    </row>
    <row r="28" spans="2:4" s="4" customFormat="1">
      <c r="B28" s="39" t="s">
        <v>60</v>
      </c>
      <c r="C28" s="39" t="s">
        <v>61</v>
      </c>
      <c r="D28" s="40" t="s">
        <v>62</v>
      </c>
    </row>
    <row r="29" spans="2:4" s="4" customFormat="1">
      <c r="B29" s="39" t="s">
        <v>63</v>
      </c>
      <c r="C29" s="39" t="s">
        <v>64</v>
      </c>
      <c r="D29" s="40" t="s">
        <v>65</v>
      </c>
    </row>
    <row r="30" spans="2:4" s="4" customFormat="1">
      <c r="B30" s="39"/>
      <c r="C30"/>
      <c r="D30" s="25"/>
    </row>
    <row r="31" spans="2:4" s="4" customFormat="1">
      <c r="B31" s="39"/>
      <c r="C31"/>
      <c r="D31" s="40"/>
    </row>
    <row r="32" spans="2:4" s="4" customFormat="1">
      <c r="B32" s="39"/>
      <c r="C32"/>
      <c r="D32" s="40"/>
    </row>
    <row r="33" spans="2:4" s="4" customFormat="1">
      <c r="B33" s="39"/>
      <c r="C33"/>
      <c r="D33" s="25"/>
    </row>
    <row r="34" spans="2:4" s="4" customFormat="1">
      <c r="B34" s="39"/>
      <c r="C34"/>
      <c r="D34" s="25"/>
    </row>
    <row r="35" spans="2:4" s="4" customFormat="1">
      <c r="B35" s="39"/>
      <c r="C35"/>
      <c r="D35" s="40"/>
    </row>
    <row r="36" spans="2:4" s="4" customFormat="1">
      <c r="B36" s="39"/>
      <c r="C36"/>
      <c r="D36" s="25"/>
    </row>
    <row r="37" spans="2:4" s="4" customFormat="1">
      <c r="B37" s="39"/>
      <c r="C37"/>
      <c r="D37" s="40"/>
    </row>
    <row r="38" spans="2:4" s="4" customFormat="1">
      <c r="B38" s="39"/>
      <c r="C38"/>
      <c r="D38" s="40"/>
    </row>
    <row r="39" spans="2:4" s="4" customFormat="1">
      <c r="B39" s="39"/>
      <c r="C39"/>
      <c r="D39" s="25"/>
    </row>
    <row r="40" spans="2:4" s="4" customFormat="1">
      <c r="B40" s="39"/>
      <c r="C40"/>
      <c r="D40" s="25"/>
    </row>
    <row r="41" spans="2:4" s="4" customFormat="1">
      <c r="B41" s="39"/>
      <c r="C41"/>
      <c r="D41" s="25"/>
    </row>
    <row r="42" spans="2:4" s="4" customFormat="1">
      <c r="B42" s="39"/>
      <c r="C42"/>
      <c r="D42" s="25"/>
    </row>
    <row r="43" spans="2:4" s="4" customFormat="1">
      <c r="B43" s="39"/>
      <c r="C43"/>
      <c r="D43" s="40"/>
    </row>
    <row r="44" spans="2:4" s="4" customFormat="1">
      <c r="B44" s="39"/>
      <c r="C44"/>
      <c r="D44" s="40"/>
    </row>
    <row r="45" spans="2:4" s="4" customFormat="1">
      <c r="B45" s="39"/>
      <c r="C45"/>
      <c r="D45" s="40"/>
    </row>
    <row r="46" spans="2:4" s="4" customFormat="1">
      <c r="B46" s="39"/>
      <c r="C46"/>
      <c r="D46" s="25"/>
    </row>
    <row r="47" spans="2:4" s="4" customFormat="1">
      <c r="B47" s="39"/>
      <c r="C47"/>
      <c r="D47" s="40"/>
    </row>
    <row r="48" spans="2:4" s="4" customFormat="1">
      <c r="B48" s="39"/>
      <c r="C48"/>
      <c r="D48" s="40"/>
    </row>
    <row r="49" spans="2:4" s="4" customFormat="1">
      <c r="B49" s="39"/>
      <c r="C49"/>
      <c r="D49" s="40"/>
    </row>
    <row r="50" spans="2:4" s="4" customFormat="1">
      <c r="B50" s="39"/>
      <c r="C50"/>
      <c r="D50" s="40"/>
    </row>
    <row r="51" spans="2:4" s="4" customFormat="1">
      <c r="B51" s="39"/>
      <c r="C51"/>
      <c r="D51" s="40"/>
    </row>
    <row r="52" spans="2:4" s="4" customFormat="1">
      <c r="B52" s="39"/>
      <c r="C52"/>
      <c r="D52" s="40"/>
    </row>
    <row r="53" spans="2:4" s="4" customFormat="1">
      <c r="B53" s="39"/>
      <c r="C53"/>
      <c r="D53" s="40"/>
    </row>
    <row r="54" spans="2:4" s="4" customFormat="1">
      <c r="B54" s="39"/>
      <c r="C54"/>
      <c r="D54" s="40"/>
    </row>
    <row r="55" spans="2:4" s="4" customFormat="1">
      <c r="B55" s="39"/>
      <c r="C55"/>
      <c r="D55" s="40"/>
    </row>
    <row r="56" spans="2:4" s="4" customFormat="1">
      <c r="B56" s="39"/>
      <c r="C56"/>
      <c r="D56" s="40"/>
    </row>
    <row r="57" spans="2:4" s="4" customFormat="1">
      <c r="B57" s="39"/>
      <c r="C57"/>
      <c r="D57" s="40"/>
    </row>
    <row r="58" spans="2:4" s="4" customFormat="1">
      <c r="B58" s="39"/>
      <c r="C58"/>
      <c r="D58" s="40"/>
    </row>
    <row r="59" spans="2:4" s="4" customFormat="1">
      <c r="B59" s="39"/>
      <c r="C59"/>
      <c r="D59" s="40"/>
    </row>
    <row r="60" spans="2:4" s="4" customFormat="1">
      <c r="B60" s="39"/>
      <c r="C60"/>
      <c r="D60" s="40"/>
    </row>
    <row r="61" spans="2:4" s="4" customFormat="1">
      <c r="B61" s="39"/>
      <c r="C61"/>
      <c r="D61" s="40"/>
    </row>
    <row r="62" spans="2:4" s="4" customFormat="1">
      <c r="B62" s="39"/>
      <c r="C62"/>
      <c r="D62" s="40"/>
    </row>
    <row r="63" spans="2:4" s="4" customFormat="1">
      <c r="B63" s="44"/>
      <c r="C63"/>
      <c r="D63" s="45"/>
    </row>
    <row r="64" spans="2:4" s="4" customFormat="1">
      <c r="B64" s="39"/>
      <c r="C64"/>
      <c r="D64" s="40"/>
    </row>
    <row r="65" spans="2:4" s="4" customFormat="1">
      <c r="B65" s="39"/>
      <c r="C65"/>
      <c r="D65" s="40"/>
    </row>
    <row r="66" spans="2:4" s="4" customFormat="1">
      <c r="B66" s="39"/>
      <c r="C66"/>
      <c r="D66" s="40"/>
    </row>
    <row r="67" spans="2:4" s="4" customFormat="1">
      <c r="B67" s="39"/>
      <c r="C67"/>
      <c r="D67" s="40"/>
    </row>
    <row r="68" spans="2:4" s="4" customFormat="1">
      <c r="B68" s="39"/>
      <c r="C68"/>
      <c r="D68" s="40"/>
    </row>
    <row r="69" spans="2:4" s="4" customFormat="1">
      <c r="B69" s="39"/>
      <c r="C69"/>
      <c r="D69" s="40"/>
    </row>
    <row r="70" spans="2:4" s="4" customFormat="1">
      <c r="B70" s="39"/>
      <c r="C70"/>
      <c r="D70" s="40"/>
    </row>
    <row r="71" spans="2:4" s="4" customFormat="1">
      <c r="B71" s="39"/>
      <c r="C71"/>
      <c r="D71" s="40"/>
    </row>
    <row r="72" spans="2:4" s="4" customFormat="1">
      <c r="B72" s="39"/>
      <c r="C72"/>
      <c r="D72" s="40"/>
    </row>
    <row r="73" spans="2:4" s="4" customFormat="1">
      <c r="B73" s="39"/>
      <c r="C73"/>
      <c r="D73" s="40"/>
    </row>
    <row r="74" spans="2:4" s="4" customFormat="1">
      <c r="B74" s="39"/>
      <c r="C74"/>
      <c r="D74" s="40"/>
    </row>
    <row r="75" spans="2:4" s="4" customFormat="1">
      <c r="B75" s="39"/>
      <c r="C75"/>
      <c r="D75" s="40"/>
    </row>
    <row r="76" spans="2:4" s="4" customFormat="1">
      <c r="B76" s="39"/>
      <c r="C76"/>
      <c r="D76" s="40"/>
    </row>
    <row r="77" spans="2:4" s="4" customFormat="1">
      <c r="B77" s="39"/>
      <c r="C77"/>
      <c r="D77" s="40"/>
    </row>
    <row r="78" spans="2:4" s="4" customFormat="1">
      <c r="B78" s="39"/>
      <c r="C78"/>
      <c r="D78" s="40"/>
    </row>
    <row r="79" spans="2:4" s="4" customFormat="1">
      <c r="B79" s="39"/>
      <c r="C79"/>
      <c r="D79" s="40"/>
    </row>
    <row r="80" spans="2:4" s="4" customFormat="1">
      <c r="B80" s="39"/>
      <c r="C80"/>
      <c r="D80" s="40"/>
    </row>
    <row r="81" spans="2:4" s="4" customFormat="1">
      <c r="B81" s="39"/>
      <c r="C81"/>
      <c r="D81" s="40"/>
    </row>
    <row r="82" spans="2:4" s="4" customFormat="1">
      <c r="B82" s="39"/>
      <c r="C82"/>
      <c r="D82" s="40"/>
    </row>
    <row r="83" spans="2:4" s="4" customFormat="1">
      <c r="B83" s="39"/>
      <c r="C83"/>
      <c r="D83" s="40"/>
    </row>
    <row r="84" spans="2:4" s="4" customFormat="1">
      <c r="B84" s="39"/>
      <c r="C84"/>
      <c r="D84" s="40"/>
    </row>
    <row r="85" spans="2:4" s="4" customFormat="1">
      <c r="B85" s="39"/>
      <c r="C85"/>
      <c r="D85" s="40"/>
    </row>
    <row r="86" spans="2:4" s="4" customFormat="1">
      <c r="B86" s="39"/>
      <c r="C86"/>
      <c r="D86" s="40"/>
    </row>
    <row r="87" spans="2:4" s="4" customFormat="1">
      <c r="B87" s="39"/>
      <c r="C87"/>
      <c r="D87" s="40"/>
    </row>
    <row r="88" spans="2:4" s="4" customFormat="1">
      <c r="B88" s="39"/>
      <c r="C88"/>
      <c r="D88" s="40"/>
    </row>
    <row r="89" spans="2:4" s="4" customFormat="1">
      <c r="B89" s="39"/>
      <c r="C89"/>
      <c r="D89" s="40"/>
    </row>
    <row r="90" spans="2:4" s="4" customFormat="1">
      <c r="B90" s="39"/>
      <c r="C90"/>
      <c r="D90" s="40"/>
    </row>
    <row r="91" spans="2:4" s="4" customFormat="1">
      <c r="B91" s="39"/>
      <c r="C91"/>
      <c r="D91" s="40"/>
    </row>
    <row r="92" spans="2:4" s="4" customFormat="1">
      <c r="B92" s="39"/>
      <c r="C92"/>
      <c r="D92" s="40"/>
    </row>
    <row r="93" spans="2:4" s="4" customFormat="1">
      <c r="B93" s="39"/>
      <c r="C93"/>
      <c r="D93" s="40"/>
    </row>
    <row r="94" spans="2:4" s="4" customFormat="1">
      <c r="B94" s="39"/>
      <c r="C94"/>
      <c r="D94" s="40"/>
    </row>
    <row r="95" spans="2:4" s="4" customFormat="1">
      <c r="B95" s="39"/>
      <c r="C95"/>
      <c r="D95" s="40"/>
    </row>
    <row r="96" spans="2:4" s="4" customFormat="1">
      <c r="B96" s="39"/>
      <c r="C96"/>
      <c r="D96" s="40"/>
    </row>
    <row r="97" spans="2:4" s="4" customFormat="1">
      <c r="B97" s="39"/>
      <c r="C97"/>
      <c r="D97" s="40"/>
    </row>
    <row r="98" spans="2:4" s="4" customFormat="1">
      <c r="B98" s="39"/>
      <c r="C98"/>
      <c r="D98" s="40"/>
    </row>
    <row r="99" spans="2:4" s="4" customFormat="1">
      <c r="B99" s="39"/>
      <c r="C99"/>
      <c r="D99" s="40"/>
    </row>
    <row r="100" spans="2:4" s="4" customFormat="1">
      <c r="B100" s="39"/>
      <c r="C100"/>
      <c r="D100" s="40"/>
    </row>
    <row r="101" spans="2:4" s="4" customFormat="1">
      <c r="B101" s="39"/>
      <c r="C101"/>
      <c r="D101" s="40"/>
    </row>
    <row r="102" spans="2:4" s="4" customFormat="1">
      <c r="B102" s="39"/>
      <c r="C102"/>
      <c r="D102" s="40"/>
    </row>
    <row r="103" spans="2:4" s="4" customFormat="1">
      <c r="B103" s="39"/>
      <c r="C103"/>
      <c r="D103" s="40"/>
    </row>
    <row r="104" spans="2:4" s="4" customFormat="1">
      <c r="B104" s="39"/>
      <c r="C104"/>
      <c r="D104" s="40"/>
    </row>
    <row r="105" spans="2:4" s="4" customFormat="1">
      <c r="B105" s="39"/>
      <c r="C105"/>
      <c r="D105" s="40"/>
    </row>
    <row r="106" spans="2:4" s="4" customFormat="1">
      <c r="B106" s="39"/>
      <c r="C106"/>
      <c r="D106" s="40"/>
    </row>
    <row r="107" spans="2:4" s="4" customFormat="1">
      <c r="B107" s="39"/>
      <c r="C107"/>
      <c r="D107" s="40"/>
    </row>
    <row r="108" spans="2:4" s="4" customFormat="1">
      <c r="B108" s="39"/>
      <c r="C108"/>
      <c r="D108" s="40"/>
    </row>
    <row r="109" spans="2:4" s="4" customFormat="1">
      <c r="B109" s="39"/>
      <c r="C109"/>
      <c r="D109" s="40"/>
    </row>
    <row r="110" spans="2:4" s="4" customFormat="1">
      <c r="B110" s="39"/>
      <c r="C110"/>
      <c r="D110" s="40"/>
    </row>
    <row r="111" spans="2:4" s="4" customFormat="1">
      <c r="B111" s="39"/>
      <c r="C111"/>
      <c r="D111" s="40"/>
    </row>
    <row r="112" spans="2:4" s="4" customFormat="1">
      <c r="B112" s="39"/>
      <c r="C112"/>
      <c r="D112" s="40"/>
    </row>
    <row r="113" spans="2:4" s="4" customFormat="1">
      <c r="B113" s="39"/>
      <c r="C113"/>
      <c r="D113" s="40"/>
    </row>
    <row r="114" spans="2:4" s="4" customFormat="1">
      <c r="B114" s="39"/>
      <c r="C114"/>
      <c r="D114" s="40"/>
    </row>
    <row r="115" spans="2:4" s="4" customFormat="1">
      <c r="B115" s="39"/>
      <c r="C115"/>
      <c r="D115" s="40"/>
    </row>
    <row r="116" spans="2:4" s="4" customFormat="1">
      <c r="B116" s="39"/>
      <c r="C116"/>
      <c r="D116" s="40"/>
    </row>
    <row r="117" spans="2:4" s="4" customFormat="1">
      <c r="B117" s="39"/>
      <c r="C117"/>
      <c r="D117" s="40"/>
    </row>
    <row r="118" spans="2:4" s="4" customFormat="1">
      <c r="B118" s="39"/>
      <c r="C118"/>
      <c r="D118" s="40"/>
    </row>
    <row r="119" spans="2:4" s="4" customFormat="1">
      <c r="B119" s="39"/>
      <c r="C119"/>
      <c r="D119" s="40"/>
    </row>
    <row r="120" spans="2:4" s="4" customFormat="1">
      <c r="B120" s="39"/>
      <c r="C120"/>
      <c r="D120" s="40"/>
    </row>
    <row r="121" spans="2:4" s="4" customFormat="1">
      <c r="B121" s="39"/>
      <c r="C121"/>
      <c r="D121" s="40"/>
    </row>
    <row r="122" spans="2:4" s="4" customFormat="1">
      <c r="B122" s="39"/>
      <c r="C122"/>
      <c r="D122" s="40"/>
    </row>
    <row r="123" spans="2:4" s="4" customFormat="1">
      <c r="B123" s="39"/>
      <c r="C123"/>
      <c r="D123" s="40"/>
    </row>
    <row r="124" spans="2:4" s="4" customFormat="1">
      <c r="B124" s="39"/>
      <c r="C124"/>
      <c r="D124" s="40"/>
    </row>
    <row r="125" spans="2:4" s="4" customFormat="1">
      <c r="B125" s="39"/>
      <c r="C125"/>
      <c r="D125" s="40"/>
    </row>
    <row r="126" spans="2:4" s="4" customFormat="1">
      <c r="B126" s="39"/>
      <c r="C126"/>
      <c r="D126" s="40"/>
    </row>
    <row r="127" spans="2:4" s="4" customFormat="1">
      <c r="B127" s="39"/>
      <c r="C127"/>
      <c r="D127" s="40"/>
    </row>
    <row r="128" spans="2:4" s="4" customFormat="1">
      <c r="B128" s="39"/>
      <c r="C128"/>
      <c r="D128" s="40"/>
    </row>
    <row r="129" spans="2:4" s="4" customFormat="1">
      <c r="B129" s="39"/>
      <c r="C129"/>
      <c r="D129" s="40"/>
    </row>
    <row r="130" spans="2:4" s="4" customFormat="1">
      <c r="B130" s="39"/>
      <c r="C130"/>
      <c r="D130" s="40"/>
    </row>
    <row r="131" spans="2:4" s="4" customFormat="1">
      <c r="B131" s="39"/>
      <c r="C131"/>
      <c r="D131" s="40"/>
    </row>
    <row r="132" spans="2:4" s="4" customFormat="1">
      <c r="B132" s="39"/>
      <c r="C132"/>
      <c r="D132" s="40"/>
    </row>
    <row r="133" spans="2:4" s="4" customFormat="1">
      <c r="B133" s="39"/>
      <c r="C133"/>
      <c r="D133" s="40"/>
    </row>
    <row r="134" spans="2:4" s="4" customFormat="1">
      <c r="B134" s="39"/>
      <c r="C134"/>
      <c r="D134" s="40"/>
    </row>
    <row r="135" spans="2:4" s="4" customFormat="1">
      <c r="B135" s="39"/>
      <c r="C135"/>
      <c r="D135" s="40"/>
    </row>
    <row r="136" spans="2:4" s="4" customFormat="1">
      <c r="B136" s="39"/>
      <c r="C136"/>
      <c r="D136" s="40"/>
    </row>
    <row r="137" spans="2:4" s="4" customFormat="1">
      <c r="B137" s="39"/>
      <c r="C137"/>
      <c r="D137" s="40"/>
    </row>
    <row r="138" spans="2:4" s="4" customFormat="1">
      <c r="B138" s="39"/>
      <c r="C138"/>
      <c r="D138" s="40"/>
    </row>
    <row r="139" spans="2:4" s="4" customFormat="1">
      <c r="B139" s="39"/>
      <c r="C139"/>
      <c r="D139" s="40"/>
    </row>
    <row r="140" spans="2:4" s="4" customFormat="1">
      <c r="B140" s="39"/>
      <c r="C140"/>
      <c r="D140" s="40"/>
    </row>
    <row r="141" spans="2:4" s="4" customFormat="1">
      <c r="B141" s="39"/>
      <c r="C141"/>
      <c r="D141" s="40"/>
    </row>
    <row r="142" spans="2:4" s="4" customFormat="1">
      <c r="B142" s="39"/>
      <c r="C142"/>
      <c r="D142" s="40"/>
    </row>
    <row r="143" spans="2:4" s="4" customFormat="1">
      <c r="B143" s="39"/>
      <c r="C143"/>
      <c r="D143" s="40"/>
    </row>
    <row r="144" spans="2:4" s="4" customFormat="1">
      <c r="B144" s="39"/>
      <c r="C144"/>
      <c r="D144" s="40"/>
    </row>
    <row r="145" spans="2:4" s="4" customFormat="1">
      <c r="B145" s="39"/>
      <c r="C145"/>
      <c r="D145" s="40"/>
    </row>
    <row r="146" spans="2:4" s="4" customFormat="1">
      <c r="B146" s="39"/>
      <c r="C146"/>
      <c r="D146" s="40"/>
    </row>
    <row r="147" spans="2:4" s="4" customFormat="1">
      <c r="B147" s="39"/>
      <c r="C147"/>
      <c r="D147" s="40"/>
    </row>
    <row r="148" spans="2:4" s="4" customFormat="1">
      <c r="B148" s="39"/>
      <c r="C148"/>
      <c r="D148" s="40"/>
    </row>
    <row r="149" spans="2:4" s="4" customFormat="1">
      <c r="B149" s="39"/>
      <c r="C149"/>
      <c r="D149" s="40"/>
    </row>
    <row r="150" spans="2:4" s="4" customFormat="1">
      <c r="B150" s="39"/>
      <c r="C150"/>
      <c r="D150" s="40"/>
    </row>
    <row r="151" spans="2:4" s="4" customFormat="1">
      <c r="B151" s="39"/>
      <c r="C151"/>
      <c r="D151" s="40"/>
    </row>
    <row r="152" spans="2:4" s="4" customFormat="1">
      <c r="B152" s="39"/>
      <c r="C152"/>
      <c r="D152" s="40"/>
    </row>
    <row r="153" spans="2:4" s="4" customFormat="1">
      <c r="B153" s="39"/>
      <c r="C153"/>
      <c r="D153" s="40"/>
    </row>
    <row r="154" spans="2:4" s="4" customFormat="1">
      <c r="B154" s="39"/>
      <c r="C154"/>
      <c r="D154" s="40"/>
    </row>
    <row r="155" spans="2:4" s="4" customFormat="1">
      <c r="B155" s="39"/>
      <c r="C155"/>
      <c r="D155" s="40"/>
    </row>
    <row r="156" spans="2:4" s="4" customFormat="1">
      <c r="B156" s="39"/>
      <c r="C156"/>
      <c r="D156" s="40"/>
    </row>
    <row r="157" spans="2:4" s="4" customFormat="1">
      <c r="B157" s="39"/>
      <c r="C157"/>
      <c r="D157" s="40"/>
    </row>
    <row r="158" spans="2:4" s="4" customFormat="1">
      <c r="B158" s="39"/>
      <c r="C158"/>
      <c r="D158" s="40"/>
    </row>
    <row r="159" spans="2:4" s="4" customFormat="1">
      <c r="B159" s="39"/>
      <c r="C159"/>
      <c r="D159" s="40"/>
    </row>
    <row r="160" spans="2:4" s="4" customFormat="1">
      <c r="B160" s="39"/>
      <c r="C160"/>
      <c r="D160" s="40"/>
    </row>
    <row r="161" spans="2:4" s="4" customFormat="1">
      <c r="B161" s="39"/>
      <c r="C161"/>
      <c r="D161" s="40"/>
    </row>
    <row r="162" spans="2:4" s="4" customFormat="1">
      <c r="B162" s="39"/>
      <c r="C162"/>
      <c r="D162" s="40"/>
    </row>
    <row r="163" spans="2:4" s="4" customFormat="1">
      <c r="B163" s="39"/>
      <c r="C163"/>
      <c r="D163" s="40"/>
    </row>
    <row r="164" spans="2:4" s="4" customFormat="1">
      <c r="B164" s="39"/>
      <c r="C164"/>
      <c r="D164" s="40"/>
    </row>
    <row r="165" spans="2:4" s="4" customFormat="1">
      <c r="B165" s="39"/>
      <c r="C165"/>
      <c r="D165" s="40"/>
    </row>
    <row r="166" spans="2:4" s="4" customFormat="1">
      <c r="B166" s="39"/>
      <c r="C166"/>
      <c r="D166" s="40"/>
    </row>
    <row r="167" spans="2:4" s="4" customFormat="1">
      <c r="B167" s="39"/>
      <c r="C167"/>
      <c r="D167" s="40"/>
    </row>
    <row r="168" spans="2:4" s="4" customFormat="1">
      <c r="B168" s="39"/>
      <c r="C168"/>
      <c r="D168" s="40"/>
    </row>
    <row r="169" spans="2:4" s="4" customFormat="1">
      <c r="B169" s="39"/>
      <c r="C169"/>
      <c r="D169" s="40"/>
    </row>
    <row r="170" spans="2:4" s="4" customFormat="1">
      <c r="B170" s="39"/>
      <c r="C170"/>
      <c r="D170" s="40"/>
    </row>
    <row r="171" spans="2:4" s="4" customFormat="1">
      <c r="B171" s="39"/>
      <c r="C171"/>
      <c r="D171" s="40"/>
    </row>
    <row r="172" spans="2:4" s="4" customFormat="1">
      <c r="B172" s="39"/>
      <c r="C172"/>
      <c r="D172" s="40"/>
    </row>
    <row r="173" spans="2:4" s="4" customFormat="1">
      <c r="B173" s="39"/>
      <c r="C173"/>
      <c r="D173" s="40"/>
    </row>
    <row r="174" spans="2:4" s="4" customFormat="1">
      <c r="B174" s="39"/>
      <c r="C174"/>
      <c r="D174" s="40"/>
    </row>
    <row r="175" spans="2:4" s="4" customFormat="1">
      <c r="B175" s="39"/>
      <c r="C175"/>
      <c r="D175" s="40"/>
    </row>
    <row r="176" spans="2:4" s="4" customFormat="1">
      <c r="B176" s="39"/>
      <c r="C176"/>
      <c r="D176" s="40"/>
    </row>
    <row r="177" spans="2:4" s="4" customFormat="1">
      <c r="B177" s="39"/>
      <c r="C177"/>
      <c r="D177" s="40"/>
    </row>
    <row r="178" spans="2:4" s="4" customFormat="1">
      <c r="B178" s="39"/>
      <c r="C178"/>
      <c r="D178" s="40"/>
    </row>
    <row r="179" spans="2:4" s="4" customFormat="1">
      <c r="B179" s="39"/>
      <c r="C179"/>
      <c r="D179" s="40"/>
    </row>
    <row r="180" spans="2:4" s="4" customFormat="1">
      <c r="B180" s="39"/>
      <c r="C180"/>
      <c r="D180" s="40"/>
    </row>
    <row r="181" spans="2:4" s="4" customFormat="1">
      <c r="B181" s="39"/>
      <c r="C181"/>
      <c r="D181" s="40"/>
    </row>
    <row r="182" spans="2:4" s="4" customFormat="1">
      <c r="B182" s="39"/>
      <c r="C182"/>
      <c r="D182" s="40"/>
    </row>
    <row r="183" spans="2:4" s="4" customFormat="1">
      <c r="B183" s="39"/>
      <c r="C183"/>
      <c r="D183" s="40"/>
    </row>
    <row r="184" spans="2:4" s="4" customFormat="1">
      <c r="B184" s="39"/>
      <c r="C184"/>
      <c r="D184" s="40"/>
    </row>
    <row r="185" spans="2:4" s="4" customFormat="1">
      <c r="B185" s="39"/>
      <c r="C185"/>
      <c r="D185" s="40"/>
    </row>
    <row r="186" spans="2:4" s="4" customFormat="1">
      <c r="B186" s="39"/>
      <c r="C186"/>
      <c r="D186" s="40"/>
    </row>
    <row r="187" spans="2:4" s="4" customFormat="1">
      <c r="B187" s="39"/>
      <c r="C187"/>
      <c r="D187" s="40"/>
    </row>
    <row r="188" spans="2:4" s="4" customFormat="1">
      <c r="B188" s="39"/>
      <c r="C188"/>
      <c r="D188" s="40"/>
    </row>
    <row r="189" spans="2:4" s="4" customFormat="1">
      <c r="B189" s="39"/>
      <c r="C189"/>
      <c r="D189" s="40"/>
    </row>
    <row r="190" spans="2:4" s="4" customFormat="1">
      <c r="B190" s="39"/>
      <c r="C190"/>
      <c r="D190" s="40"/>
    </row>
    <row r="191" spans="2:4" s="4" customFormat="1">
      <c r="B191" s="39"/>
      <c r="C191"/>
      <c r="D191" s="40"/>
    </row>
    <row r="192" spans="2:4" s="4" customFormat="1">
      <c r="B192" s="39"/>
      <c r="C192"/>
      <c r="D192" s="40"/>
    </row>
    <row r="193" spans="2:4" s="4" customFormat="1">
      <c r="B193" s="39"/>
      <c r="C193"/>
      <c r="D193" s="40"/>
    </row>
    <row r="194" spans="2:4" s="4" customFormat="1">
      <c r="B194" s="39"/>
      <c r="C194"/>
      <c r="D194" s="40"/>
    </row>
    <row r="195" spans="2:4" s="4" customFormat="1">
      <c r="B195" s="39"/>
      <c r="C195"/>
      <c r="D195" s="40"/>
    </row>
    <row r="196" spans="2:4" s="4" customFormat="1">
      <c r="B196" s="39"/>
      <c r="C196"/>
      <c r="D196" s="40"/>
    </row>
    <row r="197" spans="2:4" s="4" customFormat="1">
      <c r="B197" s="39"/>
      <c r="C197"/>
      <c r="D197" s="40"/>
    </row>
    <row r="198" spans="2:4" s="4" customFormat="1">
      <c r="B198" s="39"/>
      <c r="C198"/>
      <c r="D198" s="40"/>
    </row>
    <row r="199" spans="2:4" s="4" customFormat="1">
      <c r="B199" s="39"/>
      <c r="C199"/>
      <c r="D199" s="40"/>
    </row>
    <row r="200" spans="2:4" s="4" customFormat="1">
      <c r="B200" s="39"/>
      <c r="C200"/>
      <c r="D200" s="40"/>
    </row>
    <row r="201" spans="2:4" s="4" customFormat="1">
      <c r="B201" s="39"/>
      <c r="C201"/>
      <c r="D201" s="40"/>
    </row>
    <row r="202" spans="2:4" s="4" customFormat="1">
      <c r="B202" s="39"/>
      <c r="C202"/>
      <c r="D202" s="40"/>
    </row>
    <row r="203" spans="2:4" s="4" customFormat="1">
      <c r="B203" s="39"/>
      <c r="C203"/>
      <c r="D203" s="40"/>
    </row>
    <row r="204" spans="2:4" s="4" customFormat="1">
      <c r="B204" s="39"/>
      <c r="C204"/>
      <c r="D204" s="40"/>
    </row>
    <row r="205" spans="2:4" s="4" customFormat="1">
      <c r="B205" s="39"/>
      <c r="C205"/>
      <c r="D205" s="40"/>
    </row>
    <row r="206" spans="2:4" s="4" customFormat="1">
      <c r="B206" s="39"/>
      <c r="C206"/>
      <c r="D206" s="40"/>
    </row>
    <row r="207" spans="2:4" s="4" customFormat="1">
      <c r="B207" s="39"/>
      <c r="C207"/>
      <c r="D207" s="40"/>
    </row>
    <row r="208" spans="2:4" s="4" customFormat="1">
      <c r="B208" s="39"/>
      <c r="C208"/>
      <c r="D208" s="40"/>
    </row>
    <row r="209" spans="2:4" s="4" customFormat="1">
      <c r="B209" s="39"/>
      <c r="C209"/>
      <c r="D209" s="40"/>
    </row>
    <row r="210" spans="2:4" s="4" customFormat="1">
      <c r="B210" s="39"/>
      <c r="C210"/>
      <c r="D210" s="40"/>
    </row>
    <row r="211" spans="2:4" s="4" customFormat="1">
      <c r="B211" s="39"/>
      <c r="C211"/>
      <c r="D211" s="40"/>
    </row>
    <row r="212" spans="2:4" s="4" customFormat="1">
      <c r="B212" s="39"/>
      <c r="C212"/>
      <c r="D212" s="40"/>
    </row>
    <row r="213" spans="2:4" s="4" customFormat="1">
      <c r="B213" s="39"/>
      <c r="C213"/>
      <c r="D213" s="40"/>
    </row>
    <row r="214" spans="2:4" s="4" customFormat="1">
      <c r="B214" s="39"/>
      <c r="C214"/>
      <c r="D214" s="40"/>
    </row>
    <row r="215" spans="2:4" s="4" customFormat="1">
      <c r="B215" s="39"/>
      <c r="C215"/>
      <c r="D215" s="40"/>
    </row>
    <row r="216" spans="2:4" s="4" customFormat="1">
      <c r="B216" s="39"/>
      <c r="C216"/>
      <c r="D216" s="40"/>
    </row>
    <row r="217" spans="2:4" s="4" customFormat="1">
      <c r="B217" s="39"/>
      <c r="C217"/>
      <c r="D217" s="40"/>
    </row>
    <row r="218" spans="2:4" s="4" customFormat="1">
      <c r="B218" s="39"/>
      <c r="C218"/>
      <c r="D218" s="40"/>
    </row>
    <row r="219" spans="2:4" s="4" customFormat="1">
      <c r="B219" s="39"/>
      <c r="C219"/>
      <c r="D219" s="40"/>
    </row>
    <row r="220" spans="2:4" s="4" customFormat="1">
      <c r="B220" s="39"/>
      <c r="C220"/>
      <c r="D220" s="40"/>
    </row>
    <row r="221" spans="2:4" s="4" customFormat="1">
      <c r="B221" s="39"/>
      <c r="C221"/>
      <c r="D221" s="40"/>
    </row>
    <row r="222" spans="2:4" s="4" customFormat="1">
      <c r="B222" s="39"/>
      <c r="C222"/>
      <c r="D222" s="40"/>
    </row>
    <row r="223" spans="2:4" s="4" customFormat="1">
      <c r="B223" s="39"/>
      <c r="C223"/>
      <c r="D223" s="40"/>
    </row>
    <row r="224" spans="2:4" s="4" customFormat="1">
      <c r="B224" s="39"/>
      <c r="C224"/>
      <c r="D224" s="40"/>
    </row>
    <row r="225" spans="2:4" s="4" customFormat="1">
      <c r="B225" s="39"/>
      <c r="C225"/>
      <c r="D225" s="40"/>
    </row>
    <row r="226" spans="2:4" s="4" customFormat="1">
      <c r="B226" s="39"/>
      <c r="C226"/>
      <c r="D226" s="40"/>
    </row>
    <row r="227" spans="2:4" s="4" customFormat="1">
      <c r="B227" s="39"/>
      <c r="C227"/>
      <c r="D227" s="40"/>
    </row>
    <row r="228" spans="2:4" s="4" customFormat="1">
      <c r="B228" s="39"/>
      <c r="C228"/>
      <c r="D228" s="40"/>
    </row>
    <row r="229" spans="2:4" s="4" customFormat="1">
      <c r="B229" s="39"/>
      <c r="C229"/>
      <c r="D229" s="40"/>
    </row>
    <row r="230" spans="2:4" s="4" customFormat="1">
      <c r="B230" s="39"/>
      <c r="C230"/>
      <c r="D230" s="40"/>
    </row>
    <row r="231" spans="2:4" s="4" customFormat="1">
      <c r="B231" s="39"/>
      <c r="C231"/>
      <c r="D231" s="40"/>
    </row>
    <row r="232" spans="2:4" s="4" customFormat="1">
      <c r="B232" s="39"/>
      <c r="C232"/>
      <c r="D232" s="40"/>
    </row>
    <row r="233" spans="2:4" s="4" customFormat="1">
      <c r="B233" s="39"/>
      <c r="C233"/>
      <c r="D233" s="40"/>
    </row>
    <row r="234" spans="2:4" s="4" customFormat="1">
      <c r="B234" s="39"/>
      <c r="C234"/>
      <c r="D234" s="40"/>
    </row>
    <row r="235" spans="2:4" s="4" customFormat="1">
      <c r="B235" s="39"/>
      <c r="C235"/>
      <c r="D235" s="40"/>
    </row>
    <row r="236" spans="2:4" s="4" customFormat="1">
      <c r="B236" s="39"/>
      <c r="C236"/>
      <c r="D236" s="40"/>
    </row>
    <row r="237" spans="2:4" s="4" customFormat="1">
      <c r="B237" s="39"/>
      <c r="C237"/>
      <c r="D237" s="40"/>
    </row>
    <row r="238" spans="2:4" s="4" customFormat="1">
      <c r="B238" s="39"/>
      <c r="C238"/>
      <c r="D238" s="40"/>
    </row>
    <row r="239" spans="2:4" s="4" customFormat="1">
      <c r="B239" s="39"/>
      <c r="C239"/>
      <c r="D239" s="40"/>
    </row>
    <row r="240" spans="2:4" s="4" customFormat="1">
      <c r="B240" s="39"/>
      <c r="C240"/>
      <c r="D240" s="40"/>
    </row>
    <row r="241" spans="2:4" s="4" customFormat="1">
      <c r="B241" s="39"/>
      <c r="C241"/>
      <c r="D241" s="40"/>
    </row>
    <row r="242" spans="2:4" s="4" customFormat="1">
      <c r="B242" s="39"/>
      <c r="C242"/>
      <c r="D242" s="40"/>
    </row>
    <row r="243" spans="2:4" s="4" customFormat="1">
      <c r="B243" s="39"/>
      <c r="C243"/>
      <c r="D243" s="40"/>
    </row>
    <row r="244" spans="2:4" s="4" customFormat="1">
      <c r="B244" s="39"/>
      <c r="C244"/>
      <c r="D244" s="40"/>
    </row>
    <row r="245" spans="2:4" s="4" customFormat="1">
      <c r="B245" s="39"/>
      <c r="C245"/>
      <c r="D245" s="40"/>
    </row>
    <row r="246" spans="2:4" s="4" customFormat="1">
      <c r="B246" s="39"/>
      <c r="C246"/>
      <c r="D246" s="40"/>
    </row>
    <row r="247" spans="2:4" s="4" customFormat="1">
      <c r="B247" s="39"/>
      <c r="C247"/>
      <c r="D247" s="40"/>
    </row>
    <row r="248" spans="2:4" s="4" customFormat="1">
      <c r="B248" s="39"/>
      <c r="C248"/>
      <c r="D248" s="40"/>
    </row>
    <row r="249" spans="2:4" s="4" customFormat="1">
      <c r="B249" s="39"/>
      <c r="C249"/>
      <c r="D249" s="40"/>
    </row>
    <row r="250" spans="2:4" s="4" customFormat="1">
      <c r="B250" s="39"/>
      <c r="C250"/>
      <c r="D250" s="40"/>
    </row>
    <row r="251" spans="2:4" s="4" customFormat="1">
      <c r="B251" s="39"/>
      <c r="C251"/>
      <c r="D251" s="40"/>
    </row>
    <row r="252" spans="2:4" s="4" customFormat="1">
      <c r="B252" s="39"/>
      <c r="C252"/>
      <c r="D252" s="40"/>
    </row>
    <row r="253" spans="2:4" s="4" customFormat="1">
      <c r="B253" s="39"/>
      <c r="C253"/>
      <c r="D253" s="40"/>
    </row>
    <row r="254" spans="2:4" s="4" customFormat="1">
      <c r="B254" s="39"/>
      <c r="C254"/>
      <c r="D254" s="40"/>
    </row>
    <row r="255" spans="2:4" s="4" customFormat="1">
      <c r="B255" s="39"/>
      <c r="C255"/>
      <c r="D255" s="40"/>
    </row>
    <row r="256" spans="2:4">
      <c r="B256" s="39"/>
      <c r="D256" s="40"/>
    </row>
    <row r="257" spans="2:4">
      <c r="B257" s="39"/>
      <c r="D257" s="40"/>
    </row>
    <row r="258" spans="2:4">
      <c r="B258" s="39"/>
      <c r="D258" s="40"/>
    </row>
    <row r="259" spans="2:4">
      <c r="B259" s="39"/>
      <c r="D259" s="40"/>
    </row>
    <row r="260" spans="2:4">
      <c r="B260" s="39"/>
      <c r="D260" s="40"/>
    </row>
    <row r="261" spans="2:4">
      <c r="B261" s="39"/>
      <c r="D261" s="40"/>
    </row>
    <row r="262" spans="2:4">
      <c r="B262" s="39"/>
      <c r="D262" s="40"/>
    </row>
    <row r="263" spans="2:4">
      <c r="B263" s="39"/>
      <c r="D263" s="40"/>
    </row>
    <row r="264" spans="2:4">
      <c r="B264" s="39"/>
      <c r="D264" s="40"/>
    </row>
    <row r="265" spans="2:4">
      <c r="B265" s="39"/>
      <c r="D265" s="40"/>
    </row>
    <row r="266" spans="2:4">
      <c r="B266" s="39"/>
      <c r="D266" s="40"/>
    </row>
    <row r="267" spans="2:4">
      <c r="B267" s="39"/>
      <c r="D267" s="40"/>
    </row>
    <row r="268" spans="2:4">
      <c r="B268" s="39"/>
      <c r="D268" s="40"/>
    </row>
    <row r="269" spans="2:4">
      <c r="B269" s="39"/>
      <c r="D269" s="40"/>
    </row>
    <row r="270" spans="2:4">
      <c r="B270" s="39"/>
      <c r="D270" s="40"/>
    </row>
    <row r="271" spans="2:4">
      <c r="B271" s="39"/>
      <c r="D271" s="40"/>
    </row>
    <row r="272" spans="2:4">
      <c r="B272" s="39"/>
      <c r="D272" s="40"/>
    </row>
    <row r="273" spans="2:4">
      <c r="B273" s="39"/>
      <c r="D273" s="40"/>
    </row>
    <row r="274" spans="2:4">
      <c r="B274" s="39"/>
      <c r="D274" s="40"/>
    </row>
    <row r="275" spans="2:4">
      <c r="B275" s="39"/>
      <c r="D275" s="40"/>
    </row>
    <row r="276" spans="2:4">
      <c r="B276" s="39"/>
      <c r="D276" s="40"/>
    </row>
    <row r="277" spans="2:4">
      <c r="B277" s="39"/>
      <c r="D277" s="40"/>
    </row>
    <row r="278" spans="2:4">
      <c r="B278" s="39"/>
      <c r="D278" s="40"/>
    </row>
    <row r="279" spans="2:4">
      <c r="B279" s="39"/>
      <c r="D279" s="40"/>
    </row>
    <row r="280" spans="2:4">
      <c r="B280" s="39"/>
      <c r="D280" s="40"/>
    </row>
    <row r="281" spans="2:4">
      <c r="B281" s="39"/>
      <c r="D281" s="40"/>
    </row>
    <row r="282" spans="2:4">
      <c r="B282" s="39"/>
      <c r="D282" s="40"/>
    </row>
    <row r="283" spans="2:4">
      <c r="B283" s="39"/>
      <c r="D283" s="40"/>
    </row>
    <row r="284" spans="2:4">
      <c r="B284" s="39"/>
      <c r="D284" s="40"/>
    </row>
    <row r="285" spans="2:4">
      <c r="B285" s="39"/>
      <c r="D285" s="40"/>
    </row>
    <row r="286" spans="2:4">
      <c r="B286" s="39"/>
      <c r="D286" s="40"/>
    </row>
    <row r="287" spans="2:4">
      <c r="B287" s="39"/>
      <c r="D287" s="40"/>
    </row>
    <row r="288" spans="2:4">
      <c r="B288" s="39"/>
      <c r="D288" s="40"/>
    </row>
    <row r="289" spans="2:4">
      <c r="B289" s="39"/>
      <c r="D289" s="40"/>
    </row>
    <row r="290" spans="2:4">
      <c r="B290" s="39"/>
      <c r="D290" s="40"/>
    </row>
    <row r="291" spans="2:4">
      <c r="B291" s="39"/>
      <c r="D291" s="40"/>
    </row>
    <row r="292" spans="2:4">
      <c r="B292" s="39"/>
      <c r="D292" s="40"/>
    </row>
    <row r="293" spans="2:4">
      <c r="B293" s="39"/>
      <c r="D293" s="40"/>
    </row>
    <row r="294" spans="2:4">
      <c r="B294" s="39"/>
      <c r="D294" s="40"/>
    </row>
    <row r="295" spans="2:4">
      <c r="B295" s="39"/>
      <c r="D295" s="40"/>
    </row>
    <row r="296" spans="2:4">
      <c r="B296" s="39"/>
      <c r="D296" s="40"/>
    </row>
    <row r="297" spans="2:4">
      <c r="B297" s="39"/>
      <c r="D297" s="40"/>
    </row>
    <row r="298" spans="2:4">
      <c r="B298" s="39"/>
      <c r="D298" s="40"/>
    </row>
    <row r="299" spans="2:4">
      <c r="B299" s="39"/>
      <c r="D299" s="40"/>
    </row>
    <row r="300" spans="2:4">
      <c r="B300" s="39"/>
      <c r="D300" s="40"/>
    </row>
    <row r="301" spans="2:4">
      <c r="B301" s="39"/>
      <c r="D301" s="40"/>
    </row>
    <row r="302" spans="2:4">
      <c r="B302" s="39"/>
      <c r="D302" s="40"/>
    </row>
    <row r="303" spans="2:4">
      <c r="B303" s="39"/>
      <c r="D303" s="40"/>
    </row>
    <row r="304" spans="2:4">
      <c r="B304" s="39"/>
      <c r="D304" s="40"/>
    </row>
    <row r="305" spans="2:4">
      <c r="B305" s="39"/>
      <c r="D305" s="40"/>
    </row>
    <row r="306" spans="2:4">
      <c r="B306" s="39"/>
      <c r="D306" s="40"/>
    </row>
    <row r="307" spans="2:4">
      <c r="B307" s="39"/>
      <c r="D307" s="40"/>
    </row>
    <row r="308" spans="2:4">
      <c r="B308" s="39"/>
      <c r="D308" s="40"/>
    </row>
    <row r="309" spans="2:4">
      <c r="B309" s="39"/>
      <c r="D309" s="40"/>
    </row>
    <row r="310" spans="2:4">
      <c r="B310" s="39"/>
      <c r="D310" s="40"/>
    </row>
    <row r="311" spans="2:4">
      <c r="B311" s="39"/>
      <c r="D311" s="40"/>
    </row>
    <row r="312" spans="2:4">
      <c r="B312" s="39"/>
      <c r="D312" s="40"/>
    </row>
    <row r="313" spans="2:4">
      <c r="B313" s="39"/>
      <c r="D313" s="40"/>
    </row>
    <row r="314" spans="2:4">
      <c r="B314" s="39"/>
      <c r="D314" s="40"/>
    </row>
    <row r="315" spans="2:4">
      <c r="B315" s="39"/>
      <c r="D315" s="40"/>
    </row>
    <row r="316" spans="2:4">
      <c r="B316" s="39"/>
      <c r="D316" s="40"/>
    </row>
    <row r="317" spans="2:4">
      <c r="B317" s="39"/>
      <c r="D317" s="40"/>
    </row>
    <row r="318" spans="2:4">
      <c r="B318" s="39"/>
      <c r="D318" s="40"/>
    </row>
    <row r="319" spans="2:4">
      <c r="B319" s="39"/>
      <c r="D319" s="40"/>
    </row>
    <row r="320" spans="2:4">
      <c r="B320" s="39"/>
      <c r="D320" s="40"/>
    </row>
    <row r="321" spans="2:4">
      <c r="B321" s="39"/>
      <c r="D321" s="40"/>
    </row>
    <row r="322" spans="2:4">
      <c r="B322" s="39"/>
      <c r="D322" s="40"/>
    </row>
    <row r="323" spans="2:4">
      <c r="B323" s="39"/>
      <c r="D323" s="40"/>
    </row>
    <row r="324" spans="2:4">
      <c r="B324" s="39"/>
      <c r="D324" s="40"/>
    </row>
    <row r="325" spans="2:4">
      <c r="B325" s="39"/>
      <c r="D325" s="40"/>
    </row>
    <row r="326" spans="2:4">
      <c r="B326" s="39"/>
      <c r="D326" s="40"/>
    </row>
    <row r="327" spans="2:4">
      <c r="B327" s="39"/>
      <c r="D327" s="40"/>
    </row>
    <row r="328" spans="2:4">
      <c r="B328" s="39"/>
      <c r="D328" s="40"/>
    </row>
    <row r="329" spans="2:4">
      <c r="B329" s="39"/>
      <c r="D329" s="40"/>
    </row>
    <row r="330" spans="2:4">
      <c r="B330" s="39"/>
      <c r="D330" s="40"/>
    </row>
    <row r="331" spans="2:4">
      <c r="B331" s="39"/>
      <c r="D331" s="40"/>
    </row>
    <row r="332" spans="2:4">
      <c r="B332" s="39"/>
      <c r="D332" s="40"/>
    </row>
    <row r="333" spans="2:4">
      <c r="B333" s="39"/>
      <c r="D333" s="40"/>
    </row>
    <row r="334" spans="2:4">
      <c r="B334" s="39"/>
      <c r="D334" s="40"/>
    </row>
    <row r="335" spans="2:4">
      <c r="B335" s="39"/>
      <c r="D335" s="40"/>
    </row>
    <row r="336" spans="2:4">
      <c r="B336" s="39"/>
      <c r="D336" s="40"/>
    </row>
    <row r="337" spans="2:4">
      <c r="B337" s="39"/>
      <c r="D337" s="40"/>
    </row>
    <row r="338" spans="2:4">
      <c r="B338" s="39"/>
      <c r="D338" s="40"/>
    </row>
    <row r="339" spans="2:4">
      <c r="B339" s="39"/>
      <c r="D339" s="40"/>
    </row>
    <row r="340" spans="2:4">
      <c r="B340" s="39"/>
      <c r="D340" s="40"/>
    </row>
    <row r="341" spans="2:4">
      <c r="B341" s="39"/>
      <c r="D341" s="40"/>
    </row>
    <row r="342" spans="2:4">
      <c r="B342" s="39"/>
      <c r="D342" s="40"/>
    </row>
    <row r="343" spans="2:4">
      <c r="B343" s="39"/>
      <c r="D343" s="40"/>
    </row>
    <row r="344" spans="2:4">
      <c r="B344" s="39"/>
      <c r="D344" s="40"/>
    </row>
    <row r="345" spans="2:4">
      <c r="B345" s="39"/>
      <c r="D345" s="40"/>
    </row>
    <row r="346" spans="2:4">
      <c r="B346" s="39"/>
      <c r="D346" s="40"/>
    </row>
    <row r="347" spans="2:4">
      <c r="B347" s="39"/>
      <c r="D347" s="40"/>
    </row>
    <row r="348" spans="2:4">
      <c r="B348" s="39"/>
      <c r="D348" s="40"/>
    </row>
    <row r="349" spans="2:4">
      <c r="B349" s="39"/>
      <c r="D349" s="40"/>
    </row>
    <row r="350" spans="2:4">
      <c r="B350" s="39"/>
      <c r="D350" s="40"/>
    </row>
    <row r="351" spans="2:4">
      <c r="B351" s="39"/>
      <c r="D351" s="40"/>
    </row>
    <row r="352" spans="2:4">
      <c r="B352" s="39"/>
      <c r="D352" s="40"/>
    </row>
    <row r="353" spans="2:4">
      <c r="B353" s="39"/>
      <c r="D353" s="40"/>
    </row>
    <row r="354" spans="2:4">
      <c r="B354" s="39"/>
      <c r="D354" s="40"/>
    </row>
    <row r="355" spans="2:4">
      <c r="B355" s="39"/>
      <c r="D355" s="40"/>
    </row>
    <row r="356" spans="2:4">
      <c r="B356" s="39"/>
      <c r="D356" s="40"/>
    </row>
    <row r="357" spans="2:4">
      <c r="B357" s="39"/>
      <c r="D357" s="40"/>
    </row>
    <row r="358" spans="2:4">
      <c r="B358" s="39"/>
      <c r="D358" s="40"/>
    </row>
    <row r="359" spans="2:4">
      <c r="B359" s="39"/>
      <c r="D359" s="40"/>
    </row>
    <row r="360" spans="2:4">
      <c r="B360" s="39"/>
      <c r="D360" s="40"/>
    </row>
    <row r="361" spans="2:4">
      <c r="B361" s="39"/>
      <c r="D361" s="40"/>
    </row>
    <row r="362" spans="2:4">
      <c r="B362" s="39"/>
      <c r="D362" s="40"/>
    </row>
    <row r="363" spans="2:4">
      <c r="B363" s="39"/>
      <c r="D363" s="40"/>
    </row>
    <row r="364" spans="2:4">
      <c r="B364" s="39"/>
      <c r="D364" s="40"/>
    </row>
    <row r="365" spans="2:4">
      <c r="B365" s="39"/>
      <c r="D365" s="40"/>
    </row>
    <row r="366" spans="2:4">
      <c r="B366" s="39"/>
      <c r="D366" s="40"/>
    </row>
    <row r="367" spans="2:4">
      <c r="B367" s="39"/>
      <c r="D367" s="40"/>
    </row>
    <row r="368" spans="2:4">
      <c r="B368" s="39"/>
      <c r="D368" s="40"/>
    </row>
    <row r="369" spans="2:4">
      <c r="B369" s="39"/>
      <c r="D369" s="40"/>
    </row>
    <row r="370" spans="2:4">
      <c r="B370" s="39"/>
      <c r="D370" s="40"/>
    </row>
    <row r="371" spans="2:4">
      <c r="B371" s="39"/>
      <c r="D371" s="40"/>
    </row>
    <row r="372" spans="2:4">
      <c r="B372" s="39"/>
      <c r="D372" s="40"/>
    </row>
    <row r="373" spans="2:4">
      <c r="B373" s="39"/>
      <c r="D373" s="40"/>
    </row>
    <row r="374" spans="2:4">
      <c r="B374" s="39"/>
      <c r="D374" s="40"/>
    </row>
    <row r="375" spans="2:4">
      <c r="B375" s="39"/>
      <c r="D375" s="40"/>
    </row>
    <row r="376" spans="2:4">
      <c r="B376" s="39"/>
      <c r="D376" s="40"/>
    </row>
    <row r="377" spans="2:4">
      <c r="B377" s="39"/>
      <c r="D377" s="40"/>
    </row>
    <row r="378" spans="2:4">
      <c r="B378" s="39"/>
      <c r="D378" s="40"/>
    </row>
    <row r="379" spans="2:4">
      <c r="B379" s="39"/>
      <c r="D379" s="40"/>
    </row>
    <row r="380" spans="2:4">
      <c r="B380" s="39"/>
      <c r="D380" s="40"/>
    </row>
    <row r="381" spans="2:4">
      <c r="B381" s="39"/>
      <c r="D381" s="40"/>
    </row>
    <row r="382" spans="2:4">
      <c r="B382" s="39"/>
      <c r="D382" s="40"/>
    </row>
    <row r="383" spans="2:4">
      <c r="B383" s="39"/>
      <c r="D383" s="40"/>
    </row>
    <row r="384" spans="2:4">
      <c r="B384" s="39"/>
      <c r="D384" s="40"/>
    </row>
    <row r="385" spans="2:4">
      <c r="B385" s="39"/>
      <c r="D385" s="40"/>
    </row>
    <row r="386" spans="2:4">
      <c r="B386" s="39"/>
      <c r="D386" s="40"/>
    </row>
    <row r="387" spans="2:4">
      <c r="B387" s="39"/>
      <c r="D387" s="40"/>
    </row>
    <row r="388" spans="2:4">
      <c r="B388" s="39"/>
      <c r="D388" s="40"/>
    </row>
    <row r="389" spans="2:4">
      <c r="B389" s="39"/>
      <c r="D389" s="40"/>
    </row>
    <row r="390" spans="2:4">
      <c r="B390" s="39"/>
      <c r="D390" s="40"/>
    </row>
    <row r="391" spans="2:4">
      <c r="B391" s="39"/>
      <c r="D391" s="40"/>
    </row>
    <row r="392" spans="2:4">
      <c r="B392" s="39"/>
      <c r="D392" s="40"/>
    </row>
    <row r="393" spans="2:4">
      <c r="B393" s="39"/>
      <c r="D393" s="40"/>
    </row>
    <row r="394" spans="2:4">
      <c r="B394" s="39"/>
      <c r="D394" s="40"/>
    </row>
    <row r="395" spans="2:4">
      <c r="B395" s="39"/>
      <c r="D395" s="40"/>
    </row>
    <row r="396" spans="2:4">
      <c r="B396" s="39"/>
      <c r="D396" s="40"/>
    </row>
    <row r="397" spans="2:4">
      <c r="B397" s="39"/>
      <c r="D397" s="40"/>
    </row>
    <row r="398" spans="2:4">
      <c r="B398" s="39"/>
      <c r="D398" s="40"/>
    </row>
    <row r="399" spans="2:4">
      <c r="B399" s="39"/>
      <c r="D399" s="40"/>
    </row>
    <row r="400" spans="2:4">
      <c r="B400" s="39"/>
      <c r="D400" s="40"/>
    </row>
    <row r="401" spans="2:4">
      <c r="B401" s="39"/>
      <c r="D401" s="40"/>
    </row>
    <row r="402" spans="2:4">
      <c r="B402" s="39"/>
      <c r="D402" s="40"/>
    </row>
    <row r="403" spans="2:4">
      <c r="B403" s="39"/>
      <c r="D403" s="40"/>
    </row>
    <row r="404" spans="2:4">
      <c r="B404" s="39"/>
      <c r="D404" s="40"/>
    </row>
    <row r="405" spans="2:4">
      <c r="B405" s="39"/>
      <c r="D405" s="40"/>
    </row>
    <row r="406" spans="2:4">
      <c r="B406" s="39"/>
      <c r="D406" s="40"/>
    </row>
    <row r="407" spans="2:4">
      <c r="B407" s="39"/>
      <c r="D407" s="40"/>
    </row>
    <row r="408" spans="2:4">
      <c r="B408" s="39"/>
      <c r="D408" s="40"/>
    </row>
    <row r="409" spans="2:4">
      <c r="B409" s="39"/>
      <c r="D409" s="40"/>
    </row>
    <row r="410" spans="2:4">
      <c r="B410" s="39"/>
      <c r="D410" s="40"/>
    </row>
    <row r="411" spans="2:4">
      <c r="B411" s="39"/>
      <c r="D411" s="40"/>
    </row>
    <row r="412" spans="2:4">
      <c r="B412" s="39"/>
      <c r="D412" s="40"/>
    </row>
    <row r="413" spans="2:4">
      <c r="B413" s="39"/>
      <c r="D413" s="40"/>
    </row>
    <row r="414" spans="2:4">
      <c r="B414" s="39"/>
      <c r="D414" s="40"/>
    </row>
    <row r="415" spans="2:4">
      <c r="B415" s="39"/>
      <c r="D415" s="40"/>
    </row>
    <row r="416" spans="2:4">
      <c r="B416" s="39"/>
      <c r="D416" s="40"/>
    </row>
    <row r="417" spans="2:4">
      <c r="B417" s="39"/>
      <c r="D417" s="40"/>
    </row>
    <row r="418" spans="2:4">
      <c r="B418" s="39"/>
      <c r="D418" s="40"/>
    </row>
    <row r="419" spans="2:4">
      <c r="B419" s="39"/>
      <c r="D419" s="40"/>
    </row>
    <row r="420" spans="2:4">
      <c r="B420" s="39"/>
      <c r="D420" s="40"/>
    </row>
    <row r="421" spans="2:4">
      <c r="B421" s="39"/>
      <c r="D421" s="40"/>
    </row>
    <row r="422" spans="2:4">
      <c r="B422" s="39"/>
      <c r="D422" s="40"/>
    </row>
    <row r="423" spans="2:4">
      <c r="B423" s="39"/>
      <c r="D423" s="40"/>
    </row>
    <row r="424" spans="2:4">
      <c r="B424" s="39"/>
      <c r="D424" s="40"/>
    </row>
    <row r="425" spans="2:4">
      <c r="B425" s="39"/>
      <c r="D425" s="40"/>
    </row>
    <row r="426" spans="2:4">
      <c r="B426" s="39"/>
      <c r="D426" s="40"/>
    </row>
    <row r="427" spans="2:4">
      <c r="B427" s="39"/>
      <c r="D427" s="40"/>
    </row>
    <row r="428" spans="2:4">
      <c r="B428" s="39"/>
      <c r="D428" s="40"/>
    </row>
    <row r="429" spans="2:4">
      <c r="B429" s="39"/>
      <c r="D429" s="40"/>
    </row>
    <row r="430" spans="2:4">
      <c r="B430" s="39"/>
      <c r="D430" s="40"/>
    </row>
    <row r="431" spans="2:4">
      <c r="B431" s="39"/>
      <c r="D431" s="40"/>
    </row>
    <row r="432" spans="2:4">
      <c r="B432" s="39"/>
      <c r="D432" s="40"/>
    </row>
    <row r="433" spans="2:4">
      <c r="B433" s="39"/>
      <c r="D433" s="40"/>
    </row>
    <row r="434" spans="2:4">
      <c r="B434" s="39"/>
      <c r="D434" s="40"/>
    </row>
    <row r="435" spans="2:4">
      <c r="B435" s="39"/>
      <c r="D435" s="40"/>
    </row>
    <row r="436" spans="2:4">
      <c r="B436" s="39"/>
      <c r="D436" s="40"/>
    </row>
    <row r="437" spans="2:4">
      <c r="B437" s="39"/>
      <c r="D437" s="40"/>
    </row>
    <row r="438" spans="2:4">
      <c r="B438" s="39"/>
      <c r="D438" s="40"/>
    </row>
    <row r="439" spans="2:4">
      <c r="B439" s="39"/>
      <c r="D439" s="40"/>
    </row>
    <row r="440" spans="2:4">
      <c r="B440" s="39"/>
      <c r="D440" s="40"/>
    </row>
    <row r="441" spans="2:4">
      <c r="B441" s="39"/>
      <c r="D441" s="40"/>
    </row>
    <row r="442" spans="2:4">
      <c r="B442" s="39"/>
      <c r="D442" s="40"/>
    </row>
    <row r="443" spans="2:4">
      <c r="B443" s="39"/>
      <c r="D443" s="40"/>
    </row>
    <row r="444" spans="2:4">
      <c r="B444" s="39"/>
      <c r="D444" s="40"/>
    </row>
    <row r="445" spans="2:4">
      <c r="B445" s="39"/>
      <c r="D445" s="40"/>
    </row>
    <row r="446" spans="2:4">
      <c r="B446" s="39"/>
      <c r="D446" s="40"/>
    </row>
    <row r="447" spans="2:4">
      <c r="B447" s="39"/>
      <c r="D447" s="40"/>
    </row>
    <row r="448" spans="2:4">
      <c r="B448" s="39"/>
      <c r="D448" s="40"/>
    </row>
    <row r="449" spans="2:4">
      <c r="B449" s="39"/>
      <c r="D449" s="40"/>
    </row>
    <row r="450" spans="2:4">
      <c r="B450" s="39"/>
      <c r="D450" s="40"/>
    </row>
    <row r="451" spans="2:4">
      <c r="B451" s="39"/>
      <c r="D451" s="40"/>
    </row>
    <row r="452" spans="2:4">
      <c r="B452" s="39"/>
      <c r="D452" s="40"/>
    </row>
    <row r="453" spans="2:4">
      <c r="B453" s="39"/>
      <c r="D453" s="40"/>
    </row>
    <row r="454" spans="2:4">
      <c r="B454" s="39"/>
      <c r="D454" s="40"/>
    </row>
    <row r="455" spans="2:4">
      <c r="B455" s="39"/>
      <c r="D455" s="40"/>
    </row>
    <row r="456" spans="2:4">
      <c r="B456" s="39"/>
      <c r="D456" s="40"/>
    </row>
    <row r="457" spans="2:4">
      <c r="B457" s="39"/>
      <c r="D457" s="40"/>
    </row>
    <row r="458" spans="2:4">
      <c r="B458" s="39"/>
      <c r="D458" s="40"/>
    </row>
    <row r="459" spans="2:4">
      <c r="B459" s="39"/>
      <c r="D459" s="40"/>
    </row>
    <row r="460" spans="2:4">
      <c r="B460" s="39"/>
      <c r="D460" s="40"/>
    </row>
    <row r="461" spans="2:4">
      <c r="B461" s="39"/>
      <c r="D461" s="40"/>
    </row>
    <row r="462" spans="2:4">
      <c r="B462" s="39"/>
      <c r="D462" s="40"/>
    </row>
    <row r="463" spans="2:4">
      <c r="B463" s="39"/>
      <c r="D463" s="40"/>
    </row>
    <row r="464" spans="2:4">
      <c r="B464" s="39"/>
      <c r="D464" s="40"/>
    </row>
    <row r="465" spans="2:4">
      <c r="B465" s="39"/>
      <c r="D465" s="40"/>
    </row>
    <row r="466" spans="2:4">
      <c r="B466" s="39"/>
      <c r="D466" s="40"/>
    </row>
    <row r="467" spans="2:4">
      <c r="B467" s="39"/>
      <c r="D467" s="40"/>
    </row>
    <row r="468" spans="2:4">
      <c r="B468" s="39"/>
      <c r="D468" s="40"/>
    </row>
    <row r="469" spans="2:4">
      <c r="B469" s="39"/>
      <c r="D469" s="40"/>
    </row>
    <row r="470" spans="2:4">
      <c r="B470" s="39"/>
      <c r="D470" s="40"/>
    </row>
    <row r="471" spans="2:4">
      <c r="B471" s="39"/>
      <c r="D471" s="40"/>
    </row>
    <row r="472" spans="2:4">
      <c r="B472" s="39"/>
      <c r="D472" s="40"/>
    </row>
    <row r="473" spans="2:4">
      <c r="B473" s="39"/>
      <c r="D473" s="40"/>
    </row>
    <row r="474" spans="2:4">
      <c r="B474" s="39"/>
      <c r="D474" s="40"/>
    </row>
    <row r="475" spans="2:4">
      <c r="B475" s="39"/>
      <c r="D475" s="40"/>
    </row>
    <row r="476" spans="2:4">
      <c r="B476" s="39"/>
      <c r="D476" s="40"/>
    </row>
    <row r="477" spans="2:4">
      <c r="B477" s="39"/>
      <c r="D477" s="40"/>
    </row>
    <row r="478" spans="2:4">
      <c r="B478" s="39"/>
      <c r="D478" s="40"/>
    </row>
    <row r="479" spans="2:4">
      <c r="B479" s="39"/>
      <c r="D479" s="40"/>
    </row>
    <row r="480" spans="2:4">
      <c r="B480" s="39"/>
      <c r="D480" s="40"/>
    </row>
    <row r="481" spans="2:4">
      <c r="B481" s="39"/>
      <c r="D481" s="40"/>
    </row>
    <row r="482" spans="2:4">
      <c r="B482" s="39"/>
      <c r="D482" s="40"/>
    </row>
    <row r="483" spans="2:4">
      <c r="B483" s="39"/>
      <c r="D483" s="40"/>
    </row>
    <row r="484" spans="2:4">
      <c r="B484" s="39"/>
      <c r="D484" s="40"/>
    </row>
    <row r="485" spans="2:4">
      <c r="B485" s="39"/>
      <c r="D485" s="40"/>
    </row>
    <row r="486" spans="2:4">
      <c r="B486" s="39"/>
      <c r="D486" s="40"/>
    </row>
    <row r="487" spans="2:4">
      <c r="B487" s="39"/>
      <c r="D487" s="40"/>
    </row>
    <row r="488" spans="2:4">
      <c r="B488" s="39"/>
      <c r="D488" s="40"/>
    </row>
    <row r="489" spans="2:4">
      <c r="B489" s="39"/>
      <c r="D489" s="40"/>
    </row>
    <row r="490" spans="2:4">
      <c r="B490" s="39"/>
      <c r="D490" s="40"/>
    </row>
    <row r="491" spans="2:4">
      <c r="B491" s="39"/>
      <c r="D491" s="40"/>
    </row>
    <row r="492" spans="2:4">
      <c r="B492" s="39"/>
      <c r="D492" s="40"/>
    </row>
    <row r="493" spans="2:4">
      <c r="B493" s="39"/>
      <c r="D493" s="40"/>
    </row>
    <row r="494" spans="2:4">
      <c r="B494" s="39"/>
      <c r="D494" s="40"/>
    </row>
    <row r="495" spans="2:4">
      <c r="B495" s="39"/>
      <c r="D495" s="40"/>
    </row>
    <row r="496" spans="2:4">
      <c r="B496" s="39"/>
      <c r="D496" s="40"/>
    </row>
    <row r="497" spans="2:4">
      <c r="B497" s="39"/>
      <c r="D497" s="40"/>
    </row>
    <row r="498" spans="2:4">
      <c r="B498" s="39"/>
      <c r="D498" s="40"/>
    </row>
    <row r="499" spans="2:4">
      <c r="B499" s="39"/>
      <c r="D499" s="40"/>
    </row>
    <row r="500" spans="2:4">
      <c r="B500" s="39"/>
      <c r="D500" s="40"/>
    </row>
    <row r="501" spans="2:4">
      <c r="B501" s="39"/>
      <c r="D501" s="40"/>
    </row>
    <row r="502" spans="2:4">
      <c r="B502" s="39"/>
      <c r="D502" s="40"/>
    </row>
    <row r="503" spans="2:4">
      <c r="B503" s="39"/>
      <c r="D503" s="40"/>
    </row>
    <row r="504" spans="2:4">
      <c r="B504" s="39"/>
      <c r="D504" s="40"/>
    </row>
    <row r="505" spans="2:4">
      <c r="B505" s="39"/>
      <c r="D505" s="40"/>
    </row>
    <row r="506" spans="2:4">
      <c r="B506" s="39"/>
      <c r="D506" s="40"/>
    </row>
    <row r="507" spans="2:4">
      <c r="B507" s="39"/>
      <c r="D507" s="40"/>
    </row>
    <row r="508" spans="2:4">
      <c r="B508" s="39"/>
      <c r="D508" s="40"/>
    </row>
    <row r="509" spans="2:4">
      <c r="B509" s="39"/>
      <c r="D509" s="40"/>
    </row>
    <row r="510" spans="2:4">
      <c r="B510" s="39"/>
      <c r="D510" s="40"/>
    </row>
    <row r="511" spans="2:4">
      <c r="B511" s="39"/>
      <c r="D511" s="40"/>
    </row>
    <row r="512" spans="2:4">
      <c r="B512" s="39"/>
      <c r="D512" s="40"/>
    </row>
    <row r="513" spans="2:4">
      <c r="B513" s="39"/>
      <c r="D513" s="40"/>
    </row>
    <row r="514" spans="2:4">
      <c r="B514" s="39"/>
      <c r="D514" s="40"/>
    </row>
    <row r="515" spans="2:4">
      <c r="B515" s="39"/>
      <c r="D515" s="40"/>
    </row>
    <row r="516" spans="2:4">
      <c r="B516" s="39"/>
      <c r="D516" s="40"/>
    </row>
    <row r="517" spans="2:4">
      <c r="B517" s="39"/>
      <c r="D517" s="40"/>
    </row>
    <row r="518" spans="2:4">
      <c r="B518" s="39"/>
      <c r="D518" s="40"/>
    </row>
    <row r="519" spans="2:4">
      <c r="B519" s="39"/>
      <c r="D519" s="40"/>
    </row>
    <row r="520" spans="2:4">
      <c r="B520" s="39"/>
      <c r="D520" s="40"/>
    </row>
    <row r="521" spans="2:4">
      <c r="B521" s="39"/>
      <c r="D521" s="40"/>
    </row>
    <row r="522" spans="2:4">
      <c r="B522" s="39"/>
      <c r="D522" s="40"/>
    </row>
    <row r="523" spans="2:4">
      <c r="B523" s="39"/>
      <c r="D523" s="40"/>
    </row>
    <row r="524" spans="2:4">
      <c r="B524" s="39"/>
      <c r="D524" s="40"/>
    </row>
    <row r="525" spans="2:4">
      <c r="B525" s="39"/>
      <c r="D525" s="40"/>
    </row>
    <row r="526" spans="2:4">
      <c r="B526" s="39"/>
      <c r="D526" s="40"/>
    </row>
    <row r="527" spans="2:4">
      <c r="B527" s="39"/>
      <c r="D527" s="40"/>
    </row>
    <row r="528" spans="2:4">
      <c r="B528" s="39"/>
      <c r="D528" s="40"/>
    </row>
    <row r="529" spans="2:4">
      <c r="B529" s="39"/>
      <c r="D529" s="40"/>
    </row>
    <row r="530" spans="2:4">
      <c r="B530" s="39"/>
      <c r="D530" s="40"/>
    </row>
    <row r="531" spans="2:4">
      <c r="B531" s="39"/>
      <c r="D531" s="40"/>
    </row>
    <row r="532" spans="2:4">
      <c r="B532" s="39"/>
      <c r="D532" s="40"/>
    </row>
    <row r="533" spans="2:4">
      <c r="B533" s="39"/>
      <c r="D533" s="40"/>
    </row>
    <row r="534" spans="2:4">
      <c r="B534" s="39"/>
      <c r="D534" s="40"/>
    </row>
    <row r="535" spans="2:4">
      <c r="B535" s="39"/>
      <c r="D535" s="40"/>
    </row>
    <row r="536" spans="2:4">
      <c r="B536" s="39"/>
      <c r="D536" s="40"/>
    </row>
    <row r="537" spans="2:4">
      <c r="B537" s="39"/>
      <c r="D537" s="40"/>
    </row>
    <row r="538" spans="2:4">
      <c r="B538" s="39"/>
      <c r="D538" s="40"/>
    </row>
    <row r="539" spans="2:4">
      <c r="B539" s="39"/>
      <c r="D539" s="40"/>
    </row>
    <row r="540" spans="2:4">
      <c r="B540" s="39"/>
      <c r="D540" s="40"/>
    </row>
    <row r="541" spans="2:4">
      <c r="B541" s="39"/>
      <c r="D541" s="40"/>
    </row>
    <row r="542" spans="2:4">
      <c r="B542" s="39"/>
      <c r="D542" s="40"/>
    </row>
    <row r="543" spans="2:4">
      <c r="B543" s="39"/>
      <c r="D543" s="40"/>
    </row>
    <row r="544" spans="2:4">
      <c r="B544" s="39"/>
      <c r="D544" s="40"/>
    </row>
    <row r="545" spans="2:4">
      <c r="B545" s="39"/>
      <c r="D545" s="40"/>
    </row>
    <row r="546" spans="2:4">
      <c r="B546" s="39"/>
      <c r="D546" s="40"/>
    </row>
    <row r="547" spans="2:4">
      <c r="B547" s="39"/>
      <c r="D547" s="40"/>
    </row>
    <row r="548" spans="2:4">
      <c r="B548" s="39"/>
      <c r="D548" s="40"/>
    </row>
    <row r="549" spans="2:4">
      <c r="B549" s="39"/>
      <c r="D549" s="40"/>
    </row>
    <row r="550" spans="2:4">
      <c r="B550" s="39"/>
      <c r="D550" s="40"/>
    </row>
    <row r="551" spans="2:4">
      <c r="B551" s="39"/>
      <c r="D551" s="40"/>
    </row>
    <row r="552" spans="2:4">
      <c r="B552" s="39"/>
      <c r="D552" s="40"/>
    </row>
    <row r="553" spans="2:4">
      <c r="B553" s="39"/>
      <c r="D553" s="40"/>
    </row>
    <row r="554" spans="2:4">
      <c r="B554" s="39"/>
      <c r="D554" s="40"/>
    </row>
    <row r="555" spans="2:4">
      <c r="B555" s="39"/>
      <c r="D555" s="40"/>
    </row>
    <row r="556" spans="2:4">
      <c r="B556" s="39"/>
      <c r="D556" s="40"/>
    </row>
    <row r="557" spans="2:4">
      <c r="B557" s="39"/>
      <c r="D557" s="40"/>
    </row>
    <row r="558" spans="2:4">
      <c r="B558" s="39"/>
      <c r="D558" s="40"/>
    </row>
    <row r="559" spans="2:4">
      <c r="B559" s="39"/>
      <c r="D559" s="40"/>
    </row>
    <row r="560" spans="2:4">
      <c r="B560" s="39"/>
      <c r="D560" s="40"/>
    </row>
    <row r="561" spans="2:4">
      <c r="B561" s="39"/>
      <c r="D561" s="40"/>
    </row>
    <row r="562" spans="2:4">
      <c r="B562" s="39"/>
      <c r="D562" s="40"/>
    </row>
    <row r="563" spans="2:4">
      <c r="B563" s="39"/>
      <c r="D563" s="40"/>
    </row>
    <row r="564" spans="2:4">
      <c r="B564" s="39"/>
      <c r="D564" s="40"/>
    </row>
    <row r="565" spans="2:4">
      <c r="B565" s="39"/>
      <c r="D565" s="40"/>
    </row>
    <row r="566" spans="2:4">
      <c r="B566" s="39"/>
      <c r="D566" s="40"/>
    </row>
    <row r="567" spans="2:4">
      <c r="B567" s="39"/>
      <c r="D567" s="40"/>
    </row>
    <row r="568" spans="2:4">
      <c r="B568" s="39"/>
      <c r="D568" s="40"/>
    </row>
    <row r="569" spans="2:4">
      <c r="B569" s="39"/>
      <c r="D569" s="40"/>
    </row>
    <row r="570" spans="2:4">
      <c r="B570" s="39"/>
      <c r="D570" s="40"/>
    </row>
    <row r="571" spans="2:4">
      <c r="B571" s="39"/>
      <c r="D571" s="40"/>
    </row>
    <row r="572" spans="2:4">
      <c r="B572" s="39"/>
      <c r="D572" s="40"/>
    </row>
    <row r="573" spans="2:4">
      <c r="B573" s="39"/>
      <c r="D573" s="40"/>
    </row>
    <row r="574" spans="2:4">
      <c r="B574" s="39"/>
      <c r="D574" s="40"/>
    </row>
    <row r="575" spans="2:4">
      <c r="B575" s="39"/>
      <c r="D575" s="40"/>
    </row>
    <row r="576" spans="2:4">
      <c r="B576" s="39"/>
      <c r="D576" s="40"/>
    </row>
    <row r="577" spans="2:4">
      <c r="B577" s="39"/>
      <c r="D577" s="40"/>
    </row>
    <row r="578" spans="2:4">
      <c r="B578" s="39"/>
      <c r="D578" s="40"/>
    </row>
    <row r="579" spans="2:4">
      <c r="B579" s="39"/>
      <c r="D579" s="40"/>
    </row>
    <row r="580" spans="2:4">
      <c r="B580" s="39"/>
      <c r="D580" s="40"/>
    </row>
    <row r="581" spans="2:4">
      <c r="B581" s="39"/>
      <c r="D581" s="40"/>
    </row>
    <row r="582" spans="2:4">
      <c r="B582" s="39"/>
      <c r="D582" s="40"/>
    </row>
    <row r="583" spans="2:4">
      <c r="B583" s="39"/>
      <c r="D583" s="40"/>
    </row>
    <row r="584" spans="2:4">
      <c r="B584" s="39"/>
      <c r="D584" s="40"/>
    </row>
    <row r="585" spans="2:4">
      <c r="B585" s="39"/>
      <c r="D585" s="40"/>
    </row>
    <row r="586" spans="2:4">
      <c r="B586" s="39"/>
      <c r="D586" s="40"/>
    </row>
    <row r="587" spans="2:4">
      <c r="B587" s="39"/>
      <c r="D587" s="40"/>
    </row>
    <row r="588" spans="2:4">
      <c r="B588" s="39"/>
      <c r="D588" s="40"/>
    </row>
    <row r="589" spans="2:4">
      <c r="B589" s="39"/>
      <c r="D589" s="40"/>
    </row>
    <row r="590" spans="2:4">
      <c r="B590" s="39"/>
      <c r="D590" s="40"/>
    </row>
    <row r="591" spans="2:4">
      <c r="B591" s="39"/>
      <c r="D591" s="40"/>
    </row>
    <row r="592" spans="2:4">
      <c r="B592" s="39"/>
      <c r="D592" s="40"/>
    </row>
    <row r="593" spans="2:4">
      <c r="B593" s="39"/>
      <c r="D593" s="40"/>
    </row>
    <row r="594" spans="2:4">
      <c r="B594" s="39"/>
      <c r="D594" s="40"/>
    </row>
    <row r="595" spans="2:4">
      <c r="B595" s="39"/>
      <c r="D595" s="40"/>
    </row>
    <row r="596" spans="2:4">
      <c r="B596" s="39"/>
      <c r="D596" s="40"/>
    </row>
    <row r="597" spans="2:4">
      <c r="B597" s="39"/>
      <c r="D597" s="40"/>
    </row>
    <row r="598" spans="2:4">
      <c r="B598" s="39"/>
      <c r="D598" s="40"/>
    </row>
    <row r="599" spans="2:4">
      <c r="B599" s="39"/>
      <c r="D599" s="40"/>
    </row>
    <row r="600" spans="2:4">
      <c r="B600" s="39"/>
      <c r="D600" s="40"/>
    </row>
    <row r="601" spans="2:4">
      <c r="B601" s="39"/>
      <c r="D601" s="40"/>
    </row>
    <row r="602" spans="2:4">
      <c r="B602" s="39"/>
      <c r="D602" s="40"/>
    </row>
    <row r="603" spans="2:4">
      <c r="B603" s="39"/>
      <c r="D603" s="40"/>
    </row>
    <row r="604" spans="2:4">
      <c r="B604" s="39"/>
      <c r="D604" s="40"/>
    </row>
    <row r="605" spans="2:4">
      <c r="B605" s="39"/>
      <c r="D605" s="40"/>
    </row>
    <row r="606" spans="2:4">
      <c r="B606" s="39"/>
      <c r="D606" s="40"/>
    </row>
    <row r="607" spans="2:4">
      <c r="B607" s="39"/>
      <c r="D607" s="40"/>
    </row>
    <row r="608" spans="2:4">
      <c r="B608" s="39"/>
      <c r="D608" s="40"/>
    </row>
    <row r="609" spans="2:4">
      <c r="B609" s="39"/>
      <c r="D609" s="40"/>
    </row>
    <row r="610" spans="2:4">
      <c r="B610" s="39"/>
      <c r="D610" s="40"/>
    </row>
    <row r="611" spans="2:4">
      <c r="B611" s="39"/>
      <c r="D611" s="40"/>
    </row>
    <row r="612" spans="2:4">
      <c r="B612" s="39"/>
      <c r="D612" s="40"/>
    </row>
    <row r="613" spans="2:4">
      <c r="B613" s="39"/>
      <c r="D613" s="40"/>
    </row>
    <row r="614" spans="2:4">
      <c r="B614" s="39"/>
      <c r="D614" s="40"/>
    </row>
    <row r="615" spans="2:4">
      <c r="B615" s="39"/>
      <c r="D615" s="40"/>
    </row>
    <row r="616" spans="2:4">
      <c r="B616" s="39"/>
      <c r="D616" s="40"/>
    </row>
    <row r="617" spans="2:4">
      <c r="B617" s="39"/>
      <c r="D617" s="40"/>
    </row>
    <row r="618" spans="2:4">
      <c r="B618" s="39"/>
      <c r="D618" s="40"/>
    </row>
    <row r="619" spans="2:4">
      <c r="B619" s="39"/>
      <c r="D619" s="40"/>
    </row>
    <row r="620" spans="2:4">
      <c r="B620" s="39"/>
      <c r="D620" s="40"/>
    </row>
    <row r="621" spans="2:4">
      <c r="B621" s="39"/>
      <c r="D621" s="40"/>
    </row>
    <row r="622" spans="2:4">
      <c r="B622" s="39"/>
      <c r="D622" s="40"/>
    </row>
    <row r="623" spans="2:4">
      <c r="B623" s="39"/>
      <c r="D623" s="40"/>
    </row>
    <row r="624" spans="2:4">
      <c r="B624" s="39"/>
      <c r="D624" s="40"/>
    </row>
    <row r="625" spans="2:4">
      <c r="B625" s="39"/>
      <c r="D625" s="40"/>
    </row>
    <row r="626" spans="2:4">
      <c r="B626" s="39"/>
      <c r="D626" s="40"/>
    </row>
    <row r="627" spans="2:4">
      <c r="B627" s="39"/>
      <c r="D627" s="40"/>
    </row>
    <row r="628" spans="2:4">
      <c r="B628" s="39"/>
      <c r="D628" s="40"/>
    </row>
    <row r="629" spans="2:4">
      <c r="B629" s="39"/>
      <c r="D629" s="40"/>
    </row>
    <row r="630" spans="2:4">
      <c r="B630" s="39"/>
      <c r="D630" s="40"/>
    </row>
    <row r="631" spans="2:4">
      <c r="B631" s="39"/>
      <c r="D631" s="40"/>
    </row>
    <row r="632" spans="2:4">
      <c r="B632" s="39"/>
      <c r="D632" s="40"/>
    </row>
    <row r="633" spans="2:4">
      <c r="B633" s="39"/>
      <c r="D633" s="40"/>
    </row>
    <row r="634" spans="2:4">
      <c r="B634" s="39"/>
      <c r="D634" s="40"/>
    </row>
    <row r="635" spans="2:4">
      <c r="B635" s="39"/>
      <c r="D635" s="40"/>
    </row>
    <row r="636" spans="2:4">
      <c r="B636" s="39"/>
      <c r="D636" s="40"/>
    </row>
    <row r="637" spans="2:4">
      <c r="B637" s="39"/>
      <c r="D637" s="40"/>
    </row>
    <row r="638" spans="2:4">
      <c r="B638" s="39"/>
      <c r="D638" s="40"/>
    </row>
    <row r="639" spans="2:4">
      <c r="B639" s="39"/>
      <c r="D639" s="40"/>
    </row>
    <row r="640" spans="2:4">
      <c r="B640" s="39"/>
      <c r="D640" s="40"/>
    </row>
    <row r="641" spans="2:4">
      <c r="B641" s="39"/>
      <c r="D641" s="40"/>
    </row>
    <row r="642" spans="2:4">
      <c r="B642" s="39"/>
      <c r="D642" s="40"/>
    </row>
    <row r="643" spans="2:4">
      <c r="B643" s="39"/>
      <c r="D643" s="40"/>
    </row>
    <row r="644" spans="2:4">
      <c r="B644" s="39"/>
      <c r="D644" s="40"/>
    </row>
    <row r="645" spans="2:4">
      <c r="B645" s="39"/>
      <c r="D645" s="40"/>
    </row>
    <row r="646" spans="2:4">
      <c r="B646" s="39"/>
      <c r="D646" s="40"/>
    </row>
    <row r="647" spans="2:4">
      <c r="B647" s="39"/>
      <c r="D647" s="40"/>
    </row>
    <row r="648" spans="2:4">
      <c r="B648" s="39"/>
      <c r="D648" s="40"/>
    </row>
    <row r="649" spans="2:4">
      <c r="B649" s="39"/>
      <c r="D649" s="40"/>
    </row>
    <row r="650" spans="2:4">
      <c r="B650" s="39"/>
      <c r="D650" s="40"/>
    </row>
    <row r="651" spans="2:4">
      <c r="B651" s="39"/>
      <c r="D651" s="40"/>
    </row>
    <row r="652" spans="2:4">
      <c r="B652" s="39"/>
      <c r="D652" s="40"/>
    </row>
    <row r="653" spans="2:4">
      <c r="B653" s="39"/>
      <c r="D653" s="40"/>
    </row>
    <row r="654" spans="2:4">
      <c r="B654" s="39"/>
      <c r="D654" s="40"/>
    </row>
    <row r="655" spans="2:4">
      <c r="B655" s="39"/>
      <c r="D655" s="40"/>
    </row>
    <row r="656" spans="2:4">
      <c r="B656" s="39"/>
      <c r="D656" s="40"/>
    </row>
    <row r="657" spans="2:4">
      <c r="B657" s="39"/>
      <c r="D657" s="40"/>
    </row>
    <row r="658" spans="2:4">
      <c r="B658" s="39"/>
      <c r="D658" s="40"/>
    </row>
    <row r="659" spans="2:4">
      <c r="B659" s="39"/>
      <c r="D659" s="40"/>
    </row>
    <row r="660" spans="2:4">
      <c r="B660" s="39"/>
      <c r="D660" s="40"/>
    </row>
    <row r="661" spans="2:4">
      <c r="B661" s="39"/>
      <c r="D661" s="40"/>
    </row>
    <row r="662" spans="2:4">
      <c r="B662" s="39"/>
      <c r="D662" s="40"/>
    </row>
    <row r="663" spans="2:4">
      <c r="B663" s="39"/>
      <c r="D663" s="40"/>
    </row>
    <row r="664" spans="2:4">
      <c r="B664" s="39"/>
      <c r="D664" s="40"/>
    </row>
    <row r="665" spans="2:4">
      <c r="B665" s="39"/>
      <c r="D665" s="40"/>
    </row>
    <row r="666" spans="2:4">
      <c r="B666" s="39"/>
      <c r="D666" s="40"/>
    </row>
    <row r="667" spans="2:4">
      <c r="B667" s="39"/>
      <c r="D667" s="40"/>
    </row>
    <row r="668" spans="2:4">
      <c r="B668" s="39"/>
      <c r="D668" s="40"/>
    </row>
    <row r="669" spans="2:4">
      <c r="B669" s="39"/>
      <c r="D669" s="40"/>
    </row>
    <row r="670" spans="2:4">
      <c r="B670" s="39"/>
      <c r="D670" s="40"/>
    </row>
    <row r="671" spans="2:4">
      <c r="B671" s="39"/>
      <c r="D671" s="40"/>
    </row>
    <row r="672" spans="2:4">
      <c r="B672" s="39"/>
      <c r="D672" s="40"/>
    </row>
    <row r="673" spans="2:4">
      <c r="B673" s="39"/>
      <c r="D673" s="40"/>
    </row>
    <row r="674" spans="2:4">
      <c r="B674" s="39"/>
      <c r="D674" s="40"/>
    </row>
    <row r="675" spans="2:4">
      <c r="B675" s="39"/>
      <c r="D675" s="40"/>
    </row>
    <row r="676" spans="2:4">
      <c r="B676" s="39"/>
      <c r="D676" s="40"/>
    </row>
    <row r="677" spans="2:4">
      <c r="B677" s="39"/>
      <c r="D677" s="40"/>
    </row>
    <row r="678" spans="2:4">
      <c r="B678" s="39"/>
      <c r="D678" s="40"/>
    </row>
    <row r="679" spans="2:4">
      <c r="B679" s="39"/>
      <c r="D679" s="40"/>
    </row>
    <row r="680" spans="2:4">
      <c r="B680" s="39"/>
      <c r="D680" s="40"/>
    </row>
    <row r="681" spans="2:4">
      <c r="B681" s="39"/>
      <c r="D681" s="40"/>
    </row>
    <row r="682" spans="2:4">
      <c r="B682" s="39"/>
      <c r="D682" s="40"/>
    </row>
    <row r="683" spans="2:4">
      <c r="B683" s="39"/>
      <c r="D683" s="40"/>
    </row>
    <row r="684" spans="2:4">
      <c r="B684" s="39"/>
      <c r="D684" s="40"/>
    </row>
    <row r="685" spans="2:4">
      <c r="B685" s="39"/>
      <c r="D685" s="40"/>
    </row>
    <row r="686" spans="2:4">
      <c r="B686" s="39"/>
      <c r="D686" s="40"/>
    </row>
    <row r="687" spans="2:4">
      <c r="B687" s="39"/>
      <c r="D687" s="40"/>
    </row>
    <row r="688" spans="2:4">
      <c r="B688" s="39"/>
      <c r="D688" s="40"/>
    </row>
    <row r="689" spans="2:4">
      <c r="B689" s="39"/>
      <c r="D689" s="40"/>
    </row>
    <row r="690" spans="2:4">
      <c r="B690" s="39"/>
      <c r="D690" s="40"/>
    </row>
    <row r="691" spans="2:4">
      <c r="B691" s="39"/>
      <c r="D691" s="40"/>
    </row>
    <row r="692" spans="2:4">
      <c r="B692" s="39"/>
      <c r="D692" s="40"/>
    </row>
    <row r="693" spans="2:4">
      <c r="B693" s="39"/>
      <c r="D693" s="40"/>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361"/>
  <sheetViews>
    <sheetView showGridLines="0" tabSelected="1" topLeftCell="T72" zoomScale="46" zoomScaleNormal="25" workbookViewId="0">
      <selection activeCell="W75" sqref="W75"/>
    </sheetView>
  </sheetViews>
  <sheetFormatPr defaultColWidth="8.5703125" defaultRowHeight="15" customHeight="1"/>
  <cols>
    <col min="1" max="1" width="3.140625" style="38" customWidth="1"/>
    <col min="2" max="2" width="40.5703125" style="30" customWidth="1"/>
    <col min="3" max="3" width="49.7109375" style="29" customWidth="1"/>
    <col min="4" max="4" width="30.42578125" style="29" customWidth="1"/>
    <col min="5" max="5" width="44.7109375" style="29" customWidth="1"/>
    <col min="6" max="6" width="45.7109375" style="29" customWidth="1"/>
    <col min="7" max="7" width="36.42578125" style="29" customWidth="1"/>
    <col min="8" max="8" width="28.85546875" style="29" customWidth="1"/>
    <col min="9" max="9" width="12.85546875" style="29" customWidth="1"/>
    <col min="10" max="10" width="11.85546875" style="29" customWidth="1"/>
    <col min="11" max="11" width="19.42578125" style="29" customWidth="1"/>
    <col min="12" max="13" width="26" style="29" customWidth="1"/>
    <col min="14" max="14" width="40.28515625" style="26" customWidth="1"/>
    <col min="15" max="15" width="58" style="30" customWidth="1"/>
    <col min="16" max="16" width="37.5703125" style="27" customWidth="1"/>
    <col min="17" max="17" width="131.7109375" style="28" customWidth="1"/>
    <col min="18" max="18" width="148.7109375" style="30" customWidth="1"/>
    <col min="19" max="19" width="42.7109375" style="24" customWidth="1"/>
    <col min="20" max="20" width="84.85546875" style="29" customWidth="1"/>
    <col min="21" max="21" width="38.5703125" style="30" customWidth="1"/>
    <col min="22" max="22" width="44.140625" style="29" customWidth="1"/>
    <col min="23" max="23" width="150.28515625" style="26" customWidth="1"/>
    <col min="24" max="24" width="55.28515625" style="26" customWidth="1"/>
    <col min="25" max="25" width="46.5703125" style="26" customWidth="1"/>
    <col min="26" max="26" width="137.7109375" style="29" customWidth="1"/>
    <col min="27" max="27" width="99" style="27" customWidth="1"/>
    <col min="28" max="28" width="77.85546875" style="24" customWidth="1"/>
    <col min="29" max="16384" width="8.5703125" style="24"/>
  </cols>
  <sheetData>
    <row r="1" spans="1:27" ht="15" customHeight="1">
      <c r="U1" s="30" t="s">
        <v>66</v>
      </c>
    </row>
    <row r="3" spans="1:27" ht="14.45">
      <c r="A3" s="37"/>
      <c r="B3" s="31"/>
      <c r="C3" s="32"/>
      <c r="D3" s="32"/>
      <c r="E3" s="32"/>
      <c r="F3" s="32"/>
      <c r="G3" s="32"/>
      <c r="H3" s="32"/>
      <c r="I3" s="32"/>
      <c r="J3" s="32"/>
      <c r="K3" s="32"/>
      <c r="L3" s="32"/>
      <c r="M3" s="32"/>
      <c r="N3" s="33"/>
      <c r="O3" s="31"/>
      <c r="P3" s="34"/>
      <c r="Q3" s="35"/>
      <c r="R3" s="31"/>
      <c r="S3" s="36"/>
      <c r="T3" s="32"/>
      <c r="U3" s="31"/>
      <c r="V3" s="32"/>
      <c r="W3" s="33"/>
      <c r="X3" s="33"/>
      <c r="Y3" s="33"/>
      <c r="Z3" s="32"/>
      <c r="AA3" s="34"/>
    </row>
    <row r="5" spans="1:27" s="26" customFormat="1" ht="30" customHeight="1">
      <c r="B5" s="339" t="s">
        <v>67</v>
      </c>
      <c r="C5" s="339"/>
      <c r="D5" s="339"/>
      <c r="E5" s="339"/>
      <c r="F5" s="339"/>
      <c r="G5" s="339"/>
      <c r="H5" s="339"/>
      <c r="I5" s="339"/>
      <c r="J5" s="339"/>
      <c r="K5" s="339"/>
      <c r="L5" s="339"/>
      <c r="M5" s="339"/>
      <c r="N5" s="339"/>
      <c r="O5" s="339"/>
      <c r="P5" s="339"/>
      <c r="Q5" s="340"/>
      <c r="R5" s="343" t="s">
        <v>68</v>
      </c>
      <c r="S5" s="343"/>
      <c r="T5" s="346" t="s">
        <v>69</v>
      </c>
      <c r="U5" s="347"/>
      <c r="V5" s="347"/>
      <c r="W5" s="348"/>
      <c r="X5" s="338" t="s">
        <v>70</v>
      </c>
      <c r="Y5" s="338"/>
      <c r="Z5" s="338"/>
      <c r="AA5" s="338"/>
    </row>
    <row r="6" spans="1:27" ht="30" customHeight="1">
      <c r="B6" s="341" t="s">
        <v>71</v>
      </c>
      <c r="C6" s="341"/>
      <c r="D6" s="341"/>
      <c r="E6" s="341"/>
      <c r="F6" s="341"/>
      <c r="G6" s="341"/>
      <c r="H6" s="341"/>
      <c r="I6" s="341"/>
      <c r="J6" s="341"/>
      <c r="K6" s="341"/>
      <c r="L6" s="341"/>
      <c r="M6" s="341"/>
      <c r="N6" s="341"/>
      <c r="O6" s="341"/>
      <c r="P6" s="341"/>
      <c r="Q6" s="342"/>
      <c r="R6" s="343" t="s">
        <v>72</v>
      </c>
      <c r="S6" s="343"/>
      <c r="T6" s="288"/>
      <c r="U6" s="344" t="s">
        <v>73</v>
      </c>
      <c r="V6" s="344"/>
      <c r="W6" s="345"/>
      <c r="X6" s="337" t="s">
        <v>74</v>
      </c>
      <c r="Y6" s="337"/>
      <c r="Z6" s="337"/>
      <c r="AA6" s="337"/>
    </row>
    <row r="7" spans="1:27" s="66" customFormat="1" ht="39.75" customHeight="1">
      <c r="B7" s="46" t="s">
        <v>75</v>
      </c>
      <c r="C7" s="46" t="s">
        <v>76</v>
      </c>
      <c r="D7" s="46" t="s">
        <v>77</v>
      </c>
      <c r="E7" s="46" t="s">
        <v>78</v>
      </c>
      <c r="F7" s="46" t="s">
        <v>79</v>
      </c>
      <c r="G7" s="46" t="s">
        <v>80</v>
      </c>
      <c r="H7" s="46" t="s">
        <v>81</v>
      </c>
      <c r="I7" s="46" t="s">
        <v>82</v>
      </c>
      <c r="J7" s="46" t="s">
        <v>83</v>
      </c>
      <c r="K7" s="46" t="s">
        <v>84</v>
      </c>
      <c r="L7" s="46" t="s">
        <v>85</v>
      </c>
      <c r="M7" s="46" t="s">
        <v>86</v>
      </c>
      <c r="N7" s="46" t="s">
        <v>87</v>
      </c>
      <c r="O7" s="46" t="s">
        <v>88</v>
      </c>
      <c r="P7" s="46" t="s">
        <v>89</v>
      </c>
      <c r="Q7" s="46" t="s">
        <v>90</v>
      </c>
      <c r="R7" s="46" t="s">
        <v>91</v>
      </c>
      <c r="S7" s="46" t="s">
        <v>92</v>
      </c>
      <c r="T7" s="46" t="s">
        <v>93</v>
      </c>
      <c r="U7" s="46" t="s">
        <v>94</v>
      </c>
      <c r="V7" s="46" t="s">
        <v>95</v>
      </c>
      <c r="W7" s="46" t="s">
        <v>96</v>
      </c>
      <c r="X7" s="46" t="s">
        <v>97</v>
      </c>
      <c r="Y7" s="46" t="s">
        <v>98</v>
      </c>
      <c r="Z7" s="46" t="s">
        <v>99</v>
      </c>
      <c r="AA7" s="72" t="s">
        <v>100</v>
      </c>
    </row>
    <row r="8" spans="1:27" ht="147" customHeight="1">
      <c r="B8" s="298" t="s">
        <v>41</v>
      </c>
      <c r="C8" s="49" t="s">
        <v>101</v>
      </c>
      <c r="D8" s="49" t="s">
        <v>42</v>
      </c>
      <c r="E8" s="50">
        <v>1</v>
      </c>
      <c r="F8" s="49" t="s">
        <v>102</v>
      </c>
      <c r="G8" s="49" t="s">
        <v>103</v>
      </c>
      <c r="H8" s="49" t="s">
        <v>104</v>
      </c>
      <c r="I8" s="50">
        <v>1</v>
      </c>
      <c r="J8" s="49" t="s">
        <v>105</v>
      </c>
      <c r="K8" s="50">
        <v>4</v>
      </c>
      <c r="L8" s="50"/>
      <c r="M8" s="50"/>
      <c r="N8" s="290" t="s">
        <v>106</v>
      </c>
      <c r="O8" s="51" t="s">
        <v>107</v>
      </c>
      <c r="P8" s="50" t="s">
        <v>108</v>
      </c>
      <c r="Q8" s="49"/>
      <c r="R8" s="53" t="s">
        <v>109</v>
      </c>
      <c r="S8" s="53" t="s">
        <v>110</v>
      </c>
      <c r="T8" s="53" t="s">
        <v>111</v>
      </c>
      <c r="U8" s="53" t="s">
        <v>112</v>
      </c>
      <c r="V8" s="51" t="s">
        <v>113</v>
      </c>
      <c r="W8" s="285" t="s">
        <v>114</v>
      </c>
      <c r="X8" s="53" t="s">
        <v>115</v>
      </c>
      <c r="Y8" s="51" t="s">
        <v>116</v>
      </c>
      <c r="Z8" s="51" t="s">
        <v>116</v>
      </c>
      <c r="AA8" s="58" t="s">
        <v>117</v>
      </c>
    </row>
    <row r="9" spans="1:27" ht="80.25" hidden="1" customHeight="1">
      <c r="B9" s="298" t="s">
        <v>41</v>
      </c>
      <c r="C9" s="49" t="s">
        <v>118</v>
      </c>
      <c r="D9" s="49" t="s">
        <v>44</v>
      </c>
      <c r="E9" s="50">
        <v>2</v>
      </c>
      <c r="F9" s="49" t="s">
        <v>102</v>
      </c>
      <c r="G9" s="49" t="s">
        <v>103</v>
      </c>
      <c r="H9" s="49" t="s">
        <v>104</v>
      </c>
      <c r="I9" s="50">
        <v>1</v>
      </c>
      <c r="J9" s="49" t="s">
        <v>105</v>
      </c>
      <c r="K9" s="50">
        <v>4</v>
      </c>
      <c r="L9" s="50"/>
      <c r="M9" s="50"/>
      <c r="N9" s="290" t="s">
        <v>106</v>
      </c>
      <c r="O9" s="51" t="s">
        <v>107</v>
      </c>
      <c r="P9" s="50" t="s">
        <v>108</v>
      </c>
      <c r="Q9" s="49"/>
      <c r="R9" s="53"/>
      <c r="S9" s="49"/>
      <c r="T9" s="71" t="s">
        <v>119</v>
      </c>
      <c r="U9" s="53" t="s">
        <v>120</v>
      </c>
      <c r="V9" s="53" t="s">
        <v>121</v>
      </c>
      <c r="W9" s="71" t="s">
        <v>122</v>
      </c>
      <c r="X9" s="49" t="s">
        <v>123</v>
      </c>
      <c r="Y9" s="52" t="s">
        <v>124</v>
      </c>
      <c r="Z9" s="52" t="s">
        <v>124</v>
      </c>
      <c r="AA9" s="50" t="s">
        <v>125</v>
      </c>
    </row>
    <row r="10" spans="1:27" ht="80.25" customHeight="1">
      <c r="B10" s="327" t="s">
        <v>41</v>
      </c>
      <c r="C10" s="60" t="s">
        <v>126</v>
      </c>
      <c r="D10" s="60" t="s">
        <v>127</v>
      </c>
      <c r="E10" s="289">
        <v>0</v>
      </c>
      <c r="F10" s="49" t="s">
        <v>102</v>
      </c>
      <c r="G10" s="49" t="s">
        <v>103</v>
      </c>
      <c r="H10" s="69"/>
      <c r="I10" s="289">
        <v>1</v>
      </c>
      <c r="J10" s="60"/>
      <c r="K10" s="289"/>
      <c r="L10" s="289"/>
      <c r="M10" s="297"/>
      <c r="N10" s="76"/>
      <c r="O10" s="51" t="s">
        <v>107</v>
      </c>
      <c r="P10" s="289" t="s">
        <v>108</v>
      </c>
      <c r="Q10" s="60"/>
      <c r="R10" s="158"/>
      <c r="S10" s="69"/>
      <c r="T10" s="76" t="s">
        <v>128</v>
      </c>
      <c r="U10" s="76" t="s">
        <v>129</v>
      </c>
      <c r="V10" s="76" t="s">
        <v>130</v>
      </c>
      <c r="W10" s="287" t="s">
        <v>131</v>
      </c>
      <c r="X10" s="158" t="s">
        <v>132</v>
      </c>
      <c r="Y10" s="60"/>
      <c r="Z10" s="60"/>
      <c r="AA10" s="289"/>
    </row>
    <row r="11" spans="1:27" ht="80.25" customHeight="1">
      <c r="B11" s="298" t="s">
        <v>41</v>
      </c>
      <c r="C11" s="49" t="s">
        <v>101</v>
      </c>
      <c r="D11" s="49" t="s">
        <v>42</v>
      </c>
      <c r="E11" s="50">
        <v>1</v>
      </c>
      <c r="F11" s="49" t="s">
        <v>133</v>
      </c>
      <c r="G11" s="49" t="s">
        <v>134</v>
      </c>
      <c r="H11" s="49" t="s">
        <v>104</v>
      </c>
      <c r="I11" s="50">
        <v>2</v>
      </c>
      <c r="J11" s="49" t="s">
        <v>105</v>
      </c>
      <c r="K11" s="50">
        <v>30</v>
      </c>
      <c r="L11" s="50"/>
      <c r="M11" s="50"/>
      <c r="N11" s="51" t="s">
        <v>135</v>
      </c>
      <c r="O11" s="51" t="s">
        <v>136</v>
      </c>
      <c r="P11" s="50" t="s">
        <v>108</v>
      </c>
      <c r="Q11" s="49"/>
      <c r="R11" s="53" t="s">
        <v>109</v>
      </c>
      <c r="S11" s="53" t="s">
        <v>110</v>
      </c>
      <c r="T11" s="53" t="s">
        <v>137</v>
      </c>
      <c r="U11" s="53" t="s">
        <v>138</v>
      </c>
      <c r="V11" s="53" t="s">
        <v>139</v>
      </c>
      <c r="W11" s="71" t="s">
        <v>140</v>
      </c>
      <c r="X11" s="53" t="s">
        <v>115</v>
      </c>
      <c r="Y11" s="51" t="s">
        <v>141</v>
      </c>
      <c r="Z11" s="70" t="s">
        <v>142</v>
      </c>
      <c r="AA11" s="58" t="s">
        <v>116</v>
      </c>
    </row>
    <row r="12" spans="1:27" ht="80.25" hidden="1" customHeight="1">
      <c r="B12" s="298" t="s">
        <v>41</v>
      </c>
      <c r="C12" s="49" t="s">
        <v>118</v>
      </c>
      <c r="D12" s="49" t="s">
        <v>44</v>
      </c>
      <c r="E12" s="50">
        <v>2</v>
      </c>
      <c r="F12" s="49" t="s">
        <v>143</v>
      </c>
      <c r="G12" s="49" t="s">
        <v>144</v>
      </c>
      <c r="H12" s="49" t="s">
        <v>104</v>
      </c>
      <c r="I12" s="50">
        <v>2</v>
      </c>
      <c r="J12" s="49" t="s">
        <v>105</v>
      </c>
      <c r="K12" s="50">
        <v>15</v>
      </c>
      <c r="L12" s="50"/>
      <c r="M12" s="50"/>
      <c r="N12" s="51" t="s">
        <v>145</v>
      </c>
      <c r="O12" s="51" t="s">
        <v>146</v>
      </c>
      <c r="P12" s="50" t="s">
        <v>108</v>
      </c>
      <c r="Q12" s="49"/>
      <c r="R12" s="53"/>
      <c r="S12" s="49"/>
      <c r="T12" s="321" t="s">
        <v>147</v>
      </c>
      <c r="U12" s="49" t="s">
        <v>148</v>
      </c>
      <c r="V12" s="49" t="s">
        <v>149</v>
      </c>
      <c r="W12" s="71" t="s">
        <v>150</v>
      </c>
      <c r="X12" s="49" t="s">
        <v>123</v>
      </c>
      <c r="Y12" s="52" t="s">
        <v>148</v>
      </c>
      <c r="Z12" s="68" t="s">
        <v>151</v>
      </c>
      <c r="AA12" s="50" t="s">
        <v>124</v>
      </c>
    </row>
    <row r="13" spans="1:27" ht="80.25" customHeight="1">
      <c r="B13" s="327" t="s">
        <v>41</v>
      </c>
      <c r="C13" s="60" t="s">
        <v>126</v>
      </c>
      <c r="D13" s="60" t="s">
        <v>127</v>
      </c>
      <c r="E13" s="289">
        <v>0</v>
      </c>
      <c r="F13" s="60" t="s">
        <v>133</v>
      </c>
      <c r="G13" s="60" t="s">
        <v>134</v>
      </c>
      <c r="H13" s="69"/>
      <c r="I13" s="289">
        <v>2</v>
      </c>
      <c r="J13" s="60"/>
      <c r="K13" s="289"/>
      <c r="L13" s="289"/>
      <c r="M13" s="289"/>
      <c r="N13" s="76"/>
      <c r="O13" s="51" t="s">
        <v>136</v>
      </c>
      <c r="P13" s="289" t="s">
        <v>108</v>
      </c>
      <c r="Q13" s="60"/>
      <c r="R13" s="158"/>
      <c r="S13" s="69"/>
      <c r="T13" s="76" t="s">
        <v>128</v>
      </c>
      <c r="U13" s="76" t="s">
        <v>129</v>
      </c>
      <c r="V13" s="76" t="s">
        <v>152</v>
      </c>
      <c r="W13" s="287" t="s">
        <v>153</v>
      </c>
      <c r="X13" s="158" t="s">
        <v>132</v>
      </c>
      <c r="Y13" s="60"/>
      <c r="Z13" s="60"/>
      <c r="AA13" s="289"/>
    </row>
    <row r="14" spans="1:27" ht="80.25" customHeight="1">
      <c r="B14" s="298" t="s">
        <v>41</v>
      </c>
      <c r="C14" s="49" t="s">
        <v>101</v>
      </c>
      <c r="D14" s="49" t="s">
        <v>42</v>
      </c>
      <c r="E14" s="301">
        <v>1</v>
      </c>
      <c r="F14" s="54" t="s">
        <v>154</v>
      </c>
      <c r="G14" s="54" t="s">
        <v>155</v>
      </c>
      <c r="H14" s="52" t="s">
        <v>156</v>
      </c>
      <c r="I14" s="50">
        <v>3</v>
      </c>
      <c r="J14" s="49" t="s">
        <v>105</v>
      </c>
      <c r="K14" s="50">
        <v>3</v>
      </c>
      <c r="L14" s="50"/>
      <c r="M14" s="293"/>
      <c r="N14" s="51" t="s">
        <v>157</v>
      </c>
      <c r="O14" s="51" t="s">
        <v>158</v>
      </c>
      <c r="P14" s="50"/>
      <c r="Q14" s="51" t="s">
        <v>159</v>
      </c>
      <c r="R14" s="53"/>
      <c r="S14" s="49"/>
      <c r="T14" s="53" t="s">
        <v>111</v>
      </c>
      <c r="U14" s="53" t="s">
        <v>112</v>
      </c>
      <c r="V14" s="51" t="s">
        <v>113</v>
      </c>
      <c r="W14" s="71" t="s">
        <v>160</v>
      </c>
      <c r="X14" s="51" t="s">
        <v>115</v>
      </c>
      <c r="Y14" s="51" t="s">
        <v>116</v>
      </c>
      <c r="Z14" s="51" t="s">
        <v>116</v>
      </c>
      <c r="AA14" s="58" t="s">
        <v>116</v>
      </c>
    </row>
    <row r="15" spans="1:27" ht="80.25" customHeight="1">
      <c r="B15" s="298" t="s">
        <v>41</v>
      </c>
      <c r="C15" s="49" t="s">
        <v>101</v>
      </c>
      <c r="D15" s="49" t="s">
        <v>42</v>
      </c>
      <c r="E15" s="50">
        <v>1</v>
      </c>
      <c r="F15" s="54" t="s">
        <v>161</v>
      </c>
      <c r="G15" s="49" t="s">
        <v>162</v>
      </c>
      <c r="H15" s="115" t="s">
        <v>156</v>
      </c>
      <c r="I15" s="50">
        <v>3</v>
      </c>
      <c r="J15" s="49" t="s">
        <v>105</v>
      </c>
      <c r="K15" s="50">
        <v>3</v>
      </c>
      <c r="L15" s="50"/>
      <c r="M15" s="50"/>
      <c r="N15" s="51" t="s">
        <v>163</v>
      </c>
      <c r="O15" s="51" t="s">
        <v>164</v>
      </c>
      <c r="P15" s="50"/>
      <c r="Q15" s="53" t="s">
        <v>165</v>
      </c>
      <c r="R15" s="53" t="s">
        <v>166</v>
      </c>
      <c r="S15" s="53" t="s">
        <v>167</v>
      </c>
      <c r="T15" s="53" t="s">
        <v>168</v>
      </c>
      <c r="U15" s="53" t="s">
        <v>169</v>
      </c>
      <c r="V15" s="51" t="s">
        <v>170</v>
      </c>
      <c r="W15" s="285" t="s">
        <v>171</v>
      </c>
      <c r="X15" s="53" t="s">
        <v>115</v>
      </c>
      <c r="Y15" s="62" t="s">
        <v>172</v>
      </c>
      <c r="Z15" s="62" t="s">
        <v>173</v>
      </c>
      <c r="AA15" s="58" t="s">
        <v>174</v>
      </c>
    </row>
    <row r="16" spans="1:27" ht="80.25" hidden="1" customHeight="1">
      <c r="B16" s="298" t="s">
        <v>41</v>
      </c>
      <c r="C16" s="49" t="s">
        <v>118</v>
      </c>
      <c r="D16" s="49" t="s">
        <v>44</v>
      </c>
      <c r="E16" s="301">
        <v>2</v>
      </c>
      <c r="F16" s="121" t="s">
        <v>175</v>
      </c>
      <c r="G16" s="54" t="s">
        <v>176</v>
      </c>
      <c r="H16" s="52" t="s">
        <v>156</v>
      </c>
      <c r="I16" s="50">
        <v>3</v>
      </c>
      <c r="J16" s="49" t="s">
        <v>105</v>
      </c>
      <c r="K16" s="50">
        <v>4</v>
      </c>
      <c r="L16" s="50"/>
      <c r="M16" s="293"/>
      <c r="N16" s="51" t="s">
        <v>177</v>
      </c>
      <c r="O16" s="51" t="s">
        <v>178</v>
      </c>
      <c r="P16" s="50"/>
      <c r="Q16" s="52"/>
      <c r="R16" s="53"/>
      <c r="S16" s="49"/>
      <c r="T16" s="71" t="s">
        <v>119</v>
      </c>
      <c r="U16" s="53" t="s">
        <v>120</v>
      </c>
      <c r="V16" s="53" t="s">
        <v>121</v>
      </c>
      <c r="W16" s="71" t="s">
        <v>179</v>
      </c>
      <c r="X16" s="49" t="s">
        <v>123</v>
      </c>
      <c r="Y16" s="64" t="s">
        <v>180</v>
      </c>
      <c r="Z16" s="64" t="s">
        <v>180</v>
      </c>
      <c r="AA16" s="50" t="s">
        <v>181</v>
      </c>
    </row>
    <row r="17" spans="2:27" ht="80.25" customHeight="1">
      <c r="B17" s="327" t="s">
        <v>41</v>
      </c>
      <c r="C17" s="60" t="s">
        <v>126</v>
      </c>
      <c r="D17" s="60" t="s">
        <v>127</v>
      </c>
      <c r="E17" s="289">
        <v>0</v>
      </c>
      <c r="F17" s="296" t="s">
        <v>182</v>
      </c>
      <c r="G17" s="296" t="s">
        <v>183</v>
      </c>
      <c r="H17" s="304" t="s">
        <v>184</v>
      </c>
      <c r="I17" s="289">
        <v>3</v>
      </c>
      <c r="J17" s="291" t="s">
        <v>105</v>
      </c>
      <c r="K17" s="289"/>
      <c r="L17" s="289"/>
      <c r="M17" s="289"/>
      <c r="N17" s="74" t="s">
        <v>185</v>
      </c>
      <c r="O17" s="51" t="s">
        <v>186</v>
      </c>
      <c r="P17" s="289"/>
      <c r="Q17" s="60"/>
      <c r="R17" s="158"/>
      <c r="S17" s="69"/>
      <c r="T17" s="76" t="s">
        <v>128</v>
      </c>
      <c r="U17" s="76" t="s">
        <v>129</v>
      </c>
      <c r="V17" s="76" t="s">
        <v>187</v>
      </c>
      <c r="W17" s="287" t="s">
        <v>188</v>
      </c>
      <c r="X17" s="158" t="s">
        <v>132</v>
      </c>
      <c r="Y17" s="60"/>
      <c r="Z17" s="60"/>
      <c r="AA17" s="289"/>
    </row>
    <row r="18" spans="2:27" ht="80.25" customHeight="1">
      <c r="B18" s="298" t="s">
        <v>41</v>
      </c>
      <c r="C18" s="49" t="s">
        <v>101</v>
      </c>
      <c r="D18" s="49" t="s">
        <v>42</v>
      </c>
      <c r="E18" s="50">
        <v>1</v>
      </c>
      <c r="F18" s="49" t="s">
        <v>189</v>
      </c>
      <c r="G18" s="49" t="s">
        <v>190</v>
      </c>
      <c r="H18" s="52" t="s">
        <v>156</v>
      </c>
      <c r="I18" s="50">
        <v>4</v>
      </c>
      <c r="J18" s="49" t="s">
        <v>105</v>
      </c>
      <c r="K18" s="50">
        <v>3</v>
      </c>
      <c r="L18" s="50"/>
      <c r="M18" s="50"/>
      <c r="N18" s="51" t="s">
        <v>191</v>
      </c>
      <c r="O18" s="51" t="s">
        <v>192</v>
      </c>
      <c r="P18" s="50"/>
      <c r="Q18" s="51" t="s">
        <v>193</v>
      </c>
      <c r="R18" s="53" t="s">
        <v>166</v>
      </c>
      <c r="S18" s="53" t="s">
        <v>194</v>
      </c>
      <c r="T18" s="53" t="s">
        <v>195</v>
      </c>
      <c r="U18" s="53" t="s">
        <v>196</v>
      </c>
      <c r="V18" s="53" t="s">
        <v>197</v>
      </c>
      <c r="W18" s="71" t="s">
        <v>198</v>
      </c>
      <c r="X18" s="53" t="s">
        <v>115</v>
      </c>
      <c r="Y18" s="62" t="s">
        <v>199</v>
      </c>
      <c r="Z18" s="62" t="s">
        <v>200</v>
      </c>
      <c r="AA18" s="58" t="s">
        <v>201</v>
      </c>
    </row>
    <row r="19" spans="2:27" ht="80.25" hidden="1" customHeight="1">
      <c r="B19" s="298" t="s">
        <v>41</v>
      </c>
      <c r="C19" s="49" t="s">
        <v>118</v>
      </c>
      <c r="D19" s="49" t="s">
        <v>44</v>
      </c>
      <c r="E19" s="50">
        <v>2</v>
      </c>
      <c r="F19" s="49" t="s">
        <v>202</v>
      </c>
      <c r="G19" s="49" t="s">
        <v>203</v>
      </c>
      <c r="H19" s="52" t="s">
        <v>156</v>
      </c>
      <c r="I19" s="50">
        <v>4</v>
      </c>
      <c r="J19" s="49" t="s">
        <v>105</v>
      </c>
      <c r="K19" s="50">
        <v>30</v>
      </c>
      <c r="L19" s="50"/>
      <c r="M19" s="50"/>
      <c r="N19" s="51" t="s">
        <v>204</v>
      </c>
      <c r="O19" s="51" t="s">
        <v>205</v>
      </c>
      <c r="P19" s="50"/>
      <c r="Q19" s="52"/>
      <c r="R19" s="53"/>
      <c r="S19" s="49"/>
      <c r="T19" s="71" t="s">
        <v>206</v>
      </c>
      <c r="U19" s="53" t="s">
        <v>207</v>
      </c>
      <c r="V19" s="53" t="s">
        <v>208</v>
      </c>
      <c r="W19" s="71" t="s">
        <v>209</v>
      </c>
      <c r="X19" s="49" t="s">
        <v>123</v>
      </c>
      <c r="Y19" s="52" t="s">
        <v>210</v>
      </c>
      <c r="Z19" s="62" t="s">
        <v>211</v>
      </c>
      <c r="AA19" s="50" t="s">
        <v>212</v>
      </c>
    </row>
    <row r="20" spans="2:27" ht="80.25" customHeight="1">
      <c r="B20" s="327" t="s">
        <v>41</v>
      </c>
      <c r="C20" s="60" t="s">
        <v>126</v>
      </c>
      <c r="D20" s="60" t="s">
        <v>127</v>
      </c>
      <c r="E20" s="289">
        <v>0</v>
      </c>
      <c r="F20" s="60" t="s">
        <v>213</v>
      </c>
      <c r="G20" s="60" t="s">
        <v>214</v>
      </c>
      <c r="H20" s="69"/>
      <c r="I20" s="289">
        <v>4</v>
      </c>
      <c r="J20" s="60"/>
      <c r="K20" s="289"/>
      <c r="L20" s="289"/>
      <c r="M20" s="289"/>
      <c r="N20" s="76"/>
      <c r="O20" s="51" t="s">
        <v>215</v>
      </c>
      <c r="P20" s="289" t="s">
        <v>108</v>
      </c>
      <c r="Q20" s="60"/>
      <c r="R20" s="158"/>
      <c r="S20" s="69"/>
      <c r="T20" s="76" t="s">
        <v>128</v>
      </c>
      <c r="U20" s="76" t="s">
        <v>129</v>
      </c>
      <c r="V20" s="76" t="s">
        <v>187</v>
      </c>
      <c r="W20" s="287" t="s">
        <v>216</v>
      </c>
      <c r="X20" s="158" t="s">
        <v>132</v>
      </c>
      <c r="Y20" s="60"/>
      <c r="Z20" s="60"/>
      <c r="AA20" s="289"/>
    </row>
    <row r="21" spans="2:27" ht="80.25" customHeight="1">
      <c r="B21" s="298" t="s">
        <v>41</v>
      </c>
      <c r="C21" s="49" t="s">
        <v>101</v>
      </c>
      <c r="D21" s="49" t="s">
        <v>42</v>
      </c>
      <c r="E21" s="50">
        <v>1</v>
      </c>
      <c r="F21" s="49" t="s">
        <v>175</v>
      </c>
      <c r="G21" s="49" t="s">
        <v>176</v>
      </c>
      <c r="H21" s="52" t="s">
        <v>156</v>
      </c>
      <c r="I21" s="50">
        <v>5</v>
      </c>
      <c r="J21" s="49" t="s">
        <v>105</v>
      </c>
      <c r="K21" s="50">
        <v>4</v>
      </c>
      <c r="L21" s="50"/>
      <c r="M21" s="50"/>
      <c r="N21" s="67" t="s">
        <v>217</v>
      </c>
      <c r="O21" s="51" t="s">
        <v>178</v>
      </c>
      <c r="P21" s="50"/>
      <c r="Q21" s="52"/>
      <c r="R21" s="53" t="s">
        <v>218</v>
      </c>
      <c r="S21" s="53" t="s">
        <v>219</v>
      </c>
      <c r="T21" s="53" t="s">
        <v>220</v>
      </c>
      <c r="U21" s="53" t="s">
        <v>221</v>
      </c>
      <c r="V21" s="53" t="s">
        <v>222</v>
      </c>
      <c r="W21" s="71" t="s">
        <v>223</v>
      </c>
      <c r="X21" s="53" t="s">
        <v>115</v>
      </c>
      <c r="Y21" s="62" t="s">
        <v>224</v>
      </c>
      <c r="Z21" s="62" t="s">
        <v>224</v>
      </c>
      <c r="AA21" s="58" t="s">
        <v>225</v>
      </c>
    </row>
    <row r="22" spans="2:27" ht="80.25" hidden="1" customHeight="1">
      <c r="B22" s="298" t="s">
        <v>41</v>
      </c>
      <c r="C22" s="49" t="s">
        <v>118</v>
      </c>
      <c r="D22" s="49" t="s">
        <v>44</v>
      </c>
      <c r="E22" s="50">
        <v>2</v>
      </c>
      <c r="F22" s="49" t="s">
        <v>226</v>
      </c>
      <c r="G22" s="49" t="s">
        <v>227</v>
      </c>
      <c r="H22" s="52" t="s">
        <v>156</v>
      </c>
      <c r="I22" s="50">
        <v>5</v>
      </c>
      <c r="J22" s="49" t="s">
        <v>105</v>
      </c>
      <c r="K22" s="50">
        <v>34</v>
      </c>
      <c r="L22" s="50"/>
      <c r="M22" s="50"/>
      <c r="N22" s="51" t="s">
        <v>228</v>
      </c>
      <c r="O22" s="51" t="s">
        <v>229</v>
      </c>
      <c r="P22" s="50"/>
      <c r="Q22" s="52"/>
      <c r="R22" s="51"/>
      <c r="S22" s="52"/>
      <c r="T22" s="71" t="s">
        <v>206</v>
      </c>
      <c r="U22" s="53" t="s">
        <v>207</v>
      </c>
      <c r="V22" s="53" t="s">
        <v>208</v>
      </c>
      <c r="W22" s="71" t="s">
        <v>230</v>
      </c>
      <c r="X22" s="49" t="s">
        <v>123</v>
      </c>
      <c r="Y22" s="52" t="s">
        <v>231</v>
      </c>
      <c r="Z22" s="52" t="s">
        <v>232</v>
      </c>
      <c r="AA22" s="50" t="s">
        <v>124</v>
      </c>
    </row>
    <row r="23" spans="2:27" ht="80.25" hidden="1" customHeight="1">
      <c r="B23" s="327" t="s">
        <v>41</v>
      </c>
      <c r="C23" s="60" t="s">
        <v>126</v>
      </c>
      <c r="D23" s="60" t="s">
        <v>127</v>
      </c>
      <c r="E23" s="289">
        <v>0</v>
      </c>
      <c r="F23" s="49" t="s">
        <v>233</v>
      </c>
      <c r="G23" s="49" t="s">
        <v>234</v>
      </c>
      <c r="H23" s="69"/>
      <c r="I23" s="289">
        <v>5</v>
      </c>
      <c r="J23" s="60"/>
      <c r="K23" s="289"/>
      <c r="L23" s="289"/>
      <c r="M23" s="289"/>
      <c r="N23" s="76"/>
      <c r="O23" s="51" t="s">
        <v>235</v>
      </c>
      <c r="P23" s="289"/>
      <c r="Q23" s="60"/>
      <c r="R23" s="158"/>
      <c r="S23" s="69"/>
      <c r="T23" s="76" t="s">
        <v>128</v>
      </c>
      <c r="U23" s="76" t="s">
        <v>236</v>
      </c>
      <c r="V23" s="76" t="s">
        <v>237</v>
      </c>
      <c r="W23" s="287" t="s">
        <v>238</v>
      </c>
      <c r="X23" s="158" t="s">
        <v>132</v>
      </c>
      <c r="Y23" s="60"/>
      <c r="Z23" s="60"/>
      <c r="AA23" s="289"/>
    </row>
    <row r="24" spans="2:27" ht="80.25" customHeight="1">
      <c r="B24" s="298" t="s">
        <v>41</v>
      </c>
      <c r="C24" s="49" t="s">
        <v>101</v>
      </c>
      <c r="D24" s="49" t="s">
        <v>42</v>
      </c>
      <c r="E24" s="50">
        <v>1</v>
      </c>
      <c r="F24" s="49" t="s">
        <v>202</v>
      </c>
      <c r="G24" s="49" t="s">
        <v>203</v>
      </c>
      <c r="H24" s="52" t="s">
        <v>156</v>
      </c>
      <c r="I24" s="50">
        <v>6</v>
      </c>
      <c r="J24" s="49" t="s">
        <v>105</v>
      </c>
      <c r="K24" s="50">
        <v>30</v>
      </c>
      <c r="L24" s="50"/>
      <c r="M24" s="50"/>
      <c r="N24" s="51" t="s">
        <v>239</v>
      </c>
      <c r="O24" s="51" t="s">
        <v>205</v>
      </c>
      <c r="P24" s="50"/>
      <c r="Q24" s="52"/>
      <c r="R24" s="53" t="s">
        <v>218</v>
      </c>
      <c r="S24" s="53" t="s">
        <v>219</v>
      </c>
      <c r="T24" s="53" t="s">
        <v>240</v>
      </c>
      <c r="U24" s="53" t="s">
        <v>241</v>
      </c>
      <c r="V24" s="53" t="s">
        <v>242</v>
      </c>
      <c r="W24" s="71" t="s">
        <v>243</v>
      </c>
      <c r="X24" s="53" t="s">
        <v>115</v>
      </c>
      <c r="Y24" s="51" t="s">
        <v>244</v>
      </c>
      <c r="Z24" s="62" t="s">
        <v>245</v>
      </c>
      <c r="AA24" s="58" t="s">
        <v>246</v>
      </c>
    </row>
    <row r="25" spans="2:27" ht="80.25" hidden="1" customHeight="1">
      <c r="B25" s="298" t="s">
        <v>41</v>
      </c>
      <c r="C25" s="49" t="s">
        <v>118</v>
      </c>
      <c r="D25" s="49" t="s">
        <v>44</v>
      </c>
      <c r="E25" s="50">
        <v>2</v>
      </c>
      <c r="F25" s="49" t="s">
        <v>247</v>
      </c>
      <c r="G25" s="49" t="s">
        <v>248</v>
      </c>
      <c r="H25" s="52" t="s">
        <v>156</v>
      </c>
      <c r="I25" s="50">
        <v>6</v>
      </c>
      <c r="J25" s="49" t="s">
        <v>105</v>
      </c>
      <c r="K25" s="50">
        <v>4</v>
      </c>
      <c r="L25" s="50"/>
      <c r="M25" s="50"/>
      <c r="N25" s="51" t="s">
        <v>249</v>
      </c>
      <c r="O25" s="51" t="s">
        <v>250</v>
      </c>
      <c r="P25" s="50"/>
      <c r="Q25" s="52"/>
      <c r="R25" s="53"/>
      <c r="S25" s="49"/>
      <c r="T25" s="71" t="s">
        <v>119</v>
      </c>
      <c r="U25" s="53" t="s">
        <v>120</v>
      </c>
      <c r="V25" s="53" t="s">
        <v>121</v>
      </c>
      <c r="W25" s="71" t="s">
        <v>251</v>
      </c>
      <c r="X25" s="49" t="s">
        <v>123</v>
      </c>
      <c r="Y25" s="64" t="s">
        <v>180</v>
      </c>
      <c r="Z25" s="64" t="s">
        <v>180</v>
      </c>
      <c r="AA25" s="50" t="s">
        <v>181</v>
      </c>
    </row>
    <row r="26" spans="2:27" ht="80.25" customHeight="1">
      <c r="B26" s="327" t="s">
        <v>41</v>
      </c>
      <c r="C26" s="60" t="s">
        <v>126</v>
      </c>
      <c r="D26" s="60" t="s">
        <v>127</v>
      </c>
      <c r="E26" s="289">
        <v>0</v>
      </c>
      <c r="F26" s="49" t="s">
        <v>252</v>
      </c>
      <c r="G26" s="49" t="s">
        <v>253</v>
      </c>
      <c r="H26" s="69"/>
      <c r="I26" s="289">
        <v>6</v>
      </c>
      <c r="J26" s="60"/>
      <c r="K26" s="289"/>
      <c r="L26" s="289"/>
      <c r="M26" s="289"/>
      <c r="N26" s="76"/>
      <c r="O26" s="51" t="s">
        <v>254</v>
      </c>
      <c r="P26" s="289"/>
      <c r="Q26" s="60"/>
      <c r="R26" s="158"/>
      <c r="S26" s="69"/>
      <c r="T26" s="76" t="s">
        <v>128</v>
      </c>
      <c r="U26" s="76" t="s">
        <v>129</v>
      </c>
      <c r="V26" s="76" t="s">
        <v>187</v>
      </c>
      <c r="W26" s="287" t="s">
        <v>255</v>
      </c>
      <c r="X26" s="158" t="s">
        <v>132</v>
      </c>
      <c r="Y26" s="60"/>
      <c r="Z26" s="60"/>
      <c r="AA26" s="289"/>
    </row>
    <row r="27" spans="2:27" ht="80.25" customHeight="1">
      <c r="B27" s="298" t="s">
        <v>41</v>
      </c>
      <c r="C27" s="49" t="s">
        <v>101</v>
      </c>
      <c r="D27" s="49" t="s">
        <v>42</v>
      </c>
      <c r="E27" s="50">
        <v>1</v>
      </c>
      <c r="F27" s="49" t="s">
        <v>226</v>
      </c>
      <c r="G27" s="49" t="s">
        <v>227</v>
      </c>
      <c r="H27" s="52" t="s">
        <v>156</v>
      </c>
      <c r="I27" s="50">
        <v>7</v>
      </c>
      <c r="J27" s="49" t="s">
        <v>105</v>
      </c>
      <c r="K27" s="50">
        <v>21</v>
      </c>
      <c r="L27" s="50"/>
      <c r="M27" s="50"/>
      <c r="N27" s="51" t="s">
        <v>228</v>
      </c>
      <c r="O27" s="51" t="s">
        <v>229</v>
      </c>
      <c r="P27" s="50"/>
      <c r="Q27" s="52"/>
      <c r="R27" s="51"/>
      <c r="S27" s="52"/>
      <c r="T27" s="53" t="s">
        <v>240</v>
      </c>
      <c r="U27" s="53" t="s">
        <v>241</v>
      </c>
      <c r="V27" s="53" t="s">
        <v>256</v>
      </c>
      <c r="W27" s="71" t="s">
        <v>257</v>
      </c>
      <c r="X27" s="53" t="s">
        <v>115</v>
      </c>
      <c r="Y27" s="51" t="s">
        <v>258</v>
      </c>
      <c r="Z27" s="51" t="s">
        <v>259</v>
      </c>
      <c r="AA27" s="58" t="s">
        <v>260</v>
      </c>
    </row>
    <row r="28" spans="2:27" ht="80.25" hidden="1" customHeight="1">
      <c r="B28" s="298" t="s">
        <v>41</v>
      </c>
      <c r="C28" s="49" t="s">
        <v>118</v>
      </c>
      <c r="D28" s="49" t="s">
        <v>44</v>
      </c>
      <c r="E28" s="50">
        <v>2</v>
      </c>
      <c r="F28" s="49" t="s">
        <v>261</v>
      </c>
      <c r="G28" s="49" t="s">
        <v>262</v>
      </c>
      <c r="H28" s="52" t="s">
        <v>156</v>
      </c>
      <c r="I28" s="50">
        <v>7</v>
      </c>
      <c r="J28" s="49" t="s">
        <v>105</v>
      </c>
      <c r="K28" s="50">
        <v>30</v>
      </c>
      <c r="L28" s="50"/>
      <c r="M28" s="50"/>
      <c r="N28" s="51" t="s">
        <v>263</v>
      </c>
      <c r="O28" s="51" t="s">
        <v>264</v>
      </c>
      <c r="P28" s="50"/>
      <c r="Q28" s="52"/>
      <c r="R28" s="53"/>
      <c r="S28" s="49"/>
      <c r="T28" s="71" t="s">
        <v>206</v>
      </c>
      <c r="U28" s="53" t="s">
        <v>207</v>
      </c>
      <c r="V28" s="53" t="s">
        <v>265</v>
      </c>
      <c r="W28" s="71" t="s">
        <v>266</v>
      </c>
      <c r="X28" s="49" t="s">
        <v>123</v>
      </c>
      <c r="Y28" s="52" t="s">
        <v>231</v>
      </c>
      <c r="Z28" s="68" t="s">
        <v>267</v>
      </c>
      <c r="AA28" s="50" t="s">
        <v>212</v>
      </c>
    </row>
    <row r="29" spans="2:27" ht="80.25" customHeight="1">
      <c r="B29" s="298" t="s">
        <v>41</v>
      </c>
      <c r="C29" s="49" t="s">
        <v>101</v>
      </c>
      <c r="D29" s="49" t="s">
        <v>42</v>
      </c>
      <c r="E29" s="50">
        <v>1</v>
      </c>
      <c r="F29" s="49" t="s">
        <v>247</v>
      </c>
      <c r="G29" s="49" t="s">
        <v>248</v>
      </c>
      <c r="H29" s="52" t="s">
        <v>156</v>
      </c>
      <c r="I29" s="50">
        <v>8</v>
      </c>
      <c r="J29" s="49" t="s">
        <v>105</v>
      </c>
      <c r="K29" s="50">
        <v>4</v>
      </c>
      <c r="L29" s="50"/>
      <c r="M29" s="50"/>
      <c r="N29" s="51" t="s">
        <v>268</v>
      </c>
      <c r="O29" s="51" t="s">
        <v>264</v>
      </c>
      <c r="P29" s="50"/>
      <c r="Q29" s="52"/>
      <c r="R29" s="53"/>
      <c r="S29" s="49"/>
      <c r="T29" s="53" t="s">
        <v>269</v>
      </c>
      <c r="U29" s="53" t="s">
        <v>270</v>
      </c>
      <c r="V29" s="53" t="s">
        <v>271</v>
      </c>
      <c r="W29" s="71" t="s">
        <v>272</v>
      </c>
      <c r="X29" s="53" t="s">
        <v>115</v>
      </c>
      <c r="Y29" s="62" t="s">
        <v>224</v>
      </c>
      <c r="Z29" s="62" t="s">
        <v>224</v>
      </c>
      <c r="AA29" s="58" t="s">
        <v>273</v>
      </c>
    </row>
    <row r="30" spans="2:27" ht="80.25" hidden="1" customHeight="1">
      <c r="B30" s="298" t="s">
        <v>41</v>
      </c>
      <c r="C30" s="49" t="s">
        <v>118</v>
      </c>
      <c r="D30" s="49" t="s">
        <v>44</v>
      </c>
      <c r="E30" s="50">
        <v>2</v>
      </c>
      <c r="F30" s="49" t="s">
        <v>274</v>
      </c>
      <c r="G30" s="49" t="s">
        <v>275</v>
      </c>
      <c r="H30" s="52" t="s">
        <v>156</v>
      </c>
      <c r="I30" s="50">
        <v>8</v>
      </c>
      <c r="J30" s="49" t="s">
        <v>105</v>
      </c>
      <c r="K30" s="50">
        <v>34</v>
      </c>
      <c r="L30" s="50"/>
      <c r="M30" s="50"/>
      <c r="N30" s="51" t="s">
        <v>276</v>
      </c>
      <c r="O30" s="51" t="s">
        <v>277</v>
      </c>
      <c r="P30" s="50"/>
      <c r="Q30" s="52"/>
      <c r="R30" s="51"/>
      <c r="S30" s="52"/>
      <c r="T30" s="71" t="s">
        <v>206</v>
      </c>
      <c r="U30" s="53" t="s">
        <v>207</v>
      </c>
      <c r="V30" s="53" t="s">
        <v>265</v>
      </c>
      <c r="W30" s="71" t="s">
        <v>278</v>
      </c>
      <c r="X30" s="49" t="s">
        <v>123</v>
      </c>
      <c r="Y30" s="52" t="s">
        <v>231</v>
      </c>
      <c r="Z30" s="68" t="s">
        <v>279</v>
      </c>
      <c r="AA30" s="50" t="s">
        <v>280</v>
      </c>
    </row>
    <row r="31" spans="2:27" ht="80.25" customHeight="1">
      <c r="B31" s="298" t="s">
        <v>41</v>
      </c>
      <c r="C31" s="49" t="s">
        <v>101</v>
      </c>
      <c r="D31" s="49" t="s">
        <v>42</v>
      </c>
      <c r="E31" s="50">
        <v>1</v>
      </c>
      <c r="F31" s="49" t="s">
        <v>261</v>
      </c>
      <c r="G31" s="49" t="s">
        <v>262</v>
      </c>
      <c r="H31" s="52" t="s">
        <v>156</v>
      </c>
      <c r="I31" s="50">
        <v>9</v>
      </c>
      <c r="J31" s="49" t="s">
        <v>105</v>
      </c>
      <c r="K31" s="50">
        <v>30</v>
      </c>
      <c r="L31" s="50"/>
      <c r="M31" s="50"/>
      <c r="N31" s="51" t="s">
        <v>281</v>
      </c>
      <c r="O31" s="51" t="s">
        <v>282</v>
      </c>
      <c r="P31" s="50"/>
      <c r="Q31" s="52"/>
      <c r="R31" s="53"/>
      <c r="S31" s="49"/>
      <c r="T31" s="224" t="s">
        <v>240</v>
      </c>
      <c r="U31" s="224" t="s">
        <v>241</v>
      </c>
      <c r="V31" s="53" t="s">
        <v>283</v>
      </c>
      <c r="W31" s="71" t="s">
        <v>284</v>
      </c>
      <c r="X31" s="53" t="s">
        <v>115</v>
      </c>
      <c r="Y31" s="51" t="s">
        <v>285</v>
      </c>
      <c r="Z31" s="63" t="s">
        <v>286</v>
      </c>
      <c r="AA31" s="58" t="s">
        <v>287</v>
      </c>
    </row>
    <row r="32" spans="2:27" ht="80.25" hidden="1" customHeight="1">
      <c r="B32" s="298" t="s">
        <v>41</v>
      </c>
      <c r="C32" s="49" t="s">
        <v>118</v>
      </c>
      <c r="D32" s="49" t="s">
        <v>44</v>
      </c>
      <c r="E32" s="50">
        <v>2</v>
      </c>
      <c r="F32" s="49" t="s">
        <v>288</v>
      </c>
      <c r="G32" s="49" t="s">
        <v>289</v>
      </c>
      <c r="H32" s="52" t="s">
        <v>290</v>
      </c>
      <c r="I32" s="50">
        <v>9</v>
      </c>
      <c r="J32" s="49" t="s">
        <v>105</v>
      </c>
      <c r="K32" s="50">
        <v>10</v>
      </c>
      <c r="L32" s="50"/>
      <c r="M32" s="50"/>
      <c r="N32" s="51" t="s">
        <v>291</v>
      </c>
      <c r="O32" s="51" t="s">
        <v>292</v>
      </c>
      <c r="P32" s="50"/>
      <c r="Q32" s="52"/>
      <c r="R32" s="53"/>
      <c r="S32" s="49"/>
      <c r="T32" s="224" t="s">
        <v>147</v>
      </c>
      <c r="U32" s="121" t="s">
        <v>148</v>
      </c>
      <c r="V32" s="202" t="s">
        <v>293</v>
      </c>
      <c r="W32" s="286" t="s">
        <v>294</v>
      </c>
      <c r="X32" s="49" t="s">
        <v>123</v>
      </c>
      <c r="Y32" s="52" t="s">
        <v>148</v>
      </c>
      <c r="Z32" s="52" t="s">
        <v>295</v>
      </c>
      <c r="AA32" s="50" t="s">
        <v>124</v>
      </c>
    </row>
    <row r="33" spans="2:27" ht="80.25" customHeight="1">
      <c r="B33" s="298" t="s">
        <v>41</v>
      </c>
      <c r="C33" s="49" t="s">
        <v>101</v>
      </c>
      <c r="D33" s="49" t="s">
        <v>42</v>
      </c>
      <c r="E33" s="50">
        <v>1</v>
      </c>
      <c r="F33" s="49" t="s">
        <v>274</v>
      </c>
      <c r="G33" s="49" t="s">
        <v>275</v>
      </c>
      <c r="H33" s="52" t="s">
        <v>156</v>
      </c>
      <c r="I33" s="50">
        <v>10</v>
      </c>
      <c r="J33" s="49" t="s">
        <v>105</v>
      </c>
      <c r="K33" s="50">
        <v>21</v>
      </c>
      <c r="L33" s="50"/>
      <c r="M33" s="50"/>
      <c r="N33" s="51" t="s">
        <v>276</v>
      </c>
      <c r="O33" s="51" t="s">
        <v>277</v>
      </c>
      <c r="P33" s="50"/>
      <c r="Q33" s="52"/>
      <c r="R33" s="51"/>
      <c r="S33" s="52"/>
      <c r="T33" s="53" t="s">
        <v>240</v>
      </c>
      <c r="U33" s="224" t="s">
        <v>241</v>
      </c>
      <c r="V33" s="53" t="s">
        <v>283</v>
      </c>
      <c r="W33" s="71" t="s">
        <v>296</v>
      </c>
      <c r="X33" s="53" t="s">
        <v>115</v>
      </c>
      <c r="Y33" s="51" t="s">
        <v>258</v>
      </c>
      <c r="Z33" s="63" t="s">
        <v>297</v>
      </c>
      <c r="AA33" s="58" t="s">
        <v>260</v>
      </c>
    </row>
    <row r="34" spans="2:27" ht="80.25" hidden="1" customHeight="1">
      <c r="B34" s="298" t="s">
        <v>41</v>
      </c>
      <c r="C34" s="49" t="s">
        <v>118</v>
      </c>
      <c r="D34" s="49" t="s">
        <v>44</v>
      </c>
      <c r="E34" s="50">
        <v>2</v>
      </c>
      <c r="F34" s="49" t="s">
        <v>298</v>
      </c>
      <c r="G34" s="49" t="s">
        <v>299</v>
      </c>
      <c r="H34" s="52" t="s">
        <v>300</v>
      </c>
      <c r="I34" s="50">
        <v>10</v>
      </c>
      <c r="J34" s="49" t="s">
        <v>105</v>
      </c>
      <c r="K34" s="50">
        <v>10</v>
      </c>
      <c r="L34" s="50"/>
      <c r="M34" s="50"/>
      <c r="N34" s="51" t="s">
        <v>301</v>
      </c>
      <c r="O34" s="51" t="s">
        <v>302</v>
      </c>
      <c r="P34" s="50"/>
      <c r="Q34" s="49"/>
      <c r="R34" s="53"/>
      <c r="S34" s="49"/>
      <c r="T34" s="53" t="s">
        <v>147</v>
      </c>
      <c r="U34" s="49" t="s">
        <v>148</v>
      </c>
      <c r="V34" s="49" t="s">
        <v>303</v>
      </c>
      <c r="W34" s="305" t="s">
        <v>304</v>
      </c>
      <c r="X34" s="49" t="s">
        <v>123</v>
      </c>
      <c r="Y34" s="52" t="s">
        <v>148</v>
      </c>
      <c r="Z34" s="52" t="s">
        <v>305</v>
      </c>
      <c r="AA34" s="50" t="s">
        <v>124</v>
      </c>
    </row>
    <row r="35" spans="2:27" ht="80.25" customHeight="1">
      <c r="B35" s="298" t="s">
        <v>41</v>
      </c>
      <c r="C35" s="49" t="s">
        <v>101</v>
      </c>
      <c r="D35" s="49" t="s">
        <v>42</v>
      </c>
      <c r="E35" s="50">
        <v>1</v>
      </c>
      <c r="F35" s="49" t="s">
        <v>306</v>
      </c>
      <c r="G35" s="49" t="s">
        <v>307</v>
      </c>
      <c r="H35" s="52" t="s">
        <v>156</v>
      </c>
      <c r="I35" s="50">
        <v>11</v>
      </c>
      <c r="J35" s="49" t="s">
        <v>105</v>
      </c>
      <c r="K35" s="50">
        <v>4</v>
      </c>
      <c r="L35" s="50"/>
      <c r="M35" s="50"/>
      <c r="N35" s="51" t="s">
        <v>308</v>
      </c>
      <c r="O35" s="51" t="s">
        <v>309</v>
      </c>
      <c r="P35" s="50"/>
      <c r="Q35" s="49"/>
      <c r="R35" s="53"/>
      <c r="S35" s="49"/>
      <c r="T35" s="53" t="s">
        <v>168</v>
      </c>
      <c r="U35" s="53" t="s">
        <v>169</v>
      </c>
      <c r="V35" s="51" t="s">
        <v>310</v>
      </c>
      <c r="W35" s="71" t="s">
        <v>311</v>
      </c>
      <c r="X35" s="53" t="s">
        <v>115</v>
      </c>
      <c r="Y35" s="62" t="s">
        <v>116</v>
      </c>
      <c r="Z35" s="62" t="s">
        <v>116</v>
      </c>
      <c r="AA35" s="58" t="s">
        <v>312</v>
      </c>
    </row>
    <row r="36" spans="2:27" ht="80.25" hidden="1" customHeight="1">
      <c r="B36" s="298" t="s">
        <v>41</v>
      </c>
      <c r="C36" s="49" t="s">
        <v>118</v>
      </c>
      <c r="D36" s="49" t="s">
        <v>44</v>
      </c>
      <c r="E36" s="50">
        <v>2</v>
      </c>
      <c r="F36" s="49" t="s">
        <v>313</v>
      </c>
      <c r="G36" s="49" t="s">
        <v>314</v>
      </c>
      <c r="H36" s="52" t="s">
        <v>315</v>
      </c>
      <c r="I36" s="50">
        <v>11</v>
      </c>
      <c r="J36" s="49" t="s">
        <v>105</v>
      </c>
      <c r="K36" s="50">
        <v>4</v>
      </c>
      <c r="L36" s="50"/>
      <c r="M36" s="50"/>
      <c r="N36" s="51" t="s">
        <v>316</v>
      </c>
      <c r="O36" s="51" t="s">
        <v>317</v>
      </c>
      <c r="P36" s="50"/>
      <c r="Q36" s="53" t="s">
        <v>318</v>
      </c>
      <c r="R36" s="53"/>
      <c r="S36" s="49"/>
      <c r="T36" s="71" t="s">
        <v>206</v>
      </c>
      <c r="U36" s="53" t="s">
        <v>207</v>
      </c>
      <c r="V36" s="53" t="s">
        <v>319</v>
      </c>
      <c r="W36" s="71" t="s">
        <v>320</v>
      </c>
      <c r="X36" s="49" t="s">
        <v>123</v>
      </c>
      <c r="Y36" s="52" t="s">
        <v>321</v>
      </c>
      <c r="Z36" s="52" t="s">
        <v>322</v>
      </c>
      <c r="AA36" s="50" t="s">
        <v>124</v>
      </c>
    </row>
    <row r="37" spans="2:27" ht="80.25" customHeight="1">
      <c r="B37" s="298" t="s">
        <v>41</v>
      </c>
      <c r="C37" s="49" t="s">
        <v>101</v>
      </c>
      <c r="D37" s="49" t="s">
        <v>42</v>
      </c>
      <c r="E37" s="50">
        <v>1</v>
      </c>
      <c r="F37" s="49" t="s">
        <v>143</v>
      </c>
      <c r="G37" s="49" t="s">
        <v>144</v>
      </c>
      <c r="H37" s="49" t="s">
        <v>156</v>
      </c>
      <c r="I37" s="50">
        <v>12</v>
      </c>
      <c r="J37" s="49" t="s">
        <v>105</v>
      </c>
      <c r="K37" s="50">
        <v>15</v>
      </c>
      <c r="L37" s="50"/>
      <c r="M37" s="50"/>
      <c r="N37" s="51" t="s">
        <v>323</v>
      </c>
      <c r="O37" s="51" t="s">
        <v>146</v>
      </c>
      <c r="P37" s="50"/>
      <c r="Q37" s="49"/>
      <c r="R37" s="53"/>
      <c r="S37" s="49"/>
      <c r="T37" s="53" t="s">
        <v>324</v>
      </c>
      <c r="U37" s="53" t="s">
        <v>325</v>
      </c>
      <c r="V37" s="53" t="s">
        <v>326</v>
      </c>
      <c r="W37" s="71" t="s">
        <v>327</v>
      </c>
      <c r="X37" s="53" t="s">
        <v>115</v>
      </c>
      <c r="Y37" s="51" t="s">
        <v>328</v>
      </c>
      <c r="Z37" s="51" t="s">
        <v>329</v>
      </c>
      <c r="AA37" s="58" t="s">
        <v>260</v>
      </c>
    </row>
    <row r="38" spans="2:27" ht="80.25" hidden="1" customHeight="1">
      <c r="B38" s="298" t="s">
        <v>41</v>
      </c>
      <c r="C38" s="49" t="s">
        <v>118</v>
      </c>
      <c r="D38" s="49" t="s">
        <v>44</v>
      </c>
      <c r="E38" s="50">
        <v>2</v>
      </c>
      <c r="F38" s="49" t="s">
        <v>330</v>
      </c>
      <c r="G38" s="49" t="s">
        <v>331</v>
      </c>
      <c r="H38" s="49" t="s">
        <v>332</v>
      </c>
      <c r="I38" s="50">
        <v>12</v>
      </c>
      <c r="J38" s="49" t="s">
        <v>333</v>
      </c>
      <c r="K38" s="50">
        <v>23</v>
      </c>
      <c r="L38" s="50">
        <v>6</v>
      </c>
      <c r="M38" s="50"/>
      <c r="N38" s="51" t="s">
        <v>334</v>
      </c>
      <c r="O38" s="51" t="s">
        <v>335</v>
      </c>
      <c r="P38" s="50"/>
      <c r="Q38" s="52"/>
      <c r="R38" s="53"/>
      <c r="S38" s="49"/>
      <c r="T38" s="71" t="s">
        <v>336</v>
      </c>
      <c r="U38" s="53" t="s">
        <v>337</v>
      </c>
      <c r="V38" s="53" t="s">
        <v>338</v>
      </c>
      <c r="W38" s="71" t="s">
        <v>339</v>
      </c>
      <c r="X38" s="49" t="s">
        <v>123</v>
      </c>
      <c r="Y38" s="51" t="s">
        <v>340</v>
      </c>
      <c r="Z38" s="51" t="s">
        <v>341</v>
      </c>
      <c r="AA38" s="50" t="s">
        <v>180</v>
      </c>
    </row>
    <row r="39" spans="2:27" ht="80.25" customHeight="1">
      <c r="B39" s="298" t="s">
        <v>41</v>
      </c>
      <c r="C39" s="49" t="s">
        <v>101</v>
      </c>
      <c r="D39" s="49" t="s">
        <v>42</v>
      </c>
      <c r="E39" s="50">
        <v>1</v>
      </c>
      <c r="F39" s="49" t="s">
        <v>288</v>
      </c>
      <c r="G39" s="49" t="s">
        <v>289</v>
      </c>
      <c r="H39" s="52" t="s">
        <v>300</v>
      </c>
      <c r="I39" s="50">
        <v>13</v>
      </c>
      <c r="J39" s="49" t="s">
        <v>105</v>
      </c>
      <c r="K39" s="50">
        <v>10</v>
      </c>
      <c r="L39" s="50"/>
      <c r="M39" s="50"/>
      <c r="N39" s="51" t="s">
        <v>342</v>
      </c>
      <c r="O39" s="51" t="s">
        <v>292</v>
      </c>
      <c r="P39" s="50"/>
      <c r="Q39" s="49"/>
      <c r="R39" s="53" t="s">
        <v>343</v>
      </c>
      <c r="S39" s="49" t="s">
        <v>288</v>
      </c>
      <c r="T39" s="53" t="s">
        <v>324</v>
      </c>
      <c r="U39" s="53" t="s">
        <v>325</v>
      </c>
      <c r="V39" s="53" t="s">
        <v>344</v>
      </c>
      <c r="W39" s="71" t="s">
        <v>345</v>
      </c>
      <c r="X39" s="53" t="s">
        <v>115</v>
      </c>
      <c r="Y39" s="51" t="s">
        <v>346</v>
      </c>
      <c r="Z39" s="62" t="s">
        <v>347</v>
      </c>
      <c r="AA39" s="58" t="s">
        <v>116</v>
      </c>
    </row>
    <row r="40" spans="2:27" ht="80.25" hidden="1" customHeight="1">
      <c r="B40" s="298" t="s">
        <v>41</v>
      </c>
      <c r="C40" s="49" t="s">
        <v>118</v>
      </c>
      <c r="D40" s="49" t="s">
        <v>44</v>
      </c>
      <c r="E40" s="50">
        <v>2</v>
      </c>
      <c r="F40" s="49" t="s">
        <v>348</v>
      </c>
      <c r="G40" s="49" t="s">
        <v>349</v>
      </c>
      <c r="H40" s="49" t="s">
        <v>332</v>
      </c>
      <c r="I40" s="50">
        <v>13</v>
      </c>
      <c r="J40" s="49" t="s">
        <v>333</v>
      </c>
      <c r="K40" s="50">
        <v>23</v>
      </c>
      <c r="L40" s="50">
        <v>6</v>
      </c>
      <c r="M40" s="50"/>
      <c r="N40" s="51" t="s">
        <v>350</v>
      </c>
      <c r="O40" s="51" t="s">
        <v>351</v>
      </c>
      <c r="P40" s="50"/>
      <c r="Q40" s="52"/>
      <c r="R40" s="53" t="s">
        <v>343</v>
      </c>
      <c r="S40" s="49" t="s">
        <v>352</v>
      </c>
      <c r="T40" s="71" t="s">
        <v>206</v>
      </c>
      <c r="U40" s="53" t="s">
        <v>207</v>
      </c>
      <c r="V40" s="53" t="s">
        <v>353</v>
      </c>
      <c r="W40" s="71" t="s">
        <v>354</v>
      </c>
      <c r="X40" s="49" t="s">
        <v>123</v>
      </c>
      <c r="Y40" s="51" t="s">
        <v>231</v>
      </c>
      <c r="Z40" s="51" t="s">
        <v>355</v>
      </c>
      <c r="AA40" s="50" t="s">
        <v>124</v>
      </c>
    </row>
    <row r="41" spans="2:27" ht="80.25" customHeight="1">
      <c r="B41" s="298" t="s">
        <v>41</v>
      </c>
      <c r="C41" s="49" t="s">
        <v>101</v>
      </c>
      <c r="D41" s="49" t="s">
        <v>42</v>
      </c>
      <c r="E41" s="50">
        <v>1</v>
      </c>
      <c r="F41" s="49" t="s">
        <v>298</v>
      </c>
      <c r="G41" s="49" t="s">
        <v>299</v>
      </c>
      <c r="H41" s="52" t="s">
        <v>300</v>
      </c>
      <c r="I41" s="50">
        <v>14</v>
      </c>
      <c r="J41" s="49" t="s">
        <v>105</v>
      </c>
      <c r="K41" s="50">
        <v>10</v>
      </c>
      <c r="L41" s="50"/>
      <c r="M41" s="50"/>
      <c r="N41" s="51" t="s">
        <v>356</v>
      </c>
      <c r="O41" s="51" t="s">
        <v>302</v>
      </c>
      <c r="P41" s="50"/>
      <c r="Q41" s="52"/>
      <c r="R41" s="53" t="s">
        <v>357</v>
      </c>
      <c r="S41" s="49" t="s">
        <v>298</v>
      </c>
      <c r="T41" s="53" t="s">
        <v>324</v>
      </c>
      <c r="U41" s="53" t="s">
        <v>325</v>
      </c>
      <c r="V41" s="53" t="s">
        <v>358</v>
      </c>
      <c r="W41" s="71" t="s">
        <v>359</v>
      </c>
      <c r="X41" s="53" t="s">
        <v>115</v>
      </c>
      <c r="Y41" s="51" t="s">
        <v>346</v>
      </c>
      <c r="Z41" s="62" t="s">
        <v>360</v>
      </c>
      <c r="AA41" s="58" t="s">
        <v>116</v>
      </c>
    </row>
    <row r="42" spans="2:27" ht="80.25" hidden="1" customHeight="1">
      <c r="B42" s="298" t="s">
        <v>41</v>
      </c>
      <c r="C42" s="49" t="s">
        <v>118</v>
      </c>
      <c r="D42" s="49" t="s">
        <v>44</v>
      </c>
      <c r="E42" s="50">
        <v>2</v>
      </c>
      <c r="F42" s="49" t="s">
        <v>361</v>
      </c>
      <c r="G42" s="49" t="s">
        <v>362</v>
      </c>
      <c r="H42" s="52" t="s">
        <v>363</v>
      </c>
      <c r="I42" s="50">
        <v>14</v>
      </c>
      <c r="J42" s="49" t="s">
        <v>105</v>
      </c>
      <c r="K42" s="50">
        <v>4</v>
      </c>
      <c r="L42" s="50"/>
      <c r="M42" s="50"/>
      <c r="N42" s="51" t="s">
        <v>364</v>
      </c>
      <c r="O42" s="51" t="s">
        <v>365</v>
      </c>
      <c r="P42" s="50"/>
      <c r="Q42" s="51" t="s">
        <v>366</v>
      </c>
      <c r="R42" s="51"/>
      <c r="S42" s="52"/>
      <c r="T42" s="71" t="s">
        <v>119</v>
      </c>
      <c r="U42" s="53" t="s">
        <v>120</v>
      </c>
      <c r="V42" s="53" t="s">
        <v>121</v>
      </c>
      <c r="W42" s="71" t="s">
        <v>367</v>
      </c>
      <c r="X42" s="49" t="s">
        <v>123</v>
      </c>
      <c r="Y42" s="52" t="s">
        <v>148</v>
      </c>
      <c r="Z42" s="52" t="s">
        <v>368</v>
      </c>
      <c r="AA42" s="50" t="s">
        <v>124</v>
      </c>
    </row>
    <row r="43" spans="2:27" ht="80.25" customHeight="1">
      <c r="B43" s="298" t="s">
        <v>41</v>
      </c>
      <c r="C43" s="49" t="s">
        <v>101</v>
      </c>
      <c r="D43" s="49" t="s">
        <v>42</v>
      </c>
      <c r="E43" s="50">
        <v>1</v>
      </c>
      <c r="F43" s="49" t="s">
        <v>313</v>
      </c>
      <c r="G43" s="49" t="s">
        <v>314</v>
      </c>
      <c r="H43" s="52" t="s">
        <v>315</v>
      </c>
      <c r="I43" s="50">
        <v>15</v>
      </c>
      <c r="J43" s="49" t="s">
        <v>105</v>
      </c>
      <c r="K43" s="50">
        <v>3</v>
      </c>
      <c r="L43" s="50"/>
      <c r="M43" s="50"/>
      <c r="N43" s="51" t="s">
        <v>369</v>
      </c>
      <c r="O43" s="51" t="s">
        <v>317</v>
      </c>
      <c r="P43" s="50"/>
      <c r="Q43" s="53" t="s">
        <v>370</v>
      </c>
      <c r="R43" s="53" t="s">
        <v>371</v>
      </c>
      <c r="S43" s="53" t="s">
        <v>372</v>
      </c>
      <c r="T43" s="53" t="s">
        <v>373</v>
      </c>
      <c r="U43" s="53" t="s">
        <v>374</v>
      </c>
      <c r="V43" s="53" t="s">
        <v>375</v>
      </c>
      <c r="W43" s="71" t="s">
        <v>376</v>
      </c>
      <c r="X43" s="53" t="s">
        <v>377</v>
      </c>
      <c r="Y43" s="51" t="s">
        <v>378</v>
      </c>
      <c r="Z43" s="62" t="s">
        <v>379</v>
      </c>
      <c r="AA43" s="58" t="s">
        <v>380</v>
      </c>
    </row>
    <row r="44" spans="2:27" ht="351" hidden="1" customHeight="1">
      <c r="B44" s="298" t="s">
        <v>41</v>
      </c>
      <c r="C44" s="49" t="s">
        <v>118</v>
      </c>
      <c r="D44" s="49" t="s">
        <v>44</v>
      </c>
      <c r="E44" s="50">
        <v>2</v>
      </c>
      <c r="F44" s="49" t="s">
        <v>381</v>
      </c>
      <c r="G44" s="49" t="s">
        <v>382</v>
      </c>
      <c r="H44" s="52" t="s">
        <v>363</v>
      </c>
      <c r="I44" s="50">
        <v>15</v>
      </c>
      <c r="J44" s="49" t="s">
        <v>105</v>
      </c>
      <c r="K44" s="50">
        <v>4</v>
      </c>
      <c r="L44" s="50"/>
      <c r="M44" s="50"/>
      <c r="N44" s="51" t="s">
        <v>383</v>
      </c>
      <c r="O44" s="51" t="s">
        <v>384</v>
      </c>
      <c r="P44" s="50"/>
      <c r="Q44" s="53" t="s">
        <v>385</v>
      </c>
      <c r="R44" s="61"/>
      <c r="S44" s="59"/>
      <c r="T44" s="71" t="s">
        <v>119</v>
      </c>
      <c r="U44" s="53" t="s">
        <v>120</v>
      </c>
      <c r="V44" s="53" t="s">
        <v>121</v>
      </c>
      <c r="W44" s="71" t="s">
        <v>386</v>
      </c>
      <c r="X44" s="49" t="s">
        <v>123</v>
      </c>
      <c r="Y44" s="52" t="s">
        <v>124</v>
      </c>
      <c r="Z44" s="52" t="s">
        <v>124</v>
      </c>
      <c r="AA44" s="50" t="s">
        <v>387</v>
      </c>
    </row>
    <row r="45" spans="2:27" ht="80.25" customHeight="1">
      <c r="B45" s="298" t="s">
        <v>41</v>
      </c>
      <c r="C45" s="49" t="s">
        <v>101</v>
      </c>
      <c r="D45" s="49" t="s">
        <v>42</v>
      </c>
      <c r="E45" s="50">
        <v>1</v>
      </c>
      <c r="F45" s="49" t="s">
        <v>388</v>
      </c>
      <c r="G45" s="49" t="s">
        <v>389</v>
      </c>
      <c r="H45" s="52" t="s">
        <v>184</v>
      </c>
      <c r="I45" s="50">
        <v>16</v>
      </c>
      <c r="J45" s="49" t="s">
        <v>105</v>
      </c>
      <c r="K45" s="50"/>
      <c r="L45" s="50"/>
      <c r="M45" s="50"/>
      <c r="N45" s="51" t="s">
        <v>390</v>
      </c>
      <c r="O45" s="51" t="s">
        <v>391</v>
      </c>
      <c r="P45" s="50"/>
      <c r="Q45" s="52"/>
      <c r="R45" s="61"/>
      <c r="S45" s="59"/>
      <c r="T45" s="53" t="s">
        <v>324</v>
      </c>
      <c r="U45" s="53" t="s">
        <v>392</v>
      </c>
      <c r="V45" s="61" t="s">
        <v>116</v>
      </c>
      <c r="W45" s="71" t="s">
        <v>393</v>
      </c>
      <c r="X45" s="53" t="s">
        <v>115</v>
      </c>
      <c r="Y45" s="51" t="s">
        <v>116</v>
      </c>
      <c r="Z45" s="51" t="s">
        <v>116</v>
      </c>
      <c r="AA45" s="58" t="s">
        <v>394</v>
      </c>
    </row>
    <row r="46" spans="2:27" ht="80.25" hidden="1" customHeight="1">
      <c r="B46" s="298" t="s">
        <v>41</v>
      </c>
      <c r="C46" s="49" t="s">
        <v>118</v>
      </c>
      <c r="D46" s="49" t="s">
        <v>44</v>
      </c>
      <c r="E46" s="50">
        <v>2</v>
      </c>
      <c r="F46" s="49" t="s">
        <v>233</v>
      </c>
      <c r="G46" s="49" t="s">
        <v>234</v>
      </c>
      <c r="H46" s="49" t="s">
        <v>395</v>
      </c>
      <c r="I46" s="50">
        <v>16</v>
      </c>
      <c r="J46" s="49" t="s">
        <v>105</v>
      </c>
      <c r="K46" s="50">
        <v>10</v>
      </c>
      <c r="L46" s="50"/>
      <c r="M46" s="50"/>
      <c r="N46" s="51" t="s">
        <v>396</v>
      </c>
      <c r="O46" s="51" t="s">
        <v>235</v>
      </c>
      <c r="P46" s="50" t="s">
        <v>108</v>
      </c>
      <c r="Q46" s="49"/>
      <c r="R46" s="53"/>
      <c r="S46" s="49"/>
      <c r="T46" s="53" t="s">
        <v>147</v>
      </c>
      <c r="U46" s="49" t="s">
        <v>148</v>
      </c>
      <c r="V46" s="49" t="s">
        <v>397</v>
      </c>
      <c r="W46" s="53" t="s">
        <v>398</v>
      </c>
      <c r="X46" s="49" t="s">
        <v>124</v>
      </c>
      <c r="Y46" s="52" t="s">
        <v>124</v>
      </c>
      <c r="Z46" s="52" t="s">
        <v>124</v>
      </c>
      <c r="AA46" s="50" t="s">
        <v>124</v>
      </c>
    </row>
    <row r="47" spans="2:27" ht="80.25" customHeight="1">
      <c r="B47" s="298" t="s">
        <v>41</v>
      </c>
      <c r="C47" s="49" t="s">
        <v>101</v>
      </c>
      <c r="D47" s="49" t="s">
        <v>42</v>
      </c>
      <c r="E47" s="50">
        <v>1</v>
      </c>
      <c r="F47" s="49" t="s">
        <v>348</v>
      </c>
      <c r="G47" s="49" t="s">
        <v>349</v>
      </c>
      <c r="H47" s="49" t="s">
        <v>332</v>
      </c>
      <c r="I47" s="50">
        <v>17</v>
      </c>
      <c r="J47" s="49" t="s">
        <v>333</v>
      </c>
      <c r="K47" s="50">
        <v>23</v>
      </c>
      <c r="L47" s="50">
        <v>6</v>
      </c>
      <c r="M47" s="50"/>
      <c r="N47" s="51" t="s">
        <v>399</v>
      </c>
      <c r="O47" s="51" t="s">
        <v>400</v>
      </c>
      <c r="P47" s="50"/>
      <c r="Q47" s="52"/>
      <c r="R47" s="53"/>
      <c r="S47" s="49"/>
      <c r="T47" s="53" t="s">
        <v>401</v>
      </c>
      <c r="U47" s="53" t="s">
        <v>402</v>
      </c>
      <c r="V47" s="61" t="s">
        <v>403</v>
      </c>
      <c r="W47" s="319" t="s">
        <v>404</v>
      </c>
      <c r="X47" s="53" t="s">
        <v>115</v>
      </c>
      <c r="Y47" s="62" t="s">
        <v>405</v>
      </c>
      <c r="Z47" s="62" t="s">
        <v>406</v>
      </c>
      <c r="AA47" s="58" t="s">
        <v>260</v>
      </c>
    </row>
    <row r="48" spans="2:27" ht="80.25" hidden="1" customHeight="1">
      <c r="B48" s="298" t="s">
        <v>41</v>
      </c>
      <c r="C48" s="49" t="s">
        <v>118</v>
      </c>
      <c r="D48" s="49" t="s">
        <v>44</v>
      </c>
      <c r="E48" s="50">
        <v>2</v>
      </c>
      <c r="F48" s="49" t="s">
        <v>252</v>
      </c>
      <c r="G48" s="49" t="s">
        <v>253</v>
      </c>
      <c r="H48" s="49" t="s">
        <v>407</v>
      </c>
      <c r="I48" s="50">
        <v>17</v>
      </c>
      <c r="J48" s="49" t="s">
        <v>408</v>
      </c>
      <c r="K48" s="50">
        <v>23</v>
      </c>
      <c r="L48" s="50"/>
      <c r="M48" s="50"/>
      <c r="N48" s="51" t="s">
        <v>409</v>
      </c>
      <c r="O48" s="51" t="s">
        <v>254</v>
      </c>
      <c r="P48" s="50"/>
      <c r="Q48" s="49"/>
      <c r="R48" s="53"/>
      <c r="S48" s="49"/>
      <c r="T48" s="53" t="s">
        <v>147</v>
      </c>
      <c r="U48" s="49" t="s">
        <v>148</v>
      </c>
      <c r="V48" s="49" t="s">
        <v>124</v>
      </c>
      <c r="W48" s="53" t="s">
        <v>410</v>
      </c>
      <c r="X48" s="49" t="s">
        <v>124</v>
      </c>
      <c r="Y48" s="52" t="s">
        <v>124</v>
      </c>
      <c r="Z48" s="52" t="s">
        <v>124</v>
      </c>
      <c r="AA48" s="50" t="s">
        <v>124</v>
      </c>
    </row>
    <row r="49" spans="2:27" ht="80.25" customHeight="1">
      <c r="B49" s="298" t="s">
        <v>41</v>
      </c>
      <c r="C49" s="49" t="s">
        <v>101</v>
      </c>
      <c r="D49" s="49" t="s">
        <v>42</v>
      </c>
      <c r="E49" s="50">
        <v>1</v>
      </c>
      <c r="F49" s="49" t="s">
        <v>411</v>
      </c>
      <c r="G49" s="49" t="s">
        <v>412</v>
      </c>
      <c r="H49" s="49" t="s">
        <v>332</v>
      </c>
      <c r="I49" s="50">
        <v>18</v>
      </c>
      <c r="J49" s="49" t="s">
        <v>333</v>
      </c>
      <c r="K49" s="50">
        <v>23</v>
      </c>
      <c r="L49" s="50">
        <v>6</v>
      </c>
      <c r="M49" s="50"/>
      <c r="N49" s="308" t="s">
        <v>413</v>
      </c>
      <c r="O49" s="51" t="s">
        <v>414</v>
      </c>
      <c r="P49" s="50"/>
      <c r="Q49" s="52"/>
      <c r="R49" s="53"/>
      <c r="S49" s="49"/>
      <c r="T49" s="53" t="s">
        <v>401</v>
      </c>
      <c r="U49" s="53" t="s">
        <v>402</v>
      </c>
      <c r="V49" s="61" t="s">
        <v>403</v>
      </c>
      <c r="W49" s="319" t="s">
        <v>415</v>
      </c>
      <c r="X49" s="53" t="s">
        <v>115</v>
      </c>
      <c r="Y49" s="62" t="s">
        <v>405</v>
      </c>
      <c r="Z49" s="59"/>
      <c r="AA49" s="50"/>
    </row>
    <row r="50" spans="2:27" ht="80.25" customHeight="1">
      <c r="B50" s="298" t="s">
        <v>41</v>
      </c>
      <c r="C50" s="49" t="s">
        <v>101</v>
      </c>
      <c r="D50" s="49" t="s">
        <v>42</v>
      </c>
      <c r="E50" s="50">
        <v>1</v>
      </c>
      <c r="F50" s="49" t="s">
        <v>416</v>
      </c>
      <c r="G50" s="49" t="s">
        <v>417</v>
      </c>
      <c r="H50" s="49" t="s">
        <v>332</v>
      </c>
      <c r="I50" s="50">
        <v>19</v>
      </c>
      <c r="J50" s="49" t="s">
        <v>333</v>
      </c>
      <c r="K50" s="50">
        <v>23</v>
      </c>
      <c r="L50" s="50">
        <v>6</v>
      </c>
      <c r="M50" s="50"/>
      <c r="N50" s="51" t="s">
        <v>418</v>
      </c>
      <c r="O50" s="51" t="s">
        <v>419</v>
      </c>
      <c r="P50" s="50"/>
      <c r="Q50" s="49"/>
      <c r="R50" s="53"/>
      <c r="S50" s="52" t="s">
        <v>420</v>
      </c>
      <c r="T50" s="53" t="s">
        <v>401</v>
      </c>
      <c r="U50" s="53" t="s">
        <v>421</v>
      </c>
      <c r="V50" s="53" t="s">
        <v>422</v>
      </c>
      <c r="W50" s="319" t="s">
        <v>423</v>
      </c>
      <c r="X50" s="53" t="s">
        <v>115</v>
      </c>
      <c r="Y50" s="59"/>
      <c r="Z50" s="59"/>
      <c r="AA50" s="50"/>
    </row>
    <row r="51" spans="2:27" ht="80.25" customHeight="1">
      <c r="B51" s="298" t="s">
        <v>41</v>
      </c>
      <c r="C51" s="49" t="s">
        <v>101</v>
      </c>
      <c r="D51" s="49" t="s">
        <v>42</v>
      </c>
      <c r="E51" s="50">
        <v>1</v>
      </c>
      <c r="F51" s="49" t="s">
        <v>416</v>
      </c>
      <c r="G51" s="49" t="s">
        <v>424</v>
      </c>
      <c r="H51" s="49" t="s">
        <v>332</v>
      </c>
      <c r="I51" s="50">
        <v>20</v>
      </c>
      <c r="J51" s="49" t="s">
        <v>333</v>
      </c>
      <c r="K51" s="50">
        <v>23</v>
      </c>
      <c r="L51" s="50">
        <v>6</v>
      </c>
      <c r="M51" s="50"/>
      <c r="N51" s="51" t="s">
        <v>425</v>
      </c>
      <c r="O51" s="51" t="s">
        <v>426</v>
      </c>
      <c r="P51" s="50"/>
      <c r="Q51" s="49"/>
      <c r="R51" s="53"/>
      <c r="S51" s="52" t="s">
        <v>420</v>
      </c>
      <c r="T51" s="53" t="s">
        <v>401</v>
      </c>
      <c r="U51" s="53" t="s">
        <v>421</v>
      </c>
      <c r="V51" s="53" t="s">
        <v>422</v>
      </c>
      <c r="W51" s="319" t="s">
        <v>427</v>
      </c>
      <c r="X51" s="53" t="s">
        <v>115</v>
      </c>
      <c r="Y51" s="59"/>
      <c r="Z51" s="59"/>
      <c r="AA51" s="50"/>
    </row>
    <row r="52" spans="2:27" ht="80.25" customHeight="1">
      <c r="B52" s="298" t="s">
        <v>41</v>
      </c>
      <c r="C52" s="49" t="s">
        <v>101</v>
      </c>
      <c r="D52" s="49" t="s">
        <v>42</v>
      </c>
      <c r="E52" s="50">
        <v>1</v>
      </c>
      <c r="F52" s="49" t="s">
        <v>428</v>
      </c>
      <c r="G52" s="49" t="s">
        <v>429</v>
      </c>
      <c r="H52" s="49" t="s">
        <v>332</v>
      </c>
      <c r="I52" s="50">
        <v>21</v>
      </c>
      <c r="J52" s="49" t="s">
        <v>333</v>
      </c>
      <c r="K52" s="50">
        <v>23</v>
      </c>
      <c r="L52" s="50">
        <v>6</v>
      </c>
      <c r="M52" s="50"/>
      <c r="N52" s="308" t="s">
        <v>430</v>
      </c>
      <c r="O52" s="51" t="s">
        <v>431</v>
      </c>
      <c r="P52" s="50"/>
      <c r="Q52" s="52"/>
      <c r="R52" s="51"/>
      <c r="S52" s="52"/>
      <c r="T52" s="53" t="s">
        <v>195</v>
      </c>
      <c r="U52" s="53" t="s">
        <v>432</v>
      </c>
      <c r="V52" s="61" t="s">
        <v>433</v>
      </c>
      <c r="W52" s="71" t="s">
        <v>434</v>
      </c>
      <c r="X52" s="53" t="s">
        <v>115</v>
      </c>
      <c r="Y52" s="51" t="s">
        <v>435</v>
      </c>
      <c r="Z52" s="51" t="s">
        <v>436</v>
      </c>
      <c r="AA52" s="58" t="s">
        <v>437</v>
      </c>
    </row>
    <row r="53" spans="2:27" ht="80.25" customHeight="1">
      <c r="B53" s="298" t="s">
        <v>41</v>
      </c>
      <c r="C53" s="49" t="s">
        <v>101</v>
      </c>
      <c r="D53" s="49" t="s">
        <v>42</v>
      </c>
      <c r="E53" s="50">
        <v>1</v>
      </c>
      <c r="F53" s="49" t="s">
        <v>438</v>
      </c>
      <c r="G53" s="49" t="s">
        <v>439</v>
      </c>
      <c r="H53" s="49" t="s">
        <v>332</v>
      </c>
      <c r="I53" s="50">
        <v>22</v>
      </c>
      <c r="J53" s="49" t="s">
        <v>333</v>
      </c>
      <c r="K53" s="50">
        <v>23</v>
      </c>
      <c r="L53" s="50">
        <v>6</v>
      </c>
      <c r="M53" s="50"/>
      <c r="N53" s="308" t="s">
        <v>440</v>
      </c>
      <c r="O53" s="51" t="s">
        <v>431</v>
      </c>
      <c r="P53" s="50"/>
      <c r="Q53" s="52"/>
      <c r="R53" s="51"/>
      <c r="S53" s="52"/>
      <c r="T53" s="53" t="s">
        <v>195</v>
      </c>
      <c r="U53" s="53" t="s">
        <v>432</v>
      </c>
      <c r="V53" s="61" t="s">
        <v>433</v>
      </c>
      <c r="W53" s="71" t="s">
        <v>441</v>
      </c>
      <c r="X53" s="53" t="s">
        <v>115</v>
      </c>
      <c r="Y53" s="51" t="s">
        <v>435</v>
      </c>
      <c r="Z53" s="49"/>
      <c r="AA53" s="50"/>
    </row>
    <row r="54" spans="2:27" ht="80.25" customHeight="1">
      <c r="B54" s="298" t="s">
        <v>41</v>
      </c>
      <c r="C54" s="49" t="s">
        <v>101</v>
      </c>
      <c r="D54" s="49" t="s">
        <v>42</v>
      </c>
      <c r="E54" s="50">
        <v>1</v>
      </c>
      <c r="F54" s="49" t="s">
        <v>442</v>
      </c>
      <c r="G54" s="49" t="s">
        <v>443</v>
      </c>
      <c r="H54" s="49" t="s">
        <v>332</v>
      </c>
      <c r="I54" s="50">
        <v>23</v>
      </c>
      <c r="J54" s="49" t="s">
        <v>333</v>
      </c>
      <c r="K54" s="50">
        <v>23</v>
      </c>
      <c r="L54" s="50">
        <v>6</v>
      </c>
      <c r="M54" s="50"/>
      <c r="N54" s="51" t="s">
        <v>444</v>
      </c>
      <c r="O54" s="51" t="s">
        <v>445</v>
      </c>
      <c r="P54" s="50"/>
      <c r="Q54" s="52"/>
      <c r="R54" s="51"/>
      <c r="S54" s="52"/>
      <c r="T54" s="53" t="s">
        <v>401</v>
      </c>
      <c r="U54" s="53" t="s">
        <v>446</v>
      </c>
      <c r="V54" s="61" t="s">
        <v>447</v>
      </c>
      <c r="W54" s="71" t="s">
        <v>448</v>
      </c>
      <c r="X54" s="53" t="s">
        <v>115</v>
      </c>
      <c r="Y54" s="51" t="s">
        <v>449</v>
      </c>
      <c r="Z54" s="51" t="s">
        <v>450</v>
      </c>
      <c r="AA54" s="58" t="s">
        <v>451</v>
      </c>
    </row>
    <row r="55" spans="2:27" ht="80.25" customHeight="1">
      <c r="B55" s="298" t="s">
        <v>41</v>
      </c>
      <c r="C55" s="49" t="s">
        <v>101</v>
      </c>
      <c r="D55" s="49" t="s">
        <v>42</v>
      </c>
      <c r="E55" s="50">
        <v>1</v>
      </c>
      <c r="F55" s="49" t="s">
        <v>452</v>
      </c>
      <c r="G55" s="49" t="s">
        <v>453</v>
      </c>
      <c r="H55" s="49" t="s">
        <v>332</v>
      </c>
      <c r="I55" s="50">
        <v>24</v>
      </c>
      <c r="J55" s="49" t="s">
        <v>333</v>
      </c>
      <c r="K55" s="50">
        <v>23</v>
      </c>
      <c r="L55" s="50">
        <v>6</v>
      </c>
      <c r="M55" s="50"/>
      <c r="N55" s="51" t="s">
        <v>454</v>
      </c>
      <c r="O55" s="51" t="s">
        <v>455</v>
      </c>
      <c r="P55" s="50"/>
      <c r="Q55" s="52"/>
      <c r="R55" s="51" t="s">
        <v>456</v>
      </c>
      <c r="S55" s="51" t="s">
        <v>457</v>
      </c>
      <c r="T55" s="53" t="s">
        <v>401</v>
      </c>
      <c r="U55" s="53" t="s">
        <v>421</v>
      </c>
      <c r="V55" s="53" t="s">
        <v>458</v>
      </c>
      <c r="W55" s="319" t="s">
        <v>459</v>
      </c>
      <c r="X55" s="53" t="s">
        <v>115</v>
      </c>
      <c r="Y55" s="51" t="s">
        <v>460</v>
      </c>
      <c r="Z55" s="63" t="s">
        <v>461</v>
      </c>
      <c r="AA55" s="58" t="s">
        <v>462</v>
      </c>
    </row>
    <row r="56" spans="2:27" ht="80.25" customHeight="1">
      <c r="B56" s="298" t="s">
        <v>41</v>
      </c>
      <c r="C56" s="49" t="s">
        <v>101</v>
      </c>
      <c r="D56" s="49" t="s">
        <v>42</v>
      </c>
      <c r="E56" s="50">
        <v>1</v>
      </c>
      <c r="F56" s="49" t="s">
        <v>452</v>
      </c>
      <c r="G56" s="49" t="s">
        <v>463</v>
      </c>
      <c r="H56" s="49" t="s">
        <v>332</v>
      </c>
      <c r="I56" s="50">
        <v>25</v>
      </c>
      <c r="J56" s="49" t="s">
        <v>333</v>
      </c>
      <c r="K56" s="50">
        <v>23</v>
      </c>
      <c r="L56" s="50">
        <v>6</v>
      </c>
      <c r="M56" s="50"/>
      <c r="N56" s="51" t="s">
        <v>464</v>
      </c>
      <c r="O56" s="51" t="s">
        <v>465</v>
      </c>
      <c r="P56" s="50"/>
      <c r="Q56" s="52"/>
      <c r="R56" s="51" t="s">
        <v>456</v>
      </c>
      <c r="S56" s="51" t="s">
        <v>457</v>
      </c>
      <c r="T56" s="53" t="s">
        <v>401</v>
      </c>
      <c r="U56" s="53" t="s">
        <v>421</v>
      </c>
      <c r="V56" s="53" t="s">
        <v>458</v>
      </c>
      <c r="W56" s="319" t="s">
        <v>466</v>
      </c>
      <c r="X56" s="53" t="s">
        <v>115</v>
      </c>
      <c r="Y56" s="49"/>
      <c r="Z56" s="302"/>
      <c r="AA56" s="50"/>
    </row>
    <row r="57" spans="2:27" ht="80.25" customHeight="1">
      <c r="B57" s="298" t="s">
        <v>41</v>
      </c>
      <c r="C57" s="49" t="s">
        <v>101</v>
      </c>
      <c r="D57" s="49" t="s">
        <v>42</v>
      </c>
      <c r="E57" s="50">
        <v>1</v>
      </c>
      <c r="F57" s="49" t="s">
        <v>467</v>
      </c>
      <c r="G57" s="49" t="s">
        <v>468</v>
      </c>
      <c r="H57" s="49" t="s">
        <v>332</v>
      </c>
      <c r="I57" s="50">
        <v>26</v>
      </c>
      <c r="J57" s="49" t="s">
        <v>333</v>
      </c>
      <c r="K57" s="50">
        <v>23</v>
      </c>
      <c r="L57" s="50">
        <v>6</v>
      </c>
      <c r="M57" s="50"/>
      <c r="N57" s="51" t="s">
        <v>469</v>
      </c>
      <c r="O57" s="51" t="s">
        <v>470</v>
      </c>
      <c r="P57" s="50"/>
      <c r="Q57" s="52"/>
      <c r="R57" s="51" t="s">
        <v>471</v>
      </c>
      <c r="S57" s="52" t="s">
        <v>420</v>
      </c>
      <c r="T57" s="53" t="s">
        <v>401</v>
      </c>
      <c r="U57" s="53" t="s">
        <v>421</v>
      </c>
      <c r="V57" s="53" t="s">
        <v>422</v>
      </c>
      <c r="W57" s="71" t="s">
        <v>472</v>
      </c>
      <c r="X57" s="53" t="s">
        <v>115</v>
      </c>
      <c r="Y57" s="51" t="s">
        <v>473</v>
      </c>
      <c r="Z57" s="63" t="s">
        <v>474</v>
      </c>
      <c r="AA57" s="58" t="s">
        <v>475</v>
      </c>
    </row>
    <row r="58" spans="2:27" ht="80.25" customHeight="1">
      <c r="B58" s="298" t="s">
        <v>41</v>
      </c>
      <c r="C58" s="49" t="s">
        <v>101</v>
      </c>
      <c r="D58" s="49" t="s">
        <v>42</v>
      </c>
      <c r="E58" s="50">
        <v>1</v>
      </c>
      <c r="F58" s="49" t="s">
        <v>476</v>
      </c>
      <c r="G58" s="49" t="s">
        <v>477</v>
      </c>
      <c r="H58" s="49" t="s">
        <v>332</v>
      </c>
      <c r="I58" s="50">
        <v>27</v>
      </c>
      <c r="J58" s="49" t="s">
        <v>333</v>
      </c>
      <c r="K58" s="50">
        <v>23</v>
      </c>
      <c r="L58" s="50">
        <v>6</v>
      </c>
      <c r="M58" s="50"/>
      <c r="N58" s="51" t="s">
        <v>478</v>
      </c>
      <c r="O58" s="51" t="s">
        <v>479</v>
      </c>
      <c r="P58" s="50"/>
      <c r="Q58" s="52"/>
      <c r="R58" s="51" t="s">
        <v>471</v>
      </c>
      <c r="S58" s="52" t="s">
        <v>420</v>
      </c>
      <c r="T58" s="53" t="s">
        <v>401</v>
      </c>
      <c r="U58" s="53" t="s">
        <v>421</v>
      </c>
      <c r="V58" s="53" t="s">
        <v>422</v>
      </c>
      <c r="W58" s="71" t="s">
        <v>480</v>
      </c>
      <c r="X58" s="53" t="s">
        <v>115</v>
      </c>
      <c r="Y58" s="49"/>
      <c r="Z58" s="302"/>
      <c r="AA58" s="50"/>
    </row>
    <row r="59" spans="2:27" ht="80.25" customHeight="1">
      <c r="B59" s="298" t="s">
        <v>41</v>
      </c>
      <c r="C59" s="49" t="s">
        <v>101</v>
      </c>
      <c r="D59" s="49" t="s">
        <v>42</v>
      </c>
      <c r="E59" s="50">
        <v>1</v>
      </c>
      <c r="F59" s="49" t="s">
        <v>481</v>
      </c>
      <c r="G59" s="49" t="s">
        <v>482</v>
      </c>
      <c r="H59" s="49" t="s">
        <v>332</v>
      </c>
      <c r="I59" s="50">
        <v>28</v>
      </c>
      <c r="J59" s="49" t="s">
        <v>333</v>
      </c>
      <c r="K59" s="50">
        <v>23</v>
      </c>
      <c r="L59" s="50">
        <v>6</v>
      </c>
      <c r="M59" s="50"/>
      <c r="N59" s="51" t="s">
        <v>483</v>
      </c>
      <c r="O59" s="51" t="s">
        <v>484</v>
      </c>
      <c r="P59" s="50"/>
      <c r="Q59" s="52"/>
      <c r="R59" s="61"/>
      <c r="S59" s="59"/>
      <c r="T59" s="158" t="s">
        <v>485</v>
      </c>
      <c r="U59" s="76" t="s">
        <v>486</v>
      </c>
      <c r="V59" s="61" t="s">
        <v>487</v>
      </c>
      <c r="W59" s="71" t="s">
        <v>488</v>
      </c>
      <c r="X59" s="53" t="s">
        <v>115</v>
      </c>
      <c r="Y59" s="51" t="s">
        <v>489</v>
      </c>
      <c r="Z59" s="51" t="s">
        <v>490</v>
      </c>
      <c r="AA59" s="58" t="s">
        <v>491</v>
      </c>
    </row>
    <row r="60" spans="2:27" ht="80.25" customHeight="1">
      <c r="B60" s="298" t="s">
        <v>41</v>
      </c>
      <c r="C60" s="49" t="s">
        <v>101</v>
      </c>
      <c r="D60" s="49" t="s">
        <v>42</v>
      </c>
      <c r="E60" s="50">
        <v>1</v>
      </c>
      <c r="F60" s="49" t="s">
        <v>492</v>
      </c>
      <c r="G60" s="49" t="s">
        <v>493</v>
      </c>
      <c r="H60" s="49" t="s">
        <v>332</v>
      </c>
      <c r="I60" s="50">
        <v>29</v>
      </c>
      <c r="J60" s="49" t="s">
        <v>333</v>
      </c>
      <c r="K60" s="50">
        <v>23</v>
      </c>
      <c r="L60" s="50">
        <v>6</v>
      </c>
      <c r="M60" s="293"/>
      <c r="N60" s="51" t="s">
        <v>494</v>
      </c>
      <c r="O60" s="51" t="s">
        <v>495</v>
      </c>
      <c r="P60" s="50"/>
      <c r="Q60" s="52"/>
      <c r="R60" s="61"/>
      <c r="S60" s="59"/>
      <c r="T60" s="158" t="s">
        <v>485</v>
      </c>
      <c r="U60" s="76" t="s">
        <v>486</v>
      </c>
      <c r="V60" s="61" t="s">
        <v>487</v>
      </c>
      <c r="W60" s="71" t="s">
        <v>496</v>
      </c>
      <c r="X60" s="53" t="s">
        <v>115</v>
      </c>
      <c r="Y60" s="51" t="s">
        <v>489</v>
      </c>
      <c r="Z60" s="51" t="s">
        <v>490</v>
      </c>
      <c r="AA60" s="58" t="s">
        <v>491</v>
      </c>
    </row>
    <row r="61" spans="2:27" ht="80.25" customHeight="1">
      <c r="B61" s="298" t="s">
        <v>41</v>
      </c>
      <c r="C61" s="49" t="s">
        <v>101</v>
      </c>
      <c r="D61" s="49" t="s">
        <v>42</v>
      </c>
      <c r="E61" s="50">
        <v>1</v>
      </c>
      <c r="F61" s="49" t="s">
        <v>497</v>
      </c>
      <c r="G61" s="49" t="s">
        <v>498</v>
      </c>
      <c r="H61" s="49" t="s">
        <v>332</v>
      </c>
      <c r="I61" s="50">
        <v>30</v>
      </c>
      <c r="J61" s="49" t="s">
        <v>333</v>
      </c>
      <c r="K61" s="50">
        <v>23</v>
      </c>
      <c r="L61" s="50">
        <v>6</v>
      </c>
      <c r="M61" s="50"/>
      <c r="N61" s="51" t="s">
        <v>499</v>
      </c>
      <c r="O61" s="51" t="s">
        <v>500</v>
      </c>
      <c r="P61" s="50"/>
      <c r="Q61" s="52"/>
      <c r="R61" s="61"/>
      <c r="S61" s="59"/>
      <c r="T61" s="158" t="s">
        <v>485</v>
      </c>
      <c r="U61" s="76" t="s">
        <v>486</v>
      </c>
      <c r="V61" s="53" t="s">
        <v>501</v>
      </c>
      <c r="W61" s="71" t="s">
        <v>502</v>
      </c>
      <c r="X61" s="53" t="s">
        <v>115</v>
      </c>
      <c r="Y61" s="51" t="s">
        <v>503</v>
      </c>
      <c r="Z61" s="51" t="s">
        <v>504</v>
      </c>
      <c r="AA61" s="58" t="s">
        <v>505</v>
      </c>
    </row>
    <row r="62" spans="2:27" ht="80.25" customHeight="1">
      <c r="B62" s="298" t="s">
        <v>41</v>
      </c>
      <c r="C62" s="49" t="s">
        <v>101</v>
      </c>
      <c r="D62" s="49" t="s">
        <v>42</v>
      </c>
      <c r="E62" s="50">
        <v>1</v>
      </c>
      <c r="F62" s="49" t="s">
        <v>506</v>
      </c>
      <c r="G62" s="49" t="s">
        <v>507</v>
      </c>
      <c r="H62" s="49" t="s">
        <v>332</v>
      </c>
      <c r="I62" s="50">
        <v>31</v>
      </c>
      <c r="J62" s="49" t="s">
        <v>333</v>
      </c>
      <c r="K62" s="50">
        <v>23</v>
      </c>
      <c r="L62" s="50">
        <v>6</v>
      </c>
      <c r="M62" s="289"/>
      <c r="N62" s="308" t="s">
        <v>508</v>
      </c>
      <c r="O62" s="51" t="s">
        <v>509</v>
      </c>
      <c r="P62" s="50"/>
      <c r="Q62" s="49"/>
      <c r="R62" s="61"/>
      <c r="S62" s="59"/>
      <c r="T62" s="158" t="s">
        <v>485</v>
      </c>
      <c r="U62" s="76" t="s">
        <v>486</v>
      </c>
      <c r="V62" s="53" t="s">
        <v>501</v>
      </c>
      <c r="W62" s="71" t="s">
        <v>510</v>
      </c>
      <c r="X62" s="53" t="s">
        <v>115</v>
      </c>
      <c r="Y62" s="51" t="s">
        <v>503</v>
      </c>
      <c r="Z62" s="51" t="s">
        <v>504</v>
      </c>
      <c r="AA62" s="58" t="s">
        <v>505</v>
      </c>
    </row>
    <row r="63" spans="2:27" ht="80.25" customHeight="1">
      <c r="B63" s="298" t="s">
        <v>41</v>
      </c>
      <c r="C63" s="49" t="s">
        <v>101</v>
      </c>
      <c r="D63" s="49" t="s">
        <v>42</v>
      </c>
      <c r="E63" s="50">
        <v>1</v>
      </c>
      <c r="F63" s="49" t="s">
        <v>511</v>
      </c>
      <c r="G63" s="49" t="s">
        <v>512</v>
      </c>
      <c r="H63" s="52" t="s">
        <v>513</v>
      </c>
      <c r="I63" s="50">
        <v>32</v>
      </c>
      <c r="J63" s="49" t="s">
        <v>105</v>
      </c>
      <c r="K63" s="50">
        <v>10</v>
      </c>
      <c r="L63" s="50"/>
      <c r="M63" s="50"/>
      <c r="N63" s="51" t="s">
        <v>514</v>
      </c>
      <c r="O63" s="51" t="s">
        <v>515</v>
      </c>
      <c r="P63" s="50"/>
      <c r="Q63" s="52"/>
      <c r="R63" s="53"/>
      <c r="S63" s="49"/>
      <c r="T63" s="53" t="s">
        <v>324</v>
      </c>
      <c r="U63" s="53" t="s">
        <v>392</v>
      </c>
      <c r="V63" s="53" t="s">
        <v>516</v>
      </c>
      <c r="W63" s="71" t="s">
        <v>517</v>
      </c>
      <c r="X63" s="53" t="s">
        <v>115</v>
      </c>
      <c r="Y63" s="51" t="s">
        <v>503</v>
      </c>
      <c r="Z63" s="51" t="s">
        <v>518</v>
      </c>
      <c r="AA63" s="58" t="s">
        <v>519</v>
      </c>
    </row>
    <row r="64" spans="2:27" ht="80.25" customHeight="1">
      <c r="B64" s="298" t="s">
        <v>41</v>
      </c>
      <c r="C64" s="49" t="s">
        <v>101</v>
      </c>
      <c r="D64" s="49" t="s">
        <v>42</v>
      </c>
      <c r="E64" s="50">
        <v>1</v>
      </c>
      <c r="F64" s="49" t="s">
        <v>520</v>
      </c>
      <c r="G64" s="49" t="s">
        <v>521</v>
      </c>
      <c r="H64" s="52" t="s">
        <v>513</v>
      </c>
      <c r="I64" s="50">
        <v>33</v>
      </c>
      <c r="J64" s="49" t="s">
        <v>105</v>
      </c>
      <c r="K64" s="50">
        <v>10</v>
      </c>
      <c r="L64" s="50"/>
      <c r="M64" s="50"/>
      <c r="N64" s="51" t="s">
        <v>522</v>
      </c>
      <c r="O64" s="51" t="s">
        <v>523</v>
      </c>
      <c r="P64" s="50"/>
      <c r="Q64" s="52"/>
      <c r="R64" s="53" t="s">
        <v>524</v>
      </c>
      <c r="S64" s="49" t="s">
        <v>525</v>
      </c>
      <c r="T64" s="53" t="s">
        <v>324</v>
      </c>
      <c r="U64" s="53" t="s">
        <v>392</v>
      </c>
      <c r="V64" s="53" t="s">
        <v>526</v>
      </c>
      <c r="W64" s="71" t="s">
        <v>527</v>
      </c>
      <c r="X64" s="53" t="s">
        <v>115</v>
      </c>
      <c r="Y64" s="51" t="s">
        <v>503</v>
      </c>
      <c r="Z64" s="51" t="s">
        <v>528</v>
      </c>
      <c r="AA64" s="58" t="s">
        <v>519</v>
      </c>
    </row>
    <row r="65" spans="2:27" ht="80.25" customHeight="1">
      <c r="B65" s="298" t="s">
        <v>41</v>
      </c>
      <c r="C65" s="49" t="s">
        <v>101</v>
      </c>
      <c r="D65" s="49" t="s">
        <v>42</v>
      </c>
      <c r="E65" s="50">
        <v>1</v>
      </c>
      <c r="F65" s="49" t="s">
        <v>529</v>
      </c>
      <c r="G65" s="49" t="s">
        <v>530</v>
      </c>
      <c r="H65" s="49" t="s">
        <v>332</v>
      </c>
      <c r="I65" s="50">
        <v>34</v>
      </c>
      <c r="J65" s="49" t="s">
        <v>333</v>
      </c>
      <c r="K65" s="50">
        <v>23</v>
      </c>
      <c r="L65" s="50">
        <v>6</v>
      </c>
      <c r="M65" s="50"/>
      <c r="N65" s="51" t="s">
        <v>531</v>
      </c>
      <c r="O65" s="51" t="s">
        <v>532</v>
      </c>
      <c r="P65" s="50"/>
      <c r="Q65" s="52"/>
      <c r="R65" s="51"/>
      <c r="S65" s="52"/>
      <c r="T65" s="53" t="s">
        <v>324</v>
      </c>
      <c r="U65" s="53" t="s">
        <v>392</v>
      </c>
      <c r="V65" s="53" t="s">
        <v>533</v>
      </c>
      <c r="W65" s="319" t="s">
        <v>534</v>
      </c>
      <c r="X65" s="53" t="s">
        <v>115</v>
      </c>
      <c r="Y65" s="62" t="s">
        <v>503</v>
      </c>
      <c r="Z65" s="51" t="s">
        <v>535</v>
      </c>
      <c r="AA65" s="58" t="s">
        <v>451</v>
      </c>
    </row>
    <row r="66" spans="2:27" ht="80.25" customHeight="1">
      <c r="B66" s="298" t="s">
        <v>41</v>
      </c>
      <c r="C66" s="49" t="s">
        <v>101</v>
      </c>
      <c r="D66" s="49" t="s">
        <v>42</v>
      </c>
      <c r="E66" s="50">
        <v>1</v>
      </c>
      <c r="F66" s="49" t="s">
        <v>536</v>
      </c>
      <c r="G66" s="49" t="s">
        <v>537</v>
      </c>
      <c r="H66" s="49" t="s">
        <v>332</v>
      </c>
      <c r="I66" s="50">
        <v>35</v>
      </c>
      <c r="J66" s="49" t="s">
        <v>333</v>
      </c>
      <c r="K66" s="50">
        <v>23</v>
      </c>
      <c r="L66" s="50">
        <v>6</v>
      </c>
      <c r="M66" s="50"/>
      <c r="N66" s="51" t="s">
        <v>531</v>
      </c>
      <c r="O66" s="51" t="s">
        <v>532</v>
      </c>
      <c r="P66" s="50"/>
      <c r="Q66" s="52"/>
      <c r="R66" s="51"/>
      <c r="S66" s="52"/>
      <c r="T66" s="53" t="s">
        <v>324</v>
      </c>
      <c r="U66" s="53" t="s">
        <v>392</v>
      </c>
      <c r="V66" s="53" t="s">
        <v>533</v>
      </c>
      <c r="W66" s="319" t="s">
        <v>538</v>
      </c>
      <c r="X66" s="53" t="s">
        <v>115</v>
      </c>
      <c r="Y66" s="62" t="s">
        <v>503</v>
      </c>
      <c r="Z66" s="51" t="s">
        <v>535</v>
      </c>
      <c r="AA66" s="58" t="s">
        <v>451</v>
      </c>
    </row>
    <row r="67" spans="2:27" ht="80.25" customHeight="1">
      <c r="B67" s="298" t="s">
        <v>41</v>
      </c>
      <c r="C67" s="49" t="s">
        <v>101</v>
      </c>
      <c r="D67" s="49" t="s">
        <v>42</v>
      </c>
      <c r="E67" s="50">
        <v>1</v>
      </c>
      <c r="F67" s="49" t="s">
        <v>539</v>
      </c>
      <c r="G67" s="49" t="s">
        <v>540</v>
      </c>
      <c r="H67" s="52" t="s">
        <v>513</v>
      </c>
      <c r="I67" s="50">
        <v>36</v>
      </c>
      <c r="J67" s="49" t="s">
        <v>105</v>
      </c>
      <c r="K67" s="50">
        <v>10</v>
      </c>
      <c r="L67" s="50"/>
      <c r="M67" s="50"/>
      <c r="N67" s="51" t="s">
        <v>541</v>
      </c>
      <c r="O67" s="51" t="s">
        <v>542</v>
      </c>
      <c r="P67" s="50"/>
      <c r="Q67" s="49"/>
      <c r="R67" s="53"/>
      <c r="S67" s="49"/>
      <c r="T67" s="53" t="s">
        <v>240</v>
      </c>
      <c r="U67" s="53" t="s">
        <v>543</v>
      </c>
      <c r="V67" s="53" t="s">
        <v>544</v>
      </c>
      <c r="W67" s="71" t="s">
        <v>545</v>
      </c>
      <c r="X67" s="53" t="s">
        <v>115</v>
      </c>
      <c r="Y67" s="53" t="s">
        <v>546</v>
      </c>
      <c r="Z67" s="53" t="s">
        <v>547</v>
      </c>
      <c r="AA67" s="58" t="s">
        <v>519</v>
      </c>
    </row>
    <row r="68" spans="2:27" ht="80.25" customHeight="1">
      <c r="B68" s="298" t="s">
        <v>41</v>
      </c>
      <c r="C68" s="49" t="s">
        <v>101</v>
      </c>
      <c r="D68" s="49" t="s">
        <v>42</v>
      </c>
      <c r="E68" s="50">
        <v>1</v>
      </c>
      <c r="F68" s="49" t="s">
        <v>548</v>
      </c>
      <c r="G68" s="49" t="s">
        <v>549</v>
      </c>
      <c r="H68" s="49" t="s">
        <v>332</v>
      </c>
      <c r="I68" s="50">
        <v>37</v>
      </c>
      <c r="J68" s="49" t="s">
        <v>105</v>
      </c>
      <c r="K68" s="50"/>
      <c r="L68" s="50"/>
      <c r="M68" s="50"/>
      <c r="N68" s="51" t="s">
        <v>550</v>
      </c>
      <c r="O68" s="51" t="s">
        <v>551</v>
      </c>
      <c r="P68" s="50"/>
      <c r="Q68" s="49"/>
      <c r="R68" s="53"/>
      <c r="S68" s="49"/>
      <c r="T68" s="53" t="s">
        <v>240</v>
      </c>
      <c r="U68" s="53" t="s">
        <v>552</v>
      </c>
      <c r="V68" s="53" t="s">
        <v>553</v>
      </c>
      <c r="W68" s="71" t="s">
        <v>554</v>
      </c>
      <c r="X68" s="53" t="s">
        <v>115</v>
      </c>
      <c r="Y68" s="53" t="s">
        <v>555</v>
      </c>
      <c r="Z68" s="53" t="s">
        <v>556</v>
      </c>
      <c r="AA68" s="58" t="s">
        <v>519</v>
      </c>
    </row>
    <row r="69" spans="2:27" ht="80.25" customHeight="1">
      <c r="B69" s="298" t="s">
        <v>41</v>
      </c>
      <c r="C69" s="54" t="s">
        <v>101</v>
      </c>
      <c r="D69" s="54" t="s">
        <v>42</v>
      </c>
      <c r="E69" s="293">
        <v>1</v>
      </c>
      <c r="F69" s="49" t="s">
        <v>557</v>
      </c>
      <c r="G69" s="49" t="s">
        <v>558</v>
      </c>
      <c r="H69" s="54" t="s">
        <v>332</v>
      </c>
      <c r="I69" s="293">
        <v>38</v>
      </c>
      <c r="J69" s="54" t="s">
        <v>333</v>
      </c>
      <c r="K69" s="293">
        <v>23</v>
      </c>
      <c r="L69" s="293">
        <v>6</v>
      </c>
      <c r="M69" s="293"/>
      <c r="N69" s="51" t="s">
        <v>559</v>
      </c>
      <c r="O69" s="51" t="s">
        <v>560</v>
      </c>
      <c r="P69" s="50"/>
      <c r="Q69" s="52"/>
      <c r="R69" s="51"/>
      <c r="S69" s="52"/>
      <c r="T69" s="53" t="s">
        <v>401</v>
      </c>
      <c r="U69" s="53" t="s">
        <v>561</v>
      </c>
      <c r="V69" s="53" t="s">
        <v>562</v>
      </c>
      <c r="W69" s="319" t="s">
        <v>563</v>
      </c>
      <c r="X69" s="306" t="s">
        <v>115</v>
      </c>
      <c r="Y69" s="138" t="s">
        <v>564</v>
      </c>
      <c r="Z69" s="307" t="s">
        <v>565</v>
      </c>
      <c r="AA69" s="295" t="s">
        <v>451</v>
      </c>
    </row>
    <row r="70" spans="2:27" ht="80.25" customHeight="1">
      <c r="B70" s="328" t="s">
        <v>41</v>
      </c>
      <c r="C70" s="54" t="s">
        <v>101</v>
      </c>
      <c r="D70" s="54" t="s">
        <v>42</v>
      </c>
      <c r="E70" s="293">
        <v>1</v>
      </c>
      <c r="F70" s="49" t="s">
        <v>566</v>
      </c>
      <c r="G70" s="49" t="s">
        <v>567</v>
      </c>
      <c r="H70" s="52" t="s">
        <v>568</v>
      </c>
      <c r="I70" s="293">
        <v>39</v>
      </c>
      <c r="J70" s="54" t="s">
        <v>105</v>
      </c>
      <c r="K70" s="50"/>
      <c r="L70" s="50"/>
      <c r="M70" s="50"/>
      <c r="N70" s="51" t="s">
        <v>569</v>
      </c>
      <c r="O70" s="51" t="s">
        <v>570</v>
      </c>
      <c r="P70" s="50"/>
      <c r="Q70" s="138"/>
      <c r="R70" s="138"/>
      <c r="S70" s="182"/>
      <c r="T70" s="53" t="s">
        <v>240</v>
      </c>
      <c r="U70" s="53" t="s">
        <v>571</v>
      </c>
      <c r="V70" s="53" t="s">
        <v>187</v>
      </c>
      <c r="W70" s="71" t="s">
        <v>572</v>
      </c>
      <c r="X70" s="53" t="s">
        <v>115</v>
      </c>
      <c r="Y70" s="138" t="s">
        <v>573</v>
      </c>
      <c r="Z70" s="138" t="s">
        <v>574</v>
      </c>
      <c r="AA70" s="295" t="s">
        <v>575</v>
      </c>
    </row>
    <row r="71" spans="2:27" ht="80.25" customHeight="1">
      <c r="B71" s="328" t="s">
        <v>41</v>
      </c>
      <c r="C71" s="54" t="s">
        <v>101</v>
      </c>
      <c r="D71" s="54" t="s">
        <v>42</v>
      </c>
      <c r="E71" s="293">
        <v>1</v>
      </c>
      <c r="F71" s="49" t="s">
        <v>576</v>
      </c>
      <c r="G71" s="49" t="s">
        <v>577</v>
      </c>
      <c r="H71" s="52" t="s">
        <v>578</v>
      </c>
      <c r="I71" s="50">
        <v>40</v>
      </c>
      <c r="J71" s="54" t="s">
        <v>105</v>
      </c>
      <c r="K71" s="293">
        <v>3</v>
      </c>
      <c r="L71" s="293"/>
      <c r="M71" s="293"/>
      <c r="N71" s="51" t="s">
        <v>579</v>
      </c>
      <c r="O71" s="51" t="s">
        <v>580</v>
      </c>
      <c r="P71" s="50"/>
      <c r="Q71" s="51" t="s">
        <v>581</v>
      </c>
      <c r="R71" s="51"/>
      <c r="S71" s="52"/>
      <c r="T71" s="53" t="s">
        <v>195</v>
      </c>
      <c r="U71" s="53" t="s">
        <v>582</v>
      </c>
      <c r="V71" s="53" t="s">
        <v>583</v>
      </c>
      <c r="W71" s="71" t="s">
        <v>584</v>
      </c>
      <c r="X71" s="53" t="s">
        <v>115</v>
      </c>
      <c r="Y71" s="51" t="s">
        <v>585</v>
      </c>
      <c r="Z71" s="51" t="s">
        <v>586</v>
      </c>
      <c r="AA71" s="58" t="s">
        <v>587</v>
      </c>
    </row>
    <row r="72" spans="2:27" ht="80.25" customHeight="1">
      <c r="B72" s="328" t="s">
        <v>41</v>
      </c>
      <c r="C72" s="54" t="s">
        <v>101</v>
      </c>
      <c r="D72" s="54" t="s">
        <v>42</v>
      </c>
      <c r="E72" s="293">
        <v>1</v>
      </c>
      <c r="F72" s="54" t="s">
        <v>588</v>
      </c>
      <c r="G72" s="54" t="s">
        <v>589</v>
      </c>
      <c r="H72" s="52" t="s">
        <v>590</v>
      </c>
      <c r="I72" s="293">
        <v>41</v>
      </c>
      <c r="J72" s="54" t="s">
        <v>333</v>
      </c>
      <c r="K72" s="293">
        <v>23</v>
      </c>
      <c r="L72" s="293">
        <v>6</v>
      </c>
      <c r="M72" s="293"/>
      <c r="N72" s="51" t="s">
        <v>591</v>
      </c>
      <c r="O72" s="51" t="s">
        <v>592</v>
      </c>
      <c r="P72" s="50"/>
      <c r="Q72" s="52"/>
      <c r="R72" s="51"/>
      <c r="S72" s="52"/>
      <c r="T72" s="53" t="s">
        <v>195</v>
      </c>
      <c r="U72" s="53" t="s">
        <v>593</v>
      </c>
      <c r="V72" s="53" t="s">
        <v>594</v>
      </c>
      <c r="W72" s="71" t="s">
        <v>595</v>
      </c>
      <c r="X72" s="53" t="s">
        <v>115</v>
      </c>
      <c r="Y72" s="138" t="s">
        <v>596</v>
      </c>
      <c r="Z72" s="138" t="s">
        <v>597</v>
      </c>
      <c r="AA72" s="295" t="s">
        <v>598</v>
      </c>
    </row>
    <row r="73" spans="2:27" ht="80.25" customHeight="1">
      <c r="B73" s="328" t="s">
        <v>41</v>
      </c>
      <c r="C73" s="54" t="s">
        <v>101</v>
      </c>
      <c r="D73" s="54" t="s">
        <v>42</v>
      </c>
      <c r="E73" s="293">
        <v>1</v>
      </c>
      <c r="F73" s="49" t="s">
        <v>599</v>
      </c>
      <c r="G73" s="49" t="s">
        <v>600</v>
      </c>
      <c r="H73" s="52" t="s">
        <v>590</v>
      </c>
      <c r="I73" s="293">
        <v>42</v>
      </c>
      <c r="J73" s="49" t="s">
        <v>333</v>
      </c>
      <c r="K73" s="50">
        <v>23</v>
      </c>
      <c r="L73" s="50">
        <v>6</v>
      </c>
      <c r="M73" s="293"/>
      <c r="N73" s="138" t="s">
        <v>601</v>
      </c>
      <c r="O73" s="51" t="s">
        <v>602</v>
      </c>
      <c r="P73" s="293"/>
      <c r="Q73" s="182"/>
      <c r="R73" s="138"/>
      <c r="S73" s="182"/>
      <c r="T73" s="53" t="s">
        <v>401</v>
      </c>
      <c r="U73" s="53" t="s">
        <v>603</v>
      </c>
      <c r="V73" s="53" t="s">
        <v>604</v>
      </c>
      <c r="W73" s="71" t="s">
        <v>605</v>
      </c>
      <c r="X73" s="53" t="s">
        <v>115</v>
      </c>
      <c r="Y73" s="51" t="s">
        <v>573</v>
      </c>
      <c r="Z73" s="51" t="s">
        <v>606</v>
      </c>
      <c r="AA73" s="58" t="s">
        <v>451</v>
      </c>
    </row>
    <row r="74" spans="2:27" ht="80.25" customHeight="1">
      <c r="B74" s="328" t="s">
        <v>41</v>
      </c>
      <c r="C74" s="54" t="s">
        <v>101</v>
      </c>
      <c r="D74" s="54" t="s">
        <v>42</v>
      </c>
      <c r="E74" s="293">
        <v>1</v>
      </c>
      <c r="F74" s="49" t="s">
        <v>607</v>
      </c>
      <c r="G74" s="49" t="s">
        <v>608</v>
      </c>
      <c r="H74" s="182" t="s">
        <v>590</v>
      </c>
      <c r="I74" s="293">
        <v>43</v>
      </c>
      <c r="J74" s="54" t="s">
        <v>333</v>
      </c>
      <c r="K74" s="293">
        <v>23</v>
      </c>
      <c r="L74" s="293">
        <v>6</v>
      </c>
      <c r="M74" s="293"/>
      <c r="N74" s="51" t="s">
        <v>609</v>
      </c>
      <c r="O74" s="51" t="s">
        <v>610</v>
      </c>
      <c r="P74" s="293"/>
      <c r="Q74" s="54"/>
      <c r="R74" s="55" t="s">
        <v>611</v>
      </c>
      <c r="S74" s="54" t="s">
        <v>612</v>
      </c>
      <c r="T74" s="53" t="s">
        <v>195</v>
      </c>
      <c r="U74" s="53" t="s">
        <v>593</v>
      </c>
      <c r="V74" s="53" t="s">
        <v>613</v>
      </c>
      <c r="W74" s="71" t="s">
        <v>614</v>
      </c>
      <c r="X74" s="55" t="s">
        <v>115</v>
      </c>
      <c r="Y74" s="51" t="s">
        <v>573</v>
      </c>
      <c r="Z74" s="62" t="s">
        <v>615</v>
      </c>
      <c r="AA74" s="295" t="s">
        <v>451</v>
      </c>
    </row>
    <row r="75" spans="2:27" ht="80.25" customHeight="1">
      <c r="B75" s="328" t="s">
        <v>41</v>
      </c>
      <c r="C75" s="54" t="s">
        <v>101</v>
      </c>
      <c r="D75" s="54" t="s">
        <v>42</v>
      </c>
      <c r="E75" s="293">
        <v>1</v>
      </c>
      <c r="F75" s="54" t="s">
        <v>616</v>
      </c>
      <c r="G75" s="54" t="s">
        <v>617</v>
      </c>
      <c r="H75" s="52" t="s">
        <v>578</v>
      </c>
      <c r="I75" s="293">
        <v>44</v>
      </c>
      <c r="J75" s="54" t="s">
        <v>105</v>
      </c>
      <c r="K75" s="293">
        <v>3</v>
      </c>
      <c r="L75" s="50"/>
      <c r="M75" s="50"/>
      <c r="N75" s="51" t="s">
        <v>618</v>
      </c>
      <c r="O75" s="51" t="s">
        <v>619</v>
      </c>
      <c r="P75" s="50"/>
      <c r="Q75" s="51" t="s">
        <v>620</v>
      </c>
      <c r="R75" s="51"/>
      <c r="S75" s="52"/>
      <c r="T75" s="53" t="s">
        <v>240</v>
      </c>
      <c r="U75" s="53" t="s">
        <v>446</v>
      </c>
      <c r="V75" s="53" t="s">
        <v>187</v>
      </c>
      <c r="W75" s="71" t="s">
        <v>621</v>
      </c>
      <c r="X75" s="53" t="s">
        <v>115</v>
      </c>
      <c r="Y75" s="62" t="s">
        <v>622</v>
      </c>
      <c r="Z75" s="62" t="s">
        <v>623</v>
      </c>
      <c r="AA75" s="58" t="s">
        <v>624</v>
      </c>
    </row>
    <row r="76" spans="2:27" ht="80.25" customHeight="1">
      <c r="B76" s="328" t="s">
        <v>41</v>
      </c>
      <c r="C76" s="54" t="s">
        <v>101</v>
      </c>
      <c r="D76" s="54" t="s">
        <v>42</v>
      </c>
      <c r="E76" s="293">
        <v>1</v>
      </c>
      <c r="F76" s="54" t="s">
        <v>625</v>
      </c>
      <c r="G76" s="54" t="s">
        <v>626</v>
      </c>
      <c r="H76" s="182" t="s">
        <v>578</v>
      </c>
      <c r="I76" s="293">
        <v>45</v>
      </c>
      <c r="J76" s="54" t="s">
        <v>105</v>
      </c>
      <c r="K76" s="293">
        <v>3</v>
      </c>
      <c r="L76" s="293"/>
      <c r="M76" s="293"/>
      <c r="N76" s="138" t="s">
        <v>627</v>
      </c>
      <c r="O76" s="138" t="s">
        <v>628</v>
      </c>
      <c r="P76" s="293"/>
      <c r="Q76" s="138" t="s">
        <v>581</v>
      </c>
      <c r="R76" s="138"/>
      <c r="S76" s="182"/>
      <c r="T76" s="55" t="s">
        <v>401</v>
      </c>
      <c r="U76" s="55" t="s">
        <v>629</v>
      </c>
      <c r="V76" s="55" t="s">
        <v>630</v>
      </c>
      <c r="W76" s="349" t="s">
        <v>631</v>
      </c>
      <c r="X76" s="55" t="s">
        <v>115</v>
      </c>
      <c r="Y76" s="294" t="s">
        <v>632</v>
      </c>
      <c r="Z76" s="138" t="s">
        <v>633</v>
      </c>
      <c r="AA76" s="295" t="s">
        <v>634</v>
      </c>
    </row>
    <row r="77" spans="2:27" ht="80.25" customHeight="1">
      <c r="B77" s="298" t="s">
        <v>41</v>
      </c>
      <c r="C77" s="49" t="s">
        <v>101</v>
      </c>
      <c r="D77" s="49" t="s">
        <v>42</v>
      </c>
      <c r="E77" s="50">
        <v>1</v>
      </c>
      <c r="F77" s="49" t="s">
        <v>635</v>
      </c>
      <c r="G77" s="49" t="s">
        <v>636</v>
      </c>
      <c r="H77" s="52" t="s">
        <v>590</v>
      </c>
      <c r="I77" s="58">
        <v>46</v>
      </c>
      <c r="J77" s="49" t="s">
        <v>333</v>
      </c>
      <c r="K77" s="50">
        <v>23</v>
      </c>
      <c r="L77" s="50">
        <v>6</v>
      </c>
      <c r="M77" s="50"/>
      <c r="N77" s="51" t="s">
        <v>637</v>
      </c>
      <c r="O77" s="51" t="s">
        <v>638</v>
      </c>
      <c r="P77" s="50"/>
      <c r="Q77" s="52"/>
      <c r="R77" s="51"/>
      <c r="S77" s="52"/>
      <c r="T77" s="53" t="s">
        <v>401</v>
      </c>
      <c r="U77" s="53" t="s">
        <v>639</v>
      </c>
      <c r="V77" s="53" t="s">
        <v>640</v>
      </c>
      <c r="W77" s="71" t="s">
        <v>641</v>
      </c>
      <c r="X77" s="53" t="s">
        <v>115</v>
      </c>
      <c r="Y77" s="51" t="s">
        <v>596</v>
      </c>
      <c r="Z77" s="51" t="s">
        <v>597</v>
      </c>
      <c r="AA77" s="58" t="s">
        <v>642</v>
      </c>
    </row>
    <row r="78" spans="2:27" ht="80.25" customHeight="1">
      <c r="B78" s="298" t="s">
        <v>41</v>
      </c>
      <c r="C78" s="49" t="s">
        <v>101</v>
      </c>
      <c r="D78" s="49" t="s">
        <v>42</v>
      </c>
      <c r="E78" s="50">
        <v>1</v>
      </c>
      <c r="F78" s="49" t="s">
        <v>643</v>
      </c>
      <c r="G78" s="49" t="s">
        <v>644</v>
      </c>
      <c r="H78" s="52" t="s">
        <v>590</v>
      </c>
      <c r="I78" s="50">
        <v>47</v>
      </c>
      <c r="J78" s="49" t="s">
        <v>333</v>
      </c>
      <c r="K78" s="50">
        <v>23</v>
      </c>
      <c r="L78" s="50">
        <v>6</v>
      </c>
      <c r="M78" s="50"/>
      <c r="N78" s="51" t="s">
        <v>645</v>
      </c>
      <c r="O78" s="51" t="s">
        <v>646</v>
      </c>
      <c r="P78" s="50"/>
      <c r="Q78" s="52"/>
      <c r="R78" s="51"/>
      <c r="S78" s="52"/>
      <c r="T78" s="53" t="s">
        <v>240</v>
      </c>
      <c r="U78" s="53" t="s">
        <v>446</v>
      </c>
      <c r="V78" s="53" t="s">
        <v>647</v>
      </c>
      <c r="W78" s="71" t="s">
        <v>648</v>
      </c>
      <c r="X78" s="53" t="s">
        <v>115</v>
      </c>
      <c r="Y78" s="51" t="s">
        <v>622</v>
      </c>
      <c r="Z78" s="51" t="s">
        <v>649</v>
      </c>
      <c r="AA78" s="58" t="s">
        <v>650</v>
      </c>
    </row>
    <row r="79" spans="2:27" ht="111.75" customHeight="1">
      <c r="B79" s="298" t="s">
        <v>41</v>
      </c>
      <c r="C79" s="49" t="s">
        <v>101</v>
      </c>
      <c r="D79" s="49" t="s">
        <v>42</v>
      </c>
      <c r="E79" s="50">
        <v>1</v>
      </c>
      <c r="F79" s="49" t="s">
        <v>651</v>
      </c>
      <c r="G79" s="49" t="s">
        <v>652</v>
      </c>
      <c r="H79" s="52" t="s">
        <v>590</v>
      </c>
      <c r="I79" s="58">
        <v>48</v>
      </c>
      <c r="J79" s="49" t="s">
        <v>333</v>
      </c>
      <c r="K79" s="50">
        <v>23</v>
      </c>
      <c r="L79" s="50">
        <v>6</v>
      </c>
      <c r="M79" s="50"/>
      <c r="N79" s="51" t="s">
        <v>653</v>
      </c>
      <c r="O79" s="51" t="s">
        <v>654</v>
      </c>
      <c r="P79" s="50"/>
      <c r="Q79" s="52"/>
      <c r="R79" s="53" t="s">
        <v>611</v>
      </c>
      <c r="S79" s="49" t="s">
        <v>655</v>
      </c>
      <c r="T79" s="53" t="s">
        <v>656</v>
      </c>
      <c r="U79" s="53" t="s">
        <v>639</v>
      </c>
      <c r="V79" s="53" t="s">
        <v>657</v>
      </c>
      <c r="W79" s="71" t="s">
        <v>658</v>
      </c>
      <c r="X79" s="53" t="s">
        <v>115</v>
      </c>
      <c r="Y79" s="51" t="s">
        <v>449</v>
      </c>
      <c r="Z79" s="62" t="s">
        <v>659</v>
      </c>
      <c r="AA79" s="58" t="s">
        <v>650</v>
      </c>
    </row>
    <row r="80" spans="2:27" ht="80.25" customHeight="1">
      <c r="B80" s="298" t="s">
        <v>41</v>
      </c>
      <c r="C80" s="49" t="s">
        <v>101</v>
      </c>
      <c r="D80" s="49" t="s">
        <v>42</v>
      </c>
      <c r="E80" s="50">
        <v>1</v>
      </c>
      <c r="F80" s="49" t="s">
        <v>660</v>
      </c>
      <c r="G80" s="49" t="s">
        <v>661</v>
      </c>
      <c r="H80" s="52" t="s">
        <v>184</v>
      </c>
      <c r="I80" s="50">
        <v>49</v>
      </c>
      <c r="J80" s="49" t="s">
        <v>105</v>
      </c>
      <c r="K80" s="50"/>
      <c r="L80" s="50"/>
      <c r="M80" s="50"/>
      <c r="N80" s="51" t="s">
        <v>662</v>
      </c>
      <c r="O80" s="51" t="s">
        <v>663</v>
      </c>
      <c r="P80" s="50"/>
      <c r="Q80" s="49"/>
      <c r="R80" s="53"/>
      <c r="S80" s="53"/>
      <c r="T80" s="53" t="s">
        <v>324</v>
      </c>
      <c r="U80" s="53" t="s">
        <v>392</v>
      </c>
      <c r="V80" s="53" t="s">
        <v>664</v>
      </c>
      <c r="W80" s="71" t="s">
        <v>665</v>
      </c>
      <c r="X80" s="53" t="s">
        <v>115</v>
      </c>
      <c r="Y80" s="53" t="s">
        <v>503</v>
      </c>
      <c r="Z80" s="53" t="s">
        <v>666</v>
      </c>
      <c r="AA80" s="58" t="s">
        <v>667</v>
      </c>
    </row>
    <row r="81" spans="1:27" ht="174" customHeight="1">
      <c r="B81" s="328" t="s">
        <v>41</v>
      </c>
      <c r="C81" s="49" t="s">
        <v>101</v>
      </c>
      <c r="D81" s="54" t="s">
        <v>42</v>
      </c>
      <c r="E81" s="293">
        <v>1</v>
      </c>
      <c r="F81" s="49" t="s">
        <v>668</v>
      </c>
      <c r="G81" s="49" t="s">
        <v>669</v>
      </c>
      <c r="H81" s="182" t="s">
        <v>363</v>
      </c>
      <c r="I81" s="293">
        <v>50</v>
      </c>
      <c r="J81" s="54" t="s">
        <v>105</v>
      </c>
      <c r="K81" s="293">
        <v>3</v>
      </c>
      <c r="L81" s="293"/>
      <c r="M81" s="293"/>
      <c r="N81" s="138" t="s">
        <v>670</v>
      </c>
      <c r="O81" s="51" t="s">
        <v>671</v>
      </c>
      <c r="P81" s="293"/>
      <c r="Q81" s="138" t="s">
        <v>672</v>
      </c>
      <c r="R81" s="55" t="s">
        <v>673</v>
      </c>
      <c r="S81" s="54" t="s">
        <v>674</v>
      </c>
      <c r="T81" s="53" t="s">
        <v>111</v>
      </c>
      <c r="U81" s="53" t="s">
        <v>112</v>
      </c>
      <c r="V81" s="53" t="s">
        <v>113</v>
      </c>
      <c r="W81" s="272" t="s">
        <v>675</v>
      </c>
      <c r="X81" s="53" t="s">
        <v>115</v>
      </c>
      <c r="Y81" s="294" t="s">
        <v>346</v>
      </c>
      <c r="Z81" s="294" t="s">
        <v>676</v>
      </c>
      <c r="AA81" s="295" t="s">
        <v>116</v>
      </c>
    </row>
    <row r="82" spans="1:27" ht="80.25" customHeight="1">
      <c r="B82" s="328" t="s">
        <v>41</v>
      </c>
      <c r="C82" s="49" t="s">
        <v>101</v>
      </c>
      <c r="D82" s="54" t="s">
        <v>42</v>
      </c>
      <c r="E82" s="293">
        <v>1</v>
      </c>
      <c r="F82" s="49" t="s">
        <v>677</v>
      </c>
      <c r="G82" s="49" t="s">
        <v>678</v>
      </c>
      <c r="H82" s="182" t="s">
        <v>363</v>
      </c>
      <c r="I82" s="293">
        <v>51</v>
      </c>
      <c r="J82" s="54" t="s">
        <v>105</v>
      </c>
      <c r="K82" s="293">
        <v>3</v>
      </c>
      <c r="L82" s="293"/>
      <c r="M82" s="293"/>
      <c r="N82" s="138" t="s">
        <v>679</v>
      </c>
      <c r="O82" s="51" t="s">
        <v>680</v>
      </c>
      <c r="P82" s="293"/>
      <c r="Q82" s="138" t="s">
        <v>681</v>
      </c>
      <c r="R82" s="55" t="s">
        <v>343</v>
      </c>
      <c r="S82" s="54" t="s">
        <v>682</v>
      </c>
      <c r="T82" s="53" t="s">
        <v>683</v>
      </c>
      <c r="U82" s="53" t="s">
        <v>112</v>
      </c>
      <c r="V82" s="53" t="s">
        <v>113</v>
      </c>
      <c r="W82" s="272" t="s">
        <v>684</v>
      </c>
      <c r="X82" s="53" t="s">
        <v>115</v>
      </c>
      <c r="Y82" s="138" t="s">
        <v>116</v>
      </c>
      <c r="Z82" s="138" t="s">
        <v>116</v>
      </c>
      <c r="AA82" s="295" t="s">
        <v>685</v>
      </c>
    </row>
    <row r="83" spans="1:27" ht="80.25" customHeight="1">
      <c r="B83" s="298" t="s">
        <v>41</v>
      </c>
      <c r="C83" s="49" t="s">
        <v>101</v>
      </c>
      <c r="D83" s="49" t="s">
        <v>42</v>
      </c>
      <c r="E83" s="50">
        <v>1</v>
      </c>
      <c r="F83" s="49" t="s">
        <v>213</v>
      </c>
      <c r="G83" s="49" t="s">
        <v>214</v>
      </c>
      <c r="H83" s="49" t="s">
        <v>686</v>
      </c>
      <c r="I83" s="50">
        <v>52</v>
      </c>
      <c r="J83" s="49" t="s">
        <v>105</v>
      </c>
      <c r="K83" s="50">
        <v>2</v>
      </c>
      <c r="L83" s="50"/>
      <c r="M83" s="50"/>
      <c r="N83" s="51" t="s">
        <v>687</v>
      </c>
      <c r="O83" s="51" t="s">
        <v>215</v>
      </c>
      <c r="P83" s="50"/>
      <c r="Q83" s="51" t="s">
        <v>688</v>
      </c>
      <c r="R83" s="53"/>
      <c r="S83" s="49"/>
      <c r="T83" s="53" t="s">
        <v>324</v>
      </c>
      <c r="U83" s="53" t="s">
        <v>392</v>
      </c>
      <c r="V83" s="53" t="s">
        <v>116</v>
      </c>
      <c r="W83" s="71" t="s">
        <v>689</v>
      </c>
      <c r="X83" s="53" t="s">
        <v>115</v>
      </c>
      <c r="Y83" s="51" t="s">
        <v>116</v>
      </c>
      <c r="Z83" s="51" t="s">
        <v>116</v>
      </c>
      <c r="AA83" s="58" t="s">
        <v>690</v>
      </c>
    </row>
    <row r="84" spans="1:27" ht="80.25" customHeight="1">
      <c r="B84" s="298" t="s">
        <v>41</v>
      </c>
      <c r="C84" s="49" t="s">
        <v>101</v>
      </c>
      <c r="D84" s="49" t="s">
        <v>42</v>
      </c>
      <c r="E84" s="50">
        <v>1</v>
      </c>
      <c r="F84" s="49" t="s">
        <v>233</v>
      </c>
      <c r="G84" s="49" t="s">
        <v>234</v>
      </c>
      <c r="H84" s="49" t="s">
        <v>395</v>
      </c>
      <c r="I84" s="50">
        <v>53</v>
      </c>
      <c r="J84" s="49" t="s">
        <v>105</v>
      </c>
      <c r="K84" s="50">
        <v>10</v>
      </c>
      <c r="L84" s="50"/>
      <c r="M84" s="50"/>
      <c r="N84" s="51" t="s">
        <v>396</v>
      </c>
      <c r="O84" s="51" t="s">
        <v>235</v>
      </c>
      <c r="P84" s="50" t="s">
        <v>108</v>
      </c>
      <c r="Q84" s="49"/>
      <c r="R84" s="53" t="s">
        <v>471</v>
      </c>
      <c r="S84" s="49" t="s">
        <v>691</v>
      </c>
      <c r="T84" s="53" t="s">
        <v>324</v>
      </c>
      <c r="U84" s="53" t="s">
        <v>392</v>
      </c>
      <c r="V84" s="53" t="s">
        <v>692</v>
      </c>
      <c r="W84" s="71" t="s">
        <v>693</v>
      </c>
      <c r="X84" s="51" t="s">
        <v>116</v>
      </c>
      <c r="Y84" s="51" t="s">
        <v>116</v>
      </c>
      <c r="Z84" s="51" t="s">
        <v>116</v>
      </c>
      <c r="AA84" s="58" t="s">
        <v>116</v>
      </c>
    </row>
    <row r="85" spans="1:27" ht="304.5">
      <c r="B85" s="290" t="s">
        <v>41</v>
      </c>
      <c r="C85" s="290" t="s">
        <v>694</v>
      </c>
      <c r="D85" s="290" t="s">
        <v>695</v>
      </c>
      <c r="E85" s="329">
        <v>2</v>
      </c>
      <c r="F85" s="290" t="s">
        <v>102</v>
      </c>
      <c r="G85" s="290" t="s">
        <v>103</v>
      </c>
      <c r="H85" s="52" t="s">
        <v>156</v>
      </c>
      <c r="I85" s="50">
        <v>1</v>
      </c>
      <c r="J85" s="52" t="s">
        <v>105</v>
      </c>
      <c r="K85" s="50">
        <v>4</v>
      </c>
      <c r="L85" s="50"/>
      <c r="M85" s="50"/>
      <c r="N85" s="290" t="s">
        <v>106</v>
      </c>
      <c r="O85" s="51" t="s">
        <v>107</v>
      </c>
      <c r="P85" s="50" t="s">
        <v>108</v>
      </c>
      <c r="Q85" s="49"/>
      <c r="R85" s="330" t="s">
        <v>696</v>
      </c>
      <c r="S85" s="331" t="s">
        <v>697</v>
      </c>
      <c r="T85" s="51" t="s">
        <v>698</v>
      </c>
      <c r="U85" s="51" t="s">
        <v>699</v>
      </c>
      <c r="V85" s="51" t="s">
        <v>700</v>
      </c>
      <c r="W85" s="285" t="s">
        <v>701</v>
      </c>
      <c r="X85" s="290" t="s">
        <v>702</v>
      </c>
      <c r="Y85" s="290" t="s">
        <v>703</v>
      </c>
      <c r="Z85" s="290" t="s">
        <v>703</v>
      </c>
      <c r="AA85" s="329" t="s">
        <v>704</v>
      </c>
    </row>
    <row r="86" spans="1:27" ht="290.10000000000002">
      <c r="B86" s="290" t="s">
        <v>41</v>
      </c>
      <c r="C86" s="290" t="s">
        <v>694</v>
      </c>
      <c r="D86" s="290" t="s">
        <v>695</v>
      </c>
      <c r="E86" s="329">
        <v>2</v>
      </c>
      <c r="F86" s="290" t="s">
        <v>133</v>
      </c>
      <c r="G86" s="290" t="s">
        <v>134</v>
      </c>
      <c r="H86" s="52" t="s">
        <v>156</v>
      </c>
      <c r="I86" s="50">
        <v>2</v>
      </c>
      <c r="J86" s="49" t="s">
        <v>105</v>
      </c>
      <c r="K86" s="50">
        <v>30</v>
      </c>
      <c r="L86" s="50"/>
      <c r="M86" s="50"/>
      <c r="N86" s="290" t="s">
        <v>705</v>
      </c>
      <c r="O86" s="51" t="s">
        <v>706</v>
      </c>
      <c r="P86" s="50" t="s">
        <v>108</v>
      </c>
      <c r="Q86" s="49"/>
      <c r="R86" s="330" t="s">
        <v>696</v>
      </c>
      <c r="S86" s="331" t="s">
        <v>697</v>
      </c>
      <c r="T86" s="51" t="s">
        <v>707</v>
      </c>
      <c r="U86" s="51" t="s">
        <v>708</v>
      </c>
      <c r="V86" s="51" t="s">
        <v>709</v>
      </c>
      <c r="W86" s="285" t="s">
        <v>710</v>
      </c>
      <c r="X86" s="290" t="s">
        <v>702</v>
      </c>
      <c r="Y86" s="290" t="s">
        <v>711</v>
      </c>
      <c r="Z86" s="290" t="s">
        <v>712</v>
      </c>
      <c r="AA86" s="329" t="s">
        <v>713</v>
      </c>
    </row>
    <row r="87" spans="1:27" ht="174">
      <c r="B87" s="290" t="s">
        <v>41</v>
      </c>
      <c r="C87" s="290" t="s">
        <v>694</v>
      </c>
      <c r="D87" s="290" t="s">
        <v>695</v>
      </c>
      <c r="E87" s="329">
        <v>2</v>
      </c>
      <c r="F87" s="290" t="s">
        <v>714</v>
      </c>
      <c r="G87" s="290" t="s">
        <v>715</v>
      </c>
      <c r="H87" s="52" t="s">
        <v>716</v>
      </c>
      <c r="I87" s="50">
        <v>3</v>
      </c>
      <c r="J87" s="52" t="s">
        <v>717</v>
      </c>
      <c r="K87" s="50"/>
      <c r="L87" s="50"/>
      <c r="M87" s="50"/>
      <c r="N87" s="290" t="s">
        <v>718</v>
      </c>
      <c r="O87" s="51" t="s">
        <v>719</v>
      </c>
      <c r="P87" s="50" t="s">
        <v>108</v>
      </c>
      <c r="Q87" s="49"/>
      <c r="R87" s="330" t="s">
        <v>720</v>
      </c>
      <c r="S87" s="331" t="s">
        <v>721</v>
      </c>
      <c r="T87" s="51" t="s">
        <v>707</v>
      </c>
      <c r="U87" s="51" t="s">
        <v>708</v>
      </c>
      <c r="V87" s="51" t="s">
        <v>722</v>
      </c>
      <c r="W87" s="285" t="s">
        <v>723</v>
      </c>
      <c r="X87" s="290" t="s">
        <v>702</v>
      </c>
      <c r="Y87" s="290" t="s">
        <v>724</v>
      </c>
      <c r="Z87" s="290" t="s">
        <v>725</v>
      </c>
      <c r="AA87" s="329" t="s">
        <v>726</v>
      </c>
    </row>
    <row r="88" spans="1:27" ht="174">
      <c r="B88" s="290" t="s">
        <v>41</v>
      </c>
      <c r="C88" s="290" t="s">
        <v>694</v>
      </c>
      <c r="D88" s="290" t="s">
        <v>695</v>
      </c>
      <c r="E88" s="329">
        <v>2</v>
      </c>
      <c r="F88" s="290" t="s">
        <v>727</v>
      </c>
      <c r="G88" s="290" t="s">
        <v>728</v>
      </c>
      <c r="H88" s="52" t="s">
        <v>716</v>
      </c>
      <c r="I88" s="50">
        <v>4</v>
      </c>
      <c r="J88" s="52" t="s">
        <v>717</v>
      </c>
      <c r="K88" s="50"/>
      <c r="L88" s="50"/>
      <c r="M88" s="50"/>
      <c r="N88" s="290" t="s">
        <v>729</v>
      </c>
      <c r="O88" s="51" t="s">
        <v>730</v>
      </c>
      <c r="P88" s="50" t="s">
        <v>108</v>
      </c>
      <c r="Q88" s="49"/>
      <c r="R88" s="330" t="s">
        <v>720</v>
      </c>
      <c r="S88" s="331" t="s">
        <v>721</v>
      </c>
      <c r="T88" s="51" t="s">
        <v>707</v>
      </c>
      <c r="U88" s="51" t="s">
        <v>708</v>
      </c>
      <c r="V88" s="51" t="s">
        <v>731</v>
      </c>
      <c r="W88" s="285" t="s">
        <v>732</v>
      </c>
      <c r="X88" s="290" t="s">
        <v>702</v>
      </c>
      <c r="Y88" s="74" t="s">
        <v>733</v>
      </c>
      <c r="Z88" s="74" t="s">
        <v>734</v>
      </c>
      <c r="AA88" s="329" t="s">
        <v>735</v>
      </c>
    </row>
    <row r="89" spans="1:27" ht="188.45">
      <c r="B89" s="290" t="s">
        <v>41</v>
      </c>
      <c r="C89" s="290" t="s">
        <v>694</v>
      </c>
      <c r="D89" s="290" t="s">
        <v>695</v>
      </c>
      <c r="E89" s="329">
        <v>2</v>
      </c>
      <c r="F89" s="49" t="s">
        <v>306</v>
      </c>
      <c r="G89" s="49" t="s">
        <v>307</v>
      </c>
      <c r="H89" s="52" t="s">
        <v>156</v>
      </c>
      <c r="I89" s="50">
        <v>5</v>
      </c>
      <c r="J89" s="49" t="s">
        <v>105</v>
      </c>
      <c r="K89" s="50">
        <v>4</v>
      </c>
      <c r="L89" s="50"/>
      <c r="M89" s="50"/>
      <c r="N89" s="51" t="s">
        <v>308</v>
      </c>
      <c r="O89" s="51" t="s">
        <v>736</v>
      </c>
      <c r="P89" s="50"/>
      <c r="Q89" s="49"/>
      <c r="R89" s="53"/>
      <c r="S89" s="53" t="s">
        <v>737</v>
      </c>
      <c r="T89" s="51" t="s">
        <v>698</v>
      </c>
      <c r="U89" s="51" t="s">
        <v>699</v>
      </c>
      <c r="V89" s="51" t="s">
        <v>700</v>
      </c>
      <c r="W89" s="285" t="s">
        <v>738</v>
      </c>
      <c r="X89" s="290" t="s">
        <v>702</v>
      </c>
      <c r="Y89" s="290" t="s">
        <v>739</v>
      </c>
      <c r="Z89" s="290" t="s">
        <v>726</v>
      </c>
      <c r="AA89" s="329" t="s">
        <v>740</v>
      </c>
    </row>
    <row r="90" spans="1:27" ht="174">
      <c r="B90" s="290" t="s">
        <v>41</v>
      </c>
      <c r="C90" s="290" t="s">
        <v>694</v>
      </c>
      <c r="D90" s="290" t="s">
        <v>695</v>
      </c>
      <c r="E90" s="329">
        <v>2</v>
      </c>
      <c r="F90" s="49" t="s">
        <v>143</v>
      </c>
      <c r="G90" s="49" t="s">
        <v>144</v>
      </c>
      <c r="H90" s="49" t="s">
        <v>156</v>
      </c>
      <c r="I90" s="50">
        <v>6</v>
      </c>
      <c r="J90" s="49" t="s">
        <v>105</v>
      </c>
      <c r="K90" s="50">
        <v>15</v>
      </c>
      <c r="L90" s="50"/>
      <c r="M90" s="50"/>
      <c r="N90" s="51" t="s">
        <v>323</v>
      </c>
      <c r="O90" s="51" t="s">
        <v>741</v>
      </c>
      <c r="P90" s="50"/>
      <c r="Q90" s="49"/>
      <c r="R90" s="53"/>
      <c r="S90" s="49"/>
      <c r="T90" s="51" t="s">
        <v>707</v>
      </c>
      <c r="U90" s="51" t="s">
        <v>708</v>
      </c>
      <c r="V90" s="53" t="s">
        <v>742</v>
      </c>
      <c r="W90" s="71" t="s">
        <v>743</v>
      </c>
      <c r="X90" s="290" t="s">
        <v>702</v>
      </c>
      <c r="Y90" s="290" t="s">
        <v>739</v>
      </c>
      <c r="Z90" s="51" t="s">
        <v>744</v>
      </c>
      <c r="AA90" s="329" t="s">
        <v>745</v>
      </c>
    </row>
    <row r="91" spans="1:27" ht="409.5">
      <c r="B91" s="290" t="s">
        <v>41</v>
      </c>
      <c r="C91" s="290" t="s">
        <v>694</v>
      </c>
      <c r="D91" s="290" t="s">
        <v>695</v>
      </c>
      <c r="E91" s="329">
        <v>2</v>
      </c>
      <c r="F91" s="292" t="s">
        <v>746</v>
      </c>
      <c r="G91" s="74" t="s">
        <v>747</v>
      </c>
      <c r="H91" s="52" t="s">
        <v>748</v>
      </c>
      <c r="I91" s="50">
        <v>7</v>
      </c>
      <c r="J91" s="52" t="s">
        <v>105</v>
      </c>
      <c r="K91" s="50">
        <v>4</v>
      </c>
      <c r="L91" s="50"/>
      <c r="M91" s="50"/>
      <c r="N91" s="74" t="s">
        <v>749</v>
      </c>
      <c r="O91" s="51" t="s">
        <v>750</v>
      </c>
      <c r="P91" s="50"/>
      <c r="Q91" s="53" t="s">
        <v>751</v>
      </c>
      <c r="R91" s="330" t="s">
        <v>752</v>
      </c>
      <c r="S91" s="73" t="s">
        <v>753</v>
      </c>
      <c r="T91" s="51" t="s">
        <v>698</v>
      </c>
      <c r="U91" s="51" t="s">
        <v>699</v>
      </c>
      <c r="V91" s="51" t="s">
        <v>754</v>
      </c>
      <c r="W91" s="285" t="s">
        <v>755</v>
      </c>
      <c r="X91" s="290" t="s">
        <v>702</v>
      </c>
      <c r="Y91" s="290" t="s">
        <v>756</v>
      </c>
      <c r="Z91" s="290" t="s">
        <v>757</v>
      </c>
      <c r="AA91" s="329" t="s">
        <v>758</v>
      </c>
    </row>
    <row r="92" spans="1:27" ht="261">
      <c r="B92" s="290" t="s">
        <v>41</v>
      </c>
      <c r="C92" s="290" t="s">
        <v>694</v>
      </c>
      <c r="D92" s="290" t="s">
        <v>695</v>
      </c>
      <c r="E92" s="329">
        <v>2</v>
      </c>
      <c r="F92" s="290" t="s">
        <v>759</v>
      </c>
      <c r="G92" s="290" t="s">
        <v>760</v>
      </c>
      <c r="H92" s="52" t="s">
        <v>761</v>
      </c>
      <c r="I92" s="50">
        <v>8</v>
      </c>
      <c r="J92" s="52" t="s">
        <v>105</v>
      </c>
      <c r="K92" s="50">
        <v>4</v>
      </c>
      <c r="L92" s="50"/>
      <c r="M92" s="50"/>
      <c r="N92" s="74" t="s">
        <v>762</v>
      </c>
      <c r="O92" s="51" t="s">
        <v>763</v>
      </c>
      <c r="P92" s="50"/>
      <c r="Q92" s="49"/>
      <c r="R92" s="331"/>
      <c r="S92" s="331"/>
      <c r="T92" s="51" t="s">
        <v>698</v>
      </c>
      <c r="U92" s="51" t="s">
        <v>699</v>
      </c>
      <c r="V92" s="330" t="s">
        <v>764</v>
      </c>
      <c r="W92" s="319" t="s">
        <v>765</v>
      </c>
      <c r="X92" s="290" t="s">
        <v>702</v>
      </c>
      <c r="Y92" s="290" t="s">
        <v>766</v>
      </c>
      <c r="Z92" s="53" t="s">
        <v>767</v>
      </c>
      <c r="AA92" s="329" t="s">
        <v>768</v>
      </c>
    </row>
    <row r="93" spans="1:27" s="333" customFormat="1" ht="203.1">
      <c r="A93" s="332"/>
      <c r="B93" s="290" t="s">
        <v>41</v>
      </c>
      <c r="C93" s="290" t="s">
        <v>694</v>
      </c>
      <c r="D93" s="290" t="s">
        <v>695</v>
      </c>
      <c r="E93" s="329">
        <v>2</v>
      </c>
      <c r="F93" s="290" t="s">
        <v>769</v>
      </c>
      <c r="G93" s="290" t="s">
        <v>770</v>
      </c>
      <c r="H93" s="52" t="s">
        <v>761</v>
      </c>
      <c r="I93" s="50">
        <v>9</v>
      </c>
      <c r="J93" s="52" t="s">
        <v>105</v>
      </c>
      <c r="K93" s="50">
        <v>4</v>
      </c>
      <c r="L93" s="50"/>
      <c r="M93" s="50"/>
      <c r="N93" s="290" t="s">
        <v>771</v>
      </c>
      <c r="O93" s="51" t="s">
        <v>772</v>
      </c>
      <c r="P93" s="50"/>
      <c r="Q93" s="49"/>
      <c r="R93" s="330" t="s">
        <v>773</v>
      </c>
      <c r="S93" s="331" t="s">
        <v>774</v>
      </c>
      <c r="T93" s="51" t="s">
        <v>707</v>
      </c>
      <c r="U93" s="51" t="s">
        <v>708</v>
      </c>
      <c r="V93" s="51" t="s">
        <v>775</v>
      </c>
      <c r="W93" s="285" t="s">
        <v>776</v>
      </c>
      <c r="X93" s="290" t="s">
        <v>702</v>
      </c>
      <c r="Y93" s="290" t="s">
        <v>739</v>
      </c>
      <c r="Z93" s="290" t="s">
        <v>777</v>
      </c>
      <c r="AA93" s="329" t="s">
        <v>778</v>
      </c>
    </row>
    <row r="94" spans="1:27" s="333" customFormat="1" ht="203.1">
      <c r="A94" s="332"/>
      <c r="B94" s="290" t="s">
        <v>41</v>
      </c>
      <c r="C94" s="290" t="s">
        <v>694</v>
      </c>
      <c r="D94" s="290" t="s">
        <v>695</v>
      </c>
      <c r="E94" s="329">
        <v>2</v>
      </c>
      <c r="F94" s="292" t="s">
        <v>779</v>
      </c>
      <c r="G94" s="292" t="s">
        <v>780</v>
      </c>
      <c r="H94" s="52" t="s">
        <v>761</v>
      </c>
      <c r="I94" s="50">
        <v>10</v>
      </c>
      <c r="J94" s="52" t="s">
        <v>105</v>
      </c>
      <c r="K94" s="50">
        <v>4</v>
      </c>
      <c r="L94" s="50"/>
      <c r="M94" s="50"/>
      <c r="N94" s="285" t="s">
        <v>781</v>
      </c>
      <c r="O94" s="51" t="s">
        <v>782</v>
      </c>
      <c r="P94" s="50"/>
      <c r="Q94" s="49"/>
      <c r="R94" s="330" t="s">
        <v>773</v>
      </c>
      <c r="S94" s="331" t="s">
        <v>783</v>
      </c>
      <c r="T94" s="51" t="s">
        <v>707</v>
      </c>
      <c r="U94" s="51" t="s">
        <v>708</v>
      </c>
      <c r="V94" s="51" t="s">
        <v>784</v>
      </c>
      <c r="W94" s="285" t="s">
        <v>785</v>
      </c>
      <c r="X94" s="290" t="s">
        <v>702</v>
      </c>
      <c r="Y94" s="290" t="s">
        <v>739</v>
      </c>
      <c r="Z94" s="62" t="s">
        <v>786</v>
      </c>
      <c r="AA94" s="329" t="s">
        <v>745</v>
      </c>
    </row>
    <row r="95" spans="1:27" s="333" customFormat="1" ht="174">
      <c r="A95" s="332"/>
      <c r="B95" s="290" t="s">
        <v>41</v>
      </c>
      <c r="C95" s="290" t="s">
        <v>694</v>
      </c>
      <c r="D95" s="290" t="s">
        <v>695</v>
      </c>
      <c r="E95" s="334">
        <v>2</v>
      </c>
      <c r="F95" s="335" t="s">
        <v>787</v>
      </c>
      <c r="G95" s="335" t="s">
        <v>788</v>
      </c>
      <c r="H95" s="52" t="s">
        <v>789</v>
      </c>
      <c r="I95" s="50">
        <v>11</v>
      </c>
      <c r="J95" s="52" t="s">
        <v>105</v>
      </c>
      <c r="K95" s="50">
        <v>20</v>
      </c>
      <c r="L95" s="50"/>
      <c r="M95" s="50"/>
      <c r="N95" s="51" t="s">
        <v>790</v>
      </c>
      <c r="O95" s="51" t="s">
        <v>791</v>
      </c>
      <c r="P95" s="50"/>
      <c r="Q95" s="49"/>
      <c r="R95" s="74" t="s">
        <v>792</v>
      </c>
      <c r="S95" s="73" t="s">
        <v>793</v>
      </c>
      <c r="T95" s="51" t="s">
        <v>707</v>
      </c>
      <c r="U95" s="51" t="s">
        <v>708</v>
      </c>
      <c r="V95" s="51" t="s">
        <v>794</v>
      </c>
      <c r="W95" s="285" t="s">
        <v>795</v>
      </c>
      <c r="X95" s="290" t="s">
        <v>702</v>
      </c>
      <c r="Y95" s="290" t="s">
        <v>739</v>
      </c>
      <c r="Z95" s="290" t="s">
        <v>796</v>
      </c>
      <c r="AA95" s="329" t="s">
        <v>745</v>
      </c>
    </row>
    <row r="96" spans="1:27" s="333" customFormat="1" ht="174">
      <c r="A96" s="332"/>
      <c r="B96" s="290" t="s">
        <v>41</v>
      </c>
      <c r="C96" s="290" t="s">
        <v>694</v>
      </c>
      <c r="D96" s="290" t="s">
        <v>695</v>
      </c>
      <c r="E96" s="329">
        <v>2</v>
      </c>
      <c r="F96" s="290" t="s">
        <v>313</v>
      </c>
      <c r="G96" s="74" t="s">
        <v>314</v>
      </c>
      <c r="H96" s="52" t="s">
        <v>748</v>
      </c>
      <c r="I96" s="50">
        <v>12</v>
      </c>
      <c r="J96" s="52" t="s">
        <v>105</v>
      </c>
      <c r="K96" s="50">
        <v>4</v>
      </c>
      <c r="L96" s="50"/>
      <c r="M96" s="50"/>
      <c r="N96" s="290" t="s">
        <v>797</v>
      </c>
      <c r="O96" s="51" t="s">
        <v>798</v>
      </c>
      <c r="P96" s="50"/>
      <c r="Q96" s="53" t="s">
        <v>799</v>
      </c>
      <c r="R96" s="330" t="s">
        <v>773</v>
      </c>
      <c r="S96" s="331" t="s">
        <v>800</v>
      </c>
      <c r="T96" s="51" t="s">
        <v>707</v>
      </c>
      <c r="U96" s="51" t="s">
        <v>708</v>
      </c>
      <c r="V96" s="51" t="s">
        <v>801</v>
      </c>
      <c r="W96" s="285" t="s">
        <v>802</v>
      </c>
      <c r="X96" s="290" t="s">
        <v>702</v>
      </c>
      <c r="Y96" s="290" t="s">
        <v>803</v>
      </c>
      <c r="Z96" s="61" t="s">
        <v>804</v>
      </c>
      <c r="AA96" s="329" t="s">
        <v>726</v>
      </c>
    </row>
    <row r="97" spans="1:27" s="333" customFormat="1" ht="174">
      <c r="A97" s="332"/>
      <c r="B97" s="290" t="s">
        <v>41</v>
      </c>
      <c r="C97" s="290" t="s">
        <v>694</v>
      </c>
      <c r="D97" s="290" t="s">
        <v>695</v>
      </c>
      <c r="E97" s="329">
        <v>2</v>
      </c>
      <c r="F97" s="290" t="s">
        <v>805</v>
      </c>
      <c r="G97" s="290" t="s">
        <v>806</v>
      </c>
      <c r="H97" s="52" t="s">
        <v>807</v>
      </c>
      <c r="I97" s="50">
        <v>13</v>
      </c>
      <c r="J97" s="52" t="s">
        <v>105</v>
      </c>
      <c r="K97" s="50">
        <v>10</v>
      </c>
      <c r="L97" s="50"/>
      <c r="M97" s="50"/>
      <c r="N97" s="290" t="s">
        <v>808</v>
      </c>
      <c r="O97" s="51" t="s">
        <v>809</v>
      </c>
      <c r="P97" s="50"/>
      <c r="Q97" s="49"/>
      <c r="R97" s="330" t="s">
        <v>773</v>
      </c>
      <c r="S97" s="331" t="s">
        <v>810</v>
      </c>
      <c r="T97" s="51" t="s">
        <v>707</v>
      </c>
      <c r="U97" s="51" t="s">
        <v>708</v>
      </c>
      <c r="V97" s="51" t="s">
        <v>811</v>
      </c>
      <c r="W97" s="285" t="s">
        <v>812</v>
      </c>
      <c r="X97" s="290" t="s">
        <v>702</v>
      </c>
      <c r="Y97" s="290" t="s">
        <v>724</v>
      </c>
      <c r="Z97" s="290" t="s">
        <v>813</v>
      </c>
      <c r="AA97" s="329" t="s">
        <v>726</v>
      </c>
    </row>
    <row r="98" spans="1:27" ht="174">
      <c r="B98" s="290" t="s">
        <v>41</v>
      </c>
      <c r="C98" s="290" t="s">
        <v>694</v>
      </c>
      <c r="D98" s="290" t="s">
        <v>695</v>
      </c>
      <c r="E98" s="329">
        <v>2</v>
      </c>
      <c r="F98" s="290" t="s">
        <v>814</v>
      </c>
      <c r="G98" s="290" t="s">
        <v>815</v>
      </c>
      <c r="H98" s="52" t="s">
        <v>807</v>
      </c>
      <c r="I98" s="50">
        <v>14</v>
      </c>
      <c r="J98" s="52" t="s">
        <v>105</v>
      </c>
      <c r="K98" s="50">
        <v>10</v>
      </c>
      <c r="L98" s="50"/>
      <c r="M98" s="50"/>
      <c r="N98" s="290" t="s">
        <v>816</v>
      </c>
      <c r="O98" s="52" t="s">
        <v>817</v>
      </c>
      <c r="P98" s="50"/>
      <c r="Q98" s="49"/>
      <c r="R98" s="330" t="s">
        <v>773</v>
      </c>
      <c r="S98" s="331" t="s">
        <v>818</v>
      </c>
      <c r="T98" s="51" t="s">
        <v>707</v>
      </c>
      <c r="U98" s="51" t="s">
        <v>708</v>
      </c>
      <c r="V98" s="51" t="s">
        <v>819</v>
      </c>
      <c r="W98" s="285" t="s">
        <v>820</v>
      </c>
      <c r="X98" s="290" t="s">
        <v>702</v>
      </c>
      <c r="Y98" s="290" t="s">
        <v>724</v>
      </c>
      <c r="Z98" s="71" t="s">
        <v>821</v>
      </c>
      <c r="AA98" s="329" t="s">
        <v>726</v>
      </c>
    </row>
    <row r="99" spans="1:27" ht="217.5">
      <c r="B99" s="290" t="s">
        <v>41</v>
      </c>
      <c r="C99" s="290" t="s">
        <v>694</v>
      </c>
      <c r="D99" s="290" t="s">
        <v>695</v>
      </c>
      <c r="E99" s="329">
        <v>2</v>
      </c>
      <c r="F99" s="290" t="s">
        <v>822</v>
      </c>
      <c r="G99" s="290" t="s">
        <v>823</v>
      </c>
      <c r="H99" s="52" t="s">
        <v>824</v>
      </c>
      <c r="I99" s="50">
        <v>15</v>
      </c>
      <c r="J99" s="52" t="s">
        <v>333</v>
      </c>
      <c r="K99" s="50">
        <v>23</v>
      </c>
      <c r="L99" s="50">
        <v>6</v>
      </c>
      <c r="M99" s="50"/>
      <c r="N99" s="290" t="s">
        <v>825</v>
      </c>
      <c r="O99" s="51" t="s">
        <v>826</v>
      </c>
      <c r="P99" s="50"/>
      <c r="Q99" s="49"/>
      <c r="R99" s="330" t="s">
        <v>773</v>
      </c>
      <c r="S99" s="331" t="s">
        <v>827</v>
      </c>
      <c r="T99" s="51" t="s">
        <v>707</v>
      </c>
      <c r="U99" s="51" t="s">
        <v>708</v>
      </c>
      <c r="V99" s="51" t="s">
        <v>828</v>
      </c>
      <c r="W99" s="285" t="s">
        <v>829</v>
      </c>
      <c r="X99" s="290" t="s">
        <v>702</v>
      </c>
      <c r="Y99" s="290" t="s">
        <v>724</v>
      </c>
      <c r="Z99" s="61" t="s">
        <v>830</v>
      </c>
      <c r="AA99" s="329" t="s">
        <v>726</v>
      </c>
    </row>
    <row r="100" spans="1:27" ht="174">
      <c r="B100" s="290" t="s">
        <v>41</v>
      </c>
      <c r="C100" s="290" t="s">
        <v>694</v>
      </c>
      <c r="D100" s="290" t="s">
        <v>695</v>
      </c>
      <c r="E100" s="329">
        <v>2</v>
      </c>
      <c r="F100" s="290" t="s">
        <v>831</v>
      </c>
      <c r="G100" s="290" t="s">
        <v>832</v>
      </c>
      <c r="H100" s="52" t="s">
        <v>833</v>
      </c>
      <c r="I100" s="50">
        <v>16</v>
      </c>
      <c r="J100" s="52" t="s">
        <v>105</v>
      </c>
      <c r="K100" s="50">
        <v>10</v>
      </c>
      <c r="L100" s="50"/>
      <c r="M100" s="50"/>
      <c r="N100" s="290" t="s">
        <v>834</v>
      </c>
      <c r="O100" s="51" t="s">
        <v>835</v>
      </c>
      <c r="P100" s="50"/>
      <c r="Q100" s="49"/>
      <c r="R100" s="330" t="s">
        <v>773</v>
      </c>
      <c r="S100" s="331" t="s">
        <v>831</v>
      </c>
      <c r="T100" s="51" t="s">
        <v>707</v>
      </c>
      <c r="U100" s="51" t="s">
        <v>708</v>
      </c>
      <c r="V100" s="51" t="s">
        <v>836</v>
      </c>
      <c r="W100" s="285" t="s">
        <v>837</v>
      </c>
      <c r="X100" s="290" t="s">
        <v>702</v>
      </c>
      <c r="Y100" s="61" t="s">
        <v>838</v>
      </c>
      <c r="Z100" s="290" t="s">
        <v>839</v>
      </c>
      <c r="AA100" s="329" t="s">
        <v>840</v>
      </c>
    </row>
    <row r="101" spans="1:27" ht="203.1">
      <c r="B101" s="290" t="s">
        <v>41</v>
      </c>
      <c r="C101" s="290" t="s">
        <v>694</v>
      </c>
      <c r="D101" s="290" t="s">
        <v>695</v>
      </c>
      <c r="E101" s="329">
        <v>2</v>
      </c>
      <c r="F101" s="49" t="s">
        <v>841</v>
      </c>
      <c r="G101" s="49" t="s">
        <v>842</v>
      </c>
      <c r="H101" s="52" t="s">
        <v>156</v>
      </c>
      <c r="I101" s="50">
        <v>17</v>
      </c>
      <c r="J101" s="49" t="s">
        <v>105</v>
      </c>
      <c r="K101" s="50">
        <v>4</v>
      </c>
      <c r="L101" s="50"/>
      <c r="M101" s="50"/>
      <c r="N101" s="67" t="s">
        <v>843</v>
      </c>
      <c r="O101" s="51" t="s">
        <v>844</v>
      </c>
      <c r="P101" s="50"/>
      <c r="Q101" s="52"/>
      <c r="R101" s="53"/>
      <c r="S101" s="49"/>
      <c r="T101" s="51" t="s">
        <v>698</v>
      </c>
      <c r="U101" s="51" t="s">
        <v>699</v>
      </c>
      <c r="V101" s="51" t="s">
        <v>754</v>
      </c>
      <c r="W101" s="285" t="s">
        <v>845</v>
      </c>
      <c r="X101" s="290" t="s">
        <v>702</v>
      </c>
      <c r="Y101" s="290" t="s">
        <v>726</v>
      </c>
      <c r="Z101" s="290" t="s">
        <v>726</v>
      </c>
      <c r="AA101" s="329" t="s">
        <v>846</v>
      </c>
    </row>
    <row r="102" spans="1:27" ht="174">
      <c r="B102" s="290" t="s">
        <v>41</v>
      </c>
      <c r="C102" s="290" t="s">
        <v>694</v>
      </c>
      <c r="D102" s="290" t="s">
        <v>695</v>
      </c>
      <c r="E102" s="329">
        <v>2</v>
      </c>
      <c r="F102" s="49" t="s">
        <v>847</v>
      </c>
      <c r="G102" s="49" t="s">
        <v>848</v>
      </c>
      <c r="H102" s="52" t="s">
        <v>156</v>
      </c>
      <c r="I102" s="50">
        <v>18</v>
      </c>
      <c r="J102" s="49" t="s">
        <v>105</v>
      </c>
      <c r="K102" s="50">
        <v>30</v>
      </c>
      <c r="L102" s="50"/>
      <c r="M102" s="50"/>
      <c r="N102" s="67" t="s">
        <v>849</v>
      </c>
      <c r="O102" s="51" t="s">
        <v>850</v>
      </c>
      <c r="P102" s="50"/>
      <c r="Q102" s="52"/>
      <c r="R102" s="53" t="s">
        <v>792</v>
      </c>
      <c r="S102" s="49" t="s">
        <v>851</v>
      </c>
      <c r="T102" s="51" t="s">
        <v>707</v>
      </c>
      <c r="U102" s="51" t="s">
        <v>708</v>
      </c>
      <c r="V102" s="51" t="s">
        <v>852</v>
      </c>
      <c r="W102" s="285" t="s">
        <v>853</v>
      </c>
      <c r="X102" s="290" t="s">
        <v>702</v>
      </c>
      <c r="Y102" s="290" t="s">
        <v>854</v>
      </c>
      <c r="Z102" s="62" t="s">
        <v>855</v>
      </c>
      <c r="AA102" s="329" t="s">
        <v>778</v>
      </c>
    </row>
    <row r="103" spans="1:27" ht="174">
      <c r="B103" s="290" t="s">
        <v>41</v>
      </c>
      <c r="C103" s="290" t="s">
        <v>694</v>
      </c>
      <c r="D103" s="290" t="s">
        <v>695</v>
      </c>
      <c r="E103" s="329">
        <v>2</v>
      </c>
      <c r="F103" s="49" t="s">
        <v>856</v>
      </c>
      <c r="G103" s="49" t="s">
        <v>857</v>
      </c>
      <c r="H103" s="52" t="s">
        <v>156</v>
      </c>
      <c r="I103" s="50">
        <v>19</v>
      </c>
      <c r="J103" s="49" t="s">
        <v>105</v>
      </c>
      <c r="K103" s="50">
        <v>34</v>
      </c>
      <c r="L103" s="50"/>
      <c r="M103" s="50"/>
      <c r="N103" s="67" t="s">
        <v>858</v>
      </c>
      <c r="O103" s="51" t="s">
        <v>859</v>
      </c>
      <c r="P103" s="50"/>
      <c r="Q103" s="52"/>
      <c r="R103" s="51"/>
      <c r="S103" s="52"/>
      <c r="T103" s="51" t="s">
        <v>707</v>
      </c>
      <c r="U103" s="51" t="s">
        <v>708</v>
      </c>
      <c r="V103" s="51" t="s">
        <v>852</v>
      </c>
      <c r="W103" s="285" t="s">
        <v>860</v>
      </c>
      <c r="X103" s="290" t="s">
        <v>702</v>
      </c>
      <c r="Y103" s="290" t="s">
        <v>854</v>
      </c>
      <c r="Z103" s="51" t="s">
        <v>861</v>
      </c>
      <c r="AA103" s="329" t="s">
        <v>778</v>
      </c>
    </row>
    <row r="104" spans="1:27" ht="174">
      <c r="B104" s="290" t="s">
        <v>41</v>
      </c>
      <c r="C104" s="290" t="s">
        <v>694</v>
      </c>
      <c r="D104" s="290" t="s">
        <v>695</v>
      </c>
      <c r="E104" s="334">
        <v>2</v>
      </c>
      <c r="F104" s="49" t="s">
        <v>213</v>
      </c>
      <c r="G104" s="49" t="s">
        <v>214</v>
      </c>
      <c r="H104" s="49" t="s">
        <v>686</v>
      </c>
      <c r="I104" s="50">
        <v>20</v>
      </c>
      <c r="J104" s="49" t="s">
        <v>105</v>
      </c>
      <c r="K104" s="50">
        <v>2</v>
      </c>
      <c r="L104" s="50"/>
      <c r="M104" s="50"/>
      <c r="N104" s="51" t="s">
        <v>687</v>
      </c>
      <c r="O104" s="51" t="s">
        <v>862</v>
      </c>
      <c r="P104" s="50"/>
      <c r="Q104" s="51" t="s">
        <v>863</v>
      </c>
      <c r="R104" s="53"/>
      <c r="S104" s="49"/>
      <c r="T104" s="51" t="s">
        <v>707</v>
      </c>
      <c r="U104" s="51" t="s">
        <v>708</v>
      </c>
      <c r="V104" s="51" t="s">
        <v>864</v>
      </c>
      <c r="W104" s="285" t="s">
        <v>865</v>
      </c>
      <c r="X104" s="290" t="s">
        <v>702</v>
      </c>
      <c r="Y104" s="53" t="s">
        <v>726</v>
      </c>
      <c r="Z104" s="53" t="s">
        <v>726</v>
      </c>
      <c r="AA104" s="58" t="s">
        <v>866</v>
      </c>
    </row>
    <row r="105" spans="1:27" ht="174">
      <c r="B105" s="290" t="s">
        <v>41</v>
      </c>
      <c r="C105" s="290" t="s">
        <v>694</v>
      </c>
      <c r="D105" s="290" t="s">
        <v>695</v>
      </c>
      <c r="E105" s="329">
        <v>2</v>
      </c>
      <c r="F105" s="290" t="s">
        <v>233</v>
      </c>
      <c r="G105" s="290" t="s">
        <v>234</v>
      </c>
      <c r="H105" s="52" t="s">
        <v>395</v>
      </c>
      <c r="I105" s="50">
        <v>21</v>
      </c>
      <c r="J105" s="52" t="s">
        <v>105</v>
      </c>
      <c r="K105" s="50">
        <v>10</v>
      </c>
      <c r="L105" s="50"/>
      <c r="M105" s="50"/>
      <c r="N105" s="51" t="s">
        <v>396</v>
      </c>
      <c r="O105" s="52" t="s">
        <v>235</v>
      </c>
      <c r="P105" s="50" t="s">
        <v>108</v>
      </c>
      <c r="Q105" s="49"/>
      <c r="R105" s="290"/>
      <c r="S105" s="290"/>
      <c r="T105" s="51" t="s">
        <v>867</v>
      </c>
      <c r="U105" s="51" t="s">
        <v>868</v>
      </c>
      <c r="V105" s="51" t="s">
        <v>869</v>
      </c>
      <c r="W105" s="285" t="s">
        <v>870</v>
      </c>
      <c r="X105" s="53" t="s">
        <v>726</v>
      </c>
      <c r="Y105" s="53" t="s">
        <v>726</v>
      </c>
      <c r="Z105" s="53" t="s">
        <v>726</v>
      </c>
      <c r="AA105" s="329" t="s">
        <v>726</v>
      </c>
    </row>
    <row r="106" spans="1:27" ht="174">
      <c r="B106" s="290" t="s">
        <v>41</v>
      </c>
      <c r="C106" s="290" t="s">
        <v>694</v>
      </c>
      <c r="D106" s="290" t="s">
        <v>695</v>
      </c>
      <c r="E106" s="329">
        <v>2</v>
      </c>
      <c r="F106" s="290" t="s">
        <v>252</v>
      </c>
      <c r="G106" s="290" t="s">
        <v>253</v>
      </c>
      <c r="H106" s="52" t="s">
        <v>407</v>
      </c>
      <c r="I106" s="50">
        <v>22</v>
      </c>
      <c r="J106" s="52" t="s">
        <v>408</v>
      </c>
      <c r="K106" s="50">
        <v>23</v>
      </c>
      <c r="L106" s="50"/>
      <c r="M106" s="50"/>
      <c r="N106" s="51" t="s">
        <v>409</v>
      </c>
      <c r="O106" s="336" t="s">
        <v>871</v>
      </c>
      <c r="P106" s="50"/>
      <c r="Q106" s="49"/>
      <c r="R106" s="290"/>
      <c r="S106" s="290"/>
      <c r="T106" s="51" t="s">
        <v>707</v>
      </c>
      <c r="U106" s="51" t="s">
        <v>708</v>
      </c>
      <c r="V106" s="51" t="s">
        <v>864</v>
      </c>
      <c r="W106" s="285" t="s">
        <v>872</v>
      </c>
      <c r="X106" s="53" t="s">
        <v>726</v>
      </c>
      <c r="Y106" s="53" t="s">
        <v>726</v>
      </c>
      <c r="Z106" s="53" t="s">
        <v>726</v>
      </c>
      <c r="AA106" s="329" t="s">
        <v>726</v>
      </c>
    </row>
    <row r="107" spans="1:27" ht="80.099999999999994" customHeight="1">
      <c r="B107" s="328" t="s">
        <v>41</v>
      </c>
      <c r="C107" s="49" t="s">
        <v>101</v>
      </c>
      <c r="D107" s="49" t="s">
        <v>42</v>
      </c>
      <c r="E107" s="293">
        <v>1</v>
      </c>
      <c r="F107" s="54" t="s">
        <v>252</v>
      </c>
      <c r="G107" s="54" t="s">
        <v>253</v>
      </c>
      <c r="H107" s="49" t="s">
        <v>407</v>
      </c>
      <c r="I107" s="293">
        <v>54</v>
      </c>
      <c r="J107" s="49" t="s">
        <v>408</v>
      </c>
      <c r="K107" s="293">
        <v>23</v>
      </c>
      <c r="L107" s="293"/>
      <c r="M107" s="293"/>
      <c r="N107" s="51" t="s">
        <v>409</v>
      </c>
      <c r="O107" s="138" t="s">
        <v>254</v>
      </c>
      <c r="P107" s="293"/>
      <c r="Q107" s="54"/>
      <c r="R107" s="55"/>
      <c r="S107" s="54"/>
      <c r="T107" s="53" t="s">
        <v>324</v>
      </c>
      <c r="U107" s="53" t="s">
        <v>392</v>
      </c>
      <c r="V107" s="55" t="s">
        <v>116</v>
      </c>
      <c r="W107" s="71" t="s">
        <v>873</v>
      </c>
      <c r="X107" s="138" t="s">
        <v>116</v>
      </c>
      <c r="Y107" s="138" t="s">
        <v>116</v>
      </c>
      <c r="Z107" s="138" t="s">
        <v>116</v>
      </c>
      <c r="AA107" s="295" t="s">
        <v>116</v>
      </c>
    </row>
    <row r="108" spans="1:27" ht="80.25" hidden="1" customHeight="1"/>
    <row r="109" spans="1:27" ht="80.25" hidden="1" customHeight="1"/>
    <row r="110" spans="1:27" ht="80.25" hidden="1" customHeight="1"/>
    <row r="111" spans="1:27" ht="80.25" hidden="1" customHeight="1"/>
    <row r="112" spans="1:27" ht="80.25" hidden="1" customHeight="1"/>
    <row r="113" spans="23:23" ht="80.25" hidden="1" customHeight="1"/>
    <row r="114" spans="23:23" ht="80.25" hidden="1" customHeight="1"/>
    <row r="115" spans="23:23" ht="80.25" hidden="1" customHeight="1"/>
    <row r="116" spans="23:23" ht="80.25" hidden="1" customHeight="1"/>
    <row r="117" spans="23:23" ht="177.75" hidden="1" customHeight="1">
      <c r="W117" s="303"/>
    </row>
    <row r="118" spans="23:23" ht="350.25" hidden="1" customHeight="1">
      <c r="W118" s="303"/>
    </row>
    <row r="119" spans="23:23" ht="406.5" hidden="1" customHeight="1">
      <c r="W119"/>
    </row>
    <row r="120" spans="23:23" ht="217.5" hidden="1" customHeight="1">
      <c r="W120" s="303"/>
    </row>
    <row r="121" spans="23:23" ht="217.5" hidden="1" customHeight="1">
      <c r="W121" s="303"/>
    </row>
    <row r="122" spans="23:23" ht="208.5" hidden="1" customHeight="1">
      <c r="W122"/>
    </row>
    <row r="123" spans="23:23" ht="153" hidden="1" customHeight="1">
      <c r="W123" s="303"/>
    </row>
    <row r="124" spans="23:23" ht="185.25" hidden="1" customHeight="1">
      <c r="W124" s="303"/>
    </row>
    <row r="125" spans="23:23" ht="375" hidden="1" customHeight="1">
      <c r="W125" s="303"/>
    </row>
    <row r="126" spans="23:23" ht="407.25" hidden="1" customHeight="1"/>
    <row r="127" spans="23:23" ht="186" hidden="1" customHeight="1"/>
    <row r="128" spans="23:23" ht="186" hidden="1" customHeight="1"/>
    <row r="129" ht="327" hidden="1" customHeight="1"/>
    <row r="130" ht="324" hidden="1" customHeight="1"/>
    <row r="131" ht="267" hidden="1" customHeight="1"/>
    <row r="132" ht="183.75" hidden="1" customHeight="1"/>
    <row r="133" ht="183.75" hidden="1" customHeight="1"/>
    <row r="134" ht="183.75" hidden="1" customHeight="1"/>
    <row r="135" ht="183.75" hidden="1" customHeight="1"/>
    <row r="136" ht="183.75" hidden="1" customHeight="1"/>
    <row r="137" ht="183.75" hidden="1" customHeight="1"/>
    <row r="138" ht="183.75" hidden="1" customHeight="1"/>
    <row r="139" ht="183.75" hidden="1" customHeight="1"/>
    <row r="140" ht="183.75" hidden="1" customHeight="1"/>
    <row r="141" ht="183.75" hidden="1" customHeight="1"/>
    <row r="142" ht="183.75" hidden="1" customHeight="1"/>
    <row r="143" ht="183.75" hidden="1" customHeight="1"/>
    <row r="144" ht="183.75" hidden="1" customHeight="1"/>
    <row r="145" ht="183.75" hidden="1" customHeight="1"/>
    <row r="146" ht="183.75" hidden="1" customHeight="1"/>
    <row r="147" ht="183.75" hidden="1" customHeight="1"/>
    <row r="148" ht="183.75" hidden="1" customHeight="1"/>
    <row r="149" ht="183.75" hidden="1" customHeight="1"/>
    <row r="150" ht="183.75" hidden="1" customHeight="1"/>
    <row r="151" ht="183.75" hidden="1" customHeight="1"/>
    <row r="152" ht="183.75" hidden="1" customHeight="1"/>
    <row r="153" ht="183.75" hidden="1" customHeight="1"/>
    <row r="154" ht="80.25" hidden="1" customHeight="1"/>
    <row r="155" ht="80.25" hidden="1" customHeight="1"/>
    <row r="156" ht="80.25" hidden="1" customHeight="1"/>
    <row r="157" ht="80.25" hidden="1" customHeight="1"/>
    <row r="159" ht="80.25" hidden="1" customHeight="1"/>
    <row r="161" ht="80.25" hidden="1" customHeight="1"/>
    <row r="163" ht="80.25" hidden="1" customHeight="1"/>
    <row r="165" ht="80.25" hidden="1" customHeight="1"/>
    <row r="195" ht="80.25" hidden="1" customHeight="1"/>
    <row r="196" ht="80.25" hidden="1" customHeight="1"/>
    <row r="197" ht="80.25" hidden="1" customHeight="1"/>
    <row r="198" ht="80.25" hidden="1" customHeight="1"/>
    <row r="199" ht="80.25" hidden="1" customHeight="1"/>
    <row r="200" ht="80.25" hidden="1" customHeight="1"/>
    <row r="201" ht="80.25" hidden="1" customHeight="1"/>
    <row r="202" ht="80.25" hidden="1" customHeight="1"/>
    <row r="203" ht="80.25" hidden="1" customHeight="1"/>
    <row r="204" ht="80.25" hidden="1" customHeight="1"/>
    <row r="205" ht="80.25" hidden="1" customHeight="1"/>
    <row r="206" ht="80.25" hidden="1" customHeight="1"/>
    <row r="207" ht="80.25" hidden="1" customHeight="1"/>
    <row r="208" ht="80.25" hidden="1" customHeight="1"/>
    <row r="209" ht="80.25" hidden="1" customHeight="1"/>
    <row r="210" ht="80.25" hidden="1" customHeight="1"/>
    <row r="211" ht="80.25" hidden="1" customHeight="1"/>
    <row r="212" ht="80.25" hidden="1" customHeight="1"/>
    <row r="213" ht="80.25" hidden="1" customHeight="1"/>
    <row r="214" ht="80.25" hidden="1" customHeight="1"/>
    <row r="215" ht="80.25" hidden="1" customHeight="1"/>
    <row r="216" ht="80.25" hidden="1" customHeight="1"/>
    <row r="217" ht="80.25" hidden="1" customHeight="1"/>
    <row r="218" ht="80.25" hidden="1" customHeight="1"/>
    <row r="219" ht="80.25" hidden="1" customHeight="1"/>
    <row r="220" ht="80.25" hidden="1" customHeight="1"/>
    <row r="221" ht="80.25" hidden="1" customHeight="1"/>
    <row r="222" ht="80.25" hidden="1" customHeight="1"/>
    <row r="223" ht="80.25" hidden="1" customHeight="1"/>
    <row r="224" ht="80.25" hidden="1" customHeight="1"/>
    <row r="225" ht="80.25" hidden="1" customHeight="1"/>
    <row r="226" ht="80.25" hidden="1" customHeight="1"/>
    <row r="227" ht="80.25" hidden="1" customHeight="1"/>
    <row r="228" ht="80.25" hidden="1" customHeight="1"/>
    <row r="229" ht="80.25" hidden="1" customHeight="1"/>
    <row r="230" ht="80.25" hidden="1" customHeight="1"/>
    <row r="231" ht="80.25" hidden="1" customHeight="1"/>
    <row r="232" ht="80.25" hidden="1" customHeight="1"/>
    <row r="233" ht="80.25" hidden="1" customHeight="1"/>
    <row r="234" ht="80.25" hidden="1" customHeight="1"/>
    <row r="235" ht="80.25" hidden="1" customHeight="1"/>
    <row r="236" ht="80.25" hidden="1" customHeight="1"/>
    <row r="237" ht="80.25" hidden="1" customHeight="1"/>
    <row r="238" ht="80.25" hidden="1" customHeight="1"/>
    <row r="239" ht="80.25" hidden="1" customHeight="1"/>
    <row r="240" ht="80.25" hidden="1" customHeight="1"/>
    <row r="241" ht="80.25" hidden="1" customHeight="1"/>
    <row r="242" ht="80.25" hidden="1" customHeight="1"/>
    <row r="243" ht="80.25" hidden="1" customHeight="1"/>
    <row r="244" ht="80.25" hidden="1" customHeight="1"/>
    <row r="245" ht="80.25" hidden="1" customHeight="1"/>
    <row r="246" ht="80.25" hidden="1" customHeight="1"/>
    <row r="247" ht="80.25" hidden="1" customHeight="1"/>
    <row r="248" ht="80.25" hidden="1" customHeight="1"/>
    <row r="249" ht="80.25" hidden="1" customHeight="1"/>
    <row r="250" ht="80.25" hidden="1" customHeight="1"/>
    <row r="251" ht="80.25" hidden="1" customHeight="1"/>
    <row r="252" ht="80.25" hidden="1" customHeight="1"/>
    <row r="253" ht="80.25" hidden="1" customHeight="1"/>
    <row r="254" ht="80.25" hidden="1" customHeight="1"/>
    <row r="255" ht="80.25" hidden="1" customHeight="1"/>
    <row r="256" ht="80.25" hidden="1" customHeight="1"/>
    <row r="257" ht="80.25" hidden="1" customHeight="1"/>
    <row r="258" ht="80.25" hidden="1" customHeight="1"/>
    <row r="259" ht="80.25" hidden="1" customHeight="1"/>
    <row r="260" ht="80.25" hidden="1" customHeight="1"/>
    <row r="261" ht="80.25" hidden="1" customHeight="1"/>
    <row r="262" ht="108" hidden="1" customHeight="1"/>
    <row r="263" ht="80.25" hidden="1" customHeight="1"/>
    <row r="264" ht="80.25" hidden="1" customHeight="1"/>
    <row r="265" ht="80.25" hidden="1" customHeight="1"/>
    <row r="266" ht="80.25" hidden="1" customHeight="1"/>
    <row r="267" ht="80.25" hidden="1" customHeight="1"/>
    <row r="268" ht="80.25" hidden="1" customHeight="1"/>
    <row r="269" ht="80.25" hidden="1" customHeight="1"/>
    <row r="270" ht="80.25" hidden="1" customHeight="1"/>
    <row r="271" ht="80.25" hidden="1" customHeight="1"/>
    <row r="272" ht="80.25" hidden="1" customHeight="1"/>
    <row r="273" ht="80.25" hidden="1" customHeight="1"/>
    <row r="274" ht="80.25" hidden="1" customHeight="1"/>
    <row r="275" ht="80.25" hidden="1" customHeight="1"/>
    <row r="276" ht="80.25" hidden="1" customHeight="1"/>
    <row r="277" ht="80.25" hidden="1" customHeight="1"/>
    <row r="278" ht="80.25" hidden="1" customHeight="1"/>
    <row r="279" ht="80.25" hidden="1" customHeight="1"/>
    <row r="280" ht="80.25" hidden="1" customHeight="1"/>
    <row r="281" ht="80.25" hidden="1" customHeight="1"/>
    <row r="282" ht="80.25" hidden="1" customHeight="1"/>
    <row r="283" ht="80.25" hidden="1" customHeight="1"/>
    <row r="284" ht="80.25" hidden="1" customHeight="1"/>
    <row r="285" ht="80.25" hidden="1" customHeight="1"/>
    <row r="286" ht="80.25" hidden="1" customHeight="1"/>
    <row r="287" ht="80.25" hidden="1" customHeight="1"/>
    <row r="288" ht="80.25" hidden="1" customHeight="1"/>
    <row r="289" ht="80.25" hidden="1" customHeight="1"/>
    <row r="290" ht="80.25" hidden="1" customHeight="1"/>
    <row r="291" ht="80.25" hidden="1" customHeight="1"/>
    <row r="292" ht="80.25" hidden="1" customHeight="1"/>
    <row r="293" ht="80.25" hidden="1" customHeight="1"/>
    <row r="294" ht="80.25" hidden="1" customHeight="1"/>
    <row r="295" ht="80.25" hidden="1" customHeight="1"/>
    <row r="296" ht="80.25" hidden="1" customHeight="1"/>
    <row r="297" ht="80.25" hidden="1" customHeight="1"/>
    <row r="298" ht="80.25" hidden="1" customHeight="1"/>
    <row r="299" ht="80.25" hidden="1" customHeight="1"/>
    <row r="300" ht="80.25" hidden="1" customHeight="1"/>
    <row r="301" ht="80.25" hidden="1" customHeight="1"/>
    <row r="302" ht="80.25" hidden="1" customHeight="1"/>
    <row r="303" ht="80.25" hidden="1" customHeight="1"/>
    <row r="304" ht="80.25" hidden="1" customHeight="1"/>
    <row r="305" ht="80.25" hidden="1" customHeight="1"/>
    <row r="306" ht="80.25" hidden="1" customHeight="1"/>
    <row r="307" ht="80.25" hidden="1" customHeight="1"/>
    <row r="308" ht="80.25" hidden="1" customHeight="1"/>
    <row r="309" ht="80.25" hidden="1" customHeight="1"/>
    <row r="310" ht="80.25" hidden="1" customHeight="1"/>
    <row r="311" ht="80.25" hidden="1" customHeight="1"/>
    <row r="312" ht="80.25" hidden="1" customHeight="1"/>
    <row r="313" ht="80.25" hidden="1" customHeight="1"/>
    <row r="314" ht="80.25" hidden="1" customHeight="1"/>
    <row r="315" ht="80.25" hidden="1" customHeight="1"/>
    <row r="316" ht="80.25" hidden="1" customHeight="1"/>
    <row r="317" ht="80.25" hidden="1" customHeight="1"/>
    <row r="318" ht="80.25" hidden="1" customHeight="1"/>
    <row r="319" ht="80.25" hidden="1" customHeight="1"/>
    <row r="320" ht="80.25" hidden="1" customHeight="1"/>
    <row r="321" ht="80.25" hidden="1" customHeight="1"/>
    <row r="322" ht="225" hidden="1" customHeight="1"/>
    <row r="323" ht="80.25" hidden="1" customHeight="1"/>
    <row r="324" ht="80.25" hidden="1" customHeight="1"/>
    <row r="325" ht="169.5" hidden="1" customHeight="1"/>
    <row r="326" ht="216" hidden="1" customHeight="1"/>
    <row r="327" ht="152.25" hidden="1" customHeight="1"/>
    <row r="328" ht="152.25" hidden="1" customHeight="1"/>
    <row r="329" ht="152.25" hidden="1" customHeight="1"/>
    <row r="330" ht="152.25" hidden="1" customHeight="1"/>
    <row r="331" ht="199.5" hidden="1" customHeight="1"/>
    <row r="332" ht="80.25" hidden="1" customHeight="1"/>
    <row r="333" ht="80.25" hidden="1" customHeight="1"/>
    <row r="334" ht="80.25" hidden="1" customHeight="1"/>
    <row r="335" ht="80.25" hidden="1" customHeight="1"/>
    <row r="336" ht="80.25" hidden="1" customHeight="1"/>
    <row r="337" ht="80.25" hidden="1" customHeight="1"/>
    <row r="338" ht="80.25" hidden="1" customHeight="1"/>
    <row r="339" ht="80.25" hidden="1" customHeight="1"/>
    <row r="340" ht="80.25" hidden="1" customHeight="1"/>
    <row r="341" ht="80.25" hidden="1" customHeight="1"/>
    <row r="342" ht="80.25" hidden="1" customHeight="1"/>
    <row r="343" ht="80.25" hidden="1" customHeight="1"/>
    <row r="344" ht="80.25" hidden="1" customHeight="1"/>
    <row r="345" ht="80.25" hidden="1" customHeight="1"/>
    <row r="346" ht="80.25" hidden="1" customHeight="1"/>
    <row r="347" ht="80.25" hidden="1" customHeight="1"/>
    <row r="348" ht="80.25" hidden="1" customHeight="1"/>
    <row r="349" ht="80.25" hidden="1" customHeight="1"/>
    <row r="350" ht="80.25" hidden="1" customHeight="1"/>
    <row r="351" ht="80.25" hidden="1" customHeight="1"/>
    <row r="352" ht="80.25" hidden="1" customHeight="1"/>
    <row r="353" ht="80.25" hidden="1" customHeight="1"/>
    <row r="354" ht="87" hidden="1" customHeight="1"/>
    <row r="355" ht="15" hidden="1" customHeight="1"/>
    <row r="356" ht="15" hidden="1" customHeight="1"/>
    <row r="357" ht="15" hidden="1" customHeight="1"/>
    <row r="358" ht="15" hidden="1" customHeight="1"/>
    <row r="359" ht="15" hidden="1" customHeight="1"/>
    <row r="360" ht="15" hidden="1" customHeight="1"/>
    <row r="361" ht="15" hidden="1" customHeight="1"/>
  </sheetData>
  <sortState xmlns:xlrd2="http://schemas.microsoft.com/office/spreadsheetml/2017/richdata2" ref="B8:Z139">
    <sortCondition ref="C8:C139"/>
    <sortCondition ref="I8:I139"/>
  </sortState>
  <mergeCells count="8">
    <mergeCell ref="X6:AA6"/>
    <mergeCell ref="X5:AA5"/>
    <mergeCell ref="B5:Q5"/>
    <mergeCell ref="B6:Q6"/>
    <mergeCell ref="R5:S5"/>
    <mergeCell ref="R6:S6"/>
    <mergeCell ref="U6:W6"/>
    <mergeCell ref="T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10"/>
  <sheetViews>
    <sheetView showGridLines="0" topLeftCell="D1" workbookViewId="0">
      <selection activeCell="F2" sqref="F2"/>
    </sheetView>
  </sheetViews>
  <sheetFormatPr defaultRowHeight="14.45"/>
  <cols>
    <col min="2" max="2" width="39.28515625" style="30" bestFit="1" customWidth="1"/>
    <col min="3" max="4" width="43.7109375" style="29" customWidth="1"/>
    <col min="5" max="5" width="40.140625" style="29" customWidth="1"/>
    <col min="6" max="6" width="50.42578125" style="29" customWidth="1"/>
    <col min="7" max="7" width="37.28515625" customWidth="1"/>
    <col min="8" max="8" width="125.5703125" style="47" customWidth="1"/>
    <col min="9" max="9" width="32.5703125" customWidth="1"/>
  </cols>
  <sheetData>
    <row r="1" spans="2:9" ht="40.5" customHeight="1"/>
    <row r="2" spans="2:9">
      <c r="B2" s="56" t="s">
        <v>874</v>
      </c>
      <c r="C2" s="56" t="s">
        <v>77</v>
      </c>
      <c r="D2" s="56" t="s">
        <v>875</v>
      </c>
      <c r="E2" s="56" t="s">
        <v>876</v>
      </c>
      <c r="F2" s="56" t="s">
        <v>877</v>
      </c>
      <c r="G2" s="56" t="s">
        <v>878</v>
      </c>
      <c r="H2" s="57" t="s">
        <v>879</v>
      </c>
      <c r="I2" s="100" t="s">
        <v>880</v>
      </c>
    </row>
    <row r="3" spans="2:9" ht="30" hidden="1" customHeight="1">
      <c r="B3" s="49" t="s">
        <v>4</v>
      </c>
      <c r="C3" s="49" t="s">
        <v>5</v>
      </c>
      <c r="D3" s="49" t="s">
        <v>881</v>
      </c>
      <c r="E3" s="49" t="s">
        <v>882</v>
      </c>
      <c r="F3" s="49" t="s">
        <v>881</v>
      </c>
      <c r="G3" s="49" t="s">
        <v>883</v>
      </c>
      <c r="H3" s="53" t="s">
        <v>884</v>
      </c>
      <c r="I3" s="53" t="s">
        <v>885</v>
      </c>
    </row>
    <row r="4" spans="2:9" ht="30" hidden="1" customHeight="1">
      <c r="B4" s="49" t="s">
        <v>4</v>
      </c>
      <c r="C4" s="49" t="s">
        <v>5</v>
      </c>
      <c r="D4" s="49" t="s">
        <v>881</v>
      </c>
      <c r="E4" s="49" t="s">
        <v>882</v>
      </c>
      <c r="F4" s="49" t="s">
        <v>881</v>
      </c>
      <c r="G4" s="49" t="s">
        <v>886</v>
      </c>
      <c r="H4" s="53" t="s">
        <v>887</v>
      </c>
      <c r="I4" s="53" t="s">
        <v>885</v>
      </c>
    </row>
    <row r="5" spans="2:9" ht="30" hidden="1" customHeight="1">
      <c r="B5" s="49" t="s">
        <v>4</v>
      </c>
      <c r="C5" s="49" t="s">
        <v>5</v>
      </c>
      <c r="D5" s="49" t="s">
        <v>881</v>
      </c>
      <c r="E5" s="49" t="s">
        <v>882</v>
      </c>
      <c r="F5" s="49" t="s">
        <v>881</v>
      </c>
      <c r="G5" s="49" t="s">
        <v>888</v>
      </c>
      <c r="H5" s="53" t="s">
        <v>889</v>
      </c>
      <c r="I5" s="53" t="s">
        <v>885</v>
      </c>
    </row>
    <row r="6" spans="2:9" ht="30" hidden="1" customHeight="1">
      <c r="B6" s="49" t="s">
        <v>4</v>
      </c>
      <c r="C6" s="49" t="s">
        <v>5</v>
      </c>
      <c r="D6" s="49" t="s">
        <v>881</v>
      </c>
      <c r="E6" s="49" t="s">
        <v>882</v>
      </c>
      <c r="F6" s="49" t="s">
        <v>890</v>
      </c>
      <c r="G6" s="49" t="s">
        <v>891</v>
      </c>
      <c r="H6" s="53" t="s">
        <v>892</v>
      </c>
      <c r="I6" s="53" t="s">
        <v>893</v>
      </c>
    </row>
    <row r="7" spans="2:9" ht="30" hidden="1" customHeight="1">
      <c r="B7" s="49" t="s">
        <v>4</v>
      </c>
      <c r="C7" s="49" t="s">
        <v>5</v>
      </c>
      <c r="D7" s="49" t="s">
        <v>881</v>
      </c>
      <c r="E7" s="49" t="s">
        <v>882</v>
      </c>
      <c r="F7" s="49" t="s">
        <v>890</v>
      </c>
      <c r="G7" s="49" t="s">
        <v>894</v>
      </c>
      <c r="H7" s="53" t="s">
        <v>895</v>
      </c>
      <c r="I7" s="53" t="s">
        <v>885</v>
      </c>
    </row>
    <row r="8" spans="2:9" ht="30" hidden="1" customHeight="1">
      <c r="B8" s="49" t="s">
        <v>4</v>
      </c>
      <c r="C8" s="49" t="s">
        <v>5</v>
      </c>
      <c r="D8" s="49" t="s">
        <v>881</v>
      </c>
      <c r="E8" s="49" t="s">
        <v>882</v>
      </c>
      <c r="F8" s="49" t="s">
        <v>890</v>
      </c>
      <c r="G8" s="49" t="s">
        <v>896</v>
      </c>
      <c r="H8" s="53" t="s">
        <v>897</v>
      </c>
      <c r="I8" s="53" t="s">
        <v>885</v>
      </c>
    </row>
    <row r="9" spans="2:9" ht="30" hidden="1" customHeight="1">
      <c r="B9" s="49" t="s">
        <v>4</v>
      </c>
      <c r="C9" s="49" t="s">
        <v>5</v>
      </c>
      <c r="D9" s="49" t="s">
        <v>881</v>
      </c>
      <c r="E9" s="49" t="s">
        <v>882</v>
      </c>
      <c r="F9" s="49" t="s">
        <v>890</v>
      </c>
      <c r="G9" s="49" t="s">
        <v>898</v>
      </c>
      <c r="H9" s="53" t="s">
        <v>899</v>
      </c>
      <c r="I9" s="53" t="s">
        <v>885</v>
      </c>
    </row>
    <row r="10" spans="2:9" ht="30" hidden="1" customHeight="1">
      <c r="B10" s="49" t="s">
        <v>4</v>
      </c>
      <c r="C10" s="49" t="s">
        <v>5</v>
      </c>
      <c r="D10" s="49" t="s">
        <v>890</v>
      </c>
      <c r="E10" s="292" t="s">
        <v>900</v>
      </c>
      <c r="F10" s="49" t="s">
        <v>890</v>
      </c>
      <c r="G10" s="49" t="s">
        <v>891</v>
      </c>
      <c r="H10" s="53" t="s">
        <v>901</v>
      </c>
      <c r="I10" s="53" t="s">
        <v>885</v>
      </c>
    </row>
    <row r="11" spans="2:9" ht="30" hidden="1" customHeight="1">
      <c r="B11" s="49" t="s">
        <v>4</v>
      </c>
      <c r="C11" s="49" t="s">
        <v>5</v>
      </c>
      <c r="D11" s="49" t="s">
        <v>902</v>
      </c>
      <c r="E11" s="49" t="s">
        <v>903</v>
      </c>
      <c r="F11" s="49" t="s">
        <v>902</v>
      </c>
      <c r="G11" s="49" t="s">
        <v>904</v>
      </c>
      <c r="H11" s="53" t="s">
        <v>905</v>
      </c>
      <c r="I11" s="53" t="s">
        <v>885</v>
      </c>
    </row>
    <row r="12" spans="2:9" ht="30" hidden="1" customHeight="1">
      <c r="B12" s="49" t="s">
        <v>4</v>
      </c>
      <c r="C12" s="49" t="s">
        <v>5</v>
      </c>
      <c r="D12" s="49" t="s">
        <v>902</v>
      </c>
      <c r="E12" s="49" t="s">
        <v>903</v>
      </c>
      <c r="F12" s="49" t="s">
        <v>890</v>
      </c>
      <c r="G12" s="49" t="s">
        <v>906</v>
      </c>
      <c r="H12" s="53" t="s">
        <v>907</v>
      </c>
      <c r="I12" s="53" t="s">
        <v>885</v>
      </c>
    </row>
    <row r="13" spans="2:9" ht="30" hidden="1" customHeight="1">
      <c r="B13" s="49" t="s">
        <v>4</v>
      </c>
      <c r="C13" s="49" t="s">
        <v>5</v>
      </c>
      <c r="D13" s="54" t="s">
        <v>890</v>
      </c>
      <c r="E13" s="54" t="s">
        <v>891</v>
      </c>
      <c r="F13" s="309" t="s">
        <v>908</v>
      </c>
      <c r="G13" s="309" t="s">
        <v>7</v>
      </c>
      <c r="H13" s="310" t="s">
        <v>909</v>
      </c>
      <c r="I13" s="309" t="s">
        <v>893</v>
      </c>
    </row>
    <row r="14" spans="2:9" ht="30" hidden="1" customHeight="1">
      <c r="B14" s="49" t="s">
        <v>4</v>
      </c>
      <c r="C14" s="49" t="s">
        <v>5</v>
      </c>
      <c r="D14" s="311" t="s">
        <v>910</v>
      </c>
      <c r="E14" s="311" t="s">
        <v>911</v>
      </c>
      <c r="F14" s="311" t="s">
        <v>908</v>
      </c>
      <c r="G14" s="311" t="s">
        <v>7</v>
      </c>
      <c r="H14" s="312" t="s">
        <v>912</v>
      </c>
      <c r="I14" s="309" t="s">
        <v>893</v>
      </c>
    </row>
    <row r="15" spans="2:9" ht="30" hidden="1" customHeight="1">
      <c r="B15" s="49" t="s">
        <v>4</v>
      </c>
      <c r="C15" s="49" t="s">
        <v>5</v>
      </c>
      <c r="D15" s="311" t="s">
        <v>890</v>
      </c>
      <c r="E15" s="311" t="s">
        <v>896</v>
      </c>
      <c r="F15" s="311" t="s">
        <v>913</v>
      </c>
      <c r="G15" s="311" t="s">
        <v>914</v>
      </c>
      <c r="H15" s="312" t="s">
        <v>915</v>
      </c>
      <c r="I15" s="309" t="s">
        <v>885</v>
      </c>
    </row>
    <row r="16" spans="2:9" ht="30" hidden="1" customHeight="1">
      <c r="B16" s="49" t="s">
        <v>4</v>
      </c>
      <c r="C16" s="49" t="s">
        <v>5</v>
      </c>
      <c r="D16" s="49" t="s">
        <v>910</v>
      </c>
      <c r="E16" s="49" t="s">
        <v>911</v>
      </c>
      <c r="F16" s="49" t="s">
        <v>913</v>
      </c>
      <c r="G16" s="49" t="s">
        <v>914</v>
      </c>
      <c r="H16" s="53" t="s">
        <v>916</v>
      </c>
      <c r="I16" s="54" t="s">
        <v>885</v>
      </c>
    </row>
    <row r="17" spans="2:9" ht="30" hidden="1" customHeight="1">
      <c r="B17" s="49" t="s">
        <v>4</v>
      </c>
      <c r="C17" s="49" t="s">
        <v>5</v>
      </c>
      <c r="D17" s="49" t="s">
        <v>890</v>
      </c>
      <c r="E17" s="49" t="s">
        <v>906</v>
      </c>
      <c r="F17" s="49" t="s">
        <v>913</v>
      </c>
      <c r="G17" s="49" t="s">
        <v>914</v>
      </c>
      <c r="H17" s="53" t="s">
        <v>917</v>
      </c>
      <c r="I17" s="54" t="s">
        <v>885</v>
      </c>
    </row>
    <row r="18" spans="2:9" ht="30" hidden="1" customHeight="1">
      <c r="B18" s="311" t="s">
        <v>908</v>
      </c>
      <c r="C18" s="311" t="s">
        <v>7</v>
      </c>
      <c r="D18" s="311" t="s">
        <v>910</v>
      </c>
      <c r="E18" s="311" t="s">
        <v>911</v>
      </c>
      <c r="F18" s="311" t="s">
        <v>918</v>
      </c>
      <c r="G18" s="311" t="s">
        <v>919</v>
      </c>
      <c r="H18" s="312" t="s">
        <v>920</v>
      </c>
      <c r="I18" s="309" t="s">
        <v>893</v>
      </c>
    </row>
    <row r="19" spans="2:9" ht="30" hidden="1" customHeight="1">
      <c r="B19" s="311" t="s">
        <v>908</v>
      </c>
      <c r="C19" s="311" t="s">
        <v>7</v>
      </c>
      <c r="D19" s="49" t="s">
        <v>902</v>
      </c>
      <c r="E19" s="49" t="s">
        <v>903</v>
      </c>
      <c r="F19" s="311" t="s">
        <v>918</v>
      </c>
      <c r="G19" s="311" t="s">
        <v>919</v>
      </c>
      <c r="H19" s="312" t="s">
        <v>921</v>
      </c>
      <c r="I19" s="309"/>
    </row>
    <row r="20" spans="2:9" ht="30" hidden="1" customHeight="1">
      <c r="B20" s="311" t="s">
        <v>908</v>
      </c>
      <c r="C20" s="311" t="s">
        <v>7</v>
      </c>
      <c r="D20" s="49" t="s">
        <v>881</v>
      </c>
      <c r="E20" s="49" t="s">
        <v>882</v>
      </c>
      <c r="F20" s="49" t="s">
        <v>890</v>
      </c>
      <c r="G20" s="49" t="s">
        <v>891</v>
      </c>
      <c r="H20" s="312" t="s">
        <v>922</v>
      </c>
      <c r="I20" s="309" t="s">
        <v>893</v>
      </c>
    </row>
    <row r="21" spans="2:9" ht="30" hidden="1" customHeight="1">
      <c r="B21" s="49" t="s">
        <v>4</v>
      </c>
      <c r="C21" s="49" t="s">
        <v>5</v>
      </c>
      <c r="D21" s="311" t="s">
        <v>902</v>
      </c>
      <c r="E21" s="311" t="s">
        <v>903</v>
      </c>
      <c r="F21" s="311" t="s">
        <v>908</v>
      </c>
      <c r="G21" s="311" t="s">
        <v>7</v>
      </c>
      <c r="H21" s="312" t="s">
        <v>923</v>
      </c>
      <c r="I21" s="309" t="s">
        <v>893</v>
      </c>
    </row>
    <row r="22" spans="2:9" ht="30" hidden="1" customHeight="1">
      <c r="B22" s="49" t="s">
        <v>9</v>
      </c>
      <c r="C22" s="49" t="s">
        <v>10</v>
      </c>
      <c r="D22" s="49" t="s">
        <v>924</v>
      </c>
      <c r="E22" s="49" t="s">
        <v>925</v>
      </c>
      <c r="F22" s="49" t="s">
        <v>924</v>
      </c>
      <c r="G22" s="49" t="s">
        <v>926</v>
      </c>
      <c r="H22" s="53" t="s">
        <v>927</v>
      </c>
      <c r="I22" s="53" t="s">
        <v>885</v>
      </c>
    </row>
    <row r="23" spans="2:9" ht="30" hidden="1" customHeight="1">
      <c r="B23" s="49" t="s">
        <v>9</v>
      </c>
      <c r="C23" s="49" t="s">
        <v>10</v>
      </c>
      <c r="D23" s="49" t="s">
        <v>924</v>
      </c>
      <c r="E23" s="49" t="s">
        <v>925</v>
      </c>
      <c r="F23" s="49" t="s">
        <v>924</v>
      </c>
      <c r="G23" s="49" t="s">
        <v>928</v>
      </c>
      <c r="H23" s="53" t="s">
        <v>929</v>
      </c>
      <c r="I23" s="53" t="s">
        <v>885</v>
      </c>
    </row>
    <row r="24" spans="2:9" ht="30" hidden="1" customHeight="1">
      <c r="B24" s="49" t="s">
        <v>9</v>
      </c>
      <c r="C24" s="49" t="s">
        <v>10</v>
      </c>
      <c r="D24" s="49" t="s">
        <v>924</v>
      </c>
      <c r="E24" s="49" t="s">
        <v>925</v>
      </c>
      <c r="F24" s="49" t="s">
        <v>910</v>
      </c>
      <c r="G24" s="49" t="s">
        <v>911</v>
      </c>
      <c r="H24" s="53" t="s">
        <v>930</v>
      </c>
      <c r="I24" s="53" t="s">
        <v>885</v>
      </c>
    </row>
    <row r="25" spans="2:9" ht="30" hidden="1" customHeight="1">
      <c r="B25" s="49" t="s">
        <v>9</v>
      </c>
      <c r="C25" s="49" t="s">
        <v>12</v>
      </c>
      <c r="D25" s="49" t="s">
        <v>924</v>
      </c>
      <c r="E25" s="49" t="s">
        <v>931</v>
      </c>
      <c r="F25" s="49" t="s">
        <v>924</v>
      </c>
      <c r="G25" s="49" t="s">
        <v>925</v>
      </c>
      <c r="H25" s="53" t="s">
        <v>932</v>
      </c>
      <c r="I25" s="53" t="s">
        <v>893</v>
      </c>
    </row>
    <row r="26" spans="2:9" ht="30" hidden="1" customHeight="1">
      <c r="B26" s="54" t="s">
        <v>9</v>
      </c>
      <c r="C26" s="49" t="s">
        <v>12</v>
      </c>
      <c r="D26" s="49" t="s">
        <v>924</v>
      </c>
      <c r="E26" s="49" t="s">
        <v>931</v>
      </c>
      <c r="F26" s="49" t="s">
        <v>933</v>
      </c>
      <c r="G26" s="54" t="s">
        <v>934</v>
      </c>
      <c r="H26" s="55" t="s">
        <v>935</v>
      </c>
      <c r="I26" s="53" t="s">
        <v>885</v>
      </c>
    </row>
    <row r="27" spans="2:9" ht="30" hidden="1" customHeight="1">
      <c r="B27" s="49" t="s">
        <v>9</v>
      </c>
      <c r="C27" s="49" t="s">
        <v>12</v>
      </c>
      <c r="D27" s="49" t="s">
        <v>924</v>
      </c>
      <c r="E27" s="49" t="s">
        <v>931</v>
      </c>
      <c r="F27" s="49" t="s">
        <v>933</v>
      </c>
      <c r="G27" s="49" t="s">
        <v>934</v>
      </c>
      <c r="H27" s="55" t="s">
        <v>936</v>
      </c>
      <c r="I27" s="53" t="s">
        <v>885</v>
      </c>
    </row>
    <row r="28" spans="2:9" ht="30" hidden="1" customHeight="1">
      <c r="B28" s="54" t="s">
        <v>14</v>
      </c>
      <c r="C28" s="54" t="s">
        <v>15</v>
      </c>
      <c r="D28" s="55" t="s">
        <v>937</v>
      </c>
      <c r="E28" s="54" t="s">
        <v>938</v>
      </c>
      <c r="F28" s="55" t="s">
        <v>937</v>
      </c>
      <c r="G28" s="54" t="s">
        <v>939</v>
      </c>
      <c r="H28" s="55" t="s">
        <v>940</v>
      </c>
      <c r="I28" s="71" t="s">
        <v>885</v>
      </c>
    </row>
    <row r="29" spans="2:9" ht="30" hidden="1" customHeight="1">
      <c r="B29" s="54" t="s">
        <v>14</v>
      </c>
      <c r="C29" s="54" t="s">
        <v>15</v>
      </c>
      <c r="D29" s="55" t="s">
        <v>937</v>
      </c>
      <c r="E29" s="55" t="s">
        <v>941</v>
      </c>
      <c r="F29" s="54" t="s">
        <v>902</v>
      </c>
      <c r="G29" s="49" t="s">
        <v>942</v>
      </c>
      <c r="H29" s="71" t="s">
        <v>943</v>
      </c>
      <c r="I29" s="71" t="s">
        <v>885</v>
      </c>
    </row>
    <row r="30" spans="2:9" ht="30" hidden="1" customHeight="1">
      <c r="B30" s="54" t="s">
        <v>14</v>
      </c>
      <c r="C30" s="54" t="s">
        <v>15</v>
      </c>
      <c r="D30" s="55" t="s">
        <v>937</v>
      </c>
      <c r="E30" s="55" t="s">
        <v>941</v>
      </c>
      <c r="F30" s="53" t="s">
        <v>937</v>
      </c>
      <c r="G30" s="49" t="s">
        <v>938</v>
      </c>
      <c r="H30" s="71" t="s">
        <v>944</v>
      </c>
      <c r="I30" s="71" t="s">
        <v>885</v>
      </c>
    </row>
    <row r="31" spans="2:9" ht="30" hidden="1" customHeight="1">
      <c r="B31" s="54" t="s">
        <v>14</v>
      </c>
      <c r="C31" s="54" t="s">
        <v>15</v>
      </c>
      <c r="D31" s="53" t="s">
        <v>937</v>
      </c>
      <c r="E31" s="53" t="s">
        <v>941</v>
      </c>
      <c r="F31" s="53" t="s">
        <v>937</v>
      </c>
      <c r="G31" s="49" t="s">
        <v>945</v>
      </c>
      <c r="H31" s="53" t="s">
        <v>946</v>
      </c>
      <c r="I31" s="71" t="s">
        <v>885</v>
      </c>
    </row>
    <row r="32" spans="2:9" ht="30" hidden="1" customHeight="1">
      <c r="B32" s="54" t="s">
        <v>14</v>
      </c>
      <c r="C32" s="54" t="s">
        <v>15</v>
      </c>
      <c r="D32" s="49" t="s">
        <v>902</v>
      </c>
      <c r="E32" s="49" t="s">
        <v>903</v>
      </c>
      <c r="F32" s="49" t="s">
        <v>902</v>
      </c>
      <c r="G32" s="49" t="s">
        <v>904</v>
      </c>
      <c r="H32" s="53" t="s">
        <v>905</v>
      </c>
      <c r="I32" s="71" t="s">
        <v>885</v>
      </c>
    </row>
    <row r="33" spans="2:9" ht="30" hidden="1" customHeight="1">
      <c r="B33" s="309" t="s">
        <v>14</v>
      </c>
      <c r="C33" s="309" t="s">
        <v>15</v>
      </c>
      <c r="D33" s="53" t="s">
        <v>937</v>
      </c>
      <c r="E33" s="53" t="s">
        <v>941</v>
      </c>
      <c r="F33" s="311" t="s">
        <v>908</v>
      </c>
      <c r="G33" s="311" t="s">
        <v>19</v>
      </c>
      <c r="H33" s="313" t="s">
        <v>947</v>
      </c>
      <c r="I33" s="311" t="s">
        <v>893</v>
      </c>
    </row>
    <row r="34" spans="2:9" ht="30" hidden="1" customHeight="1">
      <c r="B34" s="54" t="s">
        <v>14</v>
      </c>
      <c r="C34" s="54" t="s">
        <v>17</v>
      </c>
      <c r="D34" s="54" t="s">
        <v>937</v>
      </c>
      <c r="E34" s="54" t="s">
        <v>938</v>
      </c>
      <c r="F34" s="49" t="s">
        <v>124</v>
      </c>
      <c r="G34" s="49" t="s">
        <v>124</v>
      </c>
      <c r="H34" s="49" t="s">
        <v>124</v>
      </c>
      <c r="I34" s="49" t="s">
        <v>124</v>
      </c>
    </row>
    <row r="35" spans="2:9" ht="30" hidden="1" customHeight="1">
      <c r="B35" s="54" t="s">
        <v>14</v>
      </c>
      <c r="C35" s="54" t="s">
        <v>15</v>
      </c>
      <c r="D35" s="54" t="s">
        <v>937</v>
      </c>
      <c r="E35" s="54" t="s">
        <v>938</v>
      </c>
      <c r="F35" s="311" t="s">
        <v>913</v>
      </c>
      <c r="G35" s="311" t="s">
        <v>914</v>
      </c>
      <c r="H35" s="312" t="s">
        <v>948</v>
      </c>
      <c r="I35" s="309" t="s">
        <v>885</v>
      </c>
    </row>
    <row r="36" spans="2:9" ht="30" hidden="1" customHeight="1">
      <c r="B36" s="309" t="s">
        <v>908</v>
      </c>
      <c r="C36" s="309" t="s">
        <v>19</v>
      </c>
      <c r="D36" s="54" t="s">
        <v>902</v>
      </c>
      <c r="E36" s="54" t="s">
        <v>942</v>
      </c>
      <c r="F36" s="55" t="s">
        <v>937</v>
      </c>
      <c r="G36" s="55" t="s">
        <v>941</v>
      </c>
      <c r="H36" s="272" t="s">
        <v>949</v>
      </c>
      <c r="I36" s="309" t="s">
        <v>893</v>
      </c>
    </row>
    <row r="37" spans="2:9" ht="30" hidden="1" customHeight="1">
      <c r="B37" s="49" t="s">
        <v>21</v>
      </c>
      <c r="C37" s="49" t="s">
        <v>950</v>
      </c>
      <c r="D37" s="54" t="s">
        <v>951</v>
      </c>
      <c r="E37" s="54" t="s">
        <v>952</v>
      </c>
      <c r="F37" s="54" t="s">
        <v>124</v>
      </c>
      <c r="G37" s="54" t="s">
        <v>124</v>
      </c>
      <c r="H37" s="54" t="s">
        <v>124</v>
      </c>
      <c r="I37" s="54" t="s">
        <v>124</v>
      </c>
    </row>
    <row r="38" spans="2:9" ht="30" hidden="1" customHeight="1">
      <c r="B38" s="49" t="s">
        <v>26</v>
      </c>
      <c r="C38" s="49" t="s">
        <v>27</v>
      </c>
      <c r="D38" s="49" t="s">
        <v>953</v>
      </c>
      <c r="E38" s="49" t="s">
        <v>954</v>
      </c>
      <c r="F38" s="49" t="s">
        <v>953</v>
      </c>
      <c r="G38" s="49" t="s">
        <v>955</v>
      </c>
      <c r="H38" s="53" t="s">
        <v>956</v>
      </c>
      <c r="I38" s="53" t="s">
        <v>893</v>
      </c>
    </row>
    <row r="39" spans="2:9" ht="30" hidden="1" customHeight="1">
      <c r="B39" s="49" t="s">
        <v>26</v>
      </c>
      <c r="C39" s="49" t="s">
        <v>27</v>
      </c>
      <c r="D39" s="49" t="s">
        <v>953</v>
      </c>
      <c r="E39" s="49" t="s">
        <v>954</v>
      </c>
      <c r="F39" s="49" t="s">
        <v>953</v>
      </c>
      <c r="G39" s="49" t="s">
        <v>957</v>
      </c>
      <c r="H39" s="53" t="s">
        <v>958</v>
      </c>
      <c r="I39" s="53" t="s">
        <v>885</v>
      </c>
    </row>
    <row r="40" spans="2:9" ht="30" hidden="1" customHeight="1">
      <c r="B40" s="49" t="s">
        <v>26</v>
      </c>
      <c r="C40" s="49" t="s">
        <v>27</v>
      </c>
      <c r="D40" s="49" t="s">
        <v>953</v>
      </c>
      <c r="E40" s="49" t="s">
        <v>957</v>
      </c>
      <c r="F40" s="311" t="s">
        <v>890</v>
      </c>
      <c r="G40" s="49" t="s">
        <v>959</v>
      </c>
      <c r="H40" s="53" t="s">
        <v>960</v>
      </c>
      <c r="I40" s="53" t="s">
        <v>893</v>
      </c>
    </row>
    <row r="41" spans="2:9" ht="30" hidden="1" customHeight="1">
      <c r="B41" s="49" t="s">
        <v>26</v>
      </c>
      <c r="C41" s="49" t="s">
        <v>27</v>
      </c>
      <c r="D41" s="49" t="s">
        <v>953</v>
      </c>
      <c r="E41" s="49" t="s">
        <v>957</v>
      </c>
      <c r="F41" s="49" t="s">
        <v>961</v>
      </c>
      <c r="G41" s="49" t="s">
        <v>962</v>
      </c>
      <c r="H41" s="312" t="s">
        <v>963</v>
      </c>
      <c r="I41" s="49" t="s">
        <v>885</v>
      </c>
    </row>
    <row r="42" spans="2:9" ht="30" hidden="1" customHeight="1">
      <c r="B42" s="49" t="s">
        <v>26</v>
      </c>
      <c r="C42" s="49" t="s">
        <v>27</v>
      </c>
      <c r="D42" s="49" t="s">
        <v>953</v>
      </c>
      <c r="E42" s="49" t="s">
        <v>957</v>
      </c>
      <c r="F42" s="49" t="s">
        <v>902</v>
      </c>
      <c r="G42" s="49" t="s">
        <v>942</v>
      </c>
      <c r="H42" s="53" t="s">
        <v>964</v>
      </c>
      <c r="I42" s="49" t="s">
        <v>885</v>
      </c>
    </row>
    <row r="43" spans="2:9" ht="30" hidden="1" customHeight="1">
      <c r="B43" s="49" t="s">
        <v>26</v>
      </c>
      <c r="C43" s="49" t="s">
        <v>29</v>
      </c>
      <c r="D43" s="54" t="s">
        <v>953</v>
      </c>
      <c r="E43" s="54" t="s">
        <v>957</v>
      </c>
      <c r="F43" s="54" t="s">
        <v>890</v>
      </c>
      <c r="G43" s="54" t="s">
        <v>959</v>
      </c>
      <c r="H43" s="55" t="s">
        <v>960</v>
      </c>
      <c r="I43" s="54" t="s">
        <v>893</v>
      </c>
    </row>
    <row r="44" spans="2:9" ht="30" hidden="1" customHeight="1">
      <c r="B44" s="54" t="s">
        <v>26</v>
      </c>
      <c r="C44" s="54" t="s">
        <v>29</v>
      </c>
      <c r="D44" s="54" t="s">
        <v>953</v>
      </c>
      <c r="E44" s="54" t="s">
        <v>957</v>
      </c>
      <c r="F44" s="54" t="s">
        <v>953</v>
      </c>
      <c r="G44" s="54" t="s">
        <v>965</v>
      </c>
      <c r="H44" s="55" t="s">
        <v>966</v>
      </c>
      <c r="I44" s="54" t="s">
        <v>885</v>
      </c>
    </row>
    <row r="45" spans="2:9" ht="30" hidden="1" customHeight="1">
      <c r="B45" s="54" t="s">
        <v>26</v>
      </c>
      <c r="C45" s="54" t="s">
        <v>29</v>
      </c>
      <c r="D45" s="54" t="s">
        <v>953</v>
      </c>
      <c r="E45" s="54" t="s">
        <v>957</v>
      </c>
      <c r="F45" s="309" t="s">
        <v>953</v>
      </c>
      <c r="G45" s="54" t="s">
        <v>967</v>
      </c>
      <c r="H45" s="55" t="s">
        <v>968</v>
      </c>
      <c r="I45" s="49" t="s">
        <v>885</v>
      </c>
    </row>
    <row r="46" spans="2:9" ht="30" hidden="1" customHeight="1">
      <c r="B46" s="54" t="s">
        <v>26</v>
      </c>
      <c r="C46" s="54" t="s">
        <v>31</v>
      </c>
      <c r="D46" s="54" t="s">
        <v>953</v>
      </c>
      <c r="E46" s="54" t="s">
        <v>957</v>
      </c>
      <c r="F46" s="54" t="s">
        <v>969</v>
      </c>
      <c r="G46" s="54" t="s">
        <v>970</v>
      </c>
      <c r="H46" s="55" t="s">
        <v>971</v>
      </c>
      <c r="I46" s="49" t="s">
        <v>885</v>
      </c>
    </row>
    <row r="47" spans="2:9" ht="30" hidden="1" customHeight="1">
      <c r="B47" s="54" t="s">
        <v>26</v>
      </c>
      <c r="C47" s="49" t="s">
        <v>31</v>
      </c>
      <c r="D47" s="54" t="s">
        <v>953</v>
      </c>
      <c r="E47" s="54" t="s">
        <v>957</v>
      </c>
      <c r="F47" s="54" t="s">
        <v>953</v>
      </c>
      <c r="G47" s="54" t="s">
        <v>972</v>
      </c>
      <c r="H47" s="55" t="s">
        <v>973</v>
      </c>
      <c r="I47" s="54" t="s">
        <v>885</v>
      </c>
    </row>
    <row r="48" spans="2:9" ht="30" hidden="1" customHeight="1">
      <c r="B48" s="54" t="s">
        <v>26</v>
      </c>
      <c r="C48" s="54" t="s">
        <v>31</v>
      </c>
      <c r="D48" s="54" t="s">
        <v>953</v>
      </c>
      <c r="E48" s="54" t="s">
        <v>957</v>
      </c>
      <c r="F48" s="54" t="s">
        <v>953</v>
      </c>
      <c r="G48" s="54" t="s">
        <v>974</v>
      </c>
      <c r="H48" s="55" t="s">
        <v>975</v>
      </c>
      <c r="I48" s="49" t="s">
        <v>885</v>
      </c>
    </row>
    <row r="49" spans="2:9" ht="30" hidden="1" customHeight="1">
      <c r="B49" s="54" t="s">
        <v>26</v>
      </c>
      <c r="C49" s="54" t="s">
        <v>31</v>
      </c>
      <c r="D49" s="54" t="s">
        <v>953</v>
      </c>
      <c r="E49" s="54" t="s">
        <v>957</v>
      </c>
      <c r="F49" s="54" t="s">
        <v>953</v>
      </c>
      <c r="G49" s="54" t="s">
        <v>976</v>
      </c>
      <c r="H49" s="55" t="s">
        <v>977</v>
      </c>
      <c r="I49" s="54" t="s">
        <v>885</v>
      </c>
    </row>
    <row r="50" spans="2:9" ht="30" hidden="1" customHeight="1">
      <c r="B50" s="54" t="s">
        <v>26</v>
      </c>
      <c r="C50" s="54" t="s">
        <v>31</v>
      </c>
      <c r="D50" s="54" t="s">
        <v>953</v>
      </c>
      <c r="E50" s="54" t="s">
        <v>957</v>
      </c>
      <c r="F50" s="54" t="s">
        <v>953</v>
      </c>
      <c r="G50" s="54" t="s">
        <v>967</v>
      </c>
      <c r="H50" s="55" t="s">
        <v>978</v>
      </c>
      <c r="I50" s="54" t="s">
        <v>885</v>
      </c>
    </row>
    <row r="51" spans="2:9" ht="30" hidden="1" customHeight="1">
      <c r="B51" s="54" t="s">
        <v>26</v>
      </c>
      <c r="C51" s="54" t="s">
        <v>31</v>
      </c>
      <c r="D51" s="54" t="s">
        <v>953</v>
      </c>
      <c r="E51" s="54" t="s">
        <v>957</v>
      </c>
      <c r="F51" s="54" t="s">
        <v>953</v>
      </c>
      <c r="G51" s="54" t="s">
        <v>979</v>
      </c>
      <c r="H51" s="55" t="s">
        <v>980</v>
      </c>
      <c r="I51" s="54" t="s">
        <v>885</v>
      </c>
    </row>
    <row r="52" spans="2:9" ht="30" hidden="1" customHeight="1">
      <c r="B52" s="54" t="s">
        <v>26</v>
      </c>
      <c r="C52" s="54" t="s">
        <v>31</v>
      </c>
      <c r="D52" s="54" t="s">
        <v>953</v>
      </c>
      <c r="E52" s="54" t="s">
        <v>957</v>
      </c>
      <c r="F52" s="54" t="s">
        <v>953</v>
      </c>
      <c r="G52" s="54" t="s">
        <v>965</v>
      </c>
      <c r="H52" s="53" t="s">
        <v>981</v>
      </c>
      <c r="I52" s="54" t="s">
        <v>885</v>
      </c>
    </row>
    <row r="53" spans="2:9" ht="30" hidden="1" customHeight="1">
      <c r="B53" s="49" t="s">
        <v>26</v>
      </c>
      <c r="C53" s="49" t="s">
        <v>31</v>
      </c>
      <c r="D53" s="54" t="s">
        <v>953</v>
      </c>
      <c r="E53" s="54" t="s">
        <v>957</v>
      </c>
      <c r="F53" s="54" t="s">
        <v>890</v>
      </c>
      <c r="G53" s="54" t="s">
        <v>906</v>
      </c>
      <c r="H53" s="55" t="s">
        <v>982</v>
      </c>
      <c r="I53" s="309" t="s">
        <v>893</v>
      </c>
    </row>
    <row r="54" spans="2:9" ht="30" hidden="1" customHeight="1">
      <c r="B54" s="49" t="s">
        <v>26</v>
      </c>
      <c r="C54" s="49" t="s">
        <v>31</v>
      </c>
      <c r="D54" s="49" t="s">
        <v>953</v>
      </c>
      <c r="E54" s="49" t="s">
        <v>957</v>
      </c>
      <c r="F54" s="49" t="s">
        <v>902</v>
      </c>
      <c r="G54" s="49" t="s">
        <v>942</v>
      </c>
      <c r="H54" s="53" t="s">
        <v>964</v>
      </c>
      <c r="I54" s="49" t="s">
        <v>885</v>
      </c>
    </row>
    <row r="55" spans="2:9" ht="30" hidden="1" customHeight="1">
      <c r="B55" s="49" t="s">
        <v>26</v>
      </c>
      <c r="C55" s="49" t="s">
        <v>31</v>
      </c>
      <c r="D55" s="49" t="s">
        <v>953</v>
      </c>
      <c r="E55" s="49" t="s">
        <v>974</v>
      </c>
      <c r="F55" s="49" t="s">
        <v>953</v>
      </c>
      <c r="G55" s="311" t="s">
        <v>983</v>
      </c>
      <c r="H55" s="312" t="s">
        <v>984</v>
      </c>
      <c r="I55" s="54" t="s">
        <v>885</v>
      </c>
    </row>
    <row r="56" spans="2:9" ht="30" hidden="1" customHeight="1">
      <c r="B56" s="49" t="s">
        <v>26</v>
      </c>
      <c r="C56" s="49" t="s">
        <v>31</v>
      </c>
      <c r="D56" s="49" t="s">
        <v>953</v>
      </c>
      <c r="E56" s="49" t="s">
        <v>985</v>
      </c>
      <c r="F56" s="49" t="s">
        <v>953</v>
      </c>
      <c r="G56" s="49" t="s">
        <v>957</v>
      </c>
      <c r="H56" s="53" t="s">
        <v>986</v>
      </c>
      <c r="I56" s="54" t="s">
        <v>893</v>
      </c>
    </row>
    <row r="57" spans="2:9" ht="30" hidden="1" customHeight="1">
      <c r="B57" s="49" t="s">
        <v>26</v>
      </c>
      <c r="C57" s="49" t="s">
        <v>31</v>
      </c>
      <c r="D57" s="54" t="s">
        <v>953</v>
      </c>
      <c r="E57" s="54" t="s">
        <v>985</v>
      </c>
      <c r="F57" s="54" t="s">
        <v>953</v>
      </c>
      <c r="G57" s="54" t="s">
        <v>987</v>
      </c>
      <c r="H57" s="55" t="s">
        <v>988</v>
      </c>
      <c r="I57" s="54" t="s">
        <v>885</v>
      </c>
    </row>
    <row r="58" spans="2:9" ht="30" hidden="1" customHeight="1">
      <c r="B58" s="49" t="s">
        <v>26</v>
      </c>
      <c r="C58" s="49" t="s">
        <v>31</v>
      </c>
      <c r="D58" s="309" t="s">
        <v>989</v>
      </c>
      <c r="E58" s="309" t="s">
        <v>990</v>
      </c>
      <c r="F58" s="54" t="s">
        <v>953</v>
      </c>
      <c r="G58" s="54" t="s">
        <v>957</v>
      </c>
      <c r="H58" s="310" t="s">
        <v>991</v>
      </c>
      <c r="I58" s="309" t="s">
        <v>885</v>
      </c>
    </row>
    <row r="59" spans="2:9" ht="30" hidden="1" customHeight="1">
      <c r="B59" s="54" t="s">
        <v>26</v>
      </c>
      <c r="C59" s="54" t="s">
        <v>31</v>
      </c>
      <c r="D59" s="309" t="s">
        <v>989</v>
      </c>
      <c r="E59" s="309" t="s">
        <v>992</v>
      </c>
      <c r="F59" s="309" t="s">
        <v>989</v>
      </c>
      <c r="G59" s="309" t="s">
        <v>990</v>
      </c>
      <c r="H59" s="310" t="s">
        <v>993</v>
      </c>
      <c r="I59" s="311" t="s">
        <v>885</v>
      </c>
    </row>
    <row r="60" spans="2:9" ht="30" hidden="1" customHeight="1">
      <c r="B60" s="54" t="s">
        <v>26</v>
      </c>
      <c r="C60" s="54" t="s">
        <v>31</v>
      </c>
      <c r="D60" s="309" t="s">
        <v>989</v>
      </c>
      <c r="E60" s="309" t="s">
        <v>994</v>
      </c>
      <c r="F60" s="54" t="s">
        <v>953</v>
      </c>
      <c r="G60" s="54" t="s">
        <v>957</v>
      </c>
      <c r="H60" s="310" t="s">
        <v>995</v>
      </c>
      <c r="I60" s="311" t="s">
        <v>885</v>
      </c>
    </row>
    <row r="61" spans="2:9" ht="30" hidden="1" customHeight="1">
      <c r="B61" s="54" t="s">
        <v>26</v>
      </c>
      <c r="C61" s="54" t="s">
        <v>31</v>
      </c>
      <c r="D61" s="309" t="s">
        <v>989</v>
      </c>
      <c r="E61" s="309" t="s">
        <v>994</v>
      </c>
      <c r="F61" s="309" t="s">
        <v>989</v>
      </c>
      <c r="G61" s="309" t="s">
        <v>992</v>
      </c>
      <c r="H61" s="310" t="s">
        <v>996</v>
      </c>
      <c r="I61" s="311" t="s">
        <v>885</v>
      </c>
    </row>
    <row r="62" spans="2:9" ht="30" hidden="1" customHeight="1">
      <c r="B62" s="54" t="s">
        <v>26</v>
      </c>
      <c r="C62" s="54" t="s">
        <v>31</v>
      </c>
      <c r="D62" s="54" t="s">
        <v>902</v>
      </c>
      <c r="E62" s="54" t="s">
        <v>942</v>
      </c>
      <c r="F62" s="54" t="s">
        <v>890</v>
      </c>
      <c r="G62" s="54" t="s">
        <v>906</v>
      </c>
      <c r="H62" s="55" t="s">
        <v>997</v>
      </c>
      <c r="I62" s="49" t="s">
        <v>885</v>
      </c>
    </row>
    <row r="63" spans="2:9" ht="30" hidden="1" customHeight="1">
      <c r="B63" s="54" t="s">
        <v>26</v>
      </c>
      <c r="C63" s="54" t="s">
        <v>31</v>
      </c>
      <c r="D63" s="54" t="s">
        <v>902</v>
      </c>
      <c r="E63" s="54" t="s">
        <v>942</v>
      </c>
      <c r="F63" s="54" t="s">
        <v>902</v>
      </c>
      <c r="G63" s="54" t="s">
        <v>904</v>
      </c>
      <c r="H63" s="55" t="s">
        <v>998</v>
      </c>
      <c r="I63" s="49" t="s">
        <v>885</v>
      </c>
    </row>
    <row r="64" spans="2:9" ht="30" hidden="1" customHeight="1">
      <c r="B64" s="54" t="s">
        <v>26</v>
      </c>
      <c r="C64" s="54" t="s">
        <v>31</v>
      </c>
      <c r="D64" s="54" t="s">
        <v>953</v>
      </c>
      <c r="E64" s="54" t="s">
        <v>957</v>
      </c>
      <c r="F64" s="311" t="s">
        <v>908</v>
      </c>
      <c r="G64" s="311" t="s">
        <v>999</v>
      </c>
      <c r="H64" s="312" t="s">
        <v>1000</v>
      </c>
      <c r="I64" s="311" t="s">
        <v>893</v>
      </c>
    </row>
    <row r="65" spans="2:9" ht="30" hidden="1" customHeight="1">
      <c r="B65" s="54" t="s">
        <v>26</v>
      </c>
      <c r="C65" s="54" t="s">
        <v>31</v>
      </c>
      <c r="D65" s="54" t="s">
        <v>953</v>
      </c>
      <c r="E65" s="54" t="s">
        <v>942</v>
      </c>
      <c r="F65" s="311" t="s">
        <v>908</v>
      </c>
      <c r="G65" s="311" t="s">
        <v>999</v>
      </c>
      <c r="H65" s="312" t="s">
        <v>1001</v>
      </c>
      <c r="I65" s="311" t="s">
        <v>893</v>
      </c>
    </row>
    <row r="66" spans="2:9" ht="30" hidden="1" customHeight="1">
      <c r="B66" s="54" t="s">
        <v>26</v>
      </c>
      <c r="C66" s="54" t="s">
        <v>31</v>
      </c>
      <c r="D66" s="54" t="s">
        <v>953</v>
      </c>
      <c r="E66" s="54" t="s">
        <v>911</v>
      </c>
      <c r="F66" s="311" t="s">
        <v>908</v>
      </c>
      <c r="G66" s="311" t="s">
        <v>999</v>
      </c>
      <c r="H66" s="312" t="s">
        <v>1002</v>
      </c>
      <c r="I66" s="311" t="s">
        <v>893</v>
      </c>
    </row>
    <row r="67" spans="2:9" ht="30" hidden="1" customHeight="1">
      <c r="B67" s="54" t="s">
        <v>26</v>
      </c>
      <c r="C67" s="54" t="s">
        <v>31</v>
      </c>
      <c r="D67" s="54" t="s">
        <v>953</v>
      </c>
      <c r="E67" s="54" t="s">
        <v>1003</v>
      </c>
      <c r="F67" s="311" t="s">
        <v>908</v>
      </c>
      <c r="G67" s="311" t="s">
        <v>999</v>
      </c>
      <c r="H67" s="312" t="s">
        <v>1004</v>
      </c>
      <c r="I67" s="311" t="s">
        <v>893</v>
      </c>
    </row>
    <row r="68" spans="2:9" ht="30" hidden="1" customHeight="1">
      <c r="B68" s="54" t="s">
        <v>26</v>
      </c>
      <c r="C68" s="54" t="s">
        <v>29</v>
      </c>
      <c r="D68" s="54" t="s">
        <v>953</v>
      </c>
      <c r="E68" s="54" t="s">
        <v>957</v>
      </c>
      <c r="F68" s="311" t="s">
        <v>908</v>
      </c>
      <c r="G68" s="311" t="s">
        <v>999</v>
      </c>
      <c r="H68" s="312" t="s">
        <v>1005</v>
      </c>
      <c r="I68" s="311" t="s">
        <v>893</v>
      </c>
    </row>
    <row r="69" spans="2:9" ht="30" hidden="1" customHeight="1">
      <c r="B69" s="54" t="s">
        <v>26</v>
      </c>
      <c r="C69" s="54" t="s">
        <v>27</v>
      </c>
      <c r="D69" s="54" t="s">
        <v>953</v>
      </c>
      <c r="E69" s="54" t="s">
        <v>957</v>
      </c>
      <c r="F69" s="311" t="s">
        <v>908</v>
      </c>
      <c r="G69" s="311" t="s">
        <v>999</v>
      </c>
      <c r="H69" s="312" t="s">
        <v>1006</v>
      </c>
      <c r="I69" s="311" t="s">
        <v>893</v>
      </c>
    </row>
    <row r="70" spans="2:9" ht="30" hidden="1" customHeight="1">
      <c r="B70" s="54" t="s">
        <v>33</v>
      </c>
      <c r="C70" s="54" t="s">
        <v>34</v>
      </c>
      <c r="D70" s="54" t="s">
        <v>910</v>
      </c>
      <c r="E70" s="54" t="s">
        <v>911</v>
      </c>
      <c r="F70" s="54" t="s">
        <v>1007</v>
      </c>
      <c r="G70" s="54" t="s">
        <v>1008</v>
      </c>
      <c r="H70" s="55" t="s">
        <v>1009</v>
      </c>
      <c r="I70" s="53" t="s">
        <v>885</v>
      </c>
    </row>
    <row r="71" spans="2:9" ht="30" hidden="1" customHeight="1">
      <c r="B71" s="54" t="s">
        <v>33</v>
      </c>
      <c r="C71" s="54" t="s">
        <v>34</v>
      </c>
      <c r="D71" s="54" t="s">
        <v>910</v>
      </c>
      <c r="E71" s="54" t="s">
        <v>911</v>
      </c>
      <c r="F71" s="54" t="s">
        <v>902</v>
      </c>
      <c r="G71" s="54" t="s">
        <v>903</v>
      </c>
      <c r="H71" s="55" t="s">
        <v>1010</v>
      </c>
      <c r="I71" s="53" t="s">
        <v>885</v>
      </c>
    </row>
    <row r="72" spans="2:9" ht="30" hidden="1" customHeight="1">
      <c r="B72" s="54" t="s">
        <v>33</v>
      </c>
      <c r="C72" s="54" t="s">
        <v>34</v>
      </c>
      <c r="D72" s="54" t="s">
        <v>902</v>
      </c>
      <c r="E72" s="54" t="s">
        <v>903</v>
      </c>
      <c r="F72" s="54" t="s">
        <v>902</v>
      </c>
      <c r="G72" s="54" t="s">
        <v>904</v>
      </c>
      <c r="H72" s="55" t="s">
        <v>905</v>
      </c>
      <c r="I72" s="53" t="s">
        <v>885</v>
      </c>
    </row>
    <row r="73" spans="2:9" ht="30" hidden="1" customHeight="1">
      <c r="B73" s="54" t="s">
        <v>36</v>
      </c>
      <c r="C73" s="54" t="s">
        <v>37</v>
      </c>
      <c r="D73" s="54" t="s">
        <v>953</v>
      </c>
      <c r="E73" s="54" t="s">
        <v>954</v>
      </c>
      <c r="F73" s="54" t="s">
        <v>953</v>
      </c>
      <c r="G73" s="54" t="s">
        <v>957</v>
      </c>
      <c r="H73" s="55" t="s">
        <v>958</v>
      </c>
      <c r="I73" s="49" t="s">
        <v>893</v>
      </c>
    </row>
    <row r="74" spans="2:9" ht="30" hidden="1" customHeight="1">
      <c r="B74" s="54" t="s">
        <v>36</v>
      </c>
      <c r="C74" s="54" t="s">
        <v>37</v>
      </c>
      <c r="D74" s="54" t="s">
        <v>953</v>
      </c>
      <c r="E74" s="54" t="s">
        <v>954</v>
      </c>
      <c r="F74" s="54" t="s">
        <v>953</v>
      </c>
      <c r="G74" s="54" t="s">
        <v>955</v>
      </c>
      <c r="H74" s="55" t="s">
        <v>1011</v>
      </c>
      <c r="I74" s="49" t="s">
        <v>885</v>
      </c>
    </row>
    <row r="75" spans="2:9" ht="30" hidden="1" customHeight="1">
      <c r="B75" s="54" t="s">
        <v>36</v>
      </c>
      <c r="C75" s="54" t="s">
        <v>37</v>
      </c>
      <c r="D75" s="54" t="s">
        <v>953</v>
      </c>
      <c r="E75" s="54" t="s">
        <v>957</v>
      </c>
      <c r="F75" s="54" t="s">
        <v>961</v>
      </c>
      <c r="G75" s="49" t="s">
        <v>962</v>
      </c>
      <c r="H75" s="312" t="s">
        <v>963</v>
      </c>
      <c r="I75" s="49" t="s">
        <v>885</v>
      </c>
    </row>
    <row r="76" spans="2:9" ht="30" hidden="1" customHeight="1">
      <c r="B76" s="54" t="s">
        <v>36</v>
      </c>
      <c r="C76" s="54" t="s">
        <v>37</v>
      </c>
      <c r="D76" s="54" t="s">
        <v>953</v>
      </c>
      <c r="E76" s="54" t="s">
        <v>957</v>
      </c>
      <c r="F76" s="54" t="s">
        <v>890</v>
      </c>
      <c r="G76" s="54" t="s">
        <v>959</v>
      </c>
      <c r="H76" s="55" t="s">
        <v>960</v>
      </c>
      <c r="I76" s="49" t="s">
        <v>893</v>
      </c>
    </row>
    <row r="77" spans="2:9" ht="30" hidden="1" customHeight="1">
      <c r="B77" s="54" t="s">
        <v>36</v>
      </c>
      <c r="C77" s="54" t="s">
        <v>39</v>
      </c>
      <c r="D77" s="54" t="s">
        <v>953</v>
      </c>
      <c r="E77" s="54" t="s">
        <v>957</v>
      </c>
      <c r="F77" s="54" t="s">
        <v>890</v>
      </c>
      <c r="G77" s="54" t="s">
        <v>959</v>
      </c>
      <c r="H77" s="55" t="s">
        <v>960</v>
      </c>
      <c r="I77" s="49" t="s">
        <v>893</v>
      </c>
    </row>
    <row r="78" spans="2:9" ht="30" hidden="1" customHeight="1">
      <c r="B78" s="54" t="s">
        <v>36</v>
      </c>
      <c r="C78" s="54" t="s">
        <v>39</v>
      </c>
      <c r="D78" s="49" t="s">
        <v>953</v>
      </c>
      <c r="E78" s="49" t="s">
        <v>957</v>
      </c>
      <c r="F78" s="49" t="s">
        <v>953</v>
      </c>
      <c r="G78" s="49" t="s">
        <v>965</v>
      </c>
      <c r="H78" s="53" t="s">
        <v>966</v>
      </c>
      <c r="I78" s="49" t="s">
        <v>885</v>
      </c>
    </row>
    <row r="79" spans="2:9" ht="30" hidden="1" customHeight="1">
      <c r="B79" s="54" t="s">
        <v>36</v>
      </c>
      <c r="C79" s="54" t="s">
        <v>39</v>
      </c>
      <c r="D79" s="49" t="s">
        <v>953</v>
      </c>
      <c r="E79" s="49" t="s">
        <v>957</v>
      </c>
      <c r="F79" s="54" t="s">
        <v>953</v>
      </c>
      <c r="G79" s="54" t="s">
        <v>967</v>
      </c>
      <c r="H79" s="53" t="s">
        <v>968</v>
      </c>
      <c r="I79" s="49" t="s">
        <v>885</v>
      </c>
    </row>
    <row r="80" spans="2:9" ht="30" hidden="1" customHeight="1">
      <c r="B80" s="54" t="s">
        <v>36</v>
      </c>
      <c r="C80" s="54" t="s">
        <v>39</v>
      </c>
      <c r="D80" s="49" t="s">
        <v>953</v>
      </c>
      <c r="E80" s="49" t="s">
        <v>957</v>
      </c>
      <c r="F80" s="49" t="s">
        <v>953</v>
      </c>
      <c r="G80" s="49" t="s">
        <v>1012</v>
      </c>
      <c r="H80" s="53" t="s">
        <v>1013</v>
      </c>
      <c r="I80" s="49" t="s">
        <v>885</v>
      </c>
    </row>
    <row r="81" spans="2:9" ht="30" hidden="1" customHeight="1">
      <c r="B81" s="54" t="s">
        <v>36</v>
      </c>
      <c r="C81" s="54" t="s">
        <v>39</v>
      </c>
      <c r="D81" s="49" t="s">
        <v>953</v>
      </c>
      <c r="E81" s="49" t="s">
        <v>1012</v>
      </c>
      <c r="F81" s="54" t="s">
        <v>1014</v>
      </c>
      <c r="G81" s="54" t="s">
        <v>1015</v>
      </c>
      <c r="H81" s="53" t="s">
        <v>1016</v>
      </c>
      <c r="I81" s="49" t="s">
        <v>885</v>
      </c>
    </row>
    <row r="82" spans="2:9" ht="30" hidden="1" customHeight="1">
      <c r="B82" s="54" t="s">
        <v>36</v>
      </c>
      <c r="C82" s="54" t="s">
        <v>39</v>
      </c>
      <c r="D82" s="54" t="s">
        <v>1014</v>
      </c>
      <c r="E82" s="54" t="s">
        <v>1015</v>
      </c>
      <c r="F82" s="54" t="s">
        <v>890</v>
      </c>
      <c r="G82" s="54" t="s">
        <v>959</v>
      </c>
      <c r="H82" s="55" t="s">
        <v>1017</v>
      </c>
      <c r="I82" s="49" t="s">
        <v>885</v>
      </c>
    </row>
    <row r="83" spans="2:9" ht="30" hidden="1" customHeight="1">
      <c r="B83" s="54" t="s">
        <v>41</v>
      </c>
      <c r="C83" s="49" t="s">
        <v>44</v>
      </c>
      <c r="D83" s="54" t="s">
        <v>1018</v>
      </c>
      <c r="E83" s="54" t="s">
        <v>1019</v>
      </c>
      <c r="F83" s="54" t="s">
        <v>1018</v>
      </c>
      <c r="G83" s="54" t="s">
        <v>1020</v>
      </c>
      <c r="H83" s="55" t="s">
        <v>1021</v>
      </c>
      <c r="I83" s="53" t="s">
        <v>885</v>
      </c>
    </row>
    <row r="84" spans="2:9" ht="30" hidden="1" customHeight="1">
      <c r="B84" s="54" t="s">
        <v>41</v>
      </c>
      <c r="C84" s="54" t="s">
        <v>44</v>
      </c>
      <c r="D84" s="54" t="s">
        <v>1018</v>
      </c>
      <c r="E84" s="54" t="s">
        <v>1019</v>
      </c>
      <c r="F84" s="54" t="s">
        <v>1018</v>
      </c>
      <c r="G84" s="54" t="s">
        <v>1022</v>
      </c>
      <c r="H84" s="55" t="s">
        <v>1023</v>
      </c>
      <c r="I84" s="53" t="s">
        <v>885</v>
      </c>
    </row>
    <row r="85" spans="2:9" ht="30" hidden="1" customHeight="1">
      <c r="B85" s="54" t="s">
        <v>41</v>
      </c>
      <c r="C85" s="54" t="s">
        <v>42</v>
      </c>
      <c r="D85" s="311" t="s">
        <v>1018</v>
      </c>
      <c r="E85" s="311" t="s">
        <v>1024</v>
      </c>
      <c r="F85" s="311" t="s">
        <v>1018</v>
      </c>
      <c r="G85" s="311" t="s">
        <v>1025</v>
      </c>
      <c r="H85" s="312" t="s">
        <v>1026</v>
      </c>
      <c r="I85" s="311" t="s">
        <v>885</v>
      </c>
    </row>
    <row r="86" spans="2:9" ht="30" hidden="1" customHeight="1">
      <c r="B86" s="54" t="s">
        <v>41</v>
      </c>
      <c r="C86" s="54" t="s">
        <v>42</v>
      </c>
      <c r="D86" s="49" t="s">
        <v>1018</v>
      </c>
      <c r="E86" s="311" t="s">
        <v>1022</v>
      </c>
      <c r="F86" s="49" t="s">
        <v>1018</v>
      </c>
      <c r="G86" s="311" t="s">
        <v>1027</v>
      </c>
      <c r="H86" s="312" t="s">
        <v>1028</v>
      </c>
      <c r="I86" s="311" t="s">
        <v>885</v>
      </c>
    </row>
    <row r="87" spans="2:9" ht="30" hidden="1" customHeight="1">
      <c r="B87" s="54" t="s">
        <v>41</v>
      </c>
      <c r="C87" s="54" t="s">
        <v>42</v>
      </c>
      <c r="D87" s="311" t="s">
        <v>1018</v>
      </c>
      <c r="E87" s="311" t="s">
        <v>1022</v>
      </c>
      <c r="F87" s="311" t="s">
        <v>1018</v>
      </c>
      <c r="G87" s="311" t="s">
        <v>1024</v>
      </c>
      <c r="H87" s="312" t="s">
        <v>1029</v>
      </c>
      <c r="I87" s="311" t="s">
        <v>885</v>
      </c>
    </row>
    <row r="88" spans="2:9" ht="30" customHeight="1">
      <c r="B88" s="54" t="s">
        <v>41</v>
      </c>
      <c r="C88" s="54" t="s">
        <v>42</v>
      </c>
      <c r="D88" s="311" t="s">
        <v>1018</v>
      </c>
      <c r="E88" s="311" t="s">
        <v>1027</v>
      </c>
      <c r="F88" s="311" t="s">
        <v>1018</v>
      </c>
      <c r="G88" s="311" t="s">
        <v>1020</v>
      </c>
      <c r="H88" s="312" t="s">
        <v>1030</v>
      </c>
      <c r="I88" s="311" t="s">
        <v>885</v>
      </c>
    </row>
    <row r="89" spans="2:9" ht="30" hidden="1" customHeight="1">
      <c r="B89" s="54" t="s">
        <v>41</v>
      </c>
      <c r="C89" s="54" t="s">
        <v>42</v>
      </c>
      <c r="D89" s="311" t="s">
        <v>1018</v>
      </c>
      <c r="E89" s="311" t="s">
        <v>1020</v>
      </c>
      <c r="F89" s="311" t="s">
        <v>1018</v>
      </c>
      <c r="G89" s="311" t="s">
        <v>1031</v>
      </c>
      <c r="H89" s="312" t="s">
        <v>1032</v>
      </c>
      <c r="I89" s="311" t="s">
        <v>885</v>
      </c>
    </row>
    <row r="90" spans="2:9" ht="30" hidden="1" customHeight="1">
      <c r="B90" s="54" t="s">
        <v>41</v>
      </c>
      <c r="C90" s="54" t="s">
        <v>42</v>
      </c>
      <c r="D90" s="311" t="s">
        <v>1018</v>
      </c>
      <c r="E90" s="311" t="s">
        <v>1020</v>
      </c>
      <c r="F90" s="311" t="s">
        <v>1018</v>
      </c>
      <c r="G90" s="311" t="s">
        <v>1033</v>
      </c>
      <c r="H90" s="312" t="s">
        <v>1034</v>
      </c>
      <c r="I90" s="311" t="s">
        <v>885</v>
      </c>
    </row>
    <row r="91" spans="2:9" ht="30" hidden="1" customHeight="1">
      <c r="B91" s="54" t="s">
        <v>41</v>
      </c>
      <c r="C91" s="54" t="s">
        <v>42</v>
      </c>
      <c r="D91" s="311" t="s">
        <v>1018</v>
      </c>
      <c r="E91" s="311" t="s">
        <v>1035</v>
      </c>
      <c r="F91" s="314" t="s">
        <v>1018</v>
      </c>
      <c r="G91" s="311" t="s">
        <v>1036</v>
      </c>
      <c r="H91" s="312" t="s">
        <v>1037</v>
      </c>
      <c r="I91" s="311" t="s">
        <v>885</v>
      </c>
    </row>
    <row r="92" spans="2:9" ht="30" customHeight="1">
      <c r="B92" s="311" t="s">
        <v>41</v>
      </c>
      <c r="C92" s="311" t="s">
        <v>42</v>
      </c>
      <c r="D92" s="311" t="s">
        <v>1018</v>
      </c>
      <c r="E92" s="311" t="s">
        <v>1027</v>
      </c>
      <c r="F92" s="314" t="s">
        <v>1018</v>
      </c>
      <c r="G92" s="311" t="s">
        <v>1038</v>
      </c>
      <c r="H92" s="312" t="s">
        <v>1039</v>
      </c>
      <c r="I92" s="311" t="s">
        <v>885</v>
      </c>
    </row>
    <row r="93" spans="2:9" ht="30" customHeight="1">
      <c r="B93" s="311" t="s">
        <v>41</v>
      </c>
      <c r="C93" s="311" t="s">
        <v>42</v>
      </c>
      <c r="D93" s="311" t="s">
        <v>1018</v>
      </c>
      <c r="E93" s="311" t="s">
        <v>1027</v>
      </c>
      <c r="F93" s="314" t="s">
        <v>1018</v>
      </c>
      <c r="G93" s="311" t="s">
        <v>1035</v>
      </c>
      <c r="H93" s="312" t="s">
        <v>1040</v>
      </c>
      <c r="I93" s="311" t="s">
        <v>885</v>
      </c>
    </row>
    <row r="94" spans="2:9" ht="30" customHeight="1">
      <c r="B94" s="54" t="s">
        <v>41</v>
      </c>
      <c r="C94" s="54" t="s">
        <v>42</v>
      </c>
      <c r="D94" s="311" t="s">
        <v>1018</v>
      </c>
      <c r="E94" s="311" t="s">
        <v>1027</v>
      </c>
      <c r="F94" s="311" t="s">
        <v>908</v>
      </c>
      <c r="G94" s="311" t="s">
        <v>127</v>
      </c>
      <c r="H94" s="312" t="s">
        <v>1041</v>
      </c>
      <c r="I94" s="311" t="s">
        <v>893</v>
      </c>
    </row>
    <row r="95" spans="2:9" ht="30" hidden="1" customHeight="1">
      <c r="B95" s="311" t="s">
        <v>41</v>
      </c>
      <c r="C95" s="311" t="s">
        <v>42</v>
      </c>
      <c r="D95" s="311" t="s">
        <v>1018</v>
      </c>
      <c r="E95" s="311" t="s">
        <v>1020</v>
      </c>
      <c r="F95" s="311" t="s">
        <v>1018</v>
      </c>
      <c r="G95" s="311" t="s">
        <v>1019</v>
      </c>
      <c r="H95" s="312" t="s">
        <v>1042</v>
      </c>
      <c r="I95" s="311" t="s">
        <v>885</v>
      </c>
    </row>
    <row r="96" spans="2:9" ht="30" customHeight="1">
      <c r="B96" s="311" t="s">
        <v>41</v>
      </c>
      <c r="C96" s="311" t="s">
        <v>42</v>
      </c>
      <c r="D96" s="311" t="s">
        <v>1018</v>
      </c>
      <c r="E96" s="311" t="s">
        <v>1027</v>
      </c>
      <c r="F96" s="311" t="s">
        <v>1018</v>
      </c>
      <c r="G96" s="311" t="s">
        <v>1019</v>
      </c>
      <c r="H96" s="312" t="s">
        <v>1043</v>
      </c>
      <c r="I96" s="311" t="s">
        <v>885</v>
      </c>
    </row>
    <row r="97" spans="2:9" ht="30" customHeight="1">
      <c r="B97" s="311" t="s">
        <v>41</v>
      </c>
      <c r="C97" s="311" t="s">
        <v>42</v>
      </c>
      <c r="D97" s="311" t="s">
        <v>1018</v>
      </c>
      <c r="E97" s="311" t="s">
        <v>1027</v>
      </c>
      <c r="F97" s="311" t="s">
        <v>890</v>
      </c>
      <c r="G97" s="311" t="s">
        <v>906</v>
      </c>
      <c r="H97" s="312" t="s">
        <v>1044</v>
      </c>
      <c r="I97" s="311" t="s">
        <v>885</v>
      </c>
    </row>
    <row r="98" spans="2:9" ht="30" hidden="1" customHeight="1">
      <c r="B98" s="311" t="s">
        <v>41</v>
      </c>
      <c r="C98" s="311" t="s">
        <v>42</v>
      </c>
      <c r="D98" s="311" t="s">
        <v>1018</v>
      </c>
      <c r="E98" s="311" t="s">
        <v>1020</v>
      </c>
      <c r="F98" s="311" t="s">
        <v>890</v>
      </c>
      <c r="G98" s="311" t="s">
        <v>906</v>
      </c>
      <c r="H98" s="312" t="s">
        <v>1045</v>
      </c>
      <c r="I98" s="311" t="s">
        <v>885</v>
      </c>
    </row>
    <row r="99" spans="2:9" ht="30" hidden="1" customHeight="1">
      <c r="B99" s="311" t="s">
        <v>41</v>
      </c>
      <c r="C99" s="311" t="s">
        <v>42</v>
      </c>
      <c r="D99" s="311" t="s">
        <v>1018</v>
      </c>
      <c r="E99" s="311" t="s">
        <v>1020</v>
      </c>
      <c r="F99" s="311" t="s">
        <v>1018</v>
      </c>
      <c r="G99" s="311" t="s">
        <v>1046</v>
      </c>
      <c r="H99" s="312" t="s">
        <v>1047</v>
      </c>
      <c r="I99" s="311" t="s">
        <v>885</v>
      </c>
    </row>
    <row r="100" spans="2:9" ht="30" hidden="1" customHeight="1">
      <c r="B100" s="54" t="s">
        <v>41</v>
      </c>
      <c r="C100" s="54" t="s">
        <v>42</v>
      </c>
      <c r="D100" s="311" t="s">
        <v>1018</v>
      </c>
      <c r="E100" s="311" t="s">
        <v>1020</v>
      </c>
      <c r="F100" s="311" t="s">
        <v>908</v>
      </c>
      <c r="G100" s="311" t="s">
        <v>1048</v>
      </c>
      <c r="H100" s="312" t="s">
        <v>1049</v>
      </c>
      <c r="I100" s="311" t="s">
        <v>893</v>
      </c>
    </row>
    <row r="101" spans="2:9" ht="97.5" hidden="1" customHeight="1">
      <c r="B101" s="54" t="s">
        <v>41</v>
      </c>
      <c r="C101" s="54" t="s">
        <v>42</v>
      </c>
      <c r="D101" s="311" t="s">
        <v>1018</v>
      </c>
      <c r="E101" s="311" t="s">
        <v>1020</v>
      </c>
      <c r="F101" s="311" t="s">
        <v>908</v>
      </c>
      <c r="G101" s="311" t="s">
        <v>1050</v>
      </c>
      <c r="H101" s="312" t="s">
        <v>1051</v>
      </c>
      <c r="I101" s="311"/>
    </row>
    <row r="102" spans="2:9" ht="30" hidden="1" customHeight="1">
      <c r="B102" s="54" t="s">
        <v>41</v>
      </c>
      <c r="C102" s="54" t="s">
        <v>42</v>
      </c>
      <c r="D102" s="311" t="s">
        <v>910</v>
      </c>
      <c r="E102" s="311" t="s">
        <v>911</v>
      </c>
      <c r="F102" s="311" t="s">
        <v>908</v>
      </c>
      <c r="G102" s="311" t="s">
        <v>127</v>
      </c>
      <c r="H102" s="312" t="s">
        <v>1052</v>
      </c>
      <c r="I102" s="311" t="s">
        <v>893</v>
      </c>
    </row>
    <row r="103" spans="2:9" ht="30" hidden="1" customHeight="1">
      <c r="B103" s="54" t="s">
        <v>41</v>
      </c>
      <c r="C103" s="54" t="s">
        <v>42</v>
      </c>
      <c r="D103" s="311" t="s">
        <v>902</v>
      </c>
      <c r="E103" s="311" t="s">
        <v>942</v>
      </c>
      <c r="F103" s="311" t="s">
        <v>908</v>
      </c>
      <c r="G103" s="311" t="s">
        <v>127</v>
      </c>
      <c r="H103" s="312" t="s">
        <v>1053</v>
      </c>
      <c r="I103" s="311" t="s">
        <v>893</v>
      </c>
    </row>
    <row r="104" spans="2:9" ht="30" hidden="1" customHeight="1">
      <c r="B104" s="54" t="s">
        <v>41</v>
      </c>
      <c r="C104" s="54" t="s">
        <v>42</v>
      </c>
      <c r="D104" s="311" t="s">
        <v>902</v>
      </c>
      <c r="E104" s="311" t="s">
        <v>942</v>
      </c>
      <c r="F104" s="311" t="s">
        <v>902</v>
      </c>
      <c r="G104" s="311" t="s">
        <v>904</v>
      </c>
      <c r="H104" s="312" t="s">
        <v>1054</v>
      </c>
      <c r="I104" s="311" t="s">
        <v>885</v>
      </c>
    </row>
    <row r="105" spans="2:9" ht="30" hidden="1" customHeight="1">
      <c r="B105" s="54" t="s">
        <v>41</v>
      </c>
      <c r="C105" s="54" t="s">
        <v>42</v>
      </c>
      <c r="D105" s="311" t="s">
        <v>902</v>
      </c>
      <c r="E105" s="311" t="s">
        <v>942</v>
      </c>
      <c r="F105" s="311" t="s">
        <v>890</v>
      </c>
      <c r="G105" s="311" t="s">
        <v>906</v>
      </c>
      <c r="H105" s="312" t="s">
        <v>1055</v>
      </c>
      <c r="I105" s="309" t="s">
        <v>885</v>
      </c>
    </row>
    <row r="106" spans="2:9" ht="30" hidden="1" customHeight="1">
      <c r="B106" s="54" t="s">
        <v>41</v>
      </c>
      <c r="C106" s="54" t="s">
        <v>42</v>
      </c>
      <c r="D106" s="311" t="s">
        <v>890</v>
      </c>
      <c r="E106" s="311" t="s">
        <v>906</v>
      </c>
      <c r="F106" s="311" t="s">
        <v>913</v>
      </c>
      <c r="G106" s="311" t="s">
        <v>914</v>
      </c>
      <c r="H106" s="312" t="s">
        <v>1056</v>
      </c>
      <c r="I106" s="309" t="s">
        <v>885</v>
      </c>
    </row>
    <row r="107" spans="2:9" ht="30" customHeight="1">
      <c r="B107" s="54" t="s">
        <v>41</v>
      </c>
      <c r="C107" s="54" t="s">
        <v>42</v>
      </c>
      <c r="D107" s="311" t="s">
        <v>1018</v>
      </c>
      <c r="E107" s="311" t="s">
        <v>1027</v>
      </c>
      <c r="F107" s="311" t="s">
        <v>1018</v>
      </c>
      <c r="G107" s="311" t="s">
        <v>1057</v>
      </c>
      <c r="H107" s="312" t="s">
        <v>1058</v>
      </c>
      <c r="I107" s="309" t="s">
        <v>885</v>
      </c>
    </row>
    <row r="108" spans="2:9" ht="30" hidden="1" customHeight="1">
      <c r="B108" s="54" t="s">
        <v>41</v>
      </c>
      <c r="C108" s="54" t="s">
        <v>42</v>
      </c>
      <c r="D108" s="314" t="s">
        <v>1018</v>
      </c>
      <c r="E108" s="314" t="s">
        <v>1020</v>
      </c>
      <c r="F108" s="314" t="s">
        <v>1018</v>
      </c>
      <c r="G108" s="311" t="s">
        <v>1059</v>
      </c>
      <c r="H108" s="315" t="s">
        <v>1060</v>
      </c>
      <c r="I108" s="311" t="s">
        <v>885</v>
      </c>
    </row>
    <row r="109" spans="2:9" ht="30" hidden="1" customHeight="1">
      <c r="B109" s="54" t="s">
        <v>41</v>
      </c>
      <c r="C109" s="54" t="s">
        <v>42</v>
      </c>
      <c r="D109" s="314" t="s">
        <v>910</v>
      </c>
      <c r="E109" s="314" t="s">
        <v>911</v>
      </c>
      <c r="F109" s="311" t="s">
        <v>913</v>
      </c>
      <c r="G109" s="311" t="s">
        <v>914</v>
      </c>
      <c r="H109" s="312" t="s">
        <v>916</v>
      </c>
      <c r="I109" s="316" t="s">
        <v>885</v>
      </c>
    </row>
    <row r="110" spans="2:9" ht="30" hidden="1" customHeight="1">
      <c r="B110" s="311" t="s">
        <v>41</v>
      </c>
      <c r="C110" s="311" t="s">
        <v>127</v>
      </c>
      <c r="D110" s="311" t="s">
        <v>1018</v>
      </c>
      <c r="E110" s="311" t="s">
        <v>1020</v>
      </c>
      <c r="F110" s="311" t="s">
        <v>1018</v>
      </c>
      <c r="G110" s="311" t="s">
        <v>1019</v>
      </c>
      <c r="H110" s="312" t="s">
        <v>1061</v>
      </c>
      <c r="I110" s="316" t="s">
        <v>885</v>
      </c>
    </row>
    <row r="111" spans="2:9" ht="30" hidden="1" customHeight="1">
      <c r="B111" s="290" t="s">
        <v>46</v>
      </c>
      <c r="C111" s="54" t="s">
        <v>47</v>
      </c>
      <c r="D111" s="54" t="s">
        <v>910</v>
      </c>
      <c r="E111" s="54" t="s">
        <v>911</v>
      </c>
      <c r="F111" s="54" t="s">
        <v>890</v>
      </c>
      <c r="G111" s="54" t="s">
        <v>900</v>
      </c>
      <c r="H111" s="55" t="s">
        <v>1062</v>
      </c>
      <c r="I111" s="53" t="s">
        <v>885</v>
      </c>
    </row>
    <row r="112" spans="2:9" ht="30" hidden="1" customHeight="1">
      <c r="B112" s="290" t="s">
        <v>46</v>
      </c>
      <c r="C112" s="54" t="s">
        <v>47</v>
      </c>
      <c r="D112" s="54" t="s">
        <v>890</v>
      </c>
      <c r="E112" s="54" t="s">
        <v>900</v>
      </c>
      <c r="F112" s="54" t="s">
        <v>890</v>
      </c>
      <c r="G112" s="54" t="s">
        <v>891</v>
      </c>
      <c r="H112" s="55" t="s">
        <v>1063</v>
      </c>
      <c r="I112" s="53" t="s">
        <v>885</v>
      </c>
    </row>
    <row r="113" spans="2:9" ht="30" hidden="1" customHeight="1">
      <c r="B113" s="290" t="s">
        <v>46</v>
      </c>
      <c r="C113" s="54" t="s">
        <v>47</v>
      </c>
      <c r="D113" s="314" t="s">
        <v>910</v>
      </c>
      <c r="E113" s="314" t="s">
        <v>911</v>
      </c>
      <c r="F113" s="311" t="s">
        <v>913</v>
      </c>
      <c r="G113" s="311" t="s">
        <v>914</v>
      </c>
      <c r="H113" s="312" t="s">
        <v>916</v>
      </c>
      <c r="I113" s="53" t="s">
        <v>885</v>
      </c>
    </row>
    <row r="114" spans="2:9" ht="30" hidden="1" customHeight="1">
      <c r="B114" s="54" t="s">
        <v>49</v>
      </c>
      <c r="C114" s="54" t="s">
        <v>50</v>
      </c>
      <c r="D114" s="54" t="s">
        <v>910</v>
      </c>
      <c r="E114" s="49" t="s">
        <v>911</v>
      </c>
      <c r="F114" s="49" t="s">
        <v>908</v>
      </c>
      <c r="G114" s="49" t="s">
        <v>1064</v>
      </c>
      <c r="H114" s="300" t="s">
        <v>1065</v>
      </c>
      <c r="I114" s="53" t="s">
        <v>893</v>
      </c>
    </row>
    <row r="115" spans="2:9" ht="30" hidden="1" customHeight="1">
      <c r="B115" s="54" t="s">
        <v>49</v>
      </c>
      <c r="C115" s="54" t="s">
        <v>50</v>
      </c>
      <c r="D115" s="54" t="s">
        <v>902</v>
      </c>
      <c r="E115" s="49" t="s">
        <v>942</v>
      </c>
      <c r="F115" s="49" t="s">
        <v>908</v>
      </c>
      <c r="G115" s="49" t="s">
        <v>1064</v>
      </c>
      <c r="H115" s="300" t="s">
        <v>1066</v>
      </c>
      <c r="I115" s="53" t="s">
        <v>893</v>
      </c>
    </row>
    <row r="116" spans="2:9" ht="30" hidden="1" customHeight="1">
      <c r="B116" s="54" t="s">
        <v>52</v>
      </c>
      <c r="C116" s="49" t="s">
        <v>53</v>
      </c>
      <c r="D116" s="54" t="s">
        <v>910</v>
      </c>
      <c r="E116" s="54" t="s">
        <v>911</v>
      </c>
      <c r="F116" s="49" t="s">
        <v>902</v>
      </c>
      <c r="G116" s="49" t="s">
        <v>903</v>
      </c>
      <c r="H116" s="55" t="s">
        <v>1010</v>
      </c>
      <c r="I116" s="55" t="s">
        <v>885</v>
      </c>
    </row>
    <row r="117" spans="2:9" ht="30" hidden="1" customHeight="1">
      <c r="B117" s="54" t="s">
        <v>52</v>
      </c>
      <c r="C117" s="49" t="s">
        <v>53</v>
      </c>
      <c r="D117" s="54" t="s">
        <v>902</v>
      </c>
      <c r="E117" s="54" t="s">
        <v>903</v>
      </c>
      <c r="F117" s="54" t="s">
        <v>902</v>
      </c>
      <c r="G117" s="54" t="s">
        <v>904</v>
      </c>
      <c r="H117" s="198" t="s">
        <v>905</v>
      </c>
      <c r="I117" s="49" t="s">
        <v>885</v>
      </c>
    </row>
    <row r="118" spans="2:9" ht="30" hidden="1" customHeight="1">
      <c r="B118" s="54" t="s">
        <v>52</v>
      </c>
      <c r="C118" s="49" t="s">
        <v>53</v>
      </c>
      <c r="D118" s="314" t="s">
        <v>910</v>
      </c>
      <c r="E118" s="314" t="s">
        <v>911</v>
      </c>
      <c r="F118" s="311" t="s">
        <v>913</v>
      </c>
      <c r="G118" s="311" t="s">
        <v>914</v>
      </c>
      <c r="H118" s="312" t="s">
        <v>916</v>
      </c>
      <c r="I118" s="53" t="s">
        <v>885</v>
      </c>
    </row>
    <row r="119" spans="2:9" ht="30" hidden="1" customHeight="1">
      <c r="B119" s="54" t="s">
        <v>52</v>
      </c>
      <c r="C119" s="49" t="s">
        <v>53</v>
      </c>
      <c r="D119" s="54" t="s">
        <v>910</v>
      </c>
      <c r="E119" s="49" t="s">
        <v>911</v>
      </c>
      <c r="F119" s="49" t="s">
        <v>908</v>
      </c>
      <c r="G119" s="49" t="s">
        <v>1067</v>
      </c>
      <c r="H119" s="300" t="s">
        <v>1068</v>
      </c>
      <c r="I119" s="53" t="s">
        <v>893</v>
      </c>
    </row>
    <row r="120" spans="2:9" ht="30" hidden="1" customHeight="1">
      <c r="B120" s="54" t="s">
        <v>52</v>
      </c>
      <c r="C120" s="49" t="s">
        <v>53</v>
      </c>
      <c r="D120" s="54" t="s">
        <v>902</v>
      </c>
      <c r="E120" s="49" t="s">
        <v>942</v>
      </c>
      <c r="F120" s="49" t="s">
        <v>908</v>
      </c>
      <c r="G120" s="49" t="s">
        <v>1067</v>
      </c>
      <c r="H120" s="300" t="s">
        <v>1069</v>
      </c>
      <c r="I120" s="53" t="s">
        <v>893</v>
      </c>
    </row>
    <row r="121" spans="2:9" ht="30" hidden="1" customHeight="1">
      <c r="B121" s="54" t="s">
        <v>55</v>
      </c>
      <c r="C121" s="49" t="s">
        <v>56</v>
      </c>
      <c r="D121" s="54" t="s">
        <v>953</v>
      </c>
      <c r="E121" s="54" t="s">
        <v>957</v>
      </c>
      <c r="F121" s="54" t="s">
        <v>961</v>
      </c>
      <c r="G121" s="54" t="s">
        <v>962</v>
      </c>
      <c r="H121" s="315" t="s">
        <v>963</v>
      </c>
      <c r="I121" s="49" t="s">
        <v>885</v>
      </c>
    </row>
    <row r="122" spans="2:9" ht="30" hidden="1" customHeight="1">
      <c r="B122" s="54" t="s">
        <v>55</v>
      </c>
      <c r="C122" s="49" t="s">
        <v>56</v>
      </c>
      <c r="D122" s="54" t="s">
        <v>953</v>
      </c>
      <c r="E122" s="54" t="s">
        <v>954</v>
      </c>
      <c r="F122" s="54" t="s">
        <v>953</v>
      </c>
      <c r="G122" s="54" t="s">
        <v>955</v>
      </c>
      <c r="H122" s="198" t="s">
        <v>956</v>
      </c>
      <c r="I122" s="49" t="s">
        <v>893</v>
      </c>
    </row>
    <row r="123" spans="2:9" ht="30" hidden="1" customHeight="1">
      <c r="B123" s="54" t="s">
        <v>55</v>
      </c>
      <c r="C123" s="54" t="s">
        <v>56</v>
      </c>
      <c r="D123" s="49" t="s">
        <v>953</v>
      </c>
      <c r="E123" s="49" t="s">
        <v>954</v>
      </c>
      <c r="F123" s="54" t="s">
        <v>953</v>
      </c>
      <c r="G123" s="54" t="s">
        <v>957</v>
      </c>
      <c r="H123" s="55" t="s">
        <v>958</v>
      </c>
      <c r="I123" s="202" t="s">
        <v>885</v>
      </c>
    </row>
    <row r="124" spans="2:9" ht="30" hidden="1" customHeight="1">
      <c r="B124" s="54" t="s">
        <v>55</v>
      </c>
      <c r="C124" s="54" t="s">
        <v>56</v>
      </c>
      <c r="D124" s="54" t="s">
        <v>953</v>
      </c>
      <c r="E124" s="54" t="s">
        <v>954</v>
      </c>
      <c r="F124" s="54" t="s">
        <v>953</v>
      </c>
      <c r="G124" s="54" t="s">
        <v>955</v>
      </c>
      <c r="H124" s="55" t="s">
        <v>1011</v>
      </c>
      <c r="I124" s="49" t="s">
        <v>885</v>
      </c>
    </row>
    <row r="125" spans="2:9" ht="30" hidden="1" customHeight="1">
      <c r="B125" s="54" t="s">
        <v>55</v>
      </c>
      <c r="C125" s="54" t="s">
        <v>56</v>
      </c>
      <c r="D125" s="49" t="s">
        <v>953</v>
      </c>
      <c r="E125" s="49" t="s">
        <v>957</v>
      </c>
      <c r="F125" s="49" t="s">
        <v>890</v>
      </c>
      <c r="G125" s="49" t="s">
        <v>959</v>
      </c>
      <c r="H125" s="53" t="s">
        <v>960</v>
      </c>
      <c r="I125" s="49" t="s">
        <v>893</v>
      </c>
    </row>
    <row r="126" spans="2:9" ht="30" hidden="1" customHeight="1">
      <c r="B126" s="54" t="s">
        <v>55</v>
      </c>
      <c r="C126" s="54" t="s">
        <v>58</v>
      </c>
      <c r="D126" s="49" t="s">
        <v>953</v>
      </c>
      <c r="E126" s="49" t="s">
        <v>957</v>
      </c>
      <c r="F126" s="49" t="s">
        <v>890</v>
      </c>
      <c r="G126" s="49" t="s">
        <v>959</v>
      </c>
      <c r="H126" s="53" t="s">
        <v>960</v>
      </c>
      <c r="I126" s="49" t="s">
        <v>893</v>
      </c>
    </row>
    <row r="127" spans="2:9" ht="30" hidden="1" customHeight="1">
      <c r="B127" s="54" t="s">
        <v>55</v>
      </c>
      <c r="C127" s="54" t="s">
        <v>58</v>
      </c>
      <c r="D127" s="49" t="s">
        <v>953</v>
      </c>
      <c r="E127" s="49" t="s">
        <v>957</v>
      </c>
      <c r="F127" s="49" t="s">
        <v>953</v>
      </c>
      <c r="G127" s="49" t="s">
        <v>965</v>
      </c>
      <c r="H127" s="53" t="s">
        <v>966</v>
      </c>
      <c r="I127" s="49" t="s">
        <v>885</v>
      </c>
    </row>
    <row r="128" spans="2:9" ht="30" hidden="1" customHeight="1">
      <c r="B128" s="54" t="s">
        <v>55</v>
      </c>
      <c r="C128" s="49" t="s">
        <v>58</v>
      </c>
      <c r="D128" s="54" t="s">
        <v>953</v>
      </c>
      <c r="E128" s="54" t="s">
        <v>957</v>
      </c>
      <c r="F128" s="54" t="s">
        <v>953</v>
      </c>
      <c r="G128" s="54" t="s">
        <v>967</v>
      </c>
      <c r="H128" s="55" t="s">
        <v>968</v>
      </c>
      <c r="I128" s="49" t="s">
        <v>885</v>
      </c>
    </row>
    <row r="129" spans="2:9" ht="30" hidden="1" customHeight="1">
      <c r="B129" s="54" t="s">
        <v>55</v>
      </c>
      <c r="C129" s="49" t="s">
        <v>58</v>
      </c>
      <c r="D129" s="54" t="s">
        <v>953</v>
      </c>
      <c r="E129" s="54" t="s">
        <v>957</v>
      </c>
      <c r="F129" s="54" t="s">
        <v>953</v>
      </c>
      <c r="G129" s="54" t="s">
        <v>1012</v>
      </c>
      <c r="H129" s="55" t="s">
        <v>1013</v>
      </c>
      <c r="I129" s="49" t="s">
        <v>885</v>
      </c>
    </row>
    <row r="130" spans="2:9" ht="30" hidden="1" customHeight="1">
      <c r="B130" s="54" t="s">
        <v>55</v>
      </c>
      <c r="C130" s="54" t="s">
        <v>58</v>
      </c>
      <c r="D130" s="54" t="s">
        <v>953</v>
      </c>
      <c r="E130" s="54" t="s">
        <v>1012</v>
      </c>
      <c r="F130" s="54" t="s">
        <v>1014</v>
      </c>
      <c r="G130" s="54" t="s">
        <v>1015</v>
      </c>
      <c r="H130" s="55" t="s">
        <v>1016</v>
      </c>
      <c r="I130" s="49" t="s">
        <v>885</v>
      </c>
    </row>
    <row r="131" spans="2:9" ht="30" hidden="1" customHeight="1">
      <c r="B131" s="54" t="s">
        <v>55</v>
      </c>
      <c r="C131" s="54" t="s">
        <v>58</v>
      </c>
      <c r="D131" s="54" t="s">
        <v>1014</v>
      </c>
      <c r="E131" s="54" t="s">
        <v>1015</v>
      </c>
      <c r="F131" s="54" t="s">
        <v>890</v>
      </c>
      <c r="G131" s="54" t="s">
        <v>959</v>
      </c>
      <c r="H131" s="55" t="s">
        <v>1017</v>
      </c>
      <c r="I131" s="49" t="s">
        <v>885</v>
      </c>
    </row>
    <row r="132" spans="2:9" ht="51.75" hidden="1" customHeight="1">
      <c r="B132" s="54" t="s">
        <v>60</v>
      </c>
      <c r="C132" s="54" t="s">
        <v>61</v>
      </c>
      <c r="D132" s="54" t="s">
        <v>1070</v>
      </c>
      <c r="E132" s="54" t="s">
        <v>1071</v>
      </c>
      <c r="F132" s="54" t="s">
        <v>1070</v>
      </c>
      <c r="G132" s="54" t="s">
        <v>1072</v>
      </c>
      <c r="H132" s="55" t="s">
        <v>1073</v>
      </c>
      <c r="I132" s="49" t="s">
        <v>885</v>
      </c>
    </row>
    <row r="133" spans="2:9" ht="30" hidden="1" customHeight="1">
      <c r="B133" s="54" t="s">
        <v>60</v>
      </c>
      <c r="C133" s="54" t="s">
        <v>61</v>
      </c>
      <c r="D133" s="54" t="s">
        <v>1070</v>
      </c>
      <c r="E133" s="54" t="s">
        <v>1071</v>
      </c>
      <c r="F133" s="54" t="s">
        <v>890</v>
      </c>
      <c r="G133" s="54" t="s">
        <v>891</v>
      </c>
      <c r="H133" s="55" t="s">
        <v>1074</v>
      </c>
      <c r="I133" s="49" t="s">
        <v>885</v>
      </c>
    </row>
    <row r="134" spans="2:9" ht="30" hidden="1" customHeight="1">
      <c r="B134" s="54" t="s">
        <v>60</v>
      </c>
      <c r="C134" s="54" t="s">
        <v>61</v>
      </c>
      <c r="D134" s="54" t="s">
        <v>890</v>
      </c>
      <c r="E134" s="54" t="s">
        <v>891</v>
      </c>
      <c r="F134" s="54" t="s">
        <v>890</v>
      </c>
      <c r="G134" s="54" t="s">
        <v>900</v>
      </c>
      <c r="H134" s="55" t="s">
        <v>901</v>
      </c>
      <c r="I134" s="49" t="s">
        <v>885</v>
      </c>
    </row>
    <row r="135" spans="2:9" ht="30" hidden="1" customHeight="1">
      <c r="B135" s="54" t="s">
        <v>60</v>
      </c>
      <c r="C135" s="54" t="s">
        <v>61</v>
      </c>
      <c r="D135" s="54" t="s">
        <v>890</v>
      </c>
      <c r="E135" s="54" t="s">
        <v>900</v>
      </c>
      <c r="F135" s="54" t="s">
        <v>890</v>
      </c>
      <c r="G135" s="54" t="s">
        <v>891</v>
      </c>
      <c r="H135" s="55" t="s">
        <v>901</v>
      </c>
      <c r="I135" s="49" t="s">
        <v>885</v>
      </c>
    </row>
    <row r="136" spans="2:9" ht="30" hidden="1" customHeight="1">
      <c r="B136" s="54" t="s">
        <v>60</v>
      </c>
      <c r="C136" s="54" t="s">
        <v>61</v>
      </c>
      <c r="D136" s="54" t="s">
        <v>1070</v>
      </c>
      <c r="E136" s="54" t="s">
        <v>1071</v>
      </c>
      <c r="F136" s="54" t="s">
        <v>1070</v>
      </c>
      <c r="G136" s="54" t="s">
        <v>1075</v>
      </c>
      <c r="H136" s="55" t="s">
        <v>1076</v>
      </c>
      <c r="I136" s="49" t="s">
        <v>885</v>
      </c>
    </row>
    <row r="137" spans="2:9" ht="30" hidden="1" customHeight="1">
      <c r="B137" s="54" t="s">
        <v>60</v>
      </c>
      <c r="C137" s="54" t="s">
        <v>61</v>
      </c>
      <c r="D137" s="54" t="s">
        <v>1070</v>
      </c>
      <c r="E137" s="54" t="s">
        <v>1075</v>
      </c>
      <c r="F137" s="54" t="s">
        <v>890</v>
      </c>
      <c r="G137" s="54" t="s">
        <v>1077</v>
      </c>
      <c r="H137" s="55" t="s">
        <v>1078</v>
      </c>
      <c r="I137" s="55" t="s">
        <v>885</v>
      </c>
    </row>
    <row r="138" spans="2:9" ht="30" hidden="1" customHeight="1">
      <c r="B138" s="54" t="s">
        <v>60</v>
      </c>
      <c r="C138" s="54" t="s">
        <v>61</v>
      </c>
      <c r="D138" s="54" t="s">
        <v>1070</v>
      </c>
      <c r="E138" s="54" t="s">
        <v>1071</v>
      </c>
      <c r="F138" s="311" t="s">
        <v>908</v>
      </c>
      <c r="G138" s="311" t="s">
        <v>1079</v>
      </c>
      <c r="H138" s="317" t="s">
        <v>1080</v>
      </c>
      <c r="I138" s="309" t="s">
        <v>893</v>
      </c>
    </row>
    <row r="139" spans="2:9" ht="30" hidden="1" customHeight="1">
      <c r="B139" s="54" t="s">
        <v>60</v>
      </c>
      <c r="C139" s="54" t="s">
        <v>61</v>
      </c>
      <c r="D139" s="54" t="s">
        <v>1070</v>
      </c>
      <c r="E139" s="54" t="s">
        <v>1072</v>
      </c>
      <c r="F139" s="311" t="s">
        <v>913</v>
      </c>
      <c r="G139" s="311" t="s">
        <v>914</v>
      </c>
      <c r="H139" s="317" t="s">
        <v>1081</v>
      </c>
      <c r="I139" s="309" t="s">
        <v>885</v>
      </c>
    </row>
    <row r="140" spans="2:9" ht="30" hidden="1" customHeight="1">
      <c r="B140" s="311" t="s">
        <v>63</v>
      </c>
      <c r="C140" s="311" t="s">
        <v>64</v>
      </c>
      <c r="D140" s="49" t="s">
        <v>1082</v>
      </c>
      <c r="E140" s="311" t="s">
        <v>1083</v>
      </c>
      <c r="F140" s="54" t="s">
        <v>890</v>
      </c>
      <c r="G140" s="311" t="s">
        <v>1084</v>
      </c>
      <c r="H140" s="312" t="s">
        <v>1085</v>
      </c>
      <c r="I140" s="309" t="s">
        <v>885</v>
      </c>
    </row>
    <row r="141" spans="2:9" ht="30" hidden="1" customHeight="1">
      <c r="B141" s="311" t="s">
        <v>63</v>
      </c>
      <c r="C141" s="311" t="s">
        <v>64</v>
      </c>
      <c r="D141" s="311" t="s">
        <v>1082</v>
      </c>
      <c r="E141" s="311" t="s">
        <v>1083</v>
      </c>
      <c r="F141" s="311" t="s">
        <v>1082</v>
      </c>
      <c r="G141" s="311" t="s">
        <v>1086</v>
      </c>
      <c r="H141" s="312" t="s">
        <v>1087</v>
      </c>
      <c r="I141" s="309" t="s">
        <v>885</v>
      </c>
    </row>
    <row r="142" spans="2:9" ht="30" hidden="1" customHeight="1">
      <c r="B142" s="311" t="s">
        <v>63</v>
      </c>
      <c r="C142" s="311" t="s">
        <v>64</v>
      </c>
      <c r="D142" s="311" t="s">
        <v>1082</v>
      </c>
      <c r="E142" s="311" t="s">
        <v>1083</v>
      </c>
      <c r="F142" s="54" t="s">
        <v>890</v>
      </c>
      <c r="G142" s="311" t="s">
        <v>1088</v>
      </c>
      <c r="H142" s="312" t="s">
        <v>1089</v>
      </c>
      <c r="I142" s="309" t="s">
        <v>885</v>
      </c>
    </row>
    <row r="143" spans="2:9" ht="30" hidden="1" customHeight="1">
      <c r="B143" s="311" t="s">
        <v>63</v>
      </c>
      <c r="C143" s="311" t="s">
        <v>64</v>
      </c>
      <c r="D143" s="311" t="s">
        <v>1082</v>
      </c>
      <c r="E143" s="311" t="s">
        <v>1083</v>
      </c>
      <c r="F143" s="54" t="s">
        <v>908</v>
      </c>
      <c r="G143" s="311" t="s">
        <v>64</v>
      </c>
      <c r="H143" s="317" t="s">
        <v>1090</v>
      </c>
      <c r="I143" s="309" t="s">
        <v>893</v>
      </c>
    </row>
    <row r="144" spans="2:9" ht="30" hidden="1" customHeight="1">
      <c r="B144" s="311" t="s">
        <v>63</v>
      </c>
      <c r="C144" s="311" t="s">
        <v>64</v>
      </c>
      <c r="D144" s="311" t="s">
        <v>1082</v>
      </c>
      <c r="E144" s="311" t="s">
        <v>1091</v>
      </c>
      <c r="F144" s="311" t="s">
        <v>1082</v>
      </c>
      <c r="G144" s="311" t="s">
        <v>1092</v>
      </c>
      <c r="H144" s="312" t="s">
        <v>1093</v>
      </c>
      <c r="I144" s="309" t="s">
        <v>885</v>
      </c>
    </row>
    <row r="145" spans="2:9" ht="30" hidden="1" customHeight="1">
      <c r="B145" s="311" t="s">
        <v>63</v>
      </c>
      <c r="C145" s="311" t="s">
        <v>64</v>
      </c>
      <c r="D145" s="49" t="s">
        <v>1082</v>
      </c>
      <c r="E145" s="311" t="s">
        <v>1091</v>
      </c>
      <c r="F145" s="54" t="s">
        <v>890</v>
      </c>
      <c r="G145" s="311" t="s">
        <v>1084</v>
      </c>
      <c r="H145" s="312" t="s">
        <v>1094</v>
      </c>
      <c r="I145" s="309" t="s">
        <v>885</v>
      </c>
    </row>
    <row r="146" spans="2:9" ht="30" hidden="1" customHeight="1">
      <c r="B146" s="311" t="s">
        <v>63</v>
      </c>
      <c r="C146" s="311" t="s">
        <v>64</v>
      </c>
      <c r="D146" s="311" t="s">
        <v>1082</v>
      </c>
      <c r="E146" s="311" t="s">
        <v>1091</v>
      </c>
      <c r="F146" s="54" t="s">
        <v>890</v>
      </c>
      <c r="G146" s="311" t="s">
        <v>1088</v>
      </c>
      <c r="H146" s="312" t="s">
        <v>1095</v>
      </c>
      <c r="I146" s="309" t="s">
        <v>885</v>
      </c>
    </row>
    <row r="147" spans="2:9" ht="30" hidden="1" customHeight="1">
      <c r="B147" s="311" t="s">
        <v>63</v>
      </c>
      <c r="C147" s="311" t="s">
        <v>64</v>
      </c>
      <c r="D147" s="311" t="s">
        <v>1082</v>
      </c>
      <c r="E147" s="311" t="s">
        <v>1091</v>
      </c>
      <c r="F147" s="311" t="s">
        <v>1082</v>
      </c>
      <c r="G147" s="311" t="s">
        <v>1086</v>
      </c>
      <c r="H147" s="312" t="s">
        <v>1096</v>
      </c>
      <c r="I147" s="309" t="s">
        <v>885</v>
      </c>
    </row>
    <row r="148" spans="2:9" ht="30" hidden="1" customHeight="1">
      <c r="B148" s="311" t="s">
        <v>63</v>
      </c>
      <c r="C148" s="311" t="s">
        <v>64</v>
      </c>
      <c r="D148" s="311" t="s">
        <v>1082</v>
      </c>
      <c r="E148" s="311" t="s">
        <v>1091</v>
      </c>
      <c r="F148" s="54" t="s">
        <v>908</v>
      </c>
      <c r="G148" s="311" t="s">
        <v>64</v>
      </c>
      <c r="H148" s="317" t="s">
        <v>1097</v>
      </c>
      <c r="I148" s="309" t="s">
        <v>893</v>
      </c>
    </row>
    <row r="149" spans="2:9" ht="30" hidden="1" customHeight="1">
      <c r="B149" s="311" t="s">
        <v>63</v>
      </c>
      <c r="C149" s="311" t="s">
        <v>64</v>
      </c>
      <c r="D149" s="311" t="s">
        <v>1082</v>
      </c>
      <c r="E149" s="311" t="s">
        <v>1098</v>
      </c>
      <c r="F149" s="311" t="s">
        <v>1082</v>
      </c>
      <c r="G149" s="311" t="s">
        <v>1099</v>
      </c>
      <c r="H149" s="312" t="s">
        <v>1100</v>
      </c>
      <c r="I149" s="309" t="s">
        <v>885</v>
      </c>
    </row>
    <row r="150" spans="2:9" ht="30" hidden="1" customHeight="1">
      <c r="B150" s="311" t="s">
        <v>63</v>
      </c>
      <c r="C150" s="311" t="s">
        <v>64</v>
      </c>
      <c r="D150" s="49" t="s">
        <v>1082</v>
      </c>
      <c r="E150" s="311" t="s">
        <v>1098</v>
      </c>
      <c r="F150" s="54" t="s">
        <v>890</v>
      </c>
      <c r="G150" s="311" t="s">
        <v>1084</v>
      </c>
      <c r="H150" s="312" t="s">
        <v>1101</v>
      </c>
      <c r="I150" s="309" t="s">
        <v>885</v>
      </c>
    </row>
    <row r="151" spans="2:9" ht="30" hidden="1" customHeight="1">
      <c r="B151" s="311" t="s">
        <v>63</v>
      </c>
      <c r="C151" s="311" t="s">
        <v>64</v>
      </c>
      <c r="D151" s="311" t="s">
        <v>1082</v>
      </c>
      <c r="E151" s="311" t="s">
        <v>1098</v>
      </c>
      <c r="F151" s="54" t="s">
        <v>890</v>
      </c>
      <c r="G151" s="311" t="s">
        <v>1088</v>
      </c>
      <c r="H151" s="312" t="s">
        <v>1102</v>
      </c>
      <c r="I151" s="309" t="s">
        <v>885</v>
      </c>
    </row>
    <row r="152" spans="2:9" ht="30" hidden="1" customHeight="1">
      <c r="B152" s="311" t="s">
        <v>63</v>
      </c>
      <c r="C152" s="311" t="s">
        <v>64</v>
      </c>
      <c r="D152" s="311" t="s">
        <v>1082</v>
      </c>
      <c r="E152" s="311" t="s">
        <v>1098</v>
      </c>
      <c r="F152" s="311" t="s">
        <v>1082</v>
      </c>
      <c r="G152" s="311" t="s">
        <v>1103</v>
      </c>
      <c r="H152" s="312" t="s">
        <v>1104</v>
      </c>
      <c r="I152" s="309" t="s">
        <v>885</v>
      </c>
    </row>
    <row r="153" spans="2:9" ht="30" hidden="1" customHeight="1">
      <c r="B153" s="311" t="s">
        <v>63</v>
      </c>
      <c r="C153" s="311" t="s">
        <v>64</v>
      </c>
      <c r="D153" s="311" t="s">
        <v>1082</v>
      </c>
      <c r="E153" s="311" t="s">
        <v>1098</v>
      </c>
      <c r="F153" s="54" t="s">
        <v>908</v>
      </c>
      <c r="G153" s="311" t="s">
        <v>64</v>
      </c>
      <c r="H153" s="317" t="s">
        <v>1105</v>
      </c>
      <c r="I153" s="309" t="s">
        <v>893</v>
      </c>
    </row>
    <row r="154" spans="2:9" ht="30" hidden="1" customHeight="1">
      <c r="B154" s="311" t="s">
        <v>63</v>
      </c>
      <c r="C154" s="311" t="s">
        <v>64</v>
      </c>
      <c r="D154" s="311" t="s">
        <v>1082</v>
      </c>
      <c r="E154" s="311" t="s">
        <v>1106</v>
      </c>
      <c r="F154" s="311" t="s">
        <v>1082</v>
      </c>
      <c r="G154" s="311" t="s">
        <v>1107</v>
      </c>
      <c r="H154" s="312" t="s">
        <v>1108</v>
      </c>
      <c r="I154" s="309" t="s">
        <v>885</v>
      </c>
    </row>
    <row r="155" spans="2:9" ht="30" hidden="1" customHeight="1">
      <c r="B155" s="311" t="s">
        <v>63</v>
      </c>
      <c r="C155" s="311" t="s">
        <v>64</v>
      </c>
      <c r="D155" s="49" t="s">
        <v>1082</v>
      </c>
      <c r="E155" s="311" t="s">
        <v>1106</v>
      </c>
      <c r="F155" s="54" t="s">
        <v>890</v>
      </c>
      <c r="G155" s="311" t="s">
        <v>1084</v>
      </c>
      <c r="H155" s="312" t="s">
        <v>1109</v>
      </c>
      <c r="I155" s="309" t="s">
        <v>885</v>
      </c>
    </row>
    <row r="156" spans="2:9" ht="30" hidden="1" customHeight="1">
      <c r="B156" s="311" t="s">
        <v>63</v>
      </c>
      <c r="C156" s="311" t="s">
        <v>64</v>
      </c>
      <c r="D156" s="311" t="s">
        <v>1082</v>
      </c>
      <c r="E156" s="311" t="s">
        <v>1106</v>
      </c>
      <c r="F156" s="54" t="s">
        <v>890</v>
      </c>
      <c r="G156" s="311" t="s">
        <v>1088</v>
      </c>
      <c r="H156" s="312" t="s">
        <v>1110</v>
      </c>
      <c r="I156" s="309" t="s">
        <v>885</v>
      </c>
    </row>
    <row r="157" spans="2:9" ht="30" hidden="1" customHeight="1">
      <c r="B157" s="311" t="s">
        <v>63</v>
      </c>
      <c r="C157" s="311" t="s">
        <v>64</v>
      </c>
      <c r="D157" s="311" t="s">
        <v>1082</v>
      </c>
      <c r="E157" s="311" t="s">
        <v>1106</v>
      </c>
      <c r="F157" s="311" t="s">
        <v>1082</v>
      </c>
      <c r="G157" s="311" t="s">
        <v>1103</v>
      </c>
      <c r="H157" s="312" t="s">
        <v>1111</v>
      </c>
      <c r="I157" s="309" t="s">
        <v>885</v>
      </c>
    </row>
    <row r="158" spans="2:9" ht="30" hidden="1" customHeight="1">
      <c r="B158" s="311" t="s">
        <v>63</v>
      </c>
      <c r="C158" s="311" t="s">
        <v>64</v>
      </c>
      <c r="D158" s="311" t="s">
        <v>1082</v>
      </c>
      <c r="E158" s="311" t="s">
        <v>1106</v>
      </c>
      <c r="F158" s="54" t="s">
        <v>908</v>
      </c>
      <c r="G158" s="311" t="s">
        <v>64</v>
      </c>
      <c r="H158" s="317" t="s">
        <v>1112</v>
      </c>
      <c r="I158" s="309" t="s">
        <v>893</v>
      </c>
    </row>
    <row r="159" spans="2:9" ht="30" hidden="1" customHeight="1">
      <c r="B159" s="311" t="s">
        <v>63</v>
      </c>
      <c r="C159" s="311" t="s">
        <v>64</v>
      </c>
      <c r="D159" s="49" t="s">
        <v>910</v>
      </c>
      <c r="E159" s="49" t="s">
        <v>911</v>
      </c>
      <c r="F159" s="54" t="s">
        <v>908</v>
      </c>
      <c r="G159" s="311" t="s">
        <v>64</v>
      </c>
      <c r="H159" s="317" t="s">
        <v>1113</v>
      </c>
      <c r="I159" s="53" t="s">
        <v>893</v>
      </c>
    </row>
    <row r="160" spans="2:9" ht="30" hidden="1" customHeight="1">
      <c r="B160" s="311" t="s">
        <v>63</v>
      </c>
      <c r="C160" s="311" t="s">
        <v>64</v>
      </c>
      <c r="D160" s="49" t="s">
        <v>902</v>
      </c>
      <c r="E160" s="49" t="s">
        <v>903</v>
      </c>
      <c r="F160" s="54" t="s">
        <v>908</v>
      </c>
      <c r="G160" s="311" t="s">
        <v>64</v>
      </c>
      <c r="H160" s="317" t="s">
        <v>1114</v>
      </c>
      <c r="I160" s="53" t="s">
        <v>893</v>
      </c>
    </row>
    <row r="161" spans="2:9" ht="30" hidden="1" customHeight="1">
      <c r="B161" s="311" t="s">
        <v>63</v>
      </c>
      <c r="C161" s="311" t="s">
        <v>64</v>
      </c>
      <c r="D161" s="49" t="s">
        <v>902</v>
      </c>
      <c r="E161" s="49" t="s">
        <v>1115</v>
      </c>
      <c r="F161" s="49" t="s">
        <v>902</v>
      </c>
      <c r="G161" s="311" t="s">
        <v>1116</v>
      </c>
      <c r="H161" s="317" t="s">
        <v>1117</v>
      </c>
      <c r="I161" s="311"/>
    </row>
    <row r="162" spans="2:9" ht="30" hidden="1" customHeight="1">
      <c r="B162" s="309" t="s">
        <v>63</v>
      </c>
      <c r="C162" s="309" t="s">
        <v>64</v>
      </c>
      <c r="D162" s="309" t="s">
        <v>902</v>
      </c>
      <c r="E162" s="309" t="s">
        <v>903</v>
      </c>
      <c r="F162" s="309" t="s">
        <v>902</v>
      </c>
      <c r="G162" s="309" t="s">
        <v>904</v>
      </c>
      <c r="H162" s="55" t="s">
        <v>905</v>
      </c>
      <c r="I162" s="53" t="s">
        <v>885</v>
      </c>
    </row>
    <row r="163" spans="2:9" ht="30" hidden="1" customHeight="1">
      <c r="B163" s="309" t="s">
        <v>63</v>
      </c>
      <c r="C163" s="309" t="s">
        <v>64</v>
      </c>
      <c r="D163" s="309" t="s">
        <v>902</v>
      </c>
      <c r="E163" s="309" t="s">
        <v>903</v>
      </c>
      <c r="F163" s="54" t="s">
        <v>890</v>
      </c>
      <c r="G163" s="311" t="s">
        <v>906</v>
      </c>
      <c r="H163" s="312" t="s">
        <v>1118</v>
      </c>
      <c r="I163" s="311"/>
    </row>
    <row r="164" spans="2:9" ht="30" hidden="1" customHeight="1">
      <c r="B164" s="309" t="s">
        <v>63</v>
      </c>
      <c r="C164" s="309" t="s">
        <v>64</v>
      </c>
      <c r="D164" s="311" t="s">
        <v>1082</v>
      </c>
      <c r="E164" s="311" t="s">
        <v>1083</v>
      </c>
      <c r="F164" s="311" t="s">
        <v>908</v>
      </c>
      <c r="G164" s="311" t="s">
        <v>1119</v>
      </c>
      <c r="H164" s="317" t="s">
        <v>1120</v>
      </c>
      <c r="I164" s="53" t="s">
        <v>893</v>
      </c>
    </row>
    <row r="165" spans="2:9" ht="30" hidden="1" customHeight="1">
      <c r="B165" s="309" t="s">
        <v>63</v>
      </c>
      <c r="C165" s="309" t="s">
        <v>64</v>
      </c>
      <c r="D165" s="311" t="s">
        <v>1082</v>
      </c>
      <c r="E165" s="311" t="s">
        <v>1091</v>
      </c>
      <c r="F165" s="311" t="s">
        <v>908</v>
      </c>
      <c r="G165" s="311" t="s">
        <v>1119</v>
      </c>
      <c r="H165" s="317" t="s">
        <v>1121</v>
      </c>
      <c r="I165" s="53" t="s">
        <v>893</v>
      </c>
    </row>
    <row r="166" spans="2:9" ht="30" hidden="1" customHeight="1">
      <c r="B166" s="309" t="s">
        <v>63</v>
      </c>
      <c r="C166" s="309" t="s">
        <v>64</v>
      </c>
      <c r="D166" s="311" t="s">
        <v>1082</v>
      </c>
      <c r="E166" s="311" t="s">
        <v>1122</v>
      </c>
      <c r="F166" s="311" t="s">
        <v>908</v>
      </c>
      <c r="G166" s="311" t="s">
        <v>1119</v>
      </c>
      <c r="H166" s="317" t="s">
        <v>1105</v>
      </c>
      <c r="I166" s="53" t="s">
        <v>893</v>
      </c>
    </row>
    <row r="167" spans="2:9" ht="30" hidden="1" customHeight="1">
      <c r="B167" s="309" t="s">
        <v>63</v>
      </c>
      <c r="C167" s="309" t="s">
        <v>64</v>
      </c>
      <c r="D167" s="311" t="s">
        <v>1082</v>
      </c>
      <c r="E167" s="311" t="s">
        <v>1123</v>
      </c>
      <c r="F167" s="311" t="s">
        <v>908</v>
      </c>
      <c r="G167" s="311" t="s">
        <v>1119</v>
      </c>
      <c r="H167" s="317" t="s">
        <v>1124</v>
      </c>
      <c r="I167" s="53" t="s">
        <v>893</v>
      </c>
    </row>
    <row r="168" spans="2:9" ht="30" hidden="1" customHeight="1">
      <c r="B168" s="309" t="s">
        <v>63</v>
      </c>
      <c r="C168" s="309" t="s">
        <v>64</v>
      </c>
      <c r="D168" s="311" t="s">
        <v>1082</v>
      </c>
      <c r="E168" s="311" t="s">
        <v>1125</v>
      </c>
      <c r="F168" s="311" t="s">
        <v>908</v>
      </c>
      <c r="G168" s="311" t="s">
        <v>1119</v>
      </c>
      <c r="H168" s="317" t="s">
        <v>1126</v>
      </c>
      <c r="I168" s="53" t="s">
        <v>893</v>
      </c>
    </row>
    <row r="169" spans="2:9" ht="30" hidden="1" customHeight="1">
      <c r="B169" s="309" t="s">
        <v>63</v>
      </c>
      <c r="C169" s="309" t="s">
        <v>64</v>
      </c>
      <c r="D169" s="311" t="s">
        <v>1082</v>
      </c>
      <c r="E169" s="311" t="s">
        <v>1106</v>
      </c>
      <c r="F169" s="311" t="s">
        <v>908</v>
      </c>
      <c r="G169" s="311" t="s">
        <v>1119</v>
      </c>
      <c r="H169" s="317" t="s">
        <v>1127</v>
      </c>
      <c r="I169" s="53" t="s">
        <v>893</v>
      </c>
    </row>
    <row r="170" spans="2:9" ht="30" hidden="1" customHeight="1">
      <c r="B170" s="309" t="s">
        <v>63</v>
      </c>
      <c r="C170" s="309" t="s">
        <v>64</v>
      </c>
      <c r="D170" s="311" t="s">
        <v>910</v>
      </c>
      <c r="E170" s="311" t="s">
        <v>911</v>
      </c>
      <c r="F170" s="311" t="s">
        <v>908</v>
      </c>
      <c r="G170" s="311" t="s">
        <v>1119</v>
      </c>
      <c r="H170" s="317" t="s">
        <v>1128</v>
      </c>
      <c r="I170" s="53" t="s">
        <v>893</v>
      </c>
    </row>
    <row r="171" spans="2:9" ht="30" hidden="1" customHeight="1">
      <c r="B171" s="309" t="s">
        <v>63</v>
      </c>
      <c r="C171" s="309" t="s">
        <v>64</v>
      </c>
      <c r="D171" s="311" t="s">
        <v>902</v>
      </c>
      <c r="E171" s="311" t="s">
        <v>942</v>
      </c>
      <c r="F171" s="311" t="s">
        <v>908</v>
      </c>
      <c r="G171" s="311" t="s">
        <v>1119</v>
      </c>
      <c r="H171" s="317" t="s">
        <v>1129</v>
      </c>
      <c r="I171" s="53" t="s">
        <v>893</v>
      </c>
    </row>
    <row r="172" spans="2:9" ht="30" hidden="1" customHeight="1">
      <c r="B172" s="309" t="s">
        <v>63</v>
      </c>
      <c r="C172" s="309" t="s">
        <v>64</v>
      </c>
      <c r="D172" s="309" t="s">
        <v>1082</v>
      </c>
      <c r="E172" s="309" t="s">
        <v>1098</v>
      </c>
      <c r="F172" s="309" t="s">
        <v>1082</v>
      </c>
      <c r="G172" s="309" t="s">
        <v>1130</v>
      </c>
      <c r="H172" s="310" t="s">
        <v>1131</v>
      </c>
      <c r="I172" s="53" t="s">
        <v>885</v>
      </c>
    </row>
    <row r="173" spans="2:9" hidden="1">
      <c r="B173" s="309" t="s">
        <v>908</v>
      </c>
      <c r="C173" s="309" t="s">
        <v>1119</v>
      </c>
      <c r="D173" s="309" t="s">
        <v>1082</v>
      </c>
      <c r="E173" s="309" t="s">
        <v>1098</v>
      </c>
      <c r="F173" s="309" t="s">
        <v>1082</v>
      </c>
      <c r="G173" s="309" t="s">
        <v>1130</v>
      </c>
      <c r="H173" s="310" t="s">
        <v>1131</v>
      </c>
      <c r="I173" s="53" t="s">
        <v>885</v>
      </c>
    </row>
    <row r="174" spans="2:9" ht="33" hidden="1" customHeight="1">
      <c r="B174" s="309" t="s">
        <v>63</v>
      </c>
      <c r="C174" s="309" t="s">
        <v>64</v>
      </c>
      <c r="D174" s="54" t="s">
        <v>890</v>
      </c>
      <c r="E174" s="49" t="s">
        <v>1088</v>
      </c>
      <c r="F174" s="309" t="s">
        <v>913</v>
      </c>
      <c r="G174" s="309" t="s">
        <v>914</v>
      </c>
      <c r="H174" s="310" t="s">
        <v>1132</v>
      </c>
      <c r="I174" s="318" t="s">
        <v>885</v>
      </c>
    </row>
    <row r="175" spans="2:9">
      <c r="B175"/>
      <c r="C175"/>
      <c r="D175"/>
      <c r="E175"/>
      <c r="F175"/>
    </row>
    <row r="176" spans="2:9">
      <c r="B176"/>
      <c r="C176"/>
      <c r="D176"/>
      <c r="E176"/>
      <c r="F176"/>
    </row>
    <row r="177" spans="2:6">
      <c r="B177"/>
      <c r="C177"/>
      <c r="D177"/>
      <c r="E177"/>
      <c r="F177"/>
    </row>
    <row r="178" spans="2:6">
      <c r="B178"/>
      <c r="C178"/>
      <c r="D178"/>
      <c r="E178" s="318"/>
      <c r="F178" s="31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B584"/>
      <c r="C584"/>
      <c r="D584"/>
      <c r="E584"/>
      <c r="F584"/>
    </row>
    <row r="585" spans="2:6">
      <c r="B585"/>
      <c r="C585"/>
      <c r="D585"/>
      <c r="E585"/>
      <c r="F585"/>
    </row>
    <row r="586" spans="2:6">
      <c r="B586"/>
      <c r="C586"/>
      <c r="D586"/>
      <c r="E586"/>
      <c r="F586"/>
    </row>
    <row r="587" spans="2:6">
      <c r="B587"/>
      <c r="C587"/>
      <c r="D587"/>
      <c r="E587"/>
      <c r="F587"/>
    </row>
    <row r="588" spans="2:6">
      <c r="B588"/>
      <c r="C588"/>
      <c r="D588"/>
      <c r="E588"/>
      <c r="F588"/>
    </row>
    <row r="589" spans="2:6">
      <c r="B589"/>
      <c r="C589"/>
      <c r="D589"/>
      <c r="E589"/>
      <c r="F589"/>
    </row>
    <row r="590" spans="2:6">
      <c r="B590"/>
      <c r="C590"/>
      <c r="D590"/>
      <c r="E590"/>
      <c r="F590"/>
    </row>
    <row r="591" spans="2:6">
      <c r="B591"/>
      <c r="C591"/>
      <c r="D591"/>
      <c r="E591"/>
      <c r="F591"/>
    </row>
    <row r="592" spans="2:6">
      <c r="B592"/>
      <c r="C592"/>
      <c r="D592"/>
      <c r="E592"/>
      <c r="F592"/>
    </row>
    <row r="593" spans="2:6">
      <c r="B593"/>
      <c r="C593"/>
      <c r="D593"/>
      <c r="E593"/>
      <c r="F593"/>
    </row>
    <row r="594" spans="2:6">
      <c r="B594"/>
      <c r="C594"/>
      <c r="D594"/>
      <c r="E594"/>
      <c r="F594"/>
    </row>
    <row r="595" spans="2:6">
      <c r="B595"/>
      <c r="C595"/>
      <c r="D595"/>
      <c r="E595"/>
      <c r="F595"/>
    </row>
    <row r="596" spans="2:6">
      <c r="B596"/>
      <c r="C596"/>
      <c r="D596"/>
      <c r="E596"/>
      <c r="F596"/>
    </row>
    <row r="597" spans="2:6">
      <c r="B597"/>
      <c r="C597"/>
      <c r="D597"/>
      <c r="E597"/>
      <c r="F597"/>
    </row>
    <row r="598" spans="2:6">
      <c r="B598"/>
      <c r="C598"/>
      <c r="D598"/>
      <c r="E598"/>
      <c r="F598"/>
    </row>
    <row r="599" spans="2:6">
      <c r="B599"/>
      <c r="C599"/>
      <c r="D599"/>
      <c r="E599"/>
      <c r="F599"/>
    </row>
    <row r="600" spans="2:6">
      <c r="B600"/>
      <c r="C600"/>
      <c r="D600"/>
      <c r="E600"/>
      <c r="F600"/>
    </row>
    <row r="601" spans="2:6">
      <c r="B601"/>
      <c r="C601"/>
      <c r="D601"/>
      <c r="E601"/>
      <c r="F601"/>
    </row>
    <row r="602" spans="2:6">
      <c r="B602"/>
      <c r="C602"/>
      <c r="D602"/>
      <c r="E602"/>
      <c r="F602"/>
    </row>
    <row r="603" spans="2:6">
      <c r="B603"/>
      <c r="C603"/>
      <c r="D603"/>
      <c r="E603"/>
      <c r="F603"/>
    </row>
    <row r="604" spans="2:6">
      <c r="B604"/>
      <c r="C604"/>
      <c r="D604"/>
      <c r="E604"/>
      <c r="F604"/>
    </row>
    <row r="605" spans="2:6">
      <c r="B605"/>
      <c r="C605"/>
      <c r="D605"/>
      <c r="E605"/>
      <c r="F605"/>
    </row>
    <row r="606" spans="2:6">
      <c r="B606"/>
      <c r="C606"/>
      <c r="D606"/>
      <c r="E606"/>
      <c r="F606"/>
    </row>
    <row r="607" spans="2:6">
      <c r="B607"/>
      <c r="C607"/>
      <c r="D607"/>
      <c r="E607"/>
      <c r="F607"/>
    </row>
    <row r="608" spans="2:6">
      <c r="B608"/>
      <c r="C608"/>
      <c r="D608"/>
      <c r="E608"/>
      <c r="F608"/>
    </row>
    <row r="609" spans="2:6">
      <c r="B609"/>
      <c r="C609"/>
      <c r="D609"/>
      <c r="E609"/>
      <c r="F609"/>
    </row>
    <row r="610" spans="2:6">
      <c r="C610"/>
      <c r="D610"/>
      <c r="E610"/>
      <c r="F610"/>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64"/>
  <sheetViews>
    <sheetView showGridLines="0" workbookViewId="0">
      <selection activeCell="F20" sqref="F20"/>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6" t="s">
        <v>75</v>
      </c>
      <c r="C2" s="56" t="s">
        <v>77</v>
      </c>
      <c r="D2" s="56" t="s">
        <v>1133</v>
      </c>
      <c r="E2" s="56" t="s">
        <v>1134</v>
      </c>
      <c r="F2" s="56" t="s">
        <v>1135</v>
      </c>
      <c r="G2" s="56" t="s">
        <v>1136</v>
      </c>
      <c r="H2" s="56" t="s">
        <v>1137</v>
      </c>
    </row>
    <row r="3" spans="2:8" ht="30" customHeight="1">
      <c r="B3" s="49" t="s">
        <v>4</v>
      </c>
      <c r="C3" s="49" t="s">
        <v>5</v>
      </c>
      <c r="D3" s="49" t="s">
        <v>881</v>
      </c>
      <c r="E3" s="49" t="s">
        <v>882</v>
      </c>
      <c r="F3" s="49" t="s">
        <v>1138</v>
      </c>
      <c r="G3" s="49" t="s">
        <v>1139</v>
      </c>
      <c r="H3" s="75" t="s">
        <v>1140</v>
      </c>
    </row>
    <row r="4" spans="2:8" ht="30" customHeight="1">
      <c r="B4" s="49" t="s">
        <v>4</v>
      </c>
      <c r="C4" s="49" t="s">
        <v>5</v>
      </c>
      <c r="D4" s="49" t="s">
        <v>902</v>
      </c>
      <c r="E4" s="54" t="s">
        <v>903</v>
      </c>
      <c r="F4" s="49" t="s">
        <v>1141</v>
      </c>
      <c r="G4" s="49" t="s">
        <v>1142</v>
      </c>
      <c r="H4" s="53" t="s">
        <v>1143</v>
      </c>
    </row>
    <row r="5" spans="2:8" ht="30" customHeight="1">
      <c r="B5" s="49" t="s">
        <v>4</v>
      </c>
      <c r="C5" s="49" t="s">
        <v>5</v>
      </c>
      <c r="D5" s="49" t="s">
        <v>910</v>
      </c>
      <c r="E5" s="49" t="s">
        <v>911</v>
      </c>
      <c r="F5" s="53" t="s">
        <v>1144</v>
      </c>
      <c r="G5" s="53" t="s">
        <v>1145</v>
      </c>
      <c r="H5" s="53" t="s">
        <v>1146</v>
      </c>
    </row>
    <row r="6" spans="2:8" ht="30" customHeight="1">
      <c r="B6" s="49" t="s">
        <v>9</v>
      </c>
      <c r="C6" s="49" t="s">
        <v>10</v>
      </c>
      <c r="D6" s="49" t="s">
        <v>924</v>
      </c>
      <c r="E6" s="49" t="s">
        <v>925</v>
      </c>
      <c r="F6" s="49" t="s">
        <v>1147</v>
      </c>
      <c r="G6" s="53" t="s">
        <v>1148</v>
      </c>
      <c r="H6" s="53" t="s">
        <v>1149</v>
      </c>
    </row>
    <row r="7" spans="2:8" ht="30" customHeight="1">
      <c r="B7" s="49" t="s">
        <v>14</v>
      </c>
      <c r="C7" s="49" t="s">
        <v>1150</v>
      </c>
      <c r="D7" s="53" t="s">
        <v>937</v>
      </c>
      <c r="E7" s="53" t="s">
        <v>941</v>
      </c>
      <c r="F7" s="53" t="s">
        <v>1151</v>
      </c>
      <c r="G7" s="53" t="s">
        <v>1152</v>
      </c>
      <c r="H7" s="53" t="s">
        <v>1153</v>
      </c>
    </row>
    <row r="8" spans="2:8" ht="30" customHeight="1">
      <c r="B8" s="49" t="s">
        <v>14</v>
      </c>
      <c r="C8" s="49" t="s">
        <v>1150</v>
      </c>
      <c r="D8" s="49" t="s">
        <v>902</v>
      </c>
      <c r="E8" s="54" t="s">
        <v>903</v>
      </c>
      <c r="F8" s="49" t="s">
        <v>1154</v>
      </c>
      <c r="G8" s="49" t="s">
        <v>1142</v>
      </c>
      <c r="H8" s="53" t="s">
        <v>1143</v>
      </c>
    </row>
    <row r="9" spans="2:8" ht="30" customHeight="1">
      <c r="B9" s="49" t="s">
        <v>14</v>
      </c>
      <c r="C9" s="49" t="s">
        <v>1150</v>
      </c>
      <c r="D9" s="53" t="s">
        <v>937</v>
      </c>
      <c r="E9" s="54" t="s">
        <v>938</v>
      </c>
      <c r="F9" s="49" t="s">
        <v>1155</v>
      </c>
      <c r="G9" s="49" t="s">
        <v>1156</v>
      </c>
      <c r="H9" s="53" t="s">
        <v>1157</v>
      </c>
    </row>
    <row r="10" spans="2:8" ht="30" customHeight="1">
      <c r="B10" s="49" t="s">
        <v>14</v>
      </c>
      <c r="C10" s="311" t="s">
        <v>1158</v>
      </c>
      <c r="D10" s="53" t="s">
        <v>937</v>
      </c>
      <c r="E10" s="49" t="s">
        <v>938</v>
      </c>
      <c r="F10" s="49" t="s">
        <v>1155</v>
      </c>
      <c r="G10" s="49" t="s">
        <v>1156</v>
      </c>
      <c r="H10" s="53" t="s">
        <v>1157</v>
      </c>
    </row>
    <row r="11" spans="2:8" ht="30" customHeight="1">
      <c r="B11" s="49" t="s">
        <v>21</v>
      </c>
      <c r="C11" s="49" t="s">
        <v>950</v>
      </c>
      <c r="D11" s="49" t="s">
        <v>951</v>
      </c>
      <c r="E11" s="49" t="s">
        <v>952</v>
      </c>
      <c r="F11" s="49" t="s">
        <v>1159</v>
      </c>
      <c r="G11" s="49" t="s">
        <v>124</v>
      </c>
      <c r="H11" s="49" t="s">
        <v>124</v>
      </c>
    </row>
    <row r="12" spans="2:8" ht="30" customHeight="1">
      <c r="B12" s="54" t="s">
        <v>26</v>
      </c>
      <c r="C12" s="54" t="s">
        <v>27</v>
      </c>
      <c r="D12" s="49" t="s">
        <v>953</v>
      </c>
      <c r="E12" s="49" t="s">
        <v>954</v>
      </c>
      <c r="F12" s="53" t="s">
        <v>1160</v>
      </c>
      <c r="G12" s="53" t="s">
        <v>1161</v>
      </c>
      <c r="H12" s="53" t="s">
        <v>1162</v>
      </c>
    </row>
    <row r="13" spans="2:8" ht="30" customHeight="1">
      <c r="B13" s="54" t="s">
        <v>26</v>
      </c>
      <c r="C13" s="54" t="s">
        <v>29</v>
      </c>
      <c r="D13" s="49" t="s">
        <v>953</v>
      </c>
      <c r="E13" s="49" t="s">
        <v>957</v>
      </c>
      <c r="F13" s="53" t="s">
        <v>1163</v>
      </c>
      <c r="G13" s="53" t="s">
        <v>1164</v>
      </c>
      <c r="H13" s="49" t="s">
        <v>124</v>
      </c>
    </row>
    <row r="14" spans="2:8" ht="30" customHeight="1">
      <c r="B14" s="54" t="s">
        <v>26</v>
      </c>
      <c r="C14" s="54" t="s">
        <v>31</v>
      </c>
      <c r="D14" s="49" t="s">
        <v>902</v>
      </c>
      <c r="E14" s="54" t="s">
        <v>903</v>
      </c>
      <c r="F14" s="49" t="s">
        <v>1154</v>
      </c>
      <c r="G14" s="49" t="s">
        <v>1142</v>
      </c>
      <c r="H14" s="53" t="s">
        <v>1143</v>
      </c>
    </row>
    <row r="15" spans="2:8" ht="30" customHeight="1">
      <c r="B15" s="54" t="s">
        <v>26</v>
      </c>
      <c r="C15" s="54" t="s">
        <v>31</v>
      </c>
      <c r="D15" s="54" t="s">
        <v>953</v>
      </c>
      <c r="E15" s="54" t="s">
        <v>957</v>
      </c>
      <c r="F15" s="55" t="s">
        <v>1165</v>
      </c>
      <c r="G15" s="55" t="s">
        <v>1164</v>
      </c>
      <c r="H15" s="54" t="s">
        <v>124</v>
      </c>
    </row>
    <row r="16" spans="2:8" ht="30" customHeight="1">
      <c r="B16" s="54" t="s">
        <v>26</v>
      </c>
      <c r="C16" s="54" t="s">
        <v>31</v>
      </c>
      <c r="D16" s="54" t="s">
        <v>953</v>
      </c>
      <c r="E16" s="54" t="s">
        <v>985</v>
      </c>
      <c r="F16" s="54" t="s">
        <v>1166</v>
      </c>
      <c r="G16" s="55" t="s">
        <v>1167</v>
      </c>
      <c r="H16" s="55" t="s">
        <v>1168</v>
      </c>
    </row>
    <row r="17" spans="2:8" ht="30" customHeight="1">
      <c r="B17" s="54" t="s">
        <v>26</v>
      </c>
      <c r="C17" s="54" t="s">
        <v>31</v>
      </c>
      <c r="D17" s="54" t="s">
        <v>902</v>
      </c>
      <c r="E17" s="54" t="s">
        <v>903</v>
      </c>
      <c r="F17" s="49" t="s">
        <v>1169</v>
      </c>
      <c r="G17" s="49" t="s">
        <v>1142</v>
      </c>
      <c r="H17" s="53" t="s">
        <v>1143</v>
      </c>
    </row>
    <row r="18" spans="2:8" ht="30" customHeight="1">
      <c r="B18" s="54" t="s">
        <v>26</v>
      </c>
      <c r="C18" s="54" t="s">
        <v>31</v>
      </c>
      <c r="D18" s="54" t="s">
        <v>910</v>
      </c>
      <c r="E18" s="54" t="s">
        <v>911</v>
      </c>
      <c r="F18" s="55" t="s">
        <v>1170</v>
      </c>
      <c r="G18" s="55" t="s">
        <v>1145</v>
      </c>
      <c r="H18" s="55" t="s">
        <v>1146</v>
      </c>
    </row>
    <row r="19" spans="2:8" ht="30" customHeight="1">
      <c r="B19" s="54" t="s">
        <v>33</v>
      </c>
      <c r="C19" s="54" t="s">
        <v>34</v>
      </c>
      <c r="D19" s="54" t="s">
        <v>910</v>
      </c>
      <c r="E19" s="54" t="s">
        <v>911</v>
      </c>
      <c r="F19" s="54" t="s">
        <v>1171</v>
      </c>
      <c r="G19" s="55" t="s">
        <v>1172</v>
      </c>
      <c r="H19" s="272" t="s">
        <v>1173</v>
      </c>
    </row>
    <row r="20" spans="2:8" ht="30" customHeight="1">
      <c r="B20" s="54" t="s">
        <v>33</v>
      </c>
      <c r="C20" s="54" t="s">
        <v>34</v>
      </c>
      <c r="D20" s="54" t="s">
        <v>902</v>
      </c>
      <c r="E20" s="54" t="s">
        <v>903</v>
      </c>
      <c r="F20" s="54" t="s">
        <v>1154</v>
      </c>
      <c r="G20" s="54" t="s">
        <v>1142</v>
      </c>
      <c r="H20" s="55" t="s">
        <v>1143</v>
      </c>
    </row>
    <row r="21" spans="2:8" ht="30" customHeight="1">
      <c r="B21" s="54" t="s">
        <v>36</v>
      </c>
      <c r="C21" s="54" t="s">
        <v>37</v>
      </c>
      <c r="D21" s="54" t="s">
        <v>953</v>
      </c>
      <c r="E21" s="54" t="s">
        <v>957</v>
      </c>
      <c r="F21" s="311" t="s">
        <v>1174</v>
      </c>
      <c r="G21" s="311" t="s">
        <v>1175</v>
      </c>
      <c r="H21" s="311" t="s">
        <v>1175</v>
      </c>
    </row>
    <row r="22" spans="2:8" ht="30" customHeight="1">
      <c r="B22" s="54" t="s">
        <v>36</v>
      </c>
      <c r="C22" s="54" t="s">
        <v>37</v>
      </c>
      <c r="D22" s="54" t="s">
        <v>953</v>
      </c>
      <c r="E22" s="54" t="s">
        <v>954</v>
      </c>
      <c r="F22" s="55" t="s">
        <v>1176</v>
      </c>
      <c r="G22" s="55" t="s">
        <v>1161</v>
      </c>
      <c r="H22" s="55" t="s">
        <v>1162</v>
      </c>
    </row>
    <row r="23" spans="2:8" ht="30" customHeight="1">
      <c r="B23" s="54" t="s">
        <v>36</v>
      </c>
      <c r="C23" s="54" t="s">
        <v>39</v>
      </c>
      <c r="D23" s="54" t="s">
        <v>953</v>
      </c>
      <c r="E23" s="54" t="s">
        <v>957</v>
      </c>
      <c r="F23" s="55" t="s">
        <v>1177</v>
      </c>
      <c r="G23" s="55" t="s">
        <v>1164</v>
      </c>
      <c r="H23" s="54" t="s">
        <v>124</v>
      </c>
    </row>
    <row r="24" spans="2:8" ht="30" customHeight="1">
      <c r="B24" s="54" t="s">
        <v>41</v>
      </c>
      <c r="C24" s="54" t="s">
        <v>44</v>
      </c>
      <c r="D24" s="54" t="s">
        <v>1018</v>
      </c>
      <c r="E24" s="54" t="s">
        <v>1019</v>
      </c>
      <c r="F24" s="54" t="s">
        <v>1178</v>
      </c>
      <c r="G24" s="54" t="s">
        <v>1179</v>
      </c>
      <c r="H24" s="55" t="s">
        <v>1180</v>
      </c>
    </row>
    <row r="25" spans="2:8" ht="30" customHeight="1">
      <c r="B25" s="54" t="s">
        <v>1181</v>
      </c>
      <c r="C25" s="54" t="s">
        <v>47</v>
      </c>
      <c r="D25" s="54" t="s">
        <v>910</v>
      </c>
      <c r="E25" s="54" t="s">
        <v>911</v>
      </c>
      <c r="F25" s="54" t="s">
        <v>1182</v>
      </c>
      <c r="G25" s="55" t="s">
        <v>1183</v>
      </c>
      <c r="H25" s="55" t="s">
        <v>1184</v>
      </c>
    </row>
    <row r="26" spans="2:8" ht="30" customHeight="1">
      <c r="B26" s="54" t="s">
        <v>52</v>
      </c>
      <c r="C26" s="54" t="s">
        <v>53</v>
      </c>
      <c r="D26" s="54" t="s">
        <v>910</v>
      </c>
      <c r="E26" s="54" t="s">
        <v>911</v>
      </c>
      <c r="F26" s="54" t="s">
        <v>1185</v>
      </c>
      <c r="G26" s="272" t="s">
        <v>1186</v>
      </c>
      <c r="H26" s="272" t="s">
        <v>1187</v>
      </c>
    </row>
    <row r="27" spans="2:8" ht="30" customHeight="1">
      <c r="B27" s="54" t="s">
        <v>52</v>
      </c>
      <c r="C27" s="54" t="s">
        <v>53</v>
      </c>
      <c r="D27" s="54" t="s">
        <v>902</v>
      </c>
      <c r="E27" s="54" t="s">
        <v>903</v>
      </c>
      <c r="F27" s="49" t="s">
        <v>1154</v>
      </c>
      <c r="G27" s="49"/>
      <c r="H27" s="53" t="s">
        <v>1143</v>
      </c>
    </row>
    <row r="28" spans="2:8" ht="30" customHeight="1">
      <c r="B28" s="54" t="s">
        <v>55</v>
      </c>
      <c r="C28" s="54" t="s">
        <v>56</v>
      </c>
      <c r="D28" s="54" t="s">
        <v>953</v>
      </c>
      <c r="E28" s="54" t="s">
        <v>957</v>
      </c>
      <c r="F28" s="309" t="s">
        <v>1174</v>
      </c>
      <c r="G28" s="309" t="s">
        <v>1175</v>
      </c>
      <c r="H28" s="309" t="s">
        <v>1175</v>
      </c>
    </row>
    <row r="29" spans="2:8" ht="30" customHeight="1">
      <c r="B29" s="54" t="s">
        <v>55</v>
      </c>
      <c r="C29" s="54" t="s">
        <v>56</v>
      </c>
      <c r="D29" s="49" t="s">
        <v>953</v>
      </c>
      <c r="E29" s="49" t="s">
        <v>954</v>
      </c>
      <c r="F29" s="53" t="s">
        <v>1188</v>
      </c>
      <c r="G29" s="53" t="s">
        <v>1161</v>
      </c>
      <c r="H29" s="53" t="s">
        <v>1162</v>
      </c>
    </row>
    <row r="30" spans="2:8" ht="30" customHeight="1">
      <c r="B30" s="54" t="s">
        <v>55</v>
      </c>
      <c r="C30" s="54" t="s">
        <v>58</v>
      </c>
      <c r="D30" s="49" t="s">
        <v>953</v>
      </c>
      <c r="E30" s="49" t="s">
        <v>957</v>
      </c>
      <c r="F30" s="53" t="s">
        <v>1189</v>
      </c>
      <c r="G30" s="53" t="s">
        <v>1164</v>
      </c>
      <c r="H30" s="49" t="s">
        <v>124</v>
      </c>
    </row>
    <row r="31" spans="2:8" ht="30" customHeight="1">
      <c r="B31" s="54" t="s">
        <v>60</v>
      </c>
      <c r="C31" s="54" t="s">
        <v>61</v>
      </c>
      <c r="D31" s="54" t="s">
        <v>1070</v>
      </c>
      <c r="E31" s="54" t="s">
        <v>1071</v>
      </c>
      <c r="F31" s="54" t="s">
        <v>1190</v>
      </c>
      <c r="G31" s="54" t="s">
        <v>1139</v>
      </c>
      <c r="H31" s="55" t="s">
        <v>1191</v>
      </c>
    </row>
    <row r="32" spans="2:8" ht="30" customHeight="1">
      <c r="B32" s="54" t="s">
        <v>63</v>
      </c>
      <c r="C32" s="54" t="s">
        <v>64</v>
      </c>
      <c r="D32" s="54" t="s">
        <v>1082</v>
      </c>
      <c r="E32" s="54" t="s">
        <v>1083</v>
      </c>
      <c r="F32" s="54" t="s">
        <v>1192</v>
      </c>
      <c r="G32" s="54" t="s">
        <v>124</v>
      </c>
      <c r="H32" s="54" t="s">
        <v>124</v>
      </c>
    </row>
    <row r="33" spans="2:8" ht="30" customHeight="1">
      <c r="B33" s="54" t="s">
        <v>63</v>
      </c>
      <c r="C33" s="54" t="s">
        <v>64</v>
      </c>
      <c r="D33" s="54" t="s">
        <v>1082</v>
      </c>
      <c r="E33" s="54" t="s">
        <v>1091</v>
      </c>
      <c r="F33" s="54" t="s">
        <v>1193</v>
      </c>
      <c r="G33" s="54" t="s">
        <v>124</v>
      </c>
      <c r="H33" s="54" t="s">
        <v>124</v>
      </c>
    </row>
    <row r="34" spans="2:8" ht="30" customHeight="1">
      <c r="B34" s="54" t="s">
        <v>63</v>
      </c>
      <c r="C34" s="54" t="s">
        <v>64</v>
      </c>
      <c r="D34" s="54" t="s">
        <v>1082</v>
      </c>
      <c r="E34" s="54" t="s">
        <v>1098</v>
      </c>
      <c r="F34" s="54" t="s">
        <v>1194</v>
      </c>
      <c r="G34" s="54" t="s">
        <v>124</v>
      </c>
      <c r="H34" s="54" t="s">
        <v>124</v>
      </c>
    </row>
    <row r="35" spans="2:8" ht="30" customHeight="1">
      <c r="B35" s="54" t="s">
        <v>49</v>
      </c>
      <c r="C35" s="54" t="s">
        <v>50</v>
      </c>
      <c r="D35" s="54" t="s">
        <v>910</v>
      </c>
      <c r="E35" s="54" t="s">
        <v>911</v>
      </c>
      <c r="F35" s="54" t="s">
        <v>1195</v>
      </c>
      <c r="G35" s="55" t="s">
        <v>1196</v>
      </c>
      <c r="H35" s="55" t="s">
        <v>1197</v>
      </c>
    </row>
    <row r="36" spans="2:8" ht="30" customHeight="1">
      <c r="B36" s="54" t="s">
        <v>63</v>
      </c>
      <c r="C36" s="54" t="s">
        <v>64</v>
      </c>
      <c r="D36" s="54" t="s">
        <v>1082</v>
      </c>
      <c r="E36" s="54" t="s">
        <v>1106</v>
      </c>
      <c r="F36" s="54" t="s">
        <v>1198</v>
      </c>
      <c r="G36" s="54" t="s">
        <v>124</v>
      </c>
      <c r="H36" s="54" t="s">
        <v>124</v>
      </c>
    </row>
    <row r="37" spans="2:8">
      <c r="B37" s="48"/>
      <c r="C37" s="48"/>
      <c r="D37" s="48"/>
      <c r="E37" s="48"/>
      <c r="F37" s="48"/>
      <c r="G37" s="97"/>
      <c r="H37" s="97"/>
    </row>
    <row r="38" spans="2:8">
      <c r="B38"/>
      <c r="C38"/>
    </row>
    <row r="39" spans="2:8">
      <c r="B39"/>
      <c r="C39"/>
    </row>
    <row r="40" spans="2:8">
      <c r="B40"/>
      <c r="C40"/>
    </row>
    <row r="41" spans="2:8">
      <c r="B41"/>
      <c r="C41"/>
    </row>
    <row r="42" spans="2:8">
      <c r="B42"/>
      <c r="C42"/>
    </row>
    <row r="43" spans="2:8">
      <c r="B43"/>
      <c r="C43"/>
    </row>
    <row r="44" spans="2:8">
      <c r="B44"/>
      <c r="C44"/>
    </row>
    <row r="45" spans="2:8">
      <c r="B45"/>
      <c r="C45"/>
    </row>
    <row r="46" spans="2:8">
      <c r="B46"/>
      <c r="C46"/>
    </row>
    <row r="47" spans="2:8">
      <c r="B47"/>
      <c r="C47"/>
    </row>
    <row r="48" spans="2:8">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7" workbookViewId="0">
      <selection activeCell="D19" sqref="D19"/>
    </sheetView>
  </sheetViews>
  <sheetFormatPr defaultRowHeight="14.45"/>
  <cols>
    <col min="2" max="2" width="14" style="77" customWidth="1"/>
    <col min="3" max="3" width="35.42578125" customWidth="1"/>
    <col min="4" max="4" width="40.140625" style="47" customWidth="1"/>
    <col min="5" max="5" width="42.7109375" customWidth="1"/>
  </cols>
  <sheetData>
    <row r="1" spans="2:5" ht="45.75" customHeight="1"/>
    <row r="2" spans="2:5" ht="39.75" customHeight="1">
      <c r="B2" s="83" t="s">
        <v>1199</v>
      </c>
      <c r="C2" s="82" t="s">
        <v>1200</v>
      </c>
      <c r="D2" s="82" t="s">
        <v>1201</v>
      </c>
      <c r="E2" s="87" t="s">
        <v>1202</v>
      </c>
    </row>
    <row r="3" spans="2:5" ht="39.75" customHeight="1">
      <c r="B3" s="84">
        <v>1</v>
      </c>
      <c r="C3" s="78" t="s">
        <v>1203</v>
      </c>
      <c r="D3" s="80" t="s">
        <v>1204</v>
      </c>
      <c r="E3" s="88"/>
    </row>
    <row r="4" spans="2:5" ht="39.75" customHeight="1">
      <c r="B4" s="84">
        <v>2</v>
      </c>
      <c r="C4" s="78" t="s">
        <v>1205</v>
      </c>
      <c r="D4" s="80" t="s">
        <v>1206</v>
      </c>
      <c r="E4" s="88"/>
    </row>
    <row r="5" spans="2:5" ht="39.75" customHeight="1">
      <c r="B5" s="84">
        <v>3</v>
      </c>
      <c r="C5" s="78" t="s">
        <v>1207</v>
      </c>
      <c r="D5" s="80" t="s">
        <v>1208</v>
      </c>
      <c r="E5" s="88"/>
    </row>
    <row r="6" spans="2:5" ht="39.75" customHeight="1">
      <c r="B6" s="84">
        <v>4</v>
      </c>
      <c r="C6" s="80" t="s">
        <v>1209</v>
      </c>
      <c r="D6" s="80" t="s">
        <v>1210</v>
      </c>
      <c r="E6" s="88"/>
    </row>
    <row r="7" spans="2:5" ht="39.75" customHeight="1">
      <c r="B7" s="85">
        <v>5</v>
      </c>
      <c r="C7" s="80" t="s">
        <v>1211</v>
      </c>
      <c r="D7" s="80" t="s">
        <v>1210</v>
      </c>
      <c r="E7" s="88"/>
    </row>
    <row r="8" spans="2:5" ht="39.75" customHeight="1">
      <c r="B8" s="85">
        <v>6</v>
      </c>
      <c r="C8" s="80" t="s">
        <v>1212</v>
      </c>
      <c r="D8" s="80" t="s">
        <v>1213</v>
      </c>
      <c r="E8" s="192" t="s">
        <v>1214</v>
      </c>
    </row>
    <row r="9" spans="2:5" ht="39.75" customHeight="1">
      <c r="B9" s="85">
        <v>7</v>
      </c>
      <c r="C9" s="78" t="s">
        <v>1215</v>
      </c>
      <c r="D9" s="80" t="s">
        <v>1216</v>
      </c>
      <c r="E9" s="88" t="s">
        <v>1217</v>
      </c>
    </row>
    <row r="10" spans="2:5" ht="39.75" customHeight="1">
      <c r="B10" s="84">
        <v>8</v>
      </c>
      <c r="C10" s="78" t="s">
        <v>1218</v>
      </c>
      <c r="D10" s="80" t="s">
        <v>1219</v>
      </c>
      <c r="E10" s="88"/>
    </row>
    <row r="11" spans="2:5" ht="39.75" customHeight="1">
      <c r="B11" s="85">
        <v>9</v>
      </c>
      <c r="C11" s="78" t="s">
        <v>1220</v>
      </c>
      <c r="D11" s="80" t="s">
        <v>1221</v>
      </c>
      <c r="E11" s="88"/>
    </row>
    <row r="12" spans="2:5" ht="39.75" customHeight="1">
      <c r="B12" s="84">
        <v>10</v>
      </c>
      <c r="C12" s="80" t="s">
        <v>1222</v>
      </c>
      <c r="D12" s="80" t="s">
        <v>1223</v>
      </c>
      <c r="E12" s="88"/>
    </row>
    <row r="13" spans="2:5" ht="39.75" customHeight="1">
      <c r="B13" s="85">
        <v>11</v>
      </c>
      <c r="C13" s="78" t="s">
        <v>1224</v>
      </c>
      <c r="D13" s="80" t="s">
        <v>1225</v>
      </c>
      <c r="E13" s="88"/>
    </row>
    <row r="14" spans="2:5" ht="39.75" customHeight="1">
      <c r="B14" s="85">
        <v>12</v>
      </c>
      <c r="C14" s="78" t="s">
        <v>1226</v>
      </c>
      <c r="D14" s="80" t="s">
        <v>1227</v>
      </c>
      <c r="E14" s="88"/>
    </row>
    <row r="15" spans="2:5" ht="39.75" customHeight="1">
      <c r="B15" s="85">
        <v>13</v>
      </c>
      <c r="C15" s="78" t="s">
        <v>1228</v>
      </c>
      <c r="D15" s="80" t="s">
        <v>1229</v>
      </c>
      <c r="E15" s="88"/>
    </row>
    <row r="16" spans="2:5" ht="39.75" customHeight="1">
      <c r="B16" s="86">
        <v>14</v>
      </c>
      <c r="C16" s="81" t="s">
        <v>1230</v>
      </c>
      <c r="D16" s="80" t="s">
        <v>1231</v>
      </c>
      <c r="E16" s="88"/>
    </row>
    <row r="17" spans="2:5" ht="39.75" customHeight="1">
      <c r="B17" s="85">
        <v>15</v>
      </c>
      <c r="C17" s="78" t="s">
        <v>1232</v>
      </c>
      <c r="D17" s="80" t="s">
        <v>1233</v>
      </c>
      <c r="E17" s="88"/>
    </row>
    <row r="18" spans="2:5" ht="39.75" customHeight="1">
      <c r="B18" s="85">
        <v>16</v>
      </c>
      <c r="C18" s="78" t="s">
        <v>1234</v>
      </c>
      <c r="D18" s="80" t="s">
        <v>1235</v>
      </c>
      <c r="E18" s="88"/>
    </row>
    <row r="19" spans="2:5" ht="39.75" customHeight="1">
      <c r="B19" s="85">
        <v>17</v>
      </c>
      <c r="C19" s="78" t="s">
        <v>1236</v>
      </c>
      <c r="D19" s="80" t="s">
        <v>1237</v>
      </c>
      <c r="E19" s="88"/>
    </row>
    <row r="20" spans="2:5" ht="39.75" customHeight="1">
      <c r="B20" s="86">
        <v>18</v>
      </c>
      <c r="C20" s="81" t="s">
        <v>1238</v>
      </c>
      <c r="D20" s="79" t="s">
        <v>1239</v>
      </c>
      <c r="E20" s="89"/>
    </row>
    <row r="21" spans="2:5" ht="39.75" customHeight="1">
      <c r="B21" s="86">
        <v>19</v>
      </c>
      <c r="C21" s="81" t="s">
        <v>1240</v>
      </c>
      <c r="D21" s="79" t="s">
        <v>1241</v>
      </c>
      <c r="E21" s="89" t="s">
        <v>1242</v>
      </c>
    </row>
    <row r="22" spans="2:5" ht="39.75" customHeight="1">
      <c r="B22" s="85">
        <v>20</v>
      </c>
      <c r="C22" s="78" t="s">
        <v>1243</v>
      </c>
      <c r="D22" s="80" t="s">
        <v>1244</v>
      </c>
      <c r="E22" s="88" t="s">
        <v>1245</v>
      </c>
    </row>
    <row r="23" spans="2:5" ht="39.75" customHeight="1">
      <c r="B23" s="86">
        <v>21</v>
      </c>
      <c r="C23" s="81" t="s">
        <v>1246</v>
      </c>
      <c r="D23" s="79" t="s">
        <v>1247</v>
      </c>
      <c r="E23" s="89" t="s">
        <v>1248</v>
      </c>
    </row>
  </sheetData>
  <conditionalFormatting sqref="D3:D23">
    <cfRule type="cellIs" dxfId="1117"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D36"/>
  <sheetViews>
    <sheetView showGridLines="0" topLeftCell="D1" workbookViewId="0">
      <selection activeCell="I26" sqref="I2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30.7109375" bestFit="1" customWidth="1"/>
    <col min="30" max="30" width="35.7109375" customWidth="1"/>
  </cols>
  <sheetData>
    <row r="1" spans="2:28" ht="27.75" customHeight="1"/>
    <row r="2" spans="2:28">
      <c r="B2" s="77" t="s">
        <v>1249</v>
      </c>
      <c r="C2" s="77" t="s">
        <v>1250</v>
      </c>
      <c r="D2" s="77" t="s">
        <v>1251</v>
      </c>
      <c r="E2" s="77" t="s">
        <v>1252</v>
      </c>
      <c r="F2" s="77" t="s">
        <v>1253</v>
      </c>
      <c r="G2" s="77" t="s">
        <v>1254</v>
      </c>
      <c r="H2" s="77" t="s">
        <v>1255</v>
      </c>
      <c r="I2" s="77" t="s">
        <v>103</v>
      </c>
      <c r="J2" s="77" t="s">
        <v>134</v>
      </c>
      <c r="K2" s="77" t="s">
        <v>155</v>
      </c>
      <c r="L2" s="77" t="s">
        <v>162</v>
      </c>
      <c r="M2" s="77" t="s">
        <v>190</v>
      </c>
      <c r="N2" s="77" t="s">
        <v>176</v>
      </c>
      <c r="O2" s="77" t="s">
        <v>203</v>
      </c>
      <c r="P2" s="77" t="s">
        <v>289</v>
      </c>
      <c r="Q2" s="77" t="s">
        <v>299</v>
      </c>
      <c r="R2" s="77" t="s">
        <v>314</v>
      </c>
      <c r="S2" s="77" t="s">
        <v>389</v>
      </c>
      <c r="T2" s="77" t="s">
        <v>331</v>
      </c>
      <c r="U2" s="77" t="s">
        <v>349</v>
      </c>
      <c r="V2" s="77" t="s">
        <v>468</v>
      </c>
      <c r="W2" s="77" t="s">
        <v>482</v>
      </c>
      <c r="X2" s="77" t="s">
        <v>669</v>
      </c>
      <c r="Y2" s="77" t="s">
        <v>678</v>
      </c>
      <c r="Z2" s="77" t="s">
        <v>214</v>
      </c>
      <c r="AA2" s="77" t="s">
        <v>234</v>
      </c>
      <c r="AB2" s="77" t="s">
        <v>253</v>
      </c>
    </row>
    <row r="3" spans="2:28">
      <c r="B3" s="48" t="s">
        <v>1203</v>
      </c>
      <c r="C3" s="48">
        <v>1</v>
      </c>
      <c r="D3" s="48" t="s">
        <v>1256</v>
      </c>
      <c r="E3" s="95">
        <v>45439</v>
      </c>
      <c r="F3" s="48">
        <v>2</v>
      </c>
      <c r="G3" s="207">
        <v>1</v>
      </c>
      <c r="H3" s="48">
        <v>21676</v>
      </c>
      <c r="I3" s="48" t="s">
        <v>1257</v>
      </c>
      <c r="J3" s="48" t="s">
        <v>1257</v>
      </c>
      <c r="K3" s="48" t="s">
        <v>1257</v>
      </c>
      <c r="L3" s="48" t="s">
        <v>1257</v>
      </c>
      <c r="M3" s="48" t="s">
        <v>1257</v>
      </c>
      <c r="N3" s="48" t="s">
        <v>1257</v>
      </c>
      <c r="O3" s="48" t="s">
        <v>1257</v>
      </c>
      <c r="P3" s="48" t="s">
        <v>1257</v>
      </c>
      <c r="Q3" s="48" t="s">
        <v>1257</v>
      </c>
      <c r="R3" s="48" t="s">
        <v>1257</v>
      </c>
      <c r="S3" s="48" t="s">
        <v>1257</v>
      </c>
      <c r="T3" s="48" t="s">
        <v>1257</v>
      </c>
      <c r="U3" s="48" t="s">
        <v>1257</v>
      </c>
      <c r="V3" s="48" t="s">
        <v>1257</v>
      </c>
      <c r="W3" s="48" t="s">
        <v>1257</v>
      </c>
      <c r="X3" s="48" t="s">
        <v>1257</v>
      </c>
      <c r="Y3" s="48" t="s">
        <v>1257</v>
      </c>
      <c r="Z3" s="48" t="s">
        <v>1257</v>
      </c>
      <c r="AA3" s="48" t="s">
        <v>1257</v>
      </c>
      <c r="AB3" s="48" t="s">
        <v>1257</v>
      </c>
    </row>
    <row r="4" spans="2:28">
      <c r="B4" s="48" t="s">
        <v>1205</v>
      </c>
      <c r="C4" s="48">
        <v>2</v>
      </c>
      <c r="D4" s="48" t="s">
        <v>1258</v>
      </c>
      <c r="E4" s="95">
        <v>45439</v>
      </c>
      <c r="F4" s="48">
        <v>2</v>
      </c>
      <c r="G4" s="207">
        <v>1</v>
      </c>
      <c r="H4" s="48">
        <v>0</v>
      </c>
      <c r="I4" s="48" t="s">
        <v>1257</v>
      </c>
      <c r="J4" s="48" t="s">
        <v>1257</v>
      </c>
      <c r="K4" s="48" t="s">
        <v>1257</v>
      </c>
      <c r="L4" s="48" t="s">
        <v>1257</v>
      </c>
      <c r="M4" s="48" t="s">
        <v>1257</v>
      </c>
      <c r="N4" s="48" t="s">
        <v>1257</v>
      </c>
      <c r="O4" s="48" t="s">
        <v>1257</v>
      </c>
      <c r="P4" s="48" t="s">
        <v>1257</v>
      </c>
      <c r="Q4" s="48" t="s">
        <v>1257</v>
      </c>
      <c r="R4" s="48" t="s">
        <v>1257</v>
      </c>
      <c r="S4" s="48" t="s">
        <v>1257</v>
      </c>
      <c r="T4" s="48" t="s">
        <v>1257</v>
      </c>
      <c r="U4" s="48" t="s">
        <v>1257</v>
      </c>
      <c r="V4" s="48" t="s">
        <v>1257</v>
      </c>
      <c r="W4" s="48" t="s">
        <v>1257</v>
      </c>
      <c r="X4" s="48" t="s">
        <v>1257</v>
      </c>
      <c r="Y4" s="48" t="s">
        <v>1257</v>
      </c>
      <c r="Z4" s="48" t="s">
        <v>1257</v>
      </c>
      <c r="AA4" s="48" t="s">
        <v>1257</v>
      </c>
      <c r="AB4" s="48" t="s">
        <v>1257</v>
      </c>
    </row>
    <row r="5" spans="2:28">
      <c r="B5" s="48" t="s">
        <v>1207</v>
      </c>
      <c r="C5" s="48">
        <v>3</v>
      </c>
      <c r="D5" s="48" t="s">
        <v>1259</v>
      </c>
      <c r="E5" s="95">
        <v>45439</v>
      </c>
      <c r="F5" s="48">
        <v>2</v>
      </c>
      <c r="G5" s="207">
        <v>1</v>
      </c>
      <c r="H5" s="48">
        <v>0</v>
      </c>
      <c r="I5" s="48">
        <v>0</v>
      </c>
      <c r="J5" s="48">
        <v>0</v>
      </c>
      <c r="K5" s="48" t="s">
        <v>1257</v>
      </c>
      <c r="L5" s="48" t="s">
        <v>1257</v>
      </c>
      <c r="M5" s="48" t="s">
        <v>1257</v>
      </c>
      <c r="N5" s="48" t="s">
        <v>1257</v>
      </c>
      <c r="O5" s="48" t="s">
        <v>1257</v>
      </c>
      <c r="P5" s="48" t="s">
        <v>1257</v>
      </c>
      <c r="Q5" s="48" t="s">
        <v>1257</v>
      </c>
      <c r="R5" s="48" t="s">
        <v>1257</v>
      </c>
      <c r="S5" s="48" t="s">
        <v>1257</v>
      </c>
      <c r="T5" s="48" t="s">
        <v>1257</v>
      </c>
      <c r="U5" s="48" t="s">
        <v>1257</v>
      </c>
      <c r="V5" s="48" t="s">
        <v>1257</v>
      </c>
      <c r="W5" s="48" t="s">
        <v>1257</v>
      </c>
      <c r="X5" s="48" t="s">
        <v>1257</v>
      </c>
      <c r="Y5" s="48" t="s">
        <v>1257</v>
      </c>
      <c r="Z5" s="48" t="s">
        <v>1257</v>
      </c>
      <c r="AA5" s="48">
        <v>0</v>
      </c>
      <c r="AB5" s="48" t="s">
        <v>1257</v>
      </c>
    </row>
    <row r="6" spans="2:28">
      <c r="B6" s="97" t="s">
        <v>1209</v>
      </c>
      <c r="C6" s="48">
        <v>4</v>
      </c>
      <c r="D6" s="48" t="s">
        <v>1260</v>
      </c>
      <c r="E6" s="95" t="s">
        <v>1257</v>
      </c>
      <c r="F6" s="48">
        <v>2</v>
      </c>
      <c r="G6" s="207" t="s">
        <v>1257</v>
      </c>
      <c r="H6" s="48" t="s">
        <v>1257</v>
      </c>
      <c r="I6" s="48" t="s">
        <v>1257</v>
      </c>
      <c r="J6" s="48" t="s">
        <v>1257</v>
      </c>
      <c r="K6" s="48" t="s">
        <v>1257</v>
      </c>
      <c r="L6" s="48" t="s">
        <v>1257</v>
      </c>
      <c r="M6" s="48" t="s">
        <v>1257</v>
      </c>
      <c r="N6" s="48" t="s">
        <v>1257</v>
      </c>
      <c r="O6" s="48" t="s">
        <v>1257</v>
      </c>
      <c r="P6" s="48" t="s">
        <v>1257</v>
      </c>
      <c r="Q6" s="48" t="s">
        <v>1257</v>
      </c>
      <c r="R6" s="48" t="s">
        <v>1257</v>
      </c>
      <c r="S6" s="48" t="s">
        <v>1257</v>
      </c>
      <c r="T6" s="48" t="s">
        <v>1257</v>
      </c>
      <c r="U6" s="48" t="s">
        <v>1257</v>
      </c>
      <c r="V6" s="48" t="s">
        <v>1257</v>
      </c>
      <c r="W6" s="48" t="s">
        <v>1257</v>
      </c>
      <c r="X6" s="48" t="s">
        <v>1257</v>
      </c>
      <c r="Y6" s="48" t="s">
        <v>1257</v>
      </c>
      <c r="Z6" s="48" t="s">
        <v>1257</v>
      </c>
      <c r="AA6" s="48" t="s">
        <v>1257</v>
      </c>
      <c r="AB6" s="48" t="s">
        <v>1257</v>
      </c>
    </row>
    <row r="7" spans="2:28">
      <c r="B7" s="48" t="s">
        <v>1211</v>
      </c>
      <c r="C7" s="48">
        <v>5</v>
      </c>
      <c r="D7" s="48" t="s">
        <v>1260</v>
      </c>
      <c r="E7" s="95" t="s">
        <v>1257</v>
      </c>
      <c r="F7" s="48">
        <v>2</v>
      </c>
      <c r="G7" s="207" t="s">
        <v>1257</v>
      </c>
      <c r="H7" s="48" t="s">
        <v>1257</v>
      </c>
      <c r="I7" s="48" t="s">
        <v>1257</v>
      </c>
      <c r="J7" s="48" t="s">
        <v>1257</v>
      </c>
      <c r="K7" s="48" t="s">
        <v>1257</v>
      </c>
      <c r="L7" s="48" t="s">
        <v>1257</v>
      </c>
      <c r="M7" s="48" t="s">
        <v>1257</v>
      </c>
      <c r="N7" s="48" t="s">
        <v>1257</v>
      </c>
      <c r="O7" s="48" t="s">
        <v>1257</v>
      </c>
      <c r="P7" s="48" t="s">
        <v>1257</v>
      </c>
      <c r="Q7" s="48" t="s">
        <v>1257</v>
      </c>
      <c r="R7" s="48" t="s">
        <v>1257</v>
      </c>
      <c r="S7" s="48" t="s">
        <v>1257</v>
      </c>
      <c r="T7" s="48" t="s">
        <v>1257</v>
      </c>
      <c r="U7" s="48" t="s">
        <v>1257</v>
      </c>
      <c r="V7" s="48" t="s">
        <v>1257</v>
      </c>
      <c r="W7" s="48" t="s">
        <v>1257</v>
      </c>
      <c r="X7" s="48" t="s">
        <v>1257</v>
      </c>
      <c r="Y7" s="48" t="s">
        <v>1257</v>
      </c>
      <c r="Z7" s="48" t="s">
        <v>1257</v>
      </c>
      <c r="AA7" s="48" t="s">
        <v>1257</v>
      </c>
      <c r="AB7" s="48" t="s">
        <v>1257</v>
      </c>
    </row>
    <row r="8" spans="2:28">
      <c r="B8" s="48" t="s">
        <v>1212</v>
      </c>
      <c r="C8" s="48">
        <v>6</v>
      </c>
      <c r="D8" s="48" t="s">
        <v>1261</v>
      </c>
      <c r="E8" s="95">
        <v>45439</v>
      </c>
      <c r="F8" s="48">
        <v>2</v>
      </c>
      <c r="G8" s="207" cm="1">
        <f t="array" ref="G8">SUMPRODUCT(--(I8:AC8&gt;0))/COUNTA(I8:AC8)</f>
        <v>1</v>
      </c>
      <c r="H8" s="48">
        <v>0</v>
      </c>
      <c r="I8" s="48">
        <v>2</v>
      </c>
      <c r="J8" s="48">
        <v>15</v>
      </c>
      <c r="K8" s="48">
        <v>3</v>
      </c>
      <c r="L8" s="48">
        <v>3</v>
      </c>
      <c r="M8" s="48">
        <v>3</v>
      </c>
      <c r="N8" s="48">
        <v>2</v>
      </c>
      <c r="O8" s="48">
        <v>30</v>
      </c>
      <c r="P8" s="48">
        <v>10</v>
      </c>
      <c r="Q8" s="48">
        <v>10</v>
      </c>
      <c r="R8" s="48">
        <v>3</v>
      </c>
      <c r="S8" s="48">
        <v>1</v>
      </c>
      <c r="T8" s="48">
        <v>8</v>
      </c>
      <c r="U8" s="48">
        <v>8</v>
      </c>
      <c r="V8" s="48">
        <v>8</v>
      </c>
      <c r="W8" s="48">
        <v>8</v>
      </c>
      <c r="X8" s="48">
        <v>3</v>
      </c>
      <c r="Y8" s="48">
        <v>3</v>
      </c>
      <c r="Z8" s="48">
        <v>2</v>
      </c>
      <c r="AA8" s="48">
        <v>10</v>
      </c>
      <c r="AB8" s="48">
        <v>23</v>
      </c>
    </row>
    <row r="9" spans="2:28">
      <c r="B9" s="48" t="s">
        <v>1215</v>
      </c>
      <c r="C9" s="48">
        <v>7</v>
      </c>
      <c r="D9" s="48" t="s">
        <v>1262</v>
      </c>
      <c r="E9" s="95">
        <v>45439</v>
      </c>
      <c r="F9" s="48">
        <v>2</v>
      </c>
      <c r="G9" s="207" t="e" cm="1">
        <f t="array" ref="G9">SUMPRODUCT(--(I9:AB9 &lt;= I27:AB27))/COUNTA(I27:AB27)</f>
        <v>#DIV/0!</v>
      </c>
      <c r="H9" s="48">
        <v>0</v>
      </c>
      <c r="I9" s="48">
        <v>2</v>
      </c>
      <c r="J9" s="48">
        <v>30</v>
      </c>
      <c r="K9" s="48">
        <v>3</v>
      </c>
      <c r="L9" s="48">
        <v>3</v>
      </c>
      <c r="M9" s="48">
        <v>3</v>
      </c>
      <c r="N9" s="48">
        <v>2</v>
      </c>
      <c r="O9" s="48">
        <v>30</v>
      </c>
      <c r="P9" s="48">
        <v>10</v>
      </c>
      <c r="Q9" s="48">
        <v>10</v>
      </c>
      <c r="R9" s="48">
        <v>3</v>
      </c>
      <c r="S9" s="48">
        <v>1</v>
      </c>
      <c r="T9" s="48">
        <v>15</v>
      </c>
      <c r="U9" s="48">
        <v>15</v>
      </c>
      <c r="V9" s="48">
        <v>13</v>
      </c>
      <c r="W9" s="48">
        <v>13</v>
      </c>
      <c r="X9" s="48">
        <v>3</v>
      </c>
      <c r="Y9" s="48">
        <v>3</v>
      </c>
      <c r="Z9" s="48">
        <v>2</v>
      </c>
      <c r="AA9" s="48">
        <v>10</v>
      </c>
      <c r="AB9" s="48">
        <v>23</v>
      </c>
    </row>
    <row r="10" spans="2:28">
      <c r="B10" s="97" t="s">
        <v>1218</v>
      </c>
      <c r="C10" s="48">
        <v>8</v>
      </c>
      <c r="D10" s="48" t="s">
        <v>1263</v>
      </c>
      <c r="E10" s="95">
        <v>45439</v>
      </c>
      <c r="F10" s="48">
        <v>2</v>
      </c>
      <c r="G10" s="207" t="s">
        <v>1257</v>
      </c>
      <c r="H10" s="48">
        <v>0</v>
      </c>
      <c r="I10" s="48">
        <v>31</v>
      </c>
      <c r="J10" s="48">
        <v>3.11009553029E+26</v>
      </c>
      <c r="K10" s="48" t="s">
        <v>1264</v>
      </c>
      <c r="L10" s="48">
        <v>29</v>
      </c>
      <c r="M10" s="48">
        <v>2</v>
      </c>
      <c r="N10" s="48">
        <v>31</v>
      </c>
      <c r="O10" s="95">
        <v>2.4340000999999999E+22</v>
      </c>
      <c r="P10" s="95">
        <v>21939</v>
      </c>
      <c r="Q10" s="98" t="s">
        <v>1265</v>
      </c>
      <c r="R10" s="48">
        <v>978</v>
      </c>
      <c r="S10" s="95">
        <v>0</v>
      </c>
      <c r="T10" s="95" t="s">
        <v>1266</v>
      </c>
      <c r="U10" s="48" t="s">
        <v>1266</v>
      </c>
      <c r="V10" s="98">
        <v>-754910000</v>
      </c>
      <c r="W10" s="98" t="s">
        <v>1266</v>
      </c>
      <c r="X10" s="48" t="s">
        <v>1267</v>
      </c>
      <c r="Y10" s="48" t="s">
        <v>1268</v>
      </c>
      <c r="Z10" s="98" t="s">
        <v>1269</v>
      </c>
      <c r="AA10" s="95">
        <v>45438</v>
      </c>
      <c r="AB10" s="95" t="s">
        <v>1270</v>
      </c>
    </row>
    <row r="11" spans="2:28">
      <c r="B11" s="48" t="s">
        <v>1220</v>
      </c>
      <c r="C11" s="48">
        <v>9</v>
      </c>
      <c r="D11" s="48" t="s">
        <v>1271</v>
      </c>
      <c r="E11" s="95">
        <v>45439</v>
      </c>
      <c r="F11" s="48">
        <v>2</v>
      </c>
      <c r="G11" s="207" t="s">
        <v>1257</v>
      </c>
      <c r="H11" s="48">
        <v>0</v>
      </c>
      <c r="I11" s="48">
        <v>31</v>
      </c>
      <c r="J11" s="48">
        <v>2.6552000000265499E+19</v>
      </c>
      <c r="K11" s="48"/>
      <c r="L11" s="48">
        <v>0</v>
      </c>
      <c r="M11" s="48">
        <v>0</v>
      </c>
      <c r="N11" s="48"/>
      <c r="O11" s="95" t="e">
        <v>#N/A</v>
      </c>
      <c r="P11" s="95" t="s">
        <v>1265</v>
      </c>
      <c r="Q11" s="48" t="s">
        <v>1265</v>
      </c>
      <c r="R11" s="48">
        <v>36</v>
      </c>
      <c r="S11" s="95">
        <v>0</v>
      </c>
      <c r="T11" s="95" t="s">
        <v>1266</v>
      </c>
      <c r="U11" s="48" t="s">
        <v>1266</v>
      </c>
      <c r="V11" s="98">
        <v>-509358085210000</v>
      </c>
      <c r="W11" s="98" t="s">
        <v>1266</v>
      </c>
      <c r="X11" s="48">
        <v>0</v>
      </c>
      <c r="Y11" s="48" t="s">
        <v>1272</v>
      </c>
      <c r="Z11" s="98" t="s">
        <v>1269</v>
      </c>
      <c r="AA11" s="95">
        <v>44135</v>
      </c>
      <c r="AB11" s="95" t="s">
        <v>1273</v>
      </c>
    </row>
    <row r="12" spans="2:28">
      <c r="B12" s="48" t="s">
        <v>1222</v>
      </c>
      <c r="C12" s="48">
        <v>10</v>
      </c>
      <c r="D12" s="48" t="s">
        <v>1274</v>
      </c>
      <c r="E12" s="95">
        <v>45439</v>
      </c>
      <c r="F12" s="48">
        <v>2</v>
      </c>
      <c r="G12" s="207" t="s">
        <v>1257</v>
      </c>
      <c r="H12" s="48">
        <v>0</v>
      </c>
      <c r="I12" s="48">
        <v>31</v>
      </c>
      <c r="J12" s="48">
        <v>962304890438110</v>
      </c>
      <c r="K12" s="48" t="s">
        <v>1264</v>
      </c>
      <c r="L12" s="48">
        <v>48</v>
      </c>
      <c r="M12" s="48">
        <v>213</v>
      </c>
      <c r="N12" s="48">
        <v>31</v>
      </c>
      <c r="O12" s="191">
        <v>2.3960180788801999E+29</v>
      </c>
      <c r="P12" s="95">
        <v>45447</v>
      </c>
      <c r="Q12" s="95">
        <v>2958465</v>
      </c>
      <c r="R12" s="48" t="s">
        <v>1275</v>
      </c>
      <c r="S12" s="95">
        <v>1</v>
      </c>
      <c r="T12" s="191">
        <v>58769262340000</v>
      </c>
      <c r="U12" s="98">
        <v>58769262340000</v>
      </c>
      <c r="V12" s="98">
        <v>774352080000</v>
      </c>
      <c r="W12" s="98">
        <v>325186000000</v>
      </c>
      <c r="X12" s="98" t="s">
        <v>1276</v>
      </c>
      <c r="Y12" s="98" t="s">
        <v>1268</v>
      </c>
      <c r="Z12" s="98" t="s">
        <v>1277</v>
      </c>
      <c r="AA12" s="95">
        <v>45450</v>
      </c>
      <c r="AB12" s="95" t="s">
        <v>1270</v>
      </c>
    </row>
    <row r="13" spans="2:28">
      <c r="B13" s="48" t="s">
        <v>1224</v>
      </c>
      <c r="C13" s="48">
        <v>11</v>
      </c>
      <c r="D13" s="48" t="s">
        <v>1278</v>
      </c>
      <c r="E13" s="95">
        <v>45439</v>
      </c>
      <c r="F13" s="48">
        <v>2</v>
      </c>
      <c r="G13" s="207" t="s">
        <v>1257</v>
      </c>
      <c r="H13" s="48">
        <v>0</v>
      </c>
      <c r="I13" s="48">
        <v>31</v>
      </c>
      <c r="J13" s="48">
        <v>962304890438110</v>
      </c>
      <c r="K13" s="48"/>
      <c r="L13" s="48" t="s">
        <v>1279</v>
      </c>
      <c r="M13" s="48" t="s">
        <v>1280</v>
      </c>
      <c r="N13" s="48" t="e">
        <v>#N/A</v>
      </c>
      <c r="O13" s="191">
        <v>2.3970105815901999E+29</v>
      </c>
      <c r="P13" s="95">
        <v>2958465</v>
      </c>
      <c r="Q13" s="95">
        <v>2958465</v>
      </c>
      <c r="R13" s="48" t="s">
        <v>1281</v>
      </c>
      <c r="S13" s="95">
        <v>1</v>
      </c>
      <c r="T13" s="191">
        <v>58769262340000</v>
      </c>
      <c r="U13" s="98">
        <v>58769262340000</v>
      </c>
      <c r="V13" s="98">
        <v>2072551670000000</v>
      </c>
      <c r="W13" s="98">
        <v>14286165090000</v>
      </c>
      <c r="X13" s="98" t="s">
        <v>1282</v>
      </c>
      <c r="Y13" s="98" t="s">
        <v>1283</v>
      </c>
      <c r="Z13" s="98" t="s">
        <v>1277</v>
      </c>
      <c r="AA13" s="95">
        <v>45520</v>
      </c>
      <c r="AB13" s="95" t="s">
        <v>1284</v>
      </c>
    </row>
    <row r="14" spans="2:28">
      <c r="B14" s="48" t="s">
        <v>1226</v>
      </c>
      <c r="C14" s="48">
        <v>12</v>
      </c>
      <c r="D14" s="48" t="s">
        <v>1285</v>
      </c>
      <c r="E14" s="95">
        <v>45439</v>
      </c>
      <c r="F14" s="48">
        <v>2</v>
      </c>
      <c r="G14" s="207">
        <v>0.85</v>
      </c>
      <c r="H14" s="48">
        <v>0</v>
      </c>
      <c r="I14" s="48">
        <v>0</v>
      </c>
      <c r="J14" s="48">
        <v>0</v>
      </c>
      <c r="K14" s="48">
        <v>0</v>
      </c>
      <c r="L14" s="48">
        <v>0</v>
      </c>
      <c r="M14" s="48">
        <v>0</v>
      </c>
      <c r="N14" s="48">
        <v>279</v>
      </c>
      <c r="O14" s="48">
        <v>498</v>
      </c>
      <c r="P14" s="48">
        <v>0</v>
      </c>
      <c r="Q14" s="48">
        <v>0</v>
      </c>
      <c r="R14" s="48">
        <v>0</v>
      </c>
      <c r="S14" s="48">
        <v>0</v>
      </c>
      <c r="T14" s="48">
        <v>0</v>
      </c>
      <c r="U14" s="48">
        <v>0</v>
      </c>
      <c r="V14" s="48">
        <v>0</v>
      </c>
      <c r="W14" s="48">
        <v>0</v>
      </c>
      <c r="X14" s="48">
        <v>0</v>
      </c>
      <c r="Y14" s="48">
        <v>21257</v>
      </c>
      <c r="Z14" s="48">
        <v>0</v>
      </c>
      <c r="AA14" s="48">
        <v>0</v>
      </c>
      <c r="AB14" s="48">
        <v>0</v>
      </c>
    </row>
    <row r="15" spans="2:28">
      <c r="B15" s="48" t="s">
        <v>1228</v>
      </c>
      <c r="C15" s="48">
        <v>13</v>
      </c>
      <c r="D15" s="48" t="s">
        <v>1286</v>
      </c>
      <c r="E15" s="95">
        <v>45439</v>
      </c>
      <c r="F15" s="48">
        <v>2</v>
      </c>
      <c r="G15" s="207">
        <v>1</v>
      </c>
      <c r="H15" s="48">
        <v>0</v>
      </c>
      <c r="I15" s="48" t="s">
        <v>1257</v>
      </c>
      <c r="J15" s="48" t="s">
        <v>1257</v>
      </c>
      <c r="K15" s="48" t="s">
        <v>1257</v>
      </c>
      <c r="L15" s="48" t="s">
        <v>1257</v>
      </c>
      <c r="M15" s="48" t="s">
        <v>1257</v>
      </c>
      <c r="N15" s="48" t="s">
        <v>1257</v>
      </c>
      <c r="O15" s="97" t="s">
        <v>1257</v>
      </c>
      <c r="P15" s="97">
        <v>0</v>
      </c>
      <c r="Q15" s="97">
        <v>0</v>
      </c>
      <c r="R15" s="48" t="s">
        <v>1257</v>
      </c>
      <c r="S15" s="48" t="s">
        <v>1257</v>
      </c>
      <c r="T15" s="97" t="s">
        <v>1257</v>
      </c>
      <c r="U15" s="48" t="s">
        <v>1257</v>
      </c>
      <c r="V15" s="48" t="s">
        <v>1257</v>
      </c>
      <c r="W15" s="48" t="s">
        <v>1257</v>
      </c>
      <c r="X15" s="48" t="s">
        <v>1257</v>
      </c>
      <c r="Y15" s="48" t="s">
        <v>1257</v>
      </c>
      <c r="Z15" s="48" t="s">
        <v>1257</v>
      </c>
      <c r="AA15" s="48" t="s">
        <v>1257</v>
      </c>
      <c r="AB15" s="48" t="s">
        <v>1257</v>
      </c>
    </row>
    <row r="16" spans="2:28">
      <c r="B16" s="48" t="s">
        <v>1230</v>
      </c>
      <c r="C16" s="48">
        <v>14</v>
      </c>
      <c r="D16" s="48" t="s">
        <v>1287</v>
      </c>
      <c r="E16" s="95">
        <v>45439</v>
      </c>
      <c r="F16" s="48">
        <v>2</v>
      </c>
      <c r="G16" s="207">
        <v>1</v>
      </c>
      <c r="H16" s="48">
        <v>0</v>
      </c>
      <c r="I16" s="48">
        <v>0</v>
      </c>
      <c r="J16" s="48">
        <v>0</v>
      </c>
      <c r="K16" s="48">
        <v>0</v>
      </c>
      <c r="L16" s="48">
        <v>0</v>
      </c>
      <c r="M16" s="48">
        <v>0</v>
      </c>
      <c r="N16" s="48" t="s">
        <v>1257</v>
      </c>
      <c r="O16" s="48" t="s">
        <v>1257</v>
      </c>
      <c r="P16" s="48" t="s">
        <v>1257</v>
      </c>
      <c r="Q16" s="48" t="s">
        <v>1257</v>
      </c>
      <c r="R16" s="48">
        <v>0</v>
      </c>
      <c r="S16" s="97" t="s">
        <v>1257</v>
      </c>
      <c r="T16" s="48" t="s">
        <v>1257</v>
      </c>
      <c r="U16" s="48" t="s">
        <v>1257</v>
      </c>
      <c r="V16" s="48" t="s">
        <v>1257</v>
      </c>
      <c r="W16" s="48" t="s">
        <v>1257</v>
      </c>
      <c r="X16" s="48">
        <v>0</v>
      </c>
      <c r="Y16" s="48">
        <v>0</v>
      </c>
      <c r="Z16" s="48">
        <v>0</v>
      </c>
      <c r="AA16" s="48" t="s">
        <v>1257</v>
      </c>
      <c r="AB16" s="48" t="s">
        <v>1257</v>
      </c>
    </row>
    <row r="17" spans="2:30">
      <c r="B17" s="48" t="s">
        <v>1232</v>
      </c>
      <c r="C17" s="48">
        <v>15</v>
      </c>
      <c r="D17" s="48" t="s">
        <v>1288</v>
      </c>
      <c r="E17" s="95">
        <v>45439</v>
      </c>
      <c r="F17" s="48">
        <v>2</v>
      </c>
      <c r="G17" s="207">
        <v>1</v>
      </c>
      <c r="H17" s="48">
        <v>0</v>
      </c>
      <c r="I17" s="48" t="s">
        <v>1257</v>
      </c>
      <c r="J17" s="48" t="s">
        <v>1257</v>
      </c>
      <c r="K17" s="48" t="s">
        <v>1257</v>
      </c>
      <c r="L17" s="48" t="s">
        <v>1257</v>
      </c>
      <c r="M17" s="48" t="s">
        <v>1257</v>
      </c>
      <c r="N17" s="48" t="s">
        <v>1257</v>
      </c>
      <c r="O17" s="48" t="s">
        <v>1257</v>
      </c>
      <c r="P17" s="48" t="s">
        <v>1257</v>
      </c>
      <c r="Q17" s="48" t="s">
        <v>1257</v>
      </c>
      <c r="R17" s="48" t="s">
        <v>1257</v>
      </c>
      <c r="S17" s="97" t="s">
        <v>1257</v>
      </c>
      <c r="T17" s="48" t="s">
        <v>1257</v>
      </c>
      <c r="U17" s="48" t="s">
        <v>1257</v>
      </c>
      <c r="V17" s="48" t="s">
        <v>1257</v>
      </c>
      <c r="W17" s="48" t="s">
        <v>1257</v>
      </c>
      <c r="X17" s="48" t="s">
        <v>1257</v>
      </c>
      <c r="Y17" s="48" t="s">
        <v>1257</v>
      </c>
      <c r="Z17" s="48" t="s">
        <v>1257</v>
      </c>
      <c r="AA17" s="48" t="s">
        <v>1257</v>
      </c>
      <c r="AB17" s="48" t="s">
        <v>1257</v>
      </c>
    </row>
    <row r="18" spans="2:30">
      <c r="B18" s="48" t="s">
        <v>1234</v>
      </c>
      <c r="C18" s="48">
        <v>16</v>
      </c>
      <c r="D18" s="48" t="s">
        <v>1288</v>
      </c>
      <c r="E18" s="95">
        <v>45439</v>
      </c>
      <c r="F18" s="48">
        <v>2</v>
      </c>
      <c r="G18" s="207">
        <v>1</v>
      </c>
      <c r="H18" s="211">
        <v>0</v>
      </c>
      <c r="I18" s="48" t="s">
        <v>1257</v>
      </c>
      <c r="J18" s="48" t="s">
        <v>1257</v>
      </c>
      <c r="K18" s="48" t="s">
        <v>1257</v>
      </c>
      <c r="L18" s="48" t="s">
        <v>1257</v>
      </c>
      <c r="M18" s="48" t="s">
        <v>1257</v>
      </c>
      <c r="N18" s="48" t="s">
        <v>1257</v>
      </c>
      <c r="O18" s="48" t="s">
        <v>1257</v>
      </c>
      <c r="P18" s="48" t="s">
        <v>1257</v>
      </c>
      <c r="Q18" s="48" t="s">
        <v>1257</v>
      </c>
      <c r="R18" s="48" t="s">
        <v>1257</v>
      </c>
      <c r="S18" s="48" t="s">
        <v>1257</v>
      </c>
      <c r="T18" s="48" t="s">
        <v>1257</v>
      </c>
      <c r="U18" s="48" t="s">
        <v>1257</v>
      </c>
      <c r="V18" s="48" t="s">
        <v>1257</v>
      </c>
      <c r="W18" s="48" t="s">
        <v>1257</v>
      </c>
      <c r="X18" s="48" t="s">
        <v>1257</v>
      </c>
      <c r="Y18" s="48" t="s">
        <v>1257</v>
      </c>
      <c r="Z18" s="48" t="s">
        <v>1257</v>
      </c>
      <c r="AA18" s="48" t="s">
        <v>1257</v>
      </c>
      <c r="AB18" s="48" t="s">
        <v>1257</v>
      </c>
    </row>
    <row r="19" spans="2:30">
      <c r="B19" s="48" t="s">
        <v>1236</v>
      </c>
      <c r="C19" s="48">
        <v>17</v>
      </c>
      <c r="D19" s="48" t="s">
        <v>1289</v>
      </c>
      <c r="E19" s="95">
        <v>45439</v>
      </c>
      <c r="F19" s="48">
        <v>2</v>
      </c>
      <c r="G19" s="207">
        <v>0.99</v>
      </c>
      <c r="H19" s="48">
        <v>215</v>
      </c>
      <c r="I19" s="48" t="s">
        <v>1257</v>
      </c>
      <c r="J19" s="48" t="s">
        <v>1257</v>
      </c>
      <c r="K19" s="48" t="s">
        <v>1257</v>
      </c>
      <c r="L19" s="48" t="s">
        <v>1257</v>
      </c>
      <c r="M19" s="48" t="s">
        <v>1257</v>
      </c>
      <c r="N19" s="48" t="s">
        <v>1257</v>
      </c>
      <c r="O19" s="48" t="s">
        <v>1257</v>
      </c>
      <c r="P19" s="48" t="s">
        <v>1257</v>
      </c>
      <c r="Q19" s="48" t="s">
        <v>1257</v>
      </c>
      <c r="R19" s="48" t="s">
        <v>1257</v>
      </c>
      <c r="S19" s="48" t="s">
        <v>1257</v>
      </c>
      <c r="T19" s="48" t="s">
        <v>1257</v>
      </c>
      <c r="U19" s="48" t="s">
        <v>1257</v>
      </c>
      <c r="V19" s="48" t="s">
        <v>1257</v>
      </c>
      <c r="W19" s="48" t="s">
        <v>1257</v>
      </c>
      <c r="X19" s="48" t="s">
        <v>1257</v>
      </c>
      <c r="Y19" s="48" t="s">
        <v>1257</v>
      </c>
      <c r="Z19" s="48" t="s">
        <v>1257</v>
      </c>
      <c r="AA19" s="48" t="s">
        <v>1257</v>
      </c>
      <c r="AB19" s="48" t="s">
        <v>1257</v>
      </c>
    </row>
    <row r="20" spans="2:30">
      <c r="B20" s="48" t="s">
        <v>1238</v>
      </c>
      <c r="C20" s="48">
        <v>18</v>
      </c>
      <c r="D20" s="48" t="s">
        <v>1289</v>
      </c>
      <c r="E20" s="95">
        <v>45439</v>
      </c>
      <c r="F20" s="48">
        <v>2</v>
      </c>
      <c r="G20" s="207">
        <v>1</v>
      </c>
      <c r="H20" s="48">
        <v>3</v>
      </c>
      <c r="I20" s="48" t="s">
        <v>1257</v>
      </c>
      <c r="J20" s="48" t="s">
        <v>1257</v>
      </c>
      <c r="K20" s="48" t="s">
        <v>1257</v>
      </c>
      <c r="L20" s="48" t="s">
        <v>1257</v>
      </c>
      <c r="M20" s="48" t="s">
        <v>1257</v>
      </c>
      <c r="N20" s="48" t="s">
        <v>1257</v>
      </c>
      <c r="O20" s="48" t="s">
        <v>1257</v>
      </c>
      <c r="P20" s="48" t="s">
        <v>1257</v>
      </c>
      <c r="Q20" s="48" t="s">
        <v>1257</v>
      </c>
      <c r="R20" s="48" t="s">
        <v>1257</v>
      </c>
      <c r="S20" s="48" t="s">
        <v>1257</v>
      </c>
      <c r="T20" s="48" t="s">
        <v>1257</v>
      </c>
      <c r="U20" s="48" t="s">
        <v>1257</v>
      </c>
      <c r="V20" s="48" t="s">
        <v>1257</v>
      </c>
      <c r="W20" s="48" t="s">
        <v>1257</v>
      </c>
      <c r="X20" s="48" t="s">
        <v>1257</v>
      </c>
      <c r="Y20" s="48" t="s">
        <v>1257</v>
      </c>
      <c r="Z20" s="48" t="s">
        <v>1257</v>
      </c>
      <c r="AA20" s="48" t="s">
        <v>1257</v>
      </c>
      <c r="AB20" s="48" t="s">
        <v>1257</v>
      </c>
    </row>
    <row r="21" spans="2:30">
      <c r="B21" s="48" t="s">
        <v>1240</v>
      </c>
      <c r="C21" s="48">
        <v>19</v>
      </c>
      <c r="D21" s="48" t="s">
        <v>1290</v>
      </c>
      <c r="E21" s="95">
        <v>45439</v>
      </c>
      <c r="F21" s="48">
        <v>2</v>
      </c>
      <c r="G21" s="207" cm="1">
        <f t="array" aca="1" ref="G21" ca="1">SUMPRODUCT(--(ISNUMBER((SEARCH(I26:AB26,I21:AB21)))))/COUNTA(I21:AB21)</f>
        <v>0.95</v>
      </c>
      <c r="H21" s="48">
        <v>0</v>
      </c>
      <c r="I21" s="48" t="s">
        <v>1291</v>
      </c>
      <c r="J21" s="48" t="s">
        <v>1291</v>
      </c>
      <c r="K21" s="48" t="s">
        <v>1291</v>
      </c>
      <c r="L21" s="48" t="s">
        <v>1291</v>
      </c>
      <c r="M21" s="48" t="s">
        <v>1291</v>
      </c>
      <c r="N21" s="48" t="s">
        <v>1291</v>
      </c>
      <c r="O21" s="48" t="s">
        <v>1291</v>
      </c>
      <c r="P21" s="48" t="s">
        <v>1291</v>
      </c>
      <c r="Q21" s="48" t="s">
        <v>1291</v>
      </c>
      <c r="R21" s="48" t="s">
        <v>1291</v>
      </c>
      <c r="S21" s="48" t="s">
        <v>1291</v>
      </c>
      <c r="T21" s="48" t="s">
        <v>1292</v>
      </c>
      <c r="U21" s="48" t="s">
        <v>1292</v>
      </c>
      <c r="V21" s="48" t="s">
        <v>1292</v>
      </c>
      <c r="W21" s="48" t="s">
        <v>1292</v>
      </c>
      <c r="X21" s="48" t="s">
        <v>1291</v>
      </c>
      <c r="Y21" s="48" t="s">
        <v>1291</v>
      </c>
      <c r="Z21" s="48" t="s">
        <v>1291</v>
      </c>
      <c r="AA21" s="48" t="s">
        <v>1291</v>
      </c>
      <c r="AB21" s="48" t="s">
        <v>1293</v>
      </c>
    </row>
    <row r="22" spans="2:30">
      <c r="B22" s="97" t="s">
        <v>1243</v>
      </c>
      <c r="C22" s="48">
        <v>20</v>
      </c>
      <c r="D22" s="48" t="s">
        <v>1290</v>
      </c>
      <c r="E22" s="95">
        <v>45439</v>
      </c>
      <c r="F22" s="48">
        <v>2</v>
      </c>
      <c r="G22" s="207" t="e" cm="1" vm="1">
        <f t="array" ref="G22">SUM(IF(I2:AB2 = I25:AB25, 1, 0))/ COUNTA(I2:AB2)</f>
        <v>#VALUE!</v>
      </c>
      <c r="H22" s="48" t="s">
        <v>1257</v>
      </c>
      <c r="I22" s="48" t="s">
        <v>1257</v>
      </c>
      <c r="J22" s="48" t="s">
        <v>1257</v>
      </c>
      <c r="K22" s="48" t="s">
        <v>1257</v>
      </c>
      <c r="L22" s="48" t="s">
        <v>1257</v>
      </c>
      <c r="M22" s="48" t="s">
        <v>1257</v>
      </c>
      <c r="N22" s="48" t="s">
        <v>1257</v>
      </c>
      <c r="O22" s="48" t="s">
        <v>1257</v>
      </c>
      <c r="P22" s="48" t="s">
        <v>1257</v>
      </c>
      <c r="Q22" s="48" t="s">
        <v>1257</v>
      </c>
      <c r="R22" s="48" t="s">
        <v>1257</v>
      </c>
      <c r="S22" s="48" t="s">
        <v>1257</v>
      </c>
      <c r="T22" s="48" t="s">
        <v>1257</v>
      </c>
      <c r="U22" s="48" t="s">
        <v>1257</v>
      </c>
      <c r="V22" s="48" t="s">
        <v>1257</v>
      </c>
      <c r="W22" s="48" t="s">
        <v>1257</v>
      </c>
      <c r="X22" s="48" t="s">
        <v>1257</v>
      </c>
      <c r="Y22" s="48" t="s">
        <v>1257</v>
      </c>
      <c r="Z22" s="48" t="s">
        <v>1257</v>
      </c>
      <c r="AA22" s="48" t="s">
        <v>1257</v>
      </c>
      <c r="AB22" s="48" t="s">
        <v>1257</v>
      </c>
    </row>
    <row r="23" spans="2:30">
      <c r="B23" s="48" t="s">
        <v>1246</v>
      </c>
      <c r="C23" s="48">
        <v>21</v>
      </c>
      <c r="D23" s="48" t="s">
        <v>1290</v>
      </c>
      <c r="E23" s="95">
        <v>45439</v>
      </c>
      <c r="F23" s="48">
        <v>2</v>
      </c>
      <c r="G23" s="207" t="e" cm="1">
        <f t="array" aca="1" ref="G23" ca="1">SUM(IF(IF(G3:G22="null",1,G3:G22)=1,1,0))/COUNT(IF(G3:G22="null",1,1))</f>
        <v>#DIV/0!</v>
      </c>
      <c r="H23" s="48" t="s">
        <v>1257</v>
      </c>
      <c r="I23" s="48" t="s">
        <v>1257</v>
      </c>
      <c r="J23" s="48" t="s">
        <v>1257</v>
      </c>
      <c r="K23" s="48" t="s">
        <v>1257</v>
      </c>
      <c r="L23" s="48" t="s">
        <v>1257</v>
      </c>
      <c r="M23" s="48" t="s">
        <v>1257</v>
      </c>
      <c r="N23" s="48" t="s">
        <v>1257</v>
      </c>
      <c r="O23" s="48" t="s">
        <v>1257</v>
      </c>
      <c r="P23" s="48" t="s">
        <v>1257</v>
      </c>
      <c r="Q23" s="48" t="s">
        <v>1257</v>
      </c>
      <c r="R23" s="48" t="s">
        <v>1257</v>
      </c>
      <c r="S23" s="48" t="s">
        <v>1257</v>
      </c>
      <c r="T23" s="48" t="s">
        <v>1257</v>
      </c>
      <c r="U23" s="48" t="s">
        <v>1257</v>
      </c>
      <c r="V23" s="48" t="s">
        <v>1257</v>
      </c>
      <c r="W23" s="48" t="s">
        <v>1257</v>
      </c>
      <c r="X23" s="48" t="s">
        <v>1257</v>
      </c>
      <c r="Y23" s="48" t="s">
        <v>1257</v>
      </c>
      <c r="Z23" s="48" t="s">
        <v>1257</v>
      </c>
      <c r="AA23" s="48" t="s">
        <v>1257</v>
      </c>
      <c r="AB23" s="48" t="s">
        <v>1257</v>
      </c>
    </row>
    <row r="24" spans="2:30">
      <c r="B24" s="48"/>
      <c r="C24" s="48"/>
      <c r="D24" s="48"/>
      <c r="E24" s="95"/>
      <c r="F24" s="48"/>
      <c r="G24" s="48"/>
      <c r="H24" s="48"/>
      <c r="I24" s="48"/>
      <c r="J24" s="48"/>
      <c r="K24" s="48"/>
      <c r="L24" s="48"/>
      <c r="M24" s="48"/>
      <c r="N24" s="48"/>
      <c r="O24" s="48"/>
      <c r="P24" s="48"/>
      <c r="Q24" s="48"/>
      <c r="R24" s="48"/>
      <c r="S24" s="48"/>
      <c r="T24" s="48"/>
      <c r="U24" s="48"/>
      <c r="V24" s="48"/>
      <c r="W24" s="48"/>
      <c r="X24" s="48"/>
      <c r="Y24" s="48"/>
      <c r="Z24" s="48"/>
      <c r="AA24" s="48"/>
      <c r="AB24" s="48"/>
      <c r="AC24" s="48"/>
    </row>
    <row r="25" spans="2:30">
      <c r="B25" s="132" t="s">
        <v>1249</v>
      </c>
      <c r="C25" s="128" t="s">
        <v>1250</v>
      </c>
      <c r="D25" s="128" t="s">
        <v>1251</v>
      </c>
      <c r="E25" s="128" t="s">
        <v>1252</v>
      </c>
      <c r="F25" s="128" t="s">
        <v>1253</v>
      </c>
      <c r="G25" s="128" t="s">
        <v>1254</v>
      </c>
      <c r="H25" s="128" t="s">
        <v>1255</v>
      </c>
      <c r="I25" s="128" t="e" cm="1" vm="2">
        <f t="array" ref="I25">TRANSPOSE(_xlfn.SORTBY(_xlfn._xlws.FILTER(Table3[NOME FÍSICO CAMPO],Table3[NOME FÍSICO TABELA]="bank_guarantee"), _xlfn._xlws.FILTER(Table3[ORDEM], Table3[NOME FÍSICO TABELA]="bank_guarantee"), 1))</f>
        <v>#VALUE!</v>
      </c>
      <c r="J25" s="128"/>
      <c r="K25" s="128"/>
      <c r="L25" s="128"/>
      <c r="M25" s="128"/>
      <c r="N25" s="128"/>
      <c r="O25" s="128"/>
      <c r="P25" s="128"/>
      <c r="Q25" s="128"/>
      <c r="R25" s="128"/>
      <c r="S25" s="128"/>
      <c r="T25" s="128"/>
      <c r="U25" s="128"/>
      <c r="V25" s="128"/>
      <c r="W25" s="128"/>
      <c r="X25" s="128"/>
      <c r="Y25" s="128"/>
      <c r="Z25" s="128"/>
      <c r="AA25" s="128"/>
      <c r="AB25" s="128"/>
      <c r="AC25" s="204"/>
      <c r="AD25" s="215"/>
    </row>
    <row r="26" spans="2:30">
      <c r="B26" s="106" t="s">
        <v>1294</v>
      </c>
      <c r="C26" s="109">
        <v>21</v>
      </c>
      <c r="D26" s="103" t="s">
        <v>1295</v>
      </c>
      <c r="E26" s="102" t="s">
        <v>1296</v>
      </c>
      <c r="F26" s="102" t="s">
        <v>124</v>
      </c>
      <c r="G26" s="102" t="s">
        <v>124</v>
      </c>
      <c r="H26" s="102" t="s">
        <v>124</v>
      </c>
      <c r="I26" s="102" t="e" cm="1" vm="2">
        <f t="array" aca="1" ref="I26" ca="1">TRANSPOSE(_xlfn.SORTBY(_xlfn._xlws.FILTER(IF(Table3[FORMATO]:Table3[COMP_ CAMPO]&lt;&gt;"",Table3[FORMATO]:Table3[COMP_ CAMPO],9999999),Table3[NOME FÍSICO TABELA]="bank_guarantee"), _xlfn._xlws.FILTER(Table3[ORDEM], Table3[NOME FÍSICO TABELA]="bank_guarantee"), 1))</f>
        <v>#VALUE!</v>
      </c>
      <c r="J26" s="102"/>
      <c r="K26" s="102"/>
      <c r="L26" s="102"/>
      <c r="M26" s="102"/>
      <c r="N26" s="102"/>
      <c r="O26" s="102"/>
      <c r="P26" s="102"/>
      <c r="Q26" s="102"/>
      <c r="R26" s="102"/>
      <c r="S26" s="102"/>
      <c r="T26" s="102"/>
      <c r="U26" s="102"/>
      <c r="V26" s="102"/>
      <c r="W26" s="102"/>
      <c r="X26" s="102"/>
      <c r="Y26" s="102"/>
      <c r="Z26" s="102"/>
      <c r="AA26" s="102"/>
      <c r="AB26" s="102"/>
      <c r="AC26" s="205"/>
    </row>
    <row r="27" spans="2:30">
      <c r="B27" s="106" t="s">
        <v>1297</v>
      </c>
      <c r="C27" s="109">
        <v>7</v>
      </c>
      <c r="D27" s="103" t="s">
        <v>1295</v>
      </c>
      <c r="E27" s="102" t="s">
        <v>1296</v>
      </c>
      <c r="F27" s="104" t="s">
        <v>124</v>
      </c>
      <c r="G27" s="104" t="s">
        <v>124</v>
      </c>
      <c r="H27" s="104" t="s">
        <v>124</v>
      </c>
      <c r="I27" s="150"/>
      <c r="J27" s="150"/>
      <c r="K27" s="150"/>
      <c r="L27" s="150"/>
      <c r="M27" s="150"/>
      <c r="N27" s="150"/>
      <c r="O27" s="150"/>
      <c r="P27" s="150"/>
      <c r="Q27" s="150"/>
      <c r="R27" s="150"/>
      <c r="S27" s="150"/>
      <c r="T27" s="150"/>
      <c r="U27" s="150"/>
      <c r="V27" s="150"/>
      <c r="W27" s="150"/>
      <c r="X27" s="150"/>
      <c r="Y27" s="150"/>
      <c r="Z27" s="150"/>
      <c r="AA27" s="150"/>
      <c r="AB27" s="150"/>
      <c r="AC27" s="206"/>
      <c r="AD27" s="94"/>
    </row>
    <row r="29" spans="2:30">
      <c r="B29" s="139" t="s">
        <v>1298</v>
      </c>
    </row>
    <row r="30" spans="2:30">
      <c r="B30" s="133" t="s">
        <v>1299</v>
      </c>
      <c r="C30" s="133" t="s">
        <v>1300</v>
      </c>
      <c r="D30" s="134" t="s">
        <v>1301</v>
      </c>
      <c r="E30" s="133" t="s">
        <v>1302</v>
      </c>
      <c r="F30" s="133" t="s">
        <v>1303</v>
      </c>
    </row>
    <row r="31" spans="2:30" ht="87">
      <c r="B31" s="136" t="s">
        <v>1304</v>
      </c>
      <c r="C31" s="137" t="s">
        <v>203</v>
      </c>
      <c r="D31" s="138" t="s">
        <v>1305</v>
      </c>
      <c r="E31" s="97" t="s">
        <v>1306</v>
      </c>
      <c r="F31" s="187" t="s">
        <v>1307</v>
      </c>
    </row>
    <row r="32" spans="2:30" ht="29.1">
      <c r="B32" s="110" t="s">
        <v>1304</v>
      </c>
      <c r="C32" s="114" t="s">
        <v>176</v>
      </c>
      <c r="D32" s="285" t="s">
        <v>1308</v>
      </c>
      <c r="E32" s="152" t="s">
        <v>1309</v>
      </c>
      <c r="F32" s="135" t="s">
        <v>1310</v>
      </c>
    </row>
    <row r="33" spans="2:6" ht="29.1">
      <c r="B33" s="110" t="s">
        <v>1304</v>
      </c>
      <c r="C33" s="114" t="s">
        <v>678</v>
      </c>
      <c r="D33" s="285" t="s">
        <v>1311</v>
      </c>
      <c r="E33" s="152" t="s">
        <v>1312</v>
      </c>
      <c r="F33" s="135" t="s">
        <v>1313</v>
      </c>
    </row>
    <row r="34" spans="2:6" ht="29.1">
      <c r="B34" s="136" t="s">
        <v>1314</v>
      </c>
      <c r="C34" s="137" t="s">
        <v>1315</v>
      </c>
      <c r="D34" s="138" t="s">
        <v>1316</v>
      </c>
      <c r="E34" s="97" t="s">
        <v>1317</v>
      </c>
      <c r="F34" s="196" t="s">
        <v>1313</v>
      </c>
    </row>
    <row r="35" spans="2:6" ht="29.1">
      <c r="B35" s="136" t="s">
        <v>1314</v>
      </c>
      <c r="C35" s="137" t="s">
        <v>1315</v>
      </c>
      <c r="D35" s="138" t="s">
        <v>1316</v>
      </c>
      <c r="E35" s="152" t="s">
        <v>1318</v>
      </c>
      <c r="F35" s="196" t="s">
        <v>1313</v>
      </c>
    </row>
    <row r="36" spans="2:6" ht="29.1">
      <c r="B36" s="176" t="s">
        <v>1319</v>
      </c>
      <c r="C36" s="177" t="s">
        <v>1315</v>
      </c>
      <c r="D36" s="55" t="s">
        <v>1320</v>
      </c>
      <c r="E36" s="97" t="s">
        <v>1321</v>
      </c>
      <c r="F36" s="196" t="s">
        <v>1313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O37"/>
  <sheetViews>
    <sheetView showGridLines="0" topLeftCell="D6" workbookViewId="0">
      <selection activeCell="D31" sqref="D31"/>
    </sheetView>
  </sheetViews>
  <sheetFormatPr defaultRowHeight="14.4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row r="2" spans="2:40">
      <c r="B2" s="77" t="s">
        <v>1322</v>
      </c>
      <c r="C2" s="77" t="s">
        <v>1250</v>
      </c>
      <c r="D2" s="77" t="s">
        <v>1251</v>
      </c>
      <c r="E2" s="77" t="s">
        <v>1252</v>
      </c>
      <c r="F2" s="77" t="s">
        <v>1253</v>
      </c>
      <c r="G2" s="77" t="s">
        <v>1254</v>
      </c>
      <c r="H2" s="77" t="s">
        <v>1255</v>
      </c>
      <c r="I2" s="77" t="s">
        <v>103</v>
      </c>
      <c r="J2" s="77" t="s">
        <v>134</v>
      </c>
      <c r="K2" s="77" t="s">
        <v>155</v>
      </c>
      <c r="L2" s="77" t="s">
        <v>162</v>
      </c>
      <c r="M2" s="77" t="s">
        <v>190</v>
      </c>
      <c r="N2" s="77" t="s">
        <v>176</v>
      </c>
      <c r="O2" s="77" t="s">
        <v>203</v>
      </c>
      <c r="P2" s="77" t="s">
        <v>307</v>
      </c>
      <c r="Q2" s="77" t="s">
        <v>144</v>
      </c>
      <c r="R2" s="77" t="s">
        <v>289</v>
      </c>
      <c r="S2" s="77" t="s">
        <v>299</v>
      </c>
      <c r="T2" s="77" t="s">
        <v>314</v>
      </c>
      <c r="U2" s="77" t="s">
        <v>389</v>
      </c>
      <c r="V2" s="77" t="s">
        <v>1323</v>
      </c>
      <c r="W2" s="77" t="s">
        <v>1324</v>
      </c>
      <c r="X2" s="77" t="s">
        <v>453</v>
      </c>
      <c r="Y2" s="77" t="s">
        <v>468</v>
      </c>
      <c r="Z2" s="77" t="s">
        <v>482</v>
      </c>
      <c r="AA2" s="77" t="s">
        <v>1325</v>
      </c>
      <c r="AB2" s="77" t="s">
        <v>1326</v>
      </c>
      <c r="AC2" s="77" t="s">
        <v>1327</v>
      </c>
      <c r="AD2" s="77" t="s">
        <v>1328</v>
      </c>
      <c r="AE2" s="77" t="s">
        <v>1329</v>
      </c>
      <c r="AF2" s="77" t="s">
        <v>626</v>
      </c>
      <c r="AG2" s="77" t="s">
        <v>636</v>
      </c>
      <c r="AH2" s="77" t="s">
        <v>644</v>
      </c>
      <c r="AI2" s="77" t="s">
        <v>652</v>
      </c>
      <c r="AJ2" s="77" t="s">
        <v>669</v>
      </c>
      <c r="AK2" s="77" t="s">
        <v>678</v>
      </c>
      <c r="AL2" s="77" t="s">
        <v>214</v>
      </c>
      <c r="AM2" s="77" t="s">
        <v>234</v>
      </c>
      <c r="AN2" s="77" t="s">
        <v>253</v>
      </c>
    </row>
    <row r="3" spans="2:40" s="94" customFormat="1">
      <c r="B3" s="48" t="s">
        <v>1203</v>
      </c>
      <c r="C3" s="48">
        <v>1</v>
      </c>
      <c r="D3" s="48" t="s">
        <v>1330</v>
      </c>
      <c r="E3" s="95">
        <v>45422</v>
      </c>
      <c r="F3" s="48">
        <v>1</v>
      </c>
      <c r="G3" s="98">
        <v>1</v>
      </c>
      <c r="H3" s="98">
        <v>3529</v>
      </c>
      <c r="I3" s="48" t="s">
        <v>1257</v>
      </c>
      <c r="J3" s="48" t="s">
        <v>1257</v>
      </c>
      <c r="K3" s="48" t="s">
        <v>1257</v>
      </c>
      <c r="L3" s="48" t="s">
        <v>1257</v>
      </c>
      <c r="M3" s="48" t="s">
        <v>1257</v>
      </c>
      <c r="N3" s="48" t="s">
        <v>1257</v>
      </c>
      <c r="O3" s="48" t="s">
        <v>1257</v>
      </c>
      <c r="P3" s="48" t="s">
        <v>1257</v>
      </c>
      <c r="Q3" s="48" t="s">
        <v>1257</v>
      </c>
      <c r="R3" s="48" t="s">
        <v>1257</v>
      </c>
      <c r="S3" s="48" t="s">
        <v>1257</v>
      </c>
      <c r="T3" s="48" t="s">
        <v>1257</v>
      </c>
      <c r="U3" s="48" t="s">
        <v>1257</v>
      </c>
      <c r="V3" s="48" t="s">
        <v>1257</v>
      </c>
      <c r="W3" s="48" t="s">
        <v>1257</v>
      </c>
      <c r="X3" s="48" t="s">
        <v>1257</v>
      </c>
      <c r="Y3" s="48" t="s">
        <v>1257</v>
      </c>
      <c r="Z3" s="48" t="s">
        <v>1257</v>
      </c>
      <c r="AA3" s="48" t="s">
        <v>1257</v>
      </c>
      <c r="AB3" s="48" t="s">
        <v>1257</v>
      </c>
      <c r="AC3" s="48" t="s">
        <v>1257</v>
      </c>
      <c r="AD3" s="48" t="s">
        <v>1257</v>
      </c>
      <c r="AE3" s="48" t="s">
        <v>1257</v>
      </c>
      <c r="AF3" s="48" t="s">
        <v>1257</v>
      </c>
      <c r="AG3" s="48" t="s">
        <v>1257</v>
      </c>
      <c r="AH3" s="48" t="s">
        <v>1257</v>
      </c>
      <c r="AI3" s="48" t="s">
        <v>1257</v>
      </c>
      <c r="AJ3" s="48" t="s">
        <v>1257</v>
      </c>
      <c r="AK3" s="48" t="s">
        <v>1257</v>
      </c>
      <c r="AL3" s="48" t="s">
        <v>1257</v>
      </c>
      <c r="AM3" s="48" t="s">
        <v>1257</v>
      </c>
      <c r="AN3" s="48" t="s">
        <v>1257</v>
      </c>
    </row>
    <row r="4" spans="2:40" s="94" customFormat="1">
      <c r="B4" s="48" t="s">
        <v>1205</v>
      </c>
      <c r="C4" s="48">
        <v>2</v>
      </c>
      <c r="D4" s="48" t="s">
        <v>1331</v>
      </c>
      <c r="E4" s="95">
        <v>45422</v>
      </c>
      <c r="F4" s="48">
        <v>1</v>
      </c>
      <c r="G4" s="98">
        <v>1</v>
      </c>
      <c r="H4" s="48" t="s">
        <v>1266</v>
      </c>
      <c r="I4" s="48" t="s">
        <v>1257</v>
      </c>
      <c r="J4" s="48" t="s">
        <v>1257</v>
      </c>
      <c r="K4" s="48" t="s">
        <v>1257</v>
      </c>
      <c r="L4" s="48" t="s">
        <v>1257</v>
      </c>
      <c r="M4" s="48" t="s">
        <v>1257</v>
      </c>
      <c r="N4" s="48" t="s">
        <v>1257</v>
      </c>
      <c r="O4" s="48" t="s">
        <v>1257</v>
      </c>
      <c r="P4" s="48" t="s">
        <v>1257</v>
      </c>
      <c r="Q4" s="48" t="s">
        <v>1257</v>
      </c>
      <c r="R4" s="48" t="s">
        <v>1257</v>
      </c>
      <c r="S4" s="48" t="s">
        <v>1257</v>
      </c>
      <c r="T4" s="48" t="s">
        <v>1257</v>
      </c>
      <c r="U4" s="48" t="s">
        <v>1257</v>
      </c>
      <c r="V4" s="48" t="s">
        <v>1257</v>
      </c>
      <c r="W4" s="48" t="s">
        <v>1257</v>
      </c>
      <c r="X4" s="48" t="s">
        <v>1257</v>
      </c>
      <c r="Y4" s="48" t="s">
        <v>1257</v>
      </c>
      <c r="Z4" s="48" t="s">
        <v>1257</v>
      </c>
      <c r="AA4" s="48" t="s">
        <v>1257</v>
      </c>
      <c r="AB4" s="48" t="s">
        <v>1257</v>
      </c>
      <c r="AC4" s="48" t="s">
        <v>1257</v>
      </c>
      <c r="AD4" s="48" t="s">
        <v>1257</v>
      </c>
      <c r="AE4" s="48" t="s">
        <v>1257</v>
      </c>
      <c r="AF4" s="48" t="s">
        <v>1257</v>
      </c>
      <c r="AG4" s="48" t="s">
        <v>1257</v>
      </c>
      <c r="AH4" s="48" t="s">
        <v>1257</v>
      </c>
      <c r="AI4" s="48" t="s">
        <v>1257</v>
      </c>
      <c r="AJ4" s="48" t="s">
        <v>1257</v>
      </c>
      <c r="AK4" s="48" t="s">
        <v>1257</v>
      </c>
      <c r="AL4" s="48" t="s">
        <v>1257</v>
      </c>
      <c r="AM4" s="48" t="s">
        <v>1257</v>
      </c>
      <c r="AN4" s="48" t="s">
        <v>1257</v>
      </c>
    </row>
    <row r="5" spans="2:40" s="94" customFormat="1">
      <c r="B5" s="48" t="s">
        <v>1207</v>
      </c>
      <c r="C5" s="48">
        <v>3</v>
      </c>
      <c r="D5" s="48" t="s">
        <v>1332</v>
      </c>
      <c r="E5" s="95">
        <v>45422</v>
      </c>
      <c r="F5" s="48">
        <v>1</v>
      </c>
      <c r="G5" s="98">
        <v>1</v>
      </c>
      <c r="H5" s="48" t="s">
        <v>1266</v>
      </c>
      <c r="I5" s="48">
        <v>0</v>
      </c>
      <c r="J5" s="48">
        <v>0</v>
      </c>
      <c r="K5" s="48" t="s">
        <v>1257</v>
      </c>
      <c r="L5" s="48" t="s">
        <v>1257</v>
      </c>
      <c r="M5" s="48" t="s">
        <v>1257</v>
      </c>
      <c r="N5" s="48" t="s">
        <v>1257</v>
      </c>
      <c r="O5" s="48" t="s">
        <v>1257</v>
      </c>
      <c r="P5" s="48" t="s">
        <v>1257</v>
      </c>
      <c r="Q5" s="48" t="s">
        <v>1257</v>
      </c>
      <c r="R5" s="48" t="s">
        <v>1257</v>
      </c>
      <c r="S5" s="48" t="s">
        <v>1257</v>
      </c>
      <c r="T5" s="48" t="s">
        <v>1257</v>
      </c>
      <c r="U5" s="48" t="s">
        <v>1257</v>
      </c>
      <c r="V5" s="48" t="s">
        <v>1257</v>
      </c>
      <c r="W5" s="48" t="s">
        <v>1257</v>
      </c>
      <c r="X5" s="48" t="s">
        <v>1257</v>
      </c>
      <c r="Y5" s="48" t="s">
        <v>1257</v>
      </c>
      <c r="Z5" s="48" t="s">
        <v>1257</v>
      </c>
      <c r="AA5" s="48" t="s">
        <v>1257</v>
      </c>
      <c r="AB5" s="48" t="s">
        <v>1257</v>
      </c>
      <c r="AC5" s="48" t="s">
        <v>1257</v>
      </c>
      <c r="AD5" s="48" t="s">
        <v>1257</v>
      </c>
      <c r="AE5" s="48" t="s">
        <v>1257</v>
      </c>
      <c r="AF5" s="48" t="s">
        <v>1257</v>
      </c>
      <c r="AG5" s="48" t="s">
        <v>1257</v>
      </c>
      <c r="AH5" s="48" t="s">
        <v>1257</v>
      </c>
      <c r="AI5" s="48" t="s">
        <v>1257</v>
      </c>
      <c r="AJ5" s="48" t="s">
        <v>1257</v>
      </c>
      <c r="AK5" s="48" t="s">
        <v>1257</v>
      </c>
      <c r="AL5" s="48" t="s">
        <v>1257</v>
      </c>
      <c r="AM5" s="48">
        <v>0</v>
      </c>
      <c r="AN5" s="48" t="s">
        <v>1257</v>
      </c>
    </row>
    <row r="6" spans="2:40" s="94" customFormat="1">
      <c r="B6" s="97" t="s">
        <v>1209</v>
      </c>
      <c r="C6" s="48">
        <v>4</v>
      </c>
      <c r="D6" s="48" t="s">
        <v>1260</v>
      </c>
      <c r="E6" s="95" t="s">
        <v>1257</v>
      </c>
      <c r="F6" s="48">
        <v>1</v>
      </c>
      <c r="G6" s="95" t="s">
        <v>1257</v>
      </c>
      <c r="H6" s="48" t="s">
        <v>1266</v>
      </c>
      <c r="I6" s="48" t="s">
        <v>1257</v>
      </c>
      <c r="J6" s="48" t="s">
        <v>1257</v>
      </c>
      <c r="K6" s="48" t="s">
        <v>1257</v>
      </c>
      <c r="L6" s="48" t="s">
        <v>1257</v>
      </c>
      <c r="M6" s="48" t="s">
        <v>1257</v>
      </c>
      <c r="N6" s="48" t="s">
        <v>1257</v>
      </c>
      <c r="O6" s="48" t="s">
        <v>1257</v>
      </c>
      <c r="P6" s="48" t="s">
        <v>1257</v>
      </c>
      <c r="Q6" s="48" t="s">
        <v>1257</v>
      </c>
      <c r="R6" s="48" t="s">
        <v>1257</v>
      </c>
      <c r="S6" s="48" t="s">
        <v>1257</v>
      </c>
      <c r="T6" s="48" t="s">
        <v>1257</v>
      </c>
      <c r="U6" s="48" t="s">
        <v>1257</v>
      </c>
      <c r="V6" s="48" t="s">
        <v>1257</v>
      </c>
      <c r="W6" s="48" t="s">
        <v>1257</v>
      </c>
      <c r="X6" s="48" t="s">
        <v>1257</v>
      </c>
      <c r="Y6" s="48" t="s">
        <v>1257</v>
      </c>
      <c r="Z6" s="48" t="s">
        <v>1257</v>
      </c>
      <c r="AA6" s="48" t="s">
        <v>1257</v>
      </c>
      <c r="AB6" s="48" t="s">
        <v>1257</v>
      </c>
      <c r="AC6" s="48" t="s">
        <v>1257</v>
      </c>
      <c r="AD6" s="48" t="s">
        <v>1257</v>
      </c>
      <c r="AE6" s="48" t="s">
        <v>1257</v>
      </c>
      <c r="AF6" s="48" t="s">
        <v>1257</v>
      </c>
      <c r="AG6" s="48" t="s">
        <v>1257</v>
      </c>
      <c r="AH6" s="48" t="s">
        <v>1257</v>
      </c>
      <c r="AI6" s="48" t="s">
        <v>1257</v>
      </c>
      <c r="AJ6" s="48" t="s">
        <v>1257</v>
      </c>
      <c r="AK6" s="48" t="s">
        <v>1257</v>
      </c>
      <c r="AL6" s="48" t="s">
        <v>1257</v>
      </c>
      <c r="AM6" s="48" t="s">
        <v>1257</v>
      </c>
      <c r="AN6" s="48" t="s">
        <v>1257</v>
      </c>
    </row>
    <row r="7" spans="2:40" s="94" customFormat="1">
      <c r="B7" s="48" t="s">
        <v>1211</v>
      </c>
      <c r="C7" s="48">
        <v>5</v>
      </c>
      <c r="D7" s="48" t="s">
        <v>1260</v>
      </c>
      <c r="E7" s="95" t="s">
        <v>1257</v>
      </c>
      <c r="F7" s="48">
        <v>1</v>
      </c>
      <c r="G7" s="95" t="s">
        <v>1257</v>
      </c>
      <c r="H7" s="48" t="s">
        <v>1266</v>
      </c>
      <c r="I7" s="48" t="s">
        <v>1257</v>
      </c>
      <c r="J7" s="48" t="s">
        <v>1257</v>
      </c>
      <c r="K7" s="48" t="s">
        <v>1257</v>
      </c>
      <c r="L7" s="48" t="s">
        <v>1257</v>
      </c>
      <c r="M7" s="48" t="s">
        <v>1257</v>
      </c>
      <c r="N7" s="48" t="s">
        <v>1257</v>
      </c>
      <c r="O7" s="48" t="s">
        <v>1257</v>
      </c>
      <c r="P7" s="48" t="s">
        <v>1257</v>
      </c>
      <c r="Q7" s="48" t="s">
        <v>1257</v>
      </c>
      <c r="R7" s="48" t="s">
        <v>1257</v>
      </c>
      <c r="S7" s="48" t="s">
        <v>1257</v>
      </c>
      <c r="T7" s="48" t="s">
        <v>1257</v>
      </c>
      <c r="U7" s="48" t="s">
        <v>1257</v>
      </c>
      <c r="V7" s="48" t="s">
        <v>1257</v>
      </c>
      <c r="W7" s="48" t="s">
        <v>1257</v>
      </c>
      <c r="X7" s="48" t="s">
        <v>1257</v>
      </c>
      <c r="Y7" s="48" t="s">
        <v>1257</v>
      </c>
      <c r="Z7" s="48" t="s">
        <v>1257</v>
      </c>
      <c r="AA7" s="48" t="s">
        <v>1257</v>
      </c>
      <c r="AB7" s="48" t="s">
        <v>1257</v>
      </c>
      <c r="AC7" s="48" t="s">
        <v>1257</v>
      </c>
      <c r="AD7" s="48" t="s">
        <v>1257</v>
      </c>
      <c r="AE7" s="48" t="s">
        <v>1257</v>
      </c>
      <c r="AF7" s="48" t="s">
        <v>1257</v>
      </c>
      <c r="AG7" s="48" t="s">
        <v>1257</v>
      </c>
      <c r="AH7" s="48" t="s">
        <v>1257</v>
      </c>
      <c r="AI7" s="48" t="s">
        <v>1257</v>
      </c>
      <c r="AJ7" s="48" t="s">
        <v>1257</v>
      </c>
      <c r="AK7" s="48" t="s">
        <v>1257</v>
      </c>
      <c r="AL7" s="48" t="s">
        <v>1257</v>
      </c>
      <c r="AM7" s="48" t="s">
        <v>1257</v>
      </c>
      <c r="AN7" s="48" t="s">
        <v>1257</v>
      </c>
    </row>
    <row r="8" spans="2:40" s="94" customFormat="1">
      <c r="B8" s="48" t="s">
        <v>1212</v>
      </c>
      <c r="C8" s="48">
        <v>6</v>
      </c>
      <c r="D8" s="48" t="s">
        <v>1333</v>
      </c>
      <c r="E8" s="95">
        <v>45422</v>
      </c>
      <c r="F8" s="48">
        <v>1</v>
      </c>
      <c r="G8" s="48" cm="1">
        <f t="array" ref="G8">SUMPRODUCT(--(I8:AN8&gt;0))/COUNTA(I8:AN8)</f>
        <v>1</v>
      </c>
      <c r="H8" s="48" t="s">
        <v>1266</v>
      </c>
      <c r="I8" s="48">
        <v>2</v>
      </c>
      <c r="J8" s="48">
        <v>30</v>
      </c>
      <c r="K8" s="48">
        <v>3</v>
      </c>
      <c r="L8" s="48">
        <v>3</v>
      </c>
      <c r="M8" s="48">
        <v>3</v>
      </c>
      <c r="N8" s="48">
        <v>2</v>
      </c>
      <c r="O8" s="48">
        <v>30</v>
      </c>
      <c r="P8" s="48">
        <v>2</v>
      </c>
      <c r="Q8" s="48">
        <v>15</v>
      </c>
      <c r="R8" s="48">
        <v>10</v>
      </c>
      <c r="S8" s="48">
        <v>10</v>
      </c>
      <c r="T8" s="48">
        <v>3</v>
      </c>
      <c r="U8" s="48">
        <v>1</v>
      </c>
      <c r="V8" s="48">
        <v>9</v>
      </c>
      <c r="W8" s="48">
        <v>9</v>
      </c>
      <c r="X8" s="48">
        <v>8</v>
      </c>
      <c r="Y8" s="48">
        <v>8</v>
      </c>
      <c r="Z8" s="48">
        <v>8</v>
      </c>
      <c r="AA8" s="48">
        <v>10</v>
      </c>
      <c r="AB8" s="48">
        <v>10</v>
      </c>
      <c r="AC8" s="48">
        <v>8</v>
      </c>
      <c r="AD8" s="48">
        <v>8</v>
      </c>
      <c r="AE8" s="48">
        <v>3</v>
      </c>
      <c r="AF8" s="48">
        <v>3</v>
      </c>
      <c r="AG8" s="48">
        <v>8</v>
      </c>
      <c r="AH8" s="48">
        <v>8</v>
      </c>
      <c r="AI8" s="48">
        <v>8</v>
      </c>
      <c r="AJ8" s="48">
        <v>3</v>
      </c>
      <c r="AK8" s="48">
        <v>3</v>
      </c>
      <c r="AL8" s="48">
        <v>2</v>
      </c>
      <c r="AM8" s="48">
        <v>10</v>
      </c>
      <c r="AN8" s="48">
        <v>22</v>
      </c>
    </row>
    <row r="9" spans="2:40" s="94" customFormat="1">
      <c r="B9" s="48" t="s">
        <v>1215</v>
      </c>
      <c r="C9" s="48">
        <v>7</v>
      </c>
      <c r="D9" s="48" t="s">
        <v>1334</v>
      </c>
      <c r="E9" s="95">
        <v>45422</v>
      </c>
      <c r="F9" s="48">
        <v>1</v>
      </c>
      <c r="G9" s="48" cm="1">
        <f t="array" ref="G9">SUMPRODUCT(--(H9:AN9 &lt;= H28:AN28))/COUNTA(H28:AN28)</f>
        <v>1</v>
      </c>
      <c r="H9" s="48" t="s">
        <v>1266</v>
      </c>
      <c r="I9" s="48">
        <v>2</v>
      </c>
      <c r="J9" s="48">
        <v>30</v>
      </c>
      <c r="K9" s="48">
        <v>3</v>
      </c>
      <c r="L9" s="48">
        <v>3</v>
      </c>
      <c r="M9" s="48">
        <v>3</v>
      </c>
      <c r="N9" s="48">
        <v>2</v>
      </c>
      <c r="O9" s="48">
        <v>30</v>
      </c>
      <c r="P9" s="48">
        <v>2</v>
      </c>
      <c r="Q9" s="48">
        <v>15</v>
      </c>
      <c r="R9" s="48">
        <v>10</v>
      </c>
      <c r="S9" s="48">
        <v>10</v>
      </c>
      <c r="T9" s="48">
        <v>3</v>
      </c>
      <c r="U9" s="48">
        <v>1</v>
      </c>
      <c r="V9" s="48">
        <v>14</v>
      </c>
      <c r="W9" s="48">
        <v>14</v>
      </c>
      <c r="X9" s="48">
        <v>14</v>
      </c>
      <c r="Y9" s="48">
        <v>13</v>
      </c>
      <c r="Z9" s="48">
        <v>13</v>
      </c>
      <c r="AA9" s="48">
        <v>10</v>
      </c>
      <c r="AB9" s="48">
        <v>10</v>
      </c>
      <c r="AC9" s="48">
        <v>13</v>
      </c>
      <c r="AD9" s="48">
        <v>13</v>
      </c>
      <c r="AE9" s="48">
        <v>3</v>
      </c>
      <c r="AF9" s="48">
        <v>3</v>
      </c>
      <c r="AG9" s="48">
        <v>8</v>
      </c>
      <c r="AH9" s="48">
        <v>8</v>
      </c>
      <c r="AI9" s="48">
        <v>9</v>
      </c>
      <c r="AJ9" s="48">
        <v>3</v>
      </c>
      <c r="AK9" s="48">
        <v>3</v>
      </c>
      <c r="AL9" s="48">
        <v>2</v>
      </c>
      <c r="AM9" s="48">
        <v>10</v>
      </c>
      <c r="AN9" s="48">
        <v>22</v>
      </c>
    </row>
    <row r="10" spans="2:40" s="94" customFormat="1">
      <c r="B10" s="97" t="s">
        <v>1218</v>
      </c>
      <c r="C10" s="48">
        <v>8</v>
      </c>
      <c r="D10" s="48" t="s">
        <v>1335</v>
      </c>
      <c r="E10" s="95">
        <v>45422</v>
      </c>
      <c r="F10" s="48">
        <v>1</v>
      </c>
      <c r="G10" s="95" t="s">
        <v>1257</v>
      </c>
      <c r="H10" s="48" t="s">
        <v>1266</v>
      </c>
      <c r="I10" s="48">
        <v>31</v>
      </c>
      <c r="J10" s="48">
        <v>3.1000473009206903E+26</v>
      </c>
      <c r="K10" s="48" t="s">
        <v>1336</v>
      </c>
      <c r="L10" s="48">
        <v>90</v>
      </c>
      <c r="M10" s="48">
        <v>1</v>
      </c>
      <c r="N10" s="48">
        <v>31</v>
      </c>
      <c r="O10" s="48">
        <v>3.7234600100000003E+23</v>
      </c>
      <c r="P10" s="48">
        <v>31</v>
      </c>
      <c r="Q10" s="48">
        <v>310004730092</v>
      </c>
      <c r="R10" s="95" t="s">
        <v>1265</v>
      </c>
      <c r="S10" s="95">
        <v>33584</v>
      </c>
      <c r="T10" s="95">
        <v>978</v>
      </c>
      <c r="U10" s="95">
        <v>0</v>
      </c>
      <c r="V10" s="95">
        <v>22860000</v>
      </c>
      <c r="W10" s="95">
        <v>22860000</v>
      </c>
      <c r="X10" s="48" t="s">
        <v>1266</v>
      </c>
      <c r="Y10" s="95" t="s">
        <v>1266</v>
      </c>
      <c r="Z10" s="95" t="s">
        <v>1266</v>
      </c>
      <c r="AA10" s="95">
        <v>33588</v>
      </c>
      <c r="AB10" s="98" t="s">
        <v>1265</v>
      </c>
      <c r="AC10" s="98" t="s">
        <v>1266</v>
      </c>
      <c r="AD10" s="98" t="s">
        <v>1266</v>
      </c>
      <c r="AE10" s="48" t="s">
        <v>1337</v>
      </c>
      <c r="AF10" s="48" t="s">
        <v>1338</v>
      </c>
      <c r="AG10" s="98">
        <v>1900000</v>
      </c>
      <c r="AH10" s="98">
        <v>1900000</v>
      </c>
      <c r="AI10" s="98" t="s">
        <v>1266</v>
      </c>
      <c r="AJ10" s="98" t="s">
        <v>1336</v>
      </c>
      <c r="AK10" s="48" t="s">
        <v>1268</v>
      </c>
      <c r="AL10" s="48" t="s">
        <v>1339</v>
      </c>
      <c r="AM10" s="95">
        <v>45422</v>
      </c>
      <c r="AN10" s="95" t="s">
        <v>1340</v>
      </c>
    </row>
    <row r="11" spans="2:40" s="94" customFormat="1">
      <c r="B11" s="48" t="s">
        <v>1220</v>
      </c>
      <c r="C11" s="48">
        <v>9</v>
      </c>
      <c r="D11" s="48" t="s">
        <v>1341</v>
      </c>
      <c r="E11" s="95">
        <v>45422</v>
      </c>
      <c r="F11" s="48">
        <v>1</v>
      </c>
      <c r="G11" s="95" t="s">
        <v>1257</v>
      </c>
      <c r="H11" s="48" t="s">
        <v>1266</v>
      </c>
      <c r="I11" s="48">
        <v>31</v>
      </c>
      <c r="J11" s="48">
        <v>3.1000473009206903E+26</v>
      </c>
      <c r="K11" s="48">
        <v>31</v>
      </c>
      <c r="L11" s="48">
        <v>90</v>
      </c>
      <c r="M11" s="48">
        <v>1</v>
      </c>
      <c r="N11" s="48">
        <v>31</v>
      </c>
      <c r="O11" s="48">
        <v>3.7234600100000003E+23</v>
      </c>
      <c r="P11" s="48">
        <v>31</v>
      </c>
      <c r="Q11" s="48">
        <v>310004730092</v>
      </c>
      <c r="R11" s="48" t="s">
        <v>1265</v>
      </c>
      <c r="S11" s="95">
        <v>33584</v>
      </c>
      <c r="T11" s="95">
        <v>978</v>
      </c>
      <c r="U11" s="95">
        <v>0</v>
      </c>
      <c r="V11" s="95" t="s">
        <v>1342</v>
      </c>
      <c r="W11" s="95" t="s">
        <v>1342</v>
      </c>
      <c r="X11" s="48" t="s">
        <v>1343</v>
      </c>
      <c r="Y11" s="95" t="s">
        <v>1343</v>
      </c>
      <c r="Z11" s="95" t="s">
        <v>1343</v>
      </c>
      <c r="AA11" s="95">
        <v>33588</v>
      </c>
      <c r="AB11" s="48" t="s">
        <v>1265</v>
      </c>
      <c r="AC11" s="48" t="s">
        <v>1343</v>
      </c>
      <c r="AD11" s="48" t="s">
        <v>1343</v>
      </c>
      <c r="AE11" s="48" t="s">
        <v>1337</v>
      </c>
      <c r="AF11" s="48" t="s">
        <v>1338</v>
      </c>
      <c r="AG11" s="98">
        <v>19000000000</v>
      </c>
      <c r="AH11" s="98">
        <v>190000</v>
      </c>
      <c r="AI11" s="98" t="s">
        <v>1344</v>
      </c>
      <c r="AJ11" s="98" t="s">
        <v>1345</v>
      </c>
      <c r="AK11" s="48" t="s">
        <v>1272</v>
      </c>
      <c r="AL11" s="48" t="s">
        <v>1339</v>
      </c>
      <c r="AM11" s="95">
        <v>45422</v>
      </c>
      <c r="AN11" s="95" t="s">
        <v>1346</v>
      </c>
    </row>
    <row r="12" spans="2:40" s="94" customFormat="1">
      <c r="B12" s="48" t="s">
        <v>1222</v>
      </c>
      <c r="C12" s="48">
        <v>10</v>
      </c>
      <c r="D12" s="48" t="s">
        <v>1347</v>
      </c>
      <c r="E12" s="95">
        <v>45422</v>
      </c>
      <c r="F12" s="48">
        <v>1</v>
      </c>
      <c r="G12" s="95" t="s">
        <v>1257</v>
      </c>
      <c r="H12" s="48" t="s">
        <v>1266</v>
      </c>
      <c r="I12" s="48">
        <v>31</v>
      </c>
      <c r="J12" s="48">
        <v>5.4260000009409003E+29</v>
      </c>
      <c r="K12" s="99" t="s">
        <v>1336</v>
      </c>
      <c r="L12" s="48">
        <v>92</v>
      </c>
      <c r="M12" s="48" t="s">
        <v>1348</v>
      </c>
      <c r="N12" s="48">
        <v>31</v>
      </c>
      <c r="O12" s="48">
        <v>2.3850155708002E+29</v>
      </c>
      <c r="P12" s="48">
        <v>31</v>
      </c>
      <c r="Q12" s="48">
        <v>542600000094090</v>
      </c>
      <c r="R12" s="95">
        <v>45422</v>
      </c>
      <c r="S12" s="95">
        <v>45802</v>
      </c>
      <c r="T12" s="95">
        <v>978</v>
      </c>
      <c r="U12" s="95">
        <v>1</v>
      </c>
      <c r="V12" s="95">
        <v>6500000000000</v>
      </c>
      <c r="W12" s="95">
        <v>1000000000000</v>
      </c>
      <c r="X12" s="98">
        <v>1000000000000</v>
      </c>
      <c r="Y12" s="95">
        <v>320000000000</v>
      </c>
      <c r="Z12" s="95">
        <v>168000000000</v>
      </c>
      <c r="AA12" s="98">
        <v>45805</v>
      </c>
      <c r="AB12" s="98">
        <v>43962</v>
      </c>
      <c r="AC12" s="98">
        <v>149639370000</v>
      </c>
      <c r="AD12" s="98">
        <v>663500000000</v>
      </c>
      <c r="AE12" s="98" t="s">
        <v>1337</v>
      </c>
      <c r="AF12" s="98" t="s">
        <v>1338</v>
      </c>
      <c r="AG12" s="98">
        <v>1900000</v>
      </c>
      <c r="AH12" s="98">
        <v>1900000</v>
      </c>
      <c r="AI12" s="98">
        <v>32000000</v>
      </c>
      <c r="AJ12" s="98" t="s">
        <v>1336</v>
      </c>
      <c r="AK12" s="98" t="s">
        <v>1268</v>
      </c>
      <c r="AL12" s="48" t="s">
        <v>1277</v>
      </c>
      <c r="AM12" s="95">
        <v>45422</v>
      </c>
      <c r="AN12" s="95" t="s">
        <v>1340</v>
      </c>
    </row>
    <row r="13" spans="2:40" s="94" customFormat="1">
      <c r="B13" s="48" t="s">
        <v>1224</v>
      </c>
      <c r="C13" s="48">
        <v>11</v>
      </c>
      <c r="D13" s="48" t="s">
        <v>1349</v>
      </c>
      <c r="E13" s="95">
        <v>45422</v>
      </c>
      <c r="F13" s="48">
        <v>1</v>
      </c>
      <c r="G13" s="95" t="s">
        <v>1257</v>
      </c>
      <c r="H13" s="48" t="s">
        <v>1266</v>
      </c>
      <c r="I13" s="48">
        <v>31</v>
      </c>
      <c r="J13" s="48">
        <v>5.4260000009409003E+29</v>
      </c>
      <c r="K13" s="48">
        <v>31</v>
      </c>
      <c r="L13" s="48">
        <v>92</v>
      </c>
      <c r="M13" s="48" t="s">
        <v>1348</v>
      </c>
      <c r="N13" s="48">
        <v>31</v>
      </c>
      <c r="O13" s="48">
        <v>2.3850155708002E+29</v>
      </c>
      <c r="P13" s="48">
        <v>31</v>
      </c>
      <c r="Q13" s="48">
        <v>542600000094090</v>
      </c>
      <c r="R13" s="95">
        <v>45422</v>
      </c>
      <c r="S13" s="95">
        <v>45802</v>
      </c>
      <c r="T13" s="95">
        <v>978</v>
      </c>
      <c r="U13" s="95">
        <v>1</v>
      </c>
      <c r="V13" s="95" t="s">
        <v>1350</v>
      </c>
      <c r="W13" s="95" t="s">
        <v>1351</v>
      </c>
      <c r="X13" s="48" t="s">
        <v>1351</v>
      </c>
      <c r="Y13" s="95" t="s">
        <v>1352</v>
      </c>
      <c r="Z13" s="95" t="s">
        <v>1353</v>
      </c>
      <c r="AA13" s="95">
        <v>45805</v>
      </c>
      <c r="AB13" s="95">
        <v>43962</v>
      </c>
      <c r="AC13" s="48" t="s">
        <v>1354</v>
      </c>
      <c r="AD13" s="98" t="s">
        <v>1355</v>
      </c>
      <c r="AE13" s="98" t="s">
        <v>1337</v>
      </c>
      <c r="AF13" s="98" t="s">
        <v>1338</v>
      </c>
      <c r="AG13" s="98">
        <v>19000000000</v>
      </c>
      <c r="AH13" s="98">
        <v>190000</v>
      </c>
      <c r="AI13" s="98">
        <v>3200000</v>
      </c>
      <c r="AJ13" s="98" t="s">
        <v>1356</v>
      </c>
      <c r="AK13" s="98" t="s">
        <v>1272</v>
      </c>
      <c r="AL13" s="48" t="s">
        <v>1277</v>
      </c>
      <c r="AM13" s="95">
        <v>45422</v>
      </c>
      <c r="AN13" s="95" t="s">
        <v>1357</v>
      </c>
    </row>
    <row r="14" spans="2:40" s="213" customFormat="1">
      <c r="B14" s="211" t="s">
        <v>1226</v>
      </c>
      <c r="C14" s="211">
        <v>12</v>
      </c>
      <c r="D14" s="211" t="s">
        <v>1358</v>
      </c>
      <c r="E14" s="212">
        <v>45422</v>
      </c>
      <c r="F14" s="211">
        <v>1</v>
      </c>
      <c r="G14" s="211">
        <v>0.875</v>
      </c>
      <c r="H14" s="211" t="s">
        <v>1266</v>
      </c>
      <c r="I14" s="211">
        <v>0</v>
      </c>
      <c r="J14" s="211">
        <v>0</v>
      </c>
      <c r="K14" s="211">
        <v>0</v>
      </c>
      <c r="L14" s="211">
        <v>0</v>
      </c>
      <c r="M14" s="211">
        <v>0</v>
      </c>
      <c r="N14" s="211">
        <v>0</v>
      </c>
      <c r="O14" s="211">
        <v>0</v>
      </c>
      <c r="P14" s="211">
        <v>0</v>
      </c>
      <c r="Q14" s="211">
        <v>0</v>
      </c>
      <c r="R14" s="211">
        <v>0</v>
      </c>
      <c r="S14" s="211">
        <v>0</v>
      </c>
      <c r="T14" s="211">
        <v>0</v>
      </c>
      <c r="U14" s="211">
        <v>0</v>
      </c>
      <c r="V14" s="211">
        <v>644</v>
      </c>
      <c r="W14" s="211">
        <v>0</v>
      </c>
      <c r="X14" s="211">
        <v>0</v>
      </c>
      <c r="Y14" s="211">
        <v>0</v>
      </c>
      <c r="Z14" s="211">
        <v>0</v>
      </c>
      <c r="AA14" s="211">
        <v>0</v>
      </c>
      <c r="AB14" s="211">
        <v>0</v>
      </c>
      <c r="AC14" s="211">
        <v>0</v>
      </c>
      <c r="AD14" s="211">
        <v>0</v>
      </c>
      <c r="AE14" s="211">
        <v>0</v>
      </c>
      <c r="AF14" s="211">
        <v>3528</v>
      </c>
      <c r="AG14" s="211">
        <v>3528</v>
      </c>
      <c r="AH14" s="211">
        <v>3528</v>
      </c>
      <c r="AI14" s="211">
        <v>0</v>
      </c>
      <c r="AJ14" s="211">
        <v>0</v>
      </c>
      <c r="AK14" s="211">
        <v>0</v>
      </c>
      <c r="AL14" s="211">
        <v>0</v>
      </c>
      <c r="AM14" s="211">
        <v>0</v>
      </c>
      <c r="AN14" s="211">
        <v>0</v>
      </c>
    </row>
    <row r="15" spans="2:40" s="94" customFormat="1">
      <c r="B15" s="48" t="s">
        <v>1228</v>
      </c>
      <c r="C15" s="48">
        <v>13</v>
      </c>
      <c r="D15" s="48" t="s">
        <v>1359</v>
      </c>
      <c r="E15" s="95">
        <v>45422</v>
      </c>
      <c r="F15" s="48">
        <v>1</v>
      </c>
      <c r="G15" s="98">
        <v>1</v>
      </c>
      <c r="H15" s="48" t="s">
        <v>1266</v>
      </c>
      <c r="I15" s="48" t="s">
        <v>1257</v>
      </c>
      <c r="J15" s="48" t="s">
        <v>1257</v>
      </c>
      <c r="K15" s="48" t="s">
        <v>1257</v>
      </c>
      <c r="L15" s="48" t="s">
        <v>1257</v>
      </c>
      <c r="M15" s="48" t="s">
        <v>1257</v>
      </c>
      <c r="N15" s="48" t="s">
        <v>1257</v>
      </c>
      <c r="O15" s="48" t="s">
        <v>1257</v>
      </c>
      <c r="P15" s="48" t="s">
        <v>1257</v>
      </c>
      <c r="Q15" s="48" t="s">
        <v>1257</v>
      </c>
      <c r="R15" s="97">
        <v>0</v>
      </c>
      <c r="S15" s="97">
        <v>0</v>
      </c>
      <c r="T15" s="97" t="s">
        <v>1257</v>
      </c>
      <c r="U15" s="97" t="s">
        <v>1257</v>
      </c>
      <c r="V15" s="97" t="s">
        <v>1257</v>
      </c>
      <c r="W15" s="97" t="s">
        <v>1257</v>
      </c>
      <c r="X15" s="48" t="s">
        <v>1257</v>
      </c>
      <c r="Y15" s="97" t="s">
        <v>1257</v>
      </c>
      <c r="Z15" s="97" t="s">
        <v>1257</v>
      </c>
      <c r="AA15" s="48">
        <v>0</v>
      </c>
      <c r="AB15" s="48">
        <v>0</v>
      </c>
      <c r="AC15" s="48" t="s">
        <v>1257</v>
      </c>
      <c r="AD15" s="48" t="s">
        <v>1257</v>
      </c>
      <c r="AE15" s="48" t="s">
        <v>1257</v>
      </c>
      <c r="AF15" s="48" t="s">
        <v>1257</v>
      </c>
      <c r="AG15" s="48" t="s">
        <v>1257</v>
      </c>
      <c r="AH15" s="48" t="s">
        <v>1257</v>
      </c>
      <c r="AI15" s="48" t="s">
        <v>1257</v>
      </c>
      <c r="AJ15" s="48" t="s">
        <v>1257</v>
      </c>
      <c r="AK15" s="48" t="s">
        <v>1257</v>
      </c>
      <c r="AL15" s="48" t="s">
        <v>1257</v>
      </c>
      <c r="AM15" s="48" t="s">
        <v>1257</v>
      </c>
      <c r="AN15" s="48" t="s">
        <v>1257</v>
      </c>
    </row>
    <row r="16" spans="2:40" s="94" customFormat="1">
      <c r="B16" s="48" t="s">
        <v>1230</v>
      </c>
      <c r="C16" s="48">
        <v>14</v>
      </c>
      <c r="D16" s="48" t="s">
        <v>1360</v>
      </c>
      <c r="E16" s="95">
        <v>45422</v>
      </c>
      <c r="F16" s="48">
        <v>1</v>
      </c>
      <c r="G16" s="98">
        <v>1</v>
      </c>
      <c r="H16" s="48" t="s">
        <v>1266</v>
      </c>
      <c r="I16" s="48">
        <v>0</v>
      </c>
      <c r="J16" s="48">
        <v>0</v>
      </c>
      <c r="K16" s="48">
        <v>0</v>
      </c>
      <c r="L16" s="48">
        <v>0</v>
      </c>
      <c r="M16" s="48">
        <v>0</v>
      </c>
      <c r="N16" s="48">
        <v>0</v>
      </c>
      <c r="O16" s="48">
        <v>0</v>
      </c>
      <c r="P16" s="48">
        <v>0</v>
      </c>
      <c r="Q16" s="48">
        <v>0</v>
      </c>
      <c r="R16" s="48" t="s">
        <v>1257</v>
      </c>
      <c r="S16" s="48" t="s">
        <v>1257</v>
      </c>
      <c r="T16" s="48">
        <v>0</v>
      </c>
      <c r="U16" s="48" t="s">
        <v>1257</v>
      </c>
      <c r="V16" s="48" t="s">
        <v>1257</v>
      </c>
      <c r="W16" s="48" t="s">
        <v>1257</v>
      </c>
      <c r="X16" s="97" t="s">
        <v>1257</v>
      </c>
      <c r="Y16" s="97" t="s">
        <v>1257</v>
      </c>
      <c r="Z16" s="48" t="s">
        <v>1257</v>
      </c>
      <c r="AA16" s="48" t="s">
        <v>1257</v>
      </c>
      <c r="AB16" s="48" t="s">
        <v>1257</v>
      </c>
      <c r="AC16" s="48" t="s">
        <v>1257</v>
      </c>
      <c r="AD16" s="48" t="s">
        <v>1257</v>
      </c>
      <c r="AE16" s="48">
        <v>0</v>
      </c>
      <c r="AF16" s="48">
        <v>0</v>
      </c>
      <c r="AG16" s="48" t="s">
        <v>1257</v>
      </c>
      <c r="AH16" s="48" t="s">
        <v>1257</v>
      </c>
      <c r="AI16" s="48" t="s">
        <v>1257</v>
      </c>
      <c r="AJ16" s="48">
        <v>0</v>
      </c>
      <c r="AK16" s="48">
        <v>0</v>
      </c>
      <c r="AL16" s="48" t="s">
        <v>1257</v>
      </c>
      <c r="AM16" s="48" t="s">
        <v>1257</v>
      </c>
      <c r="AN16" s="48" t="s">
        <v>1257</v>
      </c>
    </row>
    <row r="17" spans="2:41" s="94" customFormat="1">
      <c r="B17" s="48" t="s">
        <v>1232</v>
      </c>
      <c r="C17" s="48">
        <v>15</v>
      </c>
      <c r="D17" s="48" t="s">
        <v>1361</v>
      </c>
      <c r="E17" s="95">
        <v>45422</v>
      </c>
      <c r="F17" s="48">
        <v>1</v>
      </c>
      <c r="G17" s="98">
        <v>1</v>
      </c>
      <c r="H17" s="48" t="s">
        <v>1266</v>
      </c>
      <c r="I17" s="48" t="s">
        <v>1257</v>
      </c>
      <c r="J17" s="48" t="s">
        <v>1257</v>
      </c>
      <c r="K17" s="48" t="s">
        <v>1257</v>
      </c>
      <c r="L17" s="48" t="s">
        <v>1257</v>
      </c>
      <c r="M17" s="48" t="s">
        <v>1257</v>
      </c>
      <c r="N17" s="48" t="s">
        <v>1257</v>
      </c>
      <c r="O17" s="48" t="s">
        <v>1257</v>
      </c>
      <c r="P17" s="48" t="s">
        <v>1257</v>
      </c>
      <c r="Q17" s="48" t="s">
        <v>1257</v>
      </c>
      <c r="R17" s="48" t="s">
        <v>1257</v>
      </c>
      <c r="S17" s="48" t="s">
        <v>1257</v>
      </c>
      <c r="T17" s="48" t="s">
        <v>1257</v>
      </c>
      <c r="U17" s="48" t="s">
        <v>1257</v>
      </c>
      <c r="V17" s="48" t="s">
        <v>1257</v>
      </c>
      <c r="W17" s="48" t="s">
        <v>1257</v>
      </c>
      <c r="X17" s="97" t="s">
        <v>1257</v>
      </c>
      <c r="Y17" s="48" t="s">
        <v>1257</v>
      </c>
      <c r="Z17" s="48" t="s">
        <v>1257</v>
      </c>
      <c r="AA17" s="48" t="s">
        <v>1257</v>
      </c>
      <c r="AB17" s="48" t="s">
        <v>1257</v>
      </c>
      <c r="AC17" s="48" t="s">
        <v>1257</v>
      </c>
      <c r="AD17" s="48" t="s">
        <v>1257</v>
      </c>
      <c r="AE17" s="48" t="s">
        <v>1257</v>
      </c>
      <c r="AF17" s="48" t="s">
        <v>1257</v>
      </c>
      <c r="AG17" s="48" t="s">
        <v>1257</v>
      </c>
      <c r="AH17" s="48" t="s">
        <v>1257</v>
      </c>
      <c r="AI17" s="48" t="s">
        <v>1257</v>
      </c>
      <c r="AJ17" s="48" t="s">
        <v>1257</v>
      </c>
      <c r="AK17" s="48" t="s">
        <v>1257</v>
      </c>
      <c r="AL17" s="48" t="s">
        <v>1257</v>
      </c>
      <c r="AM17" s="48" t="s">
        <v>1257</v>
      </c>
      <c r="AN17" s="48" t="s">
        <v>1257</v>
      </c>
    </row>
    <row r="18" spans="2:41" s="94" customFormat="1">
      <c r="B18" s="48" t="s">
        <v>1234</v>
      </c>
      <c r="C18" s="48">
        <v>16</v>
      </c>
      <c r="D18" s="48" t="s">
        <v>1361</v>
      </c>
      <c r="E18" s="95">
        <v>45422</v>
      </c>
      <c r="F18" s="48">
        <v>1</v>
      </c>
      <c r="G18" s="98">
        <v>1</v>
      </c>
      <c r="H18" s="48" t="s">
        <v>1266</v>
      </c>
      <c r="I18" s="48" t="s">
        <v>1257</v>
      </c>
      <c r="J18" s="48" t="s">
        <v>1257</v>
      </c>
      <c r="K18" s="48" t="s">
        <v>1257</v>
      </c>
      <c r="L18" s="48" t="s">
        <v>1257</v>
      </c>
      <c r="M18" s="48" t="s">
        <v>1257</v>
      </c>
      <c r="N18" s="48" t="s">
        <v>1257</v>
      </c>
      <c r="O18" s="48" t="s">
        <v>1257</v>
      </c>
      <c r="P18" s="48" t="s">
        <v>1257</v>
      </c>
      <c r="Q18" s="48" t="s">
        <v>1257</v>
      </c>
      <c r="R18" s="48" t="s">
        <v>1257</v>
      </c>
      <c r="S18" s="48" t="s">
        <v>1257</v>
      </c>
      <c r="T18" s="48" t="s">
        <v>1257</v>
      </c>
      <c r="U18" s="48" t="s">
        <v>1257</v>
      </c>
      <c r="V18" s="48" t="s">
        <v>1257</v>
      </c>
      <c r="W18" s="48" t="s">
        <v>1257</v>
      </c>
      <c r="X18" s="48" t="s">
        <v>1257</v>
      </c>
      <c r="Y18" s="48" t="s">
        <v>1257</v>
      </c>
      <c r="Z18" s="48" t="s">
        <v>1257</v>
      </c>
      <c r="AA18" s="48" t="s">
        <v>1257</v>
      </c>
      <c r="AB18" s="48" t="s">
        <v>1257</v>
      </c>
      <c r="AC18" s="48" t="s">
        <v>1257</v>
      </c>
      <c r="AD18" s="48" t="s">
        <v>1257</v>
      </c>
      <c r="AE18" s="48" t="s">
        <v>1257</v>
      </c>
      <c r="AF18" s="48" t="s">
        <v>1257</v>
      </c>
      <c r="AG18" s="48" t="s">
        <v>1257</v>
      </c>
      <c r="AH18" s="48" t="s">
        <v>1257</v>
      </c>
      <c r="AI18" s="48" t="s">
        <v>1257</v>
      </c>
      <c r="AJ18" s="48" t="s">
        <v>1257</v>
      </c>
      <c r="AK18" s="48" t="s">
        <v>1257</v>
      </c>
      <c r="AL18" s="48" t="s">
        <v>1257</v>
      </c>
      <c r="AM18" s="48" t="s">
        <v>1257</v>
      </c>
      <c r="AN18" s="48" t="s">
        <v>1257</v>
      </c>
    </row>
    <row r="19" spans="2:41" s="94" customFormat="1">
      <c r="B19" s="48" t="s">
        <v>1236</v>
      </c>
      <c r="C19" s="48">
        <v>17</v>
      </c>
      <c r="D19" s="48" t="s">
        <v>1362</v>
      </c>
      <c r="E19" s="95">
        <v>45422</v>
      </c>
      <c r="F19" s="48">
        <v>1</v>
      </c>
      <c r="G19" s="209">
        <v>0.91980700000000004</v>
      </c>
      <c r="H19" s="98">
        <v>283</v>
      </c>
      <c r="I19" s="48" t="s">
        <v>1257</v>
      </c>
      <c r="J19" s="48" t="s">
        <v>1257</v>
      </c>
      <c r="K19" s="48" t="s">
        <v>1257</v>
      </c>
      <c r="L19" s="48" t="s">
        <v>1257</v>
      </c>
      <c r="M19" s="48" t="s">
        <v>1257</v>
      </c>
      <c r="N19" s="48" t="s">
        <v>1257</v>
      </c>
      <c r="O19" s="48" t="s">
        <v>1257</v>
      </c>
      <c r="P19" s="48" t="s">
        <v>1257</v>
      </c>
      <c r="Q19" s="48" t="s">
        <v>1257</v>
      </c>
      <c r="R19" s="48" t="s">
        <v>1257</v>
      </c>
      <c r="S19" s="48" t="s">
        <v>1257</v>
      </c>
      <c r="T19" s="48" t="s">
        <v>1257</v>
      </c>
      <c r="U19" s="48" t="s">
        <v>1257</v>
      </c>
      <c r="V19" s="48" t="s">
        <v>1257</v>
      </c>
      <c r="W19" s="48" t="s">
        <v>1257</v>
      </c>
      <c r="X19" s="48" t="s">
        <v>1257</v>
      </c>
      <c r="Y19" s="48" t="s">
        <v>1257</v>
      </c>
      <c r="Z19" s="48" t="s">
        <v>1257</v>
      </c>
      <c r="AA19" s="48" t="s">
        <v>1257</v>
      </c>
      <c r="AB19" s="48" t="s">
        <v>1257</v>
      </c>
      <c r="AC19" s="48" t="s">
        <v>1257</v>
      </c>
      <c r="AD19" s="48" t="s">
        <v>1257</v>
      </c>
      <c r="AE19" s="48" t="s">
        <v>1257</v>
      </c>
      <c r="AF19" s="48" t="s">
        <v>1257</v>
      </c>
      <c r="AG19" s="48" t="s">
        <v>1257</v>
      </c>
      <c r="AH19" s="48" t="s">
        <v>1257</v>
      </c>
      <c r="AI19" s="48" t="s">
        <v>1257</v>
      </c>
      <c r="AJ19" s="48" t="s">
        <v>1257</v>
      </c>
      <c r="AK19" s="48" t="s">
        <v>1257</v>
      </c>
      <c r="AL19" s="48" t="s">
        <v>1257</v>
      </c>
      <c r="AM19" s="48" t="s">
        <v>1257</v>
      </c>
      <c r="AN19" s="48" t="s">
        <v>1257</v>
      </c>
    </row>
    <row r="20" spans="2:41" s="94" customFormat="1">
      <c r="B20" s="48" t="s">
        <v>1238</v>
      </c>
      <c r="C20" s="48">
        <v>18</v>
      </c>
      <c r="D20" s="48" t="s">
        <v>1362</v>
      </c>
      <c r="E20" s="95">
        <v>45422</v>
      </c>
      <c r="F20" s="48">
        <v>1</v>
      </c>
      <c r="G20" s="208">
        <v>0.99997199999999997</v>
      </c>
      <c r="H20" s="98">
        <v>2</v>
      </c>
      <c r="I20" s="48" t="s">
        <v>1257</v>
      </c>
      <c r="J20" s="48" t="s">
        <v>1257</v>
      </c>
      <c r="K20" s="48" t="s">
        <v>1257</v>
      </c>
      <c r="L20" s="48" t="s">
        <v>1257</v>
      </c>
      <c r="M20" s="48" t="s">
        <v>1257</v>
      </c>
      <c r="N20" s="48" t="s">
        <v>1257</v>
      </c>
      <c r="O20" s="48" t="s">
        <v>1257</v>
      </c>
      <c r="P20" s="48" t="s">
        <v>1257</v>
      </c>
      <c r="Q20" s="48" t="s">
        <v>1257</v>
      </c>
      <c r="R20" s="48" t="s">
        <v>1257</v>
      </c>
      <c r="S20" s="48" t="s">
        <v>1257</v>
      </c>
      <c r="T20" s="48" t="s">
        <v>1257</v>
      </c>
      <c r="U20" s="48" t="s">
        <v>1257</v>
      </c>
      <c r="V20" s="48" t="s">
        <v>1257</v>
      </c>
      <c r="W20" s="48" t="s">
        <v>1257</v>
      </c>
      <c r="X20" s="48" t="s">
        <v>1257</v>
      </c>
      <c r="Y20" s="48" t="s">
        <v>1257</v>
      </c>
      <c r="Z20" s="48" t="s">
        <v>1257</v>
      </c>
      <c r="AA20" s="48" t="s">
        <v>1257</v>
      </c>
      <c r="AB20" s="48" t="s">
        <v>1257</v>
      </c>
      <c r="AC20" s="48" t="s">
        <v>1257</v>
      </c>
      <c r="AD20" s="48" t="s">
        <v>1257</v>
      </c>
      <c r="AE20" s="48" t="s">
        <v>1257</v>
      </c>
      <c r="AF20" s="48" t="s">
        <v>1257</v>
      </c>
      <c r="AG20" s="48" t="s">
        <v>1257</v>
      </c>
      <c r="AH20" s="48" t="s">
        <v>1257</v>
      </c>
      <c r="AI20" s="48" t="s">
        <v>1257</v>
      </c>
      <c r="AJ20" s="48" t="s">
        <v>1257</v>
      </c>
      <c r="AK20" s="48" t="s">
        <v>1257</v>
      </c>
      <c r="AL20" s="48" t="s">
        <v>1257</v>
      </c>
      <c r="AM20" s="48" t="s">
        <v>1257</v>
      </c>
      <c r="AN20" s="48" t="s">
        <v>1257</v>
      </c>
    </row>
    <row r="21" spans="2:41" s="94" customFormat="1">
      <c r="B21" s="48" t="s">
        <v>1240</v>
      </c>
      <c r="C21" s="48">
        <v>19</v>
      </c>
      <c r="D21" s="48" t="s">
        <v>1363</v>
      </c>
      <c r="E21" s="95">
        <v>45422</v>
      </c>
      <c r="F21" s="48">
        <v>1</v>
      </c>
      <c r="G21" s="191" cm="1">
        <f t="array" aca="1" ref="G21" ca="1">SUMPRODUCT(--(ISNUMBER((SEARCH(I27:AN27,I21:AN21)))))/COUNTA(I21:AN21)</f>
        <v>0.96875</v>
      </c>
      <c r="H21" s="48" t="s">
        <v>1266</v>
      </c>
      <c r="I21" s="48" t="s">
        <v>1291</v>
      </c>
      <c r="J21" s="48" t="s">
        <v>1291</v>
      </c>
      <c r="K21" s="48" t="s">
        <v>1291</v>
      </c>
      <c r="L21" s="48" t="s">
        <v>1291</v>
      </c>
      <c r="M21" s="48" t="s">
        <v>1291</v>
      </c>
      <c r="N21" s="48" t="s">
        <v>1291</v>
      </c>
      <c r="O21" s="48" t="s">
        <v>1291</v>
      </c>
      <c r="P21" s="48" t="s">
        <v>1291</v>
      </c>
      <c r="Q21" s="48" t="s">
        <v>1291</v>
      </c>
      <c r="R21" s="48" t="s">
        <v>1291</v>
      </c>
      <c r="S21" s="48" t="s">
        <v>1291</v>
      </c>
      <c r="T21" s="48" t="s">
        <v>1291</v>
      </c>
      <c r="U21" s="48" t="s">
        <v>1291</v>
      </c>
      <c r="V21" s="48" t="s">
        <v>1292</v>
      </c>
      <c r="W21" s="48" t="s">
        <v>1292</v>
      </c>
      <c r="X21" s="48" t="s">
        <v>1292</v>
      </c>
      <c r="Y21" s="48" t="s">
        <v>1292</v>
      </c>
      <c r="Z21" s="48" t="s">
        <v>1292</v>
      </c>
      <c r="AA21" s="48" t="s">
        <v>1291</v>
      </c>
      <c r="AB21" s="48" t="s">
        <v>1291</v>
      </c>
      <c r="AC21" s="48" t="s">
        <v>1292</v>
      </c>
      <c r="AD21" s="48" t="s">
        <v>1292</v>
      </c>
      <c r="AE21" s="48" t="s">
        <v>1291</v>
      </c>
      <c r="AF21" s="48" t="s">
        <v>1291</v>
      </c>
      <c r="AG21" s="48" t="s">
        <v>1292</v>
      </c>
      <c r="AH21" s="48" t="s">
        <v>1292</v>
      </c>
      <c r="AI21" s="48" t="s">
        <v>1292</v>
      </c>
      <c r="AJ21" s="48" t="s">
        <v>1291</v>
      </c>
      <c r="AK21" s="48" t="s">
        <v>1291</v>
      </c>
      <c r="AL21" s="48" t="s">
        <v>1291</v>
      </c>
      <c r="AM21" s="48" t="s">
        <v>1291</v>
      </c>
      <c r="AN21" s="48" t="s">
        <v>1293</v>
      </c>
    </row>
    <row r="22" spans="2:41" s="94" customFormat="1">
      <c r="B22" s="97" t="s">
        <v>1243</v>
      </c>
      <c r="C22" s="48">
        <v>20</v>
      </c>
      <c r="D22" s="48"/>
      <c r="E22" s="95"/>
      <c r="F22" s="95"/>
      <c r="G22" s="191" t="e" cm="1" vm="1">
        <f t="array" ref="G22">SUM(IF(I2:AN2 = I26:AN26, 1, 0))/ COUNTA(I2:AN2)</f>
        <v>#VALUE!</v>
      </c>
      <c r="H22" s="48"/>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row>
    <row r="23" spans="2:41" s="94" customFormat="1">
      <c r="B23" s="48" t="s">
        <v>1246</v>
      </c>
      <c r="C23" s="48">
        <v>21</v>
      </c>
      <c r="D23" s="48"/>
      <c r="E23" s="95"/>
      <c r="F23" s="95"/>
      <c r="G23" s="48" t="e" cm="1" vm="1">
        <f t="array" aca="1" ref="G23" ca="1">SUM(IF(IF(G3:G22="null",1,G3:G22)=1,1,0))/COUNT(IF(G3:G22="null",1,0))</f>
        <v>#VALUE!</v>
      </c>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row>
    <row r="24" spans="2:41">
      <c r="B24" s="48"/>
      <c r="C24" s="48"/>
      <c r="D24" s="48"/>
      <c r="E24" s="95"/>
      <c r="F24" s="95"/>
      <c r="G24" s="48"/>
      <c r="H24" s="48"/>
      <c r="I24" s="48"/>
      <c r="J24" s="48"/>
      <c r="K24" s="48"/>
      <c r="L24" s="48"/>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row>
    <row r="25" spans="2:41">
      <c r="B25" s="139" t="s">
        <v>1364</v>
      </c>
      <c r="C25" s="141"/>
      <c r="D25" s="141"/>
      <c r="E25" s="141"/>
      <c r="F25" s="141"/>
      <c r="G25" s="141"/>
      <c r="H25" s="141"/>
    </row>
    <row r="26" spans="2:41">
      <c r="B26" s="132" t="s">
        <v>1249</v>
      </c>
      <c r="C26" s="128" t="s">
        <v>1250</v>
      </c>
      <c r="D26" s="128" t="s">
        <v>1251</v>
      </c>
      <c r="E26" s="128" t="s">
        <v>1252</v>
      </c>
      <c r="F26" s="128" t="s">
        <v>1253</v>
      </c>
      <c r="G26" s="128" t="s">
        <v>1254</v>
      </c>
      <c r="H26" s="128" t="s">
        <v>1255</v>
      </c>
      <c r="I26" s="147" t="e" cm="1" vm="2">
        <f t="array" ref="I26">TRANSPOSE(_xlfn.SORTBY(_xlfn._xlws.FILTER(Table3[NOME FÍSICO CAMPO],Table3[NOME FÍSICO TABELA]="bills_promissory_notes_contract"), _xlfn._xlws.FILTER(Table3[ORDEM], Table3[NOME FÍSICO TABELA]="bills_promissory_notes_contract"), 1))</f>
        <v>#VALUE!</v>
      </c>
      <c r="J26" s="147"/>
      <c r="K26" s="147"/>
      <c r="L26" s="147"/>
      <c r="M26" s="147"/>
      <c r="N26" s="147"/>
      <c r="O26" s="147"/>
      <c r="P26" s="147"/>
      <c r="Q26" s="147"/>
      <c r="R26" s="147"/>
      <c r="S26" s="147"/>
      <c r="T26" s="147"/>
      <c r="U26" s="147"/>
      <c r="V26" s="147"/>
      <c r="W26" s="147"/>
      <c r="X26" s="147"/>
      <c r="Y26" s="147"/>
      <c r="Z26" s="147"/>
      <c r="AA26" s="147"/>
      <c r="AB26" s="147"/>
      <c r="AC26" s="147"/>
      <c r="AD26" s="147"/>
      <c r="AE26" s="147"/>
      <c r="AF26" s="147"/>
      <c r="AG26" s="147"/>
      <c r="AH26" s="147"/>
      <c r="AI26" s="147"/>
      <c r="AJ26" s="147"/>
      <c r="AK26" s="147"/>
      <c r="AL26" s="147"/>
      <c r="AM26" s="147"/>
      <c r="AN26" s="147"/>
    </row>
    <row r="27" spans="2:41">
      <c r="B27" s="116" t="s">
        <v>1294</v>
      </c>
      <c r="C27" s="112">
        <v>21</v>
      </c>
      <c r="D27" s="118" t="s">
        <v>1295</v>
      </c>
      <c r="E27" s="117" t="s">
        <v>1296</v>
      </c>
      <c r="F27" s="117" t="s">
        <v>124</v>
      </c>
      <c r="G27" s="117" t="s">
        <v>124</v>
      </c>
      <c r="H27" s="117" t="s">
        <v>124</v>
      </c>
      <c r="I27" s="117" t="e" cm="1" vm="2">
        <f t="array" aca="1" ref="I27" ca="1">TRANSPOSE(_xlfn.SORTBY(_xlfn._xlws.FILTER(IF(Table3[FORMATO]:Table3[COMP_ CAMPO]&lt;&gt;"",Table3[FORMATO]:Table3[COMP_ CAMPO],9999999),Table3[NOME FÍSICO TABELA]="bills_promissory_notes_contract"), _xlfn._xlws.FILTER(Table3[ORDEM], Table3[NOME FÍSICO TABELA]="bills_promissory_notes_contract"), 1))</f>
        <v>#VALUE!</v>
      </c>
      <c r="J27" s="117"/>
      <c r="K27" s="117"/>
      <c r="L27" s="117"/>
      <c r="M27" s="117"/>
      <c r="N27" s="117"/>
      <c r="O27" s="117"/>
      <c r="P27" s="117"/>
      <c r="Q27" s="117"/>
      <c r="R27" s="117"/>
      <c r="S27" s="117"/>
      <c r="T27" s="117"/>
      <c r="U27" s="117"/>
      <c r="V27" s="117"/>
      <c r="W27" s="117"/>
      <c r="X27" s="117"/>
      <c r="Y27" s="117"/>
      <c r="Z27" s="117"/>
      <c r="AA27" s="117"/>
      <c r="AB27" s="117"/>
      <c r="AC27" s="117"/>
      <c r="AD27" s="117"/>
      <c r="AE27" s="117"/>
      <c r="AF27" s="117"/>
      <c r="AG27" s="117"/>
      <c r="AH27" s="117"/>
      <c r="AI27" s="117"/>
      <c r="AJ27" s="117"/>
      <c r="AK27" s="117"/>
      <c r="AL27" s="117"/>
      <c r="AM27" s="117"/>
      <c r="AN27" s="117"/>
    </row>
    <row r="28" spans="2:41">
      <c r="B28" s="120" t="s">
        <v>1297</v>
      </c>
      <c r="C28" s="112">
        <v>7</v>
      </c>
      <c r="D28" s="113" t="s">
        <v>1295</v>
      </c>
      <c r="E28" s="112" t="s">
        <v>1296</v>
      </c>
      <c r="F28" s="142" t="s">
        <v>124</v>
      </c>
      <c r="G28" s="142" t="s">
        <v>124</v>
      </c>
      <c r="H28" s="142" t="s">
        <v>124</v>
      </c>
      <c r="I28" s="142"/>
      <c r="J28" s="142"/>
      <c r="K28" s="142"/>
      <c r="L28" s="142"/>
      <c r="M28" s="142"/>
      <c r="N28" s="142"/>
      <c r="O28" s="142"/>
      <c r="P28" s="142"/>
      <c r="Q28" s="142"/>
      <c r="R28" s="142"/>
      <c r="S28" s="142"/>
      <c r="T28" s="142"/>
      <c r="U28" s="142"/>
      <c r="V28" s="142"/>
      <c r="W28" s="142"/>
      <c r="X28" s="142"/>
      <c r="Y28" s="142"/>
      <c r="Z28" s="142"/>
      <c r="AA28" s="142"/>
      <c r="AB28" s="142"/>
      <c r="AC28" s="142"/>
      <c r="AD28" s="142"/>
      <c r="AE28" s="142"/>
      <c r="AF28" s="142"/>
      <c r="AG28" s="142"/>
      <c r="AH28" s="142"/>
      <c r="AI28" s="142"/>
      <c r="AJ28" s="142"/>
      <c r="AK28" s="142"/>
      <c r="AL28" s="142"/>
      <c r="AM28" s="142"/>
      <c r="AN28" s="142"/>
      <c r="AO28" s="48"/>
    </row>
    <row r="29" spans="2:41">
      <c r="B29" s="48"/>
      <c r="C29" s="48"/>
      <c r="D29" s="96"/>
      <c r="E29" s="48"/>
      <c r="F29" s="48"/>
      <c r="G29" s="48"/>
      <c r="H29" s="48"/>
      <c r="I29" s="48"/>
      <c r="J29" s="48"/>
      <c r="K29" s="48"/>
      <c r="L29" s="48"/>
      <c r="M29" s="48"/>
      <c r="N29" s="48"/>
      <c r="O29" s="48"/>
      <c r="P29" s="48"/>
      <c r="Q29" s="48"/>
      <c r="R29" s="48"/>
      <c r="S29" s="48"/>
      <c r="T29" s="48"/>
      <c r="U29" s="48"/>
      <c r="V29" s="48"/>
      <c r="W29" s="48"/>
      <c r="X29" s="48"/>
      <c r="Y29" s="48"/>
      <c r="Z29" s="48"/>
      <c r="AA29" s="48"/>
      <c r="AB29" s="48"/>
      <c r="AC29" s="48"/>
      <c r="AD29" s="48"/>
      <c r="AE29" s="48"/>
      <c r="AF29" s="48"/>
      <c r="AG29" s="48"/>
      <c r="AH29" s="48"/>
      <c r="AI29" s="48"/>
      <c r="AJ29" s="48"/>
      <c r="AK29" s="48"/>
      <c r="AL29" s="48"/>
      <c r="AM29" s="48"/>
      <c r="AN29" s="48"/>
    </row>
    <row r="30" spans="2:41">
      <c r="B30" s="139" t="s">
        <v>1298</v>
      </c>
    </row>
    <row r="31" spans="2:41">
      <c r="B31" s="133" t="s">
        <v>1299</v>
      </c>
      <c r="C31" s="133" t="s">
        <v>1300</v>
      </c>
      <c r="D31" s="134" t="s">
        <v>1301</v>
      </c>
      <c r="E31" s="133" t="s">
        <v>1302</v>
      </c>
      <c r="F31" s="133" t="s">
        <v>1303</v>
      </c>
    </row>
    <row r="32" spans="2:41" ht="29.1">
      <c r="B32" s="110" t="s">
        <v>1365</v>
      </c>
      <c r="C32" s="114" t="s">
        <v>626</v>
      </c>
      <c r="D32" s="51" t="s">
        <v>1366</v>
      </c>
      <c r="E32" s="145" t="s">
        <v>1367</v>
      </c>
      <c r="F32" s="135" t="s">
        <v>1310</v>
      </c>
    </row>
    <row r="33" spans="2:6" ht="29.1">
      <c r="B33" s="110" t="s">
        <v>1365</v>
      </c>
      <c r="C33" s="114" t="s">
        <v>636</v>
      </c>
      <c r="D33" s="51" t="s">
        <v>1368</v>
      </c>
      <c r="E33" s="145" t="s">
        <v>1367</v>
      </c>
      <c r="F33" s="135" t="s">
        <v>1310</v>
      </c>
    </row>
    <row r="34" spans="2:6" ht="29.1">
      <c r="B34" s="110" t="s">
        <v>1365</v>
      </c>
      <c r="C34" s="114" t="s">
        <v>644</v>
      </c>
      <c r="D34" s="51" t="s">
        <v>1368</v>
      </c>
      <c r="E34" s="145" t="s">
        <v>1367</v>
      </c>
      <c r="F34" s="135" t="s">
        <v>1310</v>
      </c>
    </row>
    <row r="35" spans="2:6" ht="72.599999999999994">
      <c r="B35" s="110" t="s">
        <v>1365</v>
      </c>
      <c r="C35" s="114" t="s">
        <v>1323</v>
      </c>
      <c r="D35" s="51" t="s">
        <v>1369</v>
      </c>
      <c r="E35" s="145" t="s">
        <v>1370</v>
      </c>
      <c r="F35" s="135" t="s">
        <v>1307</v>
      </c>
    </row>
    <row r="36" spans="2:6" ht="29.1">
      <c r="B36" s="110" t="s">
        <v>1314</v>
      </c>
      <c r="C36" s="114" t="s">
        <v>1315</v>
      </c>
      <c r="D36" s="51" t="s">
        <v>1371</v>
      </c>
      <c r="E36" s="145" t="s">
        <v>1372</v>
      </c>
      <c r="F36" s="135" t="s">
        <v>1310</v>
      </c>
    </row>
    <row r="37" spans="2:6" ht="29.1">
      <c r="B37" s="136" t="s">
        <v>1373</v>
      </c>
      <c r="C37" s="137" t="s">
        <v>1315</v>
      </c>
      <c r="D37" s="138" t="s">
        <v>1374</v>
      </c>
      <c r="E37" s="146" t="s">
        <v>1321</v>
      </c>
      <c r="F37" s="135" t="s">
        <v>1310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J51"/>
  <sheetViews>
    <sheetView showGridLines="0" topLeftCell="C40" workbookViewId="0">
      <selection activeCell="D46" sqref="D4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row r="2" spans="2:36">
      <c r="B2" s="77" t="s">
        <v>1375</v>
      </c>
      <c r="C2" s="77" t="s">
        <v>1250</v>
      </c>
      <c r="D2" s="77" t="s">
        <v>1251</v>
      </c>
      <c r="E2" s="77" t="s">
        <v>1252</v>
      </c>
      <c r="F2" s="77" t="s">
        <v>1253</v>
      </c>
      <c r="G2" s="77" t="s">
        <v>1254</v>
      </c>
      <c r="H2" s="77" t="s">
        <v>1255</v>
      </c>
      <c r="I2" s="77" t="s">
        <v>103</v>
      </c>
      <c r="J2" s="77" t="s">
        <v>134</v>
      </c>
      <c r="K2" s="77" t="s">
        <v>155</v>
      </c>
      <c r="L2" s="77" t="s">
        <v>162</v>
      </c>
      <c r="M2" s="77" t="s">
        <v>190</v>
      </c>
      <c r="N2" s="77" t="s">
        <v>176</v>
      </c>
      <c r="O2" s="77" t="s">
        <v>203</v>
      </c>
      <c r="P2" s="77" t="s">
        <v>289</v>
      </c>
      <c r="Q2" s="77" t="s">
        <v>299</v>
      </c>
      <c r="R2" s="77" t="s">
        <v>314</v>
      </c>
      <c r="S2" s="77" t="s">
        <v>1376</v>
      </c>
      <c r="T2" s="77" t="s">
        <v>1377</v>
      </c>
      <c r="U2" s="77" t="s">
        <v>1378</v>
      </c>
      <c r="V2" s="77" t="s">
        <v>1379</v>
      </c>
      <c r="W2" s="77" t="s">
        <v>1380</v>
      </c>
      <c r="X2" s="77" t="s">
        <v>1381</v>
      </c>
      <c r="Y2" s="77" t="s">
        <v>1382</v>
      </c>
      <c r="Z2" s="77" t="s">
        <v>1383</v>
      </c>
      <c r="AA2" s="77" t="s">
        <v>1384</v>
      </c>
      <c r="AB2" s="77" t="s">
        <v>1385</v>
      </c>
      <c r="AC2" s="77" t="s">
        <v>1386</v>
      </c>
      <c r="AD2" s="77" t="s">
        <v>1387</v>
      </c>
      <c r="AE2" s="77" t="s">
        <v>1388</v>
      </c>
      <c r="AF2" s="77" t="s">
        <v>669</v>
      </c>
      <c r="AG2" s="77" t="s">
        <v>678</v>
      </c>
      <c r="AH2" s="77" t="s">
        <v>214</v>
      </c>
      <c r="AI2" s="77" t="s">
        <v>234</v>
      </c>
      <c r="AJ2" s="77" t="s">
        <v>253</v>
      </c>
    </row>
    <row r="3" spans="2:36">
      <c r="B3" s="48" t="s">
        <v>1203</v>
      </c>
      <c r="C3" s="48">
        <v>1</v>
      </c>
      <c r="D3" s="48" t="s">
        <v>1389</v>
      </c>
      <c r="E3" s="95">
        <v>45457</v>
      </c>
      <c r="F3" s="48">
        <v>1</v>
      </c>
      <c r="G3" s="48">
        <v>1</v>
      </c>
      <c r="H3" s="189" t="s">
        <v>1390</v>
      </c>
      <c r="I3" s="48" t="s">
        <v>1257</v>
      </c>
      <c r="J3" s="48" t="s">
        <v>1257</v>
      </c>
      <c r="K3" s="48" t="s">
        <v>1257</v>
      </c>
      <c r="L3" s="48" t="s">
        <v>1257</v>
      </c>
      <c r="M3" s="48" t="s">
        <v>1257</v>
      </c>
      <c r="N3" s="48" t="s">
        <v>1257</v>
      </c>
      <c r="O3" s="48" t="s">
        <v>1257</v>
      </c>
      <c r="P3" s="48" t="s">
        <v>1257</v>
      </c>
      <c r="Q3" s="48" t="s">
        <v>1257</v>
      </c>
      <c r="R3" s="48" t="s">
        <v>1257</v>
      </c>
      <c r="S3" s="48" t="s">
        <v>1257</v>
      </c>
      <c r="T3" s="48" t="s">
        <v>1257</v>
      </c>
      <c r="U3" s="48" t="s">
        <v>1257</v>
      </c>
      <c r="V3" s="48" t="s">
        <v>1257</v>
      </c>
      <c r="W3" s="48" t="s">
        <v>1257</v>
      </c>
      <c r="X3" s="48" t="s">
        <v>1257</v>
      </c>
      <c r="Y3" s="48" t="s">
        <v>1257</v>
      </c>
      <c r="Z3" s="48" t="s">
        <v>1257</v>
      </c>
      <c r="AA3" s="48" t="s">
        <v>1257</v>
      </c>
      <c r="AB3" s="48" t="s">
        <v>1257</v>
      </c>
      <c r="AC3" s="48" t="s">
        <v>1257</v>
      </c>
      <c r="AD3" s="48" t="s">
        <v>1257</v>
      </c>
      <c r="AE3" s="48" t="s">
        <v>1257</v>
      </c>
      <c r="AF3" s="48" t="s">
        <v>1257</v>
      </c>
      <c r="AG3" s="48" t="s">
        <v>1257</v>
      </c>
      <c r="AH3" s="48" t="s">
        <v>1257</v>
      </c>
      <c r="AI3" s="48" t="s">
        <v>1257</v>
      </c>
      <c r="AJ3" s="48" t="s">
        <v>1257</v>
      </c>
    </row>
    <row r="4" spans="2:36">
      <c r="B4" s="48" t="s">
        <v>1205</v>
      </c>
      <c r="C4" s="48">
        <v>2</v>
      </c>
      <c r="D4" s="48" t="s">
        <v>1391</v>
      </c>
      <c r="E4" s="95">
        <v>45457</v>
      </c>
      <c r="F4" s="48">
        <v>1</v>
      </c>
      <c r="G4" s="48">
        <v>1</v>
      </c>
      <c r="H4" s="48" t="s">
        <v>1343</v>
      </c>
      <c r="I4" s="48" t="s">
        <v>1257</v>
      </c>
      <c r="J4" s="48" t="s">
        <v>1257</v>
      </c>
      <c r="K4" s="48" t="s">
        <v>1257</v>
      </c>
      <c r="L4" s="48" t="s">
        <v>1257</v>
      </c>
      <c r="M4" s="48" t="s">
        <v>1257</v>
      </c>
      <c r="N4" s="48" t="s">
        <v>1257</v>
      </c>
      <c r="O4" s="48" t="s">
        <v>1257</v>
      </c>
      <c r="P4" s="48" t="s">
        <v>1257</v>
      </c>
      <c r="Q4" s="48" t="s">
        <v>1257</v>
      </c>
      <c r="R4" s="48" t="s">
        <v>1257</v>
      </c>
      <c r="S4" s="48" t="s">
        <v>1257</v>
      </c>
      <c r="T4" s="48" t="s">
        <v>1257</v>
      </c>
      <c r="U4" s="48" t="s">
        <v>1257</v>
      </c>
      <c r="V4" s="48" t="s">
        <v>1257</v>
      </c>
      <c r="W4" s="48" t="s">
        <v>1257</v>
      </c>
      <c r="X4" s="48" t="s">
        <v>1257</v>
      </c>
      <c r="Y4" s="48" t="s">
        <v>1257</v>
      </c>
      <c r="Z4" s="48" t="s">
        <v>1257</v>
      </c>
      <c r="AA4" s="48" t="s">
        <v>1257</v>
      </c>
      <c r="AB4" s="48" t="s">
        <v>1257</v>
      </c>
      <c r="AC4" s="48" t="s">
        <v>1257</v>
      </c>
      <c r="AD4" s="48" t="s">
        <v>1257</v>
      </c>
      <c r="AE4" s="48" t="s">
        <v>1257</v>
      </c>
      <c r="AF4" s="48" t="s">
        <v>1257</v>
      </c>
      <c r="AG4" s="48" t="s">
        <v>1257</v>
      </c>
      <c r="AH4" s="48" t="s">
        <v>1257</v>
      </c>
      <c r="AI4" s="48" t="s">
        <v>1257</v>
      </c>
      <c r="AJ4" s="48" t="s">
        <v>1257</v>
      </c>
    </row>
    <row r="5" spans="2:36">
      <c r="B5" s="48" t="s">
        <v>1207</v>
      </c>
      <c r="C5" s="48">
        <v>3</v>
      </c>
      <c r="D5" s="48" t="s">
        <v>1392</v>
      </c>
      <c r="E5" s="95">
        <v>45457</v>
      </c>
      <c r="F5" s="48">
        <v>1</v>
      </c>
      <c r="G5" s="48">
        <v>1</v>
      </c>
      <c r="H5" s="48" t="s">
        <v>1343</v>
      </c>
      <c r="I5" s="48">
        <v>0</v>
      </c>
      <c r="J5" s="48">
        <v>0</v>
      </c>
      <c r="K5" s="48" t="s">
        <v>1257</v>
      </c>
      <c r="L5" s="48" t="s">
        <v>1257</v>
      </c>
      <c r="M5" s="48" t="s">
        <v>1257</v>
      </c>
      <c r="N5" s="48" t="s">
        <v>1257</v>
      </c>
      <c r="O5" s="48" t="s">
        <v>1257</v>
      </c>
      <c r="P5" s="48" t="s">
        <v>1257</v>
      </c>
      <c r="Q5" s="48" t="s">
        <v>1257</v>
      </c>
      <c r="R5" s="48" t="s">
        <v>1257</v>
      </c>
      <c r="S5" s="48" t="s">
        <v>1257</v>
      </c>
      <c r="T5" s="48" t="s">
        <v>1257</v>
      </c>
      <c r="U5" s="48" t="s">
        <v>1257</v>
      </c>
      <c r="V5" s="48" t="s">
        <v>1257</v>
      </c>
      <c r="W5" s="48" t="s">
        <v>1257</v>
      </c>
      <c r="X5" s="48" t="s">
        <v>1257</v>
      </c>
      <c r="Y5" s="48" t="s">
        <v>1257</v>
      </c>
      <c r="Z5" s="48" t="s">
        <v>1257</v>
      </c>
      <c r="AA5" s="48" t="s">
        <v>1257</v>
      </c>
      <c r="AB5" s="48" t="s">
        <v>1257</v>
      </c>
      <c r="AC5" s="48" t="s">
        <v>1257</v>
      </c>
      <c r="AD5" s="48" t="s">
        <v>1257</v>
      </c>
      <c r="AE5" s="48" t="s">
        <v>1257</v>
      </c>
      <c r="AF5" s="48" t="s">
        <v>1257</v>
      </c>
      <c r="AG5" s="48" t="s">
        <v>1257</v>
      </c>
      <c r="AH5" s="48" t="s">
        <v>1257</v>
      </c>
      <c r="AI5" s="48">
        <v>0</v>
      </c>
      <c r="AJ5" s="48" t="s">
        <v>1257</v>
      </c>
    </row>
    <row r="6" spans="2:36">
      <c r="B6" s="97" t="s">
        <v>1209</v>
      </c>
      <c r="C6" s="48">
        <v>4</v>
      </c>
      <c r="D6" s="48" t="s">
        <v>1260</v>
      </c>
      <c r="E6" s="95" t="s">
        <v>1257</v>
      </c>
      <c r="F6" s="48">
        <v>1</v>
      </c>
      <c r="G6" s="95" t="s">
        <v>1257</v>
      </c>
      <c r="H6" s="48"/>
      <c r="I6" s="48" t="s">
        <v>1257</v>
      </c>
      <c r="J6" s="48" t="s">
        <v>1257</v>
      </c>
      <c r="K6" s="48" t="s">
        <v>1257</v>
      </c>
      <c r="L6" s="48" t="s">
        <v>1257</v>
      </c>
      <c r="M6" s="48" t="s">
        <v>1257</v>
      </c>
      <c r="N6" s="48" t="s">
        <v>1257</v>
      </c>
      <c r="O6" s="48" t="s">
        <v>1257</v>
      </c>
      <c r="P6" s="186" t="s">
        <v>1257</v>
      </c>
      <c r="Q6" s="186" t="s">
        <v>1257</v>
      </c>
      <c r="R6" s="48" t="s">
        <v>1257</v>
      </c>
      <c r="S6" s="98" t="s">
        <v>1257</v>
      </c>
      <c r="T6" s="98" t="s">
        <v>1257</v>
      </c>
      <c r="U6" s="48" t="s">
        <v>1257</v>
      </c>
      <c r="V6" s="48" t="s">
        <v>1257</v>
      </c>
      <c r="W6" s="48" t="s">
        <v>1257</v>
      </c>
      <c r="X6" s="48" t="s">
        <v>1257</v>
      </c>
      <c r="Y6" s="48" t="s">
        <v>1257</v>
      </c>
      <c r="Z6" s="48" t="s">
        <v>1257</v>
      </c>
      <c r="AA6" s="48" t="s">
        <v>1257</v>
      </c>
      <c r="AB6" s="48" t="s">
        <v>1257</v>
      </c>
      <c r="AC6" s="48" t="s">
        <v>1257</v>
      </c>
      <c r="AD6" s="48" t="s">
        <v>1257</v>
      </c>
      <c r="AE6" s="48" t="s">
        <v>1257</v>
      </c>
      <c r="AF6" s="48" t="s">
        <v>1257</v>
      </c>
      <c r="AG6" s="48" t="s">
        <v>1257</v>
      </c>
      <c r="AH6" s="190" t="s">
        <v>1257</v>
      </c>
      <c r="AI6" s="48" t="s">
        <v>1257</v>
      </c>
      <c r="AJ6" s="48" t="s">
        <v>1257</v>
      </c>
    </row>
    <row r="7" spans="2:36">
      <c r="B7" s="48" t="s">
        <v>1211</v>
      </c>
      <c r="C7" s="48">
        <v>5</v>
      </c>
      <c r="D7" s="48" t="s">
        <v>1260</v>
      </c>
      <c r="E7" s="95" t="s">
        <v>1257</v>
      </c>
      <c r="F7" s="48">
        <v>1</v>
      </c>
      <c r="G7" s="95" t="s">
        <v>1257</v>
      </c>
      <c r="H7" s="48"/>
      <c r="I7" s="48" t="s">
        <v>1257</v>
      </c>
      <c r="J7" s="48" t="s">
        <v>1257</v>
      </c>
      <c r="K7" s="48" t="s">
        <v>1257</v>
      </c>
      <c r="L7" s="48" t="s">
        <v>1257</v>
      </c>
      <c r="M7" s="48" t="s">
        <v>1257</v>
      </c>
      <c r="N7" s="48" t="s">
        <v>1257</v>
      </c>
      <c r="O7" s="48" t="s">
        <v>1257</v>
      </c>
      <c r="P7" s="186" t="s">
        <v>1257</v>
      </c>
      <c r="Q7" s="186" t="s">
        <v>1257</v>
      </c>
      <c r="R7" s="48" t="s">
        <v>1257</v>
      </c>
      <c r="S7" s="48" t="s">
        <v>1257</v>
      </c>
      <c r="T7" s="48" t="s">
        <v>1257</v>
      </c>
      <c r="U7" s="48" t="s">
        <v>1257</v>
      </c>
      <c r="V7" s="48" t="s">
        <v>1257</v>
      </c>
      <c r="W7" s="48" t="s">
        <v>1257</v>
      </c>
      <c r="X7" s="48" t="s">
        <v>1257</v>
      </c>
      <c r="Y7" s="48" t="s">
        <v>1257</v>
      </c>
      <c r="Z7" s="48" t="s">
        <v>1257</v>
      </c>
      <c r="AA7" s="48" t="s">
        <v>1257</v>
      </c>
      <c r="AB7" s="48" t="s">
        <v>1257</v>
      </c>
      <c r="AC7" s="48" t="s">
        <v>1257</v>
      </c>
      <c r="AD7" s="48" t="s">
        <v>1257</v>
      </c>
      <c r="AE7" s="48" t="s">
        <v>1257</v>
      </c>
      <c r="AF7" s="48" t="s">
        <v>1257</v>
      </c>
      <c r="AG7" s="48" t="s">
        <v>1257</v>
      </c>
      <c r="AH7" s="190" t="s">
        <v>1257</v>
      </c>
      <c r="AI7" s="48" t="s">
        <v>1257</v>
      </c>
      <c r="AJ7" s="48" t="s">
        <v>1257</v>
      </c>
    </row>
    <row r="8" spans="2:36">
      <c r="B8" s="48" t="s">
        <v>1212</v>
      </c>
      <c r="C8" s="48">
        <v>6</v>
      </c>
      <c r="D8" s="48" t="s">
        <v>1393</v>
      </c>
      <c r="E8" s="95">
        <v>45457</v>
      </c>
      <c r="F8" s="48">
        <v>1</v>
      </c>
      <c r="G8" s="48" cm="1">
        <f t="array" ref="G8">SUMPRODUCT(--(I8:AJ8&gt;0))/COUNTA(I8:AJ8)</f>
        <v>1</v>
      </c>
      <c r="H8" s="48" t="s">
        <v>1343</v>
      </c>
      <c r="I8" s="48">
        <v>2</v>
      </c>
      <c r="J8" s="48">
        <v>30</v>
      </c>
      <c r="K8" s="48">
        <v>3</v>
      </c>
      <c r="L8" s="48">
        <v>3</v>
      </c>
      <c r="M8" s="48">
        <v>3</v>
      </c>
      <c r="N8" s="48">
        <v>2</v>
      </c>
      <c r="O8" s="48">
        <v>30</v>
      </c>
      <c r="P8" s="95">
        <v>10</v>
      </c>
      <c r="Q8" s="95">
        <v>10</v>
      </c>
      <c r="R8" s="48">
        <v>3</v>
      </c>
      <c r="S8" s="98">
        <v>8</v>
      </c>
      <c r="T8" s="48">
        <v>8</v>
      </c>
      <c r="U8" s="48">
        <v>8</v>
      </c>
      <c r="V8" s="48">
        <v>27</v>
      </c>
      <c r="W8" s="48">
        <v>24</v>
      </c>
      <c r="X8" s="48">
        <v>26</v>
      </c>
      <c r="Y8" s="48">
        <v>22</v>
      </c>
      <c r="Z8" s="48">
        <v>29</v>
      </c>
      <c r="AA8" s="48">
        <v>26</v>
      </c>
      <c r="AB8" s="48">
        <v>24</v>
      </c>
      <c r="AC8" s="48">
        <v>26</v>
      </c>
      <c r="AD8" s="48">
        <v>22</v>
      </c>
      <c r="AE8" s="48">
        <v>29</v>
      </c>
      <c r="AF8" s="48">
        <v>3</v>
      </c>
      <c r="AG8" s="48" t="s">
        <v>1394</v>
      </c>
      <c r="AH8" s="48">
        <v>2</v>
      </c>
      <c r="AI8" s="48">
        <v>10</v>
      </c>
      <c r="AJ8" s="48">
        <v>23</v>
      </c>
    </row>
    <row r="9" spans="2:36">
      <c r="B9" s="48" t="s">
        <v>1215</v>
      </c>
      <c r="C9" s="48">
        <v>7</v>
      </c>
      <c r="D9" s="48" t="s">
        <v>1395</v>
      </c>
      <c r="E9" s="95">
        <v>45457</v>
      </c>
      <c r="F9" s="48">
        <v>1</v>
      </c>
      <c r="G9" s="48" t="e" cm="1">
        <f t="array" ref="G9">SUMPRODUCT(--(I9:AJ9&lt;=I29:AJ29))/COUNTA(I29:AJ29)</f>
        <v>#DIV/0!</v>
      </c>
      <c r="H9" s="48" t="s">
        <v>1343</v>
      </c>
      <c r="I9" s="48">
        <v>2</v>
      </c>
      <c r="J9" s="48">
        <v>30</v>
      </c>
      <c r="K9" s="48">
        <v>3</v>
      </c>
      <c r="L9" s="48">
        <v>3</v>
      </c>
      <c r="M9" s="48">
        <v>3</v>
      </c>
      <c r="N9" s="48">
        <v>2</v>
      </c>
      <c r="O9" s="48">
        <v>30</v>
      </c>
      <c r="P9" s="48">
        <v>10</v>
      </c>
      <c r="Q9" s="48">
        <v>10</v>
      </c>
      <c r="R9" s="48">
        <v>3</v>
      </c>
      <c r="S9" s="48">
        <v>16</v>
      </c>
      <c r="T9" s="48">
        <v>14</v>
      </c>
      <c r="U9" s="48">
        <v>16</v>
      </c>
      <c r="V9" s="48">
        <v>27</v>
      </c>
      <c r="W9" s="48">
        <v>24</v>
      </c>
      <c r="X9" s="48">
        <v>26</v>
      </c>
      <c r="Y9" s="48">
        <v>22</v>
      </c>
      <c r="Z9" s="48">
        <v>29</v>
      </c>
      <c r="AA9" s="48">
        <v>26</v>
      </c>
      <c r="AB9" s="48">
        <v>24</v>
      </c>
      <c r="AC9" s="48">
        <v>26</v>
      </c>
      <c r="AD9" s="48">
        <v>22</v>
      </c>
      <c r="AE9" s="48">
        <v>29</v>
      </c>
      <c r="AF9" s="48">
        <v>3</v>
      </c>
      <c r="AG9" s="48" t="s">
        <v>1394</v>
      </c>
      <c r="AH9" s="48">
        <v>2</v>
      </c>
      <c r="AI9" s="48">
        <v>10</v>
      </c>
      <c r="AJ9" s="48">
        <v>23</v>
      </c>
    </row>
    <row r="10" spans="2:36">
      <c r="B10" s="97" t="s">
        <v>1218</v>
      </c>
      <c r="C10" s="48">
        <v>8</v>
      </c>
      <c r="D10" s="48" t="s">
        <v>1396</v>
      </c>
      <c r="E10" s="95">
        <v>45457</v>
      </c>
      <c r="F10" s="48">
        <v>1</v>
      </c>
      <c r="G10" s="95" t="s">
        <v>1257</v>
      </c>
      <c r="H10" s="48" t="s">
        <v>1343</v>
      </c>
      <c r="I10" s="48">
        <v>31</v>
      </c>
      <c r="J10" s="48">
        <v>2.0734299999999999E+22</v>
      </c>
      <c r="K10" s="48" t="s">
        <v>1397</v>
      </c>
      <c r="L10" s="48">
        <v>20</v>
      </c>
      <c r="M10" s="48">
        <v>100</v>
      </c>
      <c r="N10" s="48">
        <v>31</v>
      </c>
      <c r="O10" s="95">
        <v>2.0734001E+22</v>
      </c>
      <c r="P10" s="95">
        <v>30288</v>
      </c>
      <c r="Q10" s="98" t="s">
        <v>1265</v>
      </c>
      <c r="R10" s="48">
        <v>124</v>
      </c>
      <c r="S10" s="95" t="s">
        <v>1398</v>
      </c>
      <c r="T10" s="95" t="s">
        <v>1266</v>
      </c>
      <c r="U10" s="98">
        <v>-998680190000</v>
      </c>
      <c r="V10" s="48" t="s">
        <v>1379</v>
      </c>
      <c r="W10" s="98" t="s">
        <v>1380</v>
      </c>
      <c r="X10" s="48" t="s">
        <v>1381</v>
      </c>
      <c r="Y10" s="48" t="s">
        <v>1382</v>
      </c>
      <c r="Z10" s="48" t="s">
        <v>1383</v>
      </c>
      <c r="AA10" s="48" t="s">
        <v>1384</v>
      </c>
      <c r="AB10" s="48" t="s">
        <v>1385</v>
      </c>
      <c r="AC10" s="95" t="s">
        <v>1386</v>
      </c>
      <c r="AD10" s="48" t="s">
        <v>1387</v>
      </c>
      <c r="AE10" s="48" t="s">
        <v>1388</v>
      </c>
      <c r="AF10" s="48" t="s">
        <v>1267</v>
      </c>
      <c r="AG10" s="48" t="s">
        <v>1394</v>
      </c>
      <c r="AH10" s="95" t="s">
        <v>1399</v>
      </c>
      <c r="AI10" s="95">
        <v>45457</v>
      </c>
      <c r="AJ10" s="48" t="s">
        <v>1400</v>
      </c>
    </row>
    <row r="11" spans="2:36">
      <c r="B11" s="48" t="s">
        <v>1220</v>
      </c>
      <c r="C11" s="48">
        <v>9</v>
      </c>
      <c r="D11" s="48" t="s">
        <v>1401</v>
      </c>
      <c r="E11" s="95">
        <v>45457</v>
      </c>
      <c r="F11" s="48">
        <v>1</v>
      </c>
      <c r="G11" s="95" t="s">
        <v>1257</v>
      </c>
      <c r="H11" s="48" t="s">
        <v>1343</v>
      </c>
      <c r="I11" s="48">
        <v>31</v>
      </c>
      <c r="J11" s="48">
        <v>2.0734299999999999E+22</v>
      </c>
      <c r="K11" s="48" t="s">
        <v>1402</v>
      </c>
      <c r="L11" s="48">
        <v>20</v>
      </c>
      <c r="M11" s="48">
        <v>100</v>
      </c>
      <c r="N11" s="48">
        <v>31</v>
      </c>
      <c r="O11" s="95">
        <v>2.0734001E+22</v>
      </c>
      <c r="P11" s="95">
        <v>30288</v>
      </c>
      <c r="Q11" s="95" t="s">
        <v>1265</v>
      </c>
      <c r="R11" s="48">
        <v>124</v>
      </c>
      <c r="S11" s="95" t="s">
        <v>1403</v>
      </c>
      <c r="T11" s="95" t="s">
        <v>1343</v>
      </c>
      <c r="U11" s="48" t="s">
        <v>1404</v>
      </c>
      <c r="V11" s="48" t="s">
        <v>1379</v>
      </c>
      <c r="W11" s="48" t="s">
        <v>1380</v>
      </c>
      <c r="X11" s="48" t="s">
        <v>1381</v>
      </c>
      <c r="Y11" s="48" t="s">
        <v>1382</v>
      </c>
      <c r="Z11" s="48" t="s">
        <v>1383</v>
      </c>
      <c r="AA11" s="48" t="s">
        <v>1384</v>
      </c>
      <c r="AB11" s="48" t="s">
        <v>1385</v>
      </c>
      <c r="AC11" s="95" t="s">
        <v>1386</v>
      </c>
      <c r="AD11" s="48" t="s">
        <v>1387</v>
      </c>
      <c r="AE11" s="48" t="s">
        <v>1388</v>
      </c>
      <c r="AF11" s="48">
        <v>0</v>
      </c>
      <c r="AG11" s="48" t="s">
        <v>678</v>
      </c>
      <c r="AH11" s="95" t="s">
        <v>1399</v>
      </c>
      <c r="AI11" s="95">
        <v>45457</v>
      </c>
      <c r="AJ11" s="48" t="s">
        <v>1405</v>
      </c>
    </row>
    <row r="12" spans="2:36">
      <c r="B12" s="48" t="s">
        <v>1222</v>
      </c>
      <c r="C12" s="48">
        <v>10</v>
      </c>
      <c r="D12" s="48" t="s">
        <v>1406</v>
      </c>
      <c r="E12" s="95">
        <v>45457</v>
      </c>
      <c r="F12" s="48">
        <v>1</v>
      </c>
      <c r="G12" s="95" t="s">
        <v>1257</v>
      </c>
      <c r="H12" s="48" t="s">
        <v>1343</v>
      </c>
      <c r="I12" s="48">
        <v>31</v>
      </c>
      <c r="J12" s="48">
        <v>2.3370179682002001E+29</v>
      </c>
      <c r="K12" s="48" t="s">
        <v>1397</v>
      </c>
      <c r="L12" s="48">
        <v>224</v>
      </c>
      <c r="M12" s="48" t="s">
        <v>1407</v>
      </c>
      <c r="N12" s="48">
        <v>31</v>
      </c>
      <c r="O12" s="186">
        <v>2.3950569509102E+29</v>
      </c>
      <c r="P12" s="186">
        <v>45457</v>
      </c>
      <c r="Q12" s="186" t="s">
        <v>1265</v>
      </c>
      <c r="R12" s="48">
        <v>978</v>
      </c>
      <c r="S12" s="186">
        <v>100424890300000</v>
      </c>
      <c r="T12" s="186">
        <v>3415494900000</v>
      </c>
      <c r="U12" s="98">
        <v>100424890300000</v>
      </c>
      <c r="V12" s="98" t="s">
        <v>1379</v>
      </c>
      <c r="W12" s="98" t="s">
        <v>1380</v>
      </c>
      <c r="X12" s="98" t="s">
        <v>1381</v>
      </c>
      <c r="Y12" s="98" t="s">
        <v>1382</v>
      </c>
      <c r="Z12" s="48" t="s">
        <v>1383</v>
      </c>
      <c r="AA12" s="48" t="s">
        <v>1384</v>
      </c>
      <c r="AB12" s="48" t="s">
        <v>1385</v>
      </c>
      <c r="AC12" s="186" t="s">
        <v>1386</v>
      </c>
      <c r="AD12" s="48" t="s">
        <v>1387</v>
      </c>
      <c r="AE12" s="48" t="s">
        <v>1388</v>
      </c>
      <c r="AF12" s="48" t="s">
        <v>1408</v>
      </c>
      <c r="AG12" s="48" t="s">
        <v>1394</v>
      </c>
      <c r="AH12" s="186" t="s">
        <v>1399</v>
      </c>
      <c r="AI12" s="95">
        <v>45457</v>
      </c>
      <c r="AJ12" s="48" t="s">
        <v>1400</v>
      </c>
    </row>
    <row r="13" spans="2:36">
      <c r="B13" s="48" t="s">
        <v>1224</v>
      </c>
      <c r="C13" s="48">
        <v>11</v>
      </c>
      <c r="D13" s="48" t="s">
        <v>1409</v>
      </c>
      <c r="E13" s="95">
        <v>45457</v>
      </c>
      <c r="F13" s="48">
        <v>1</v>
      </c>
      <c r="G13" s="95" t="s">
        <v>1257</v>
      </c>
      <c r="H13" s="48" t="s">
        <v>1343</v>
      </c>
      <c r="I13" s="48">
        <v>31</v>
      </c>
      <c r="J13" s="48">
        <v>2.3370179682002001E+29</v>
      </c>
      <c r="K13" s="48" t="s">
        <v>1402</v>
      </c>
      <c r="L13" s="48">
        <v>224</v>
      </c>
      <c r="M13" s="48" t="s">
        <v>1407</v>
      </c>
      <c r="N13" s="48">
        <v>31</v>
      </c>
      <c r="O13" s="95">
        <v>2.3950569509102E+29</v>
      </c>
      <c r="P13" s="186">
        <v>45457</v>
      </c>
      <c r="Q13" s="186" t="s">
        <v>1265</v>
      </c>
      <c r="R13" s="48">
        <v>978</v>
      </c>
      <c r="S13" s="95" t="s">
        <v>1410</v>
      </c>
      <c r="T13" s="95" t="s">
        <v>1411</v>
      </c>
      <c r="U13" s="48" t="s">
        <v>1410</v>
      </c>
      <c r="V13" s="48" t="s">
        <v>1379</v>
      </c>
      <c r="W13" s="48" t="s">
        <v>1380</v>
      </c>
      <c r="X13" s="48" t="s">
        <v>1381</v>
      </c>
      <c r="Y13" s="48" t="s">
        <v>1382</v>
      </c>
      <c r="Z13" s="48" t="s">
        <v>1383</v>
      </c>
      <c r="AA13" s="48" t="s">
        <v>1384</v>
      </c>
      <c r="AB13" s="48" t="s">
        <v>1385</v>
      </c>
      <c r="AC13" s="95" t="s">
        <v>1386</v>
      </c>
      <c r="AD13" s="48" t="s">
        <v>1387</v>
      </c>
      <c r="AE13" s="48" t="s">
        <v>1388</v>
      </c>
      <c r="AF13" s="48">
        <v>5</v>
      </c>
      <c r="AG13" s="48" t="s">
        <v>678</v>
      </c>
      <c r="AH13" s="95" t="s">
        <v>1399</v>
      </c>
      <c r="AI13" s="95">
        <v>45457</v>
      </c>
      <c r="AJ13" s="48" t="s">
        <v>1412</v>
      </c>
    </row>
    <row r="14" spans="2:36">
      <c r="B14" s="48" t="s">
        <v>1226</v>
      </c>
      <c r="C14" s="48">
        <v>12</v>
      </c>
      <c r="D14" s="48" t="s">
        <v>1413</v>
      </c>
      <c r="E14" s="95">
        <v>45457</v>
      </c>
      <c r="F14" s="48">
        <v>1</v>
      </c>
      <c r="G14" s="48">
        <v>0.93</v>
      </c>
      <c r="H14" s="48" t="s">
        <v>1343</v>
      </c>
      <c r="I14" s="48">
        <v>0</v>
      </c>
      <c r="J14" s="48">
        <v>0</v>
      </c>
      <c r="K14" s="48">
        <v>0</v>
      </c>
      <c r="L14" s="48">
        <v>0</v>
      </c>
      <c r="M14" s="48">
        <v>0</v>
      </c>
      <c r="N14" s="48">
        <v>0</v>
      </c>
      <c r="O14" s="48">
        <v>840046</v>
      </c>
      <c r="P14" s="48">
        <v>0</v>
      </c>
      <c r="Q14" s="48">
        <v>0</v>
      </c>
      <c r="R14" s="48">
        <v>0</v>
      </c>
      <c r="S14" s="48">
        <v>0</v>
      </c>
      <c r="T14" s="48">
        <v>0</v>
      </c>
      <c r="U14" s="48">
        <v>0</v>
      </c>
      <c r="V14" s="48">
        <v>0</v>
      </c>
      <c r="W14" s="48">
        <v>0</v>
      </c>
      <c r="X14" s="48">
        <v>0</v>
      </c>
      <c r="Y14" s="48">
        <v>0</v>
      </c>
      <c r="Z14" s="48">
        <v>0</v>
      </c>
      <c r="AA14" s="48">
        <v>0</v>
      </c>
      <c r="AB14" s="48">
        <v>0</v>
      </c>
      <c r="AC14" s="48">
        <v>0</v>
      </c>
      <c r="AD14" s="48">
        <v>0</v>
      </c>
      <c r="AE14" s="48">
        <v>0</v>
      </c>
      <c r="AF14" s="48">
        <v>0</v>
      </c>
      <c r="AG14" s="48">
        <v>1057898</v>
      </c>
      <c r="AH14" s="48">
        <v>0</v>
      </c>
      <c r="AI14" s="48">
        <v>0</v>
      </c>
      <c r="AJ14" s="48">
        <v>0</v>
      </c>
    </row>
    <row r="15" spans="2:36">
      <c r="B15" s="48" t="s">
        <v>1228</v>
      </c>
      <c r="C15" s="48">
        <v>13</v>
      </c>
      <c r="D15" s="48" t="s">
        <v>1414</v>
      </c>
      <c r="E15" s="95">
        <v>45457</v>
      </c>
      <c r="F15" s="48">
        <v>1</v>
      </c>
      <c r="G15" s="48">
        <v>1</v>
      </c>
      <c r="H15" s="48" t="s">
        <v>1343</v>
      </c>
      <c r="I15" s="48" t="s">
        <v>1257</v>
      </c>
      <c r="J15" s="48" t="s">
        <v>1257</v>
      </c>
      <c r="K15" s="48" t="s">
        <v>1257</v>
      </c>
      <c r="L15" s="48" t="s">
        <v>1257</v>
      </c>
      <c r="M15" s="48" t="s">
        <v>1257</v>
      </c>
      <c r="N15" s="48" t="s">
        <v>1257</v>
      </c>
      <c r="O15" s="97" t="s">
        <v>1257</v>
      </c>
      <c r="P15" s="97">
        <v>0</v>
      </c>
      <c r="Q15" s="97">
        <v>0</v>
      </c>
      <c r="R15" s="48" t="s">
        <v>1257</v>
      </c>
      <c r="S15" s="48" t="s">
        <v>1257</v>
      </c>
      <c r="T15" s="97" t="s">
        <v>1257</v>
      </c>
      <c r="U15" s="48" t="s">
        <v>1257</v>
      </c>
      <c r="V15" s="48" t="s">
        <v>1257</v>
      </c>
      <c r="W15" s="48" t="s">
        <v>1257</v>
      </c>
      <c r="X15" s="48" t="s">
        <v>1257</v>
      </c>
      <c r="Y15" s="48" t="s">
        <v>1257</v>
      </c>
      <c r="Z15" s="48" t="s">
        <v>1257</v>
      </c>
      <c r="AA15" s="48" t="s">
        <v>1257</v>
      </c>
      <c r="AB15" s="48" t="s">
        <v>1257</v>
      </c>
      <c r="AC15" s="48" t="s">
        <v>1257</v>
      </c>
      <c r="AD15" s="48" t="s">
        <v>1257</v>
      </c>
      <c r="AE15" s="48" t="s">
        <v>1257</v>
      </c>
      <c r="AF15" s="48" t="s">
        <v>1257</v>
      </c>
      <c r="AG15" s="48" t="s">
        <v>1257</v>
      </c>
      <c r="AH15" s="48" t="s">
        <v>1257</v>
      </c>
      <c r="AI15" s="48" t="s">
        <v>1257</v>
      </c>
      <c r="AJ15" s="48" t="s">
        <v>1257</v>
      </c>
    </row>
    <row r="16" spans="2:36">
      <c r="B16" s="48" t="s">
        <v>1230</v>
      </c>
      <c r="C16" s="48">
        <v>14</v>
      </c>
      <c r="D16" s="48" t="s">
        <v>1415</v>
      </c>
      <c r="E16" s="95">
        <v>45457</v>
      </c>
      <c r="F16" s="48">
        <v>1</v>
      </c>
      <c r="G16" s="48">
        <v>1</v>
      </c>
      <c r="H16" s="48" t="s">
        <v>1343</v>
      </c>
      <c r="I16" s="48" t="s">
        <v>1257</v>
      </c>
      <c r="J16" s="48" t="s">
        <v>1257</v>
      </c>
      <c r="K16" s="48" t="s">
        <v>1257</v>
      </c>
      <c r="L16" s="48" t="s">
        <v>1257</v>
      </c>
      <c r="M16" s="48" t="s">
        <v>1257</v>
      </c>
      <c r="N16" s="48" t="s">
        <v>1257</v>
      </c>
      <c r="O16" s="48" t="s">
        <v>1257</v>
      </c>
      <c r="P16" s="48" t="s">
        <v>1257</v>
      </c>
      <c r="Q16" s="48" t="s">
        <v>1257</v>
      </c>
      <c r="R16" s="48">
        <v>0</v>
      </c>
      <c r="S16" s="97" t="s">
        <v>1257</v>
      </c>
      <c r="T16" s="48" t="s">
        <v>1257</v>
      </c>
      <c r="U16" s="48" t="s">
        <v>1257</v>
      </c>
      <c r="V16" s="48">
        <v>0</v>
      </c>
      <c r="W16" s="48" t="s">
        <v>1257</v>
      </c>
      <c r="X16" s="48" t="s">
        <v>1257</v>
      </c>
      <c r="Y16" s="48" t="s">
        <v>1257</v>
      </c>
      <c r="Z16" s="48" t="s">
        <v>1257</v>
      </c>
      <c r="AA16" s="48">
        <v>0</v>
      </c>
      <c r="AB16" s="48" t="s">
        <v>1257</v>
      </c>
      <c r="AC16" s="48" t="s">
        <v>1257</v>
      </c>
      <c r="AD16" s="48" t="s">
        <v>1257</v>
      </c>
      <c r="AE16" s="48" t="s">
        <v>1257</v>
      </c>
      <c r="AF16" s="48">
        <v>0</v>
      </c>
      <c r="AG16" s="48">
        <v>0</v>
      </c>
      <c r="AH16" s="48">
        <v>0</v>
      </c>
      <c r="AI16" s="48" t="s">
        <v>1257</v>
      </c>
      <c r="AJ16" s="48" t="s">
        <v>1257</v>
      </c>
    </row>
    <row r="17" spans="2:36">
      <c r="B17" s="48" t="s">
        <v>1232</v>
      </c>
      <c r="C17" s="48">
        <v>15</v>
      </c>
      <c r="D17" s="48" t="s">
        <v>1416</v>
      </c>
      <c r="E17" s="95">
        <v>45457</v>
      </c>
      <c r="F17" s="48">
        <v>1</v>
      </c>
      <c r="G17" s="48">
        <v>1</v>
      </c>
      <c r="H17" s="180" t="s">
        <v>1343</v>
      </c>
      <c r="I17" s="48" t="s">
        <v>1257</v>
      </c>
      <c r="J17" s="48" t="s">
        <v>1257</v>
      </c>
      <c r="K17" s="48" t="s">
        <v>1257</v>
      </c>
      <c r="L17" s="48" t="s">
        <v>1257</v>
      </c>
      <c r="M17" s="48" t="s">
        <v>1257</v>
      </c>
      <c r="N17" s="48" t="s">
        <v>1257</v>
      </c>
      <c r="O17" s="48" t="s">
        <v>1257</v>
      </c>
      <c r="P17" s="48" t="s">
        <v>1257</v>
      </c>
      <c r="Q17" s="48" t="s">
        <v>1257</v>
      </c>
      <c r="R17" s="48" t="s">
        <v>1257</v>
      </c>
      <c r="S17" s="48" t="s">
        <v>1257</v>
      </c>
      <c r="T17" s="48" t="s">
        <v>1257</v>
      </c>
      <c r="U17" s="48" t="s">
        <v>1257</v>
      </c>
      <c r="V17" s="48" t="s">
        <v>1257</v>
      </c>
      <c r="W17" s="48" t="s">
        <v>1257</v>
      </c>
      <c r="X17" s="48" t="s">
        <v>1257</v>
      </c>
      <c r="Y17" s="48" t="s">
        <v>1257</v>
      </c>
      <c r="Z17" s="48" t="s">
        <v>1257</v>
      </c>
      <c r="AA17" s="48" t="s">
        <v>1257</v>
      </c>
      <c r="AB17" s="48" t="s">
        <v>1257</v>
      </c>
      <c r="AC17" s="48" t="s">
        <v>1257</v>
      </c>
      <c r="AD17" s="48" t="s">
        <v>1257</v>
      </c>
      <c r="AE17" s="48" t="s">
        <v>1257</v>
      </c>
      <c r="AF17" s="48" t="s">
        <v>1257</v>
      </c>
      <c r="AG17" s="48" t="s">
        <v>1257</v>
      </c>
      <c r="AH17" s="48" t="s">
        <v>1257</v>
      </c>
      <c r="AI17" s="48" t="s">
        <v>1257</v>
      </c>
      <c r="AJ17" s="48" t="s">
        <v>1257</v>
      </c>
    </row>
    <row r="18" spans="2:36">
      <c r="B18" s="48" t="s">
        <v>1234</v>
      </c>
      <c r="C18" s="48">
        <v>16</v>
      </c>
      <c r="D18" s="48" t="s">
        <v>1416</v>
      </c>
      <c r="E18" s="95">
        <v>45457</v>
      </c>
      <c r="F18" s="48">
        <v>1</v>
      </c>
      <c r="G18" s="48">
        <v>1</v>
      </c>
      <c r="H18" s="180" t="s">
        <v>1343</v>
      </c>
      <c r="I18" s="48" t="s">
        <v>1257</v>
      </c>
      <c r="J18" s="48" t="s">
        <v>1257</v>
      </c>
      <c r="K18" s="48" t="s">
        <v>1257</v>
      </c>
      <c r="L18" s="48" t="s">
        <v>1257</v>
      </c>
      <c r="M18" s="48" t="s">
        <v>1257</v>
      </c>
      <c r="N18" s="48" t="s">
        <v>1257</v>
      </c>
      <c r="O18" s="48" t="s">
        <v>1257</v>
      </c>
      <c r="P18" s="48" t="s">
        <v>1257</v>
      </c>
      <c r="Q18" s="48" t="s">
        <v>1257</v>
      </c>
      <c r="R18" s="48" t="s">
        <v>1257</v>
      </c>
      <c r="S18" s="48" t="s">
        <v>1257</v>
      </c>
      <c r="T18" s="48" t="s">
        <v>1257</v>
      </c>
      <c r="U18" s="48" t="s">
        <v>1257</v>
      </c>
      <c r="V18" s="48" t="s">
        <v>1257</v>
      </c>
      <c r="W18" s="48" t="s">
        <v>1257</v>
      </c>
      <c r="X18" s="48" t="s">
        <v>1257</v>
      </c>
      <c r="Y18" s="48" t="s">
        <v>1257</v>
      </c>
      <c r="Z18" s="48" t="s">
        <v>1257</v>
      </c>
      <c r="AA18" s="48" t="s">
        <v>1257</v>
      </c>
      <c r="AB18" s="48" t="s">
        <v>1257</v>
      </c>
      <c r="AC18" s="48" t="s">
        <v>1257</v>
      </c>
      <c r="AD18" s="48" t="s">
        <v>1257</v>
      </c>
      <c r="AE18" s="48" t="s">
        <v>1257</v>
      </c>
      <c r="AF18" s="48" t="s">
        <v>1257</v>
      </c>
      <c r="AG18" s="48" t="s">
        <v>1257</v>
      </c>
      <c r="AH18" s="48" t="s">
        <v>1257</v>
      </c>
      <c r="AI18" s="48" t="s">
        <v>1257</v>
      </c>
      <c r="AJ18" s="48" t="s">
        <v>1257</v>
      </c>
    </row>
    <row r="19" spans="2:36">
      <c r="B19" s="48" t="s">
        <v>1236</v>
      </c>
      <c r="C19" s="48">
        <v>17</v>
      </c>
      <c r="D19" s="48" t="s">
        <v>1417</v>
      </c>
      <c r="E19" s="95">
        <v>45457</v>
      </c>
      <c r="F19" s="48">
        <v>1</v>
      </c>
      <c r="G19" s="48" t="s">
        <v>1418</v>
      </c>
      <c r="H19" s="48">
        <v>229642</v>
      </c>
      <c r="I19" s="48" t="s">
        <v>1257</v>
      </c>
      <c r="J19" s="48" t="s">
        <v>1257</v>
      </c>
      <c r="K19" s="48" t="s">
        <v>1257</v>
      </c>
      <c r="L19" s="48" t="s">
        <v>1257</v>
      </c>
      <c r="M19" s="48" t="s">
        <v>1257</v>
      </c>
      <c r="N19" s="48" t="s">
        <v>1257</v>
      </c>
      <c r="O19" s="48" t="s">
        <v>1257</v>
      </c>
      <c r="P19" s="97" t="s">
        <v>1257</v>
      </c>
      <c r="Q19" s="97" t="s">
        <v>1257</v>
      </c>
      <c r="R19" s="48" t="s">
        <v>1257</v>
      </c>
      <c r="S19" s="48" t="s">
        <v>1257</v>
      </c>
      <c r="T19" s="48" t="s">
        <v>1257</v>
      </c>
      <c r="U19" s="48" t="s">
        <v>1257</v>
      </c>
      <c r="V19" s="48" t="s">
        <v>1257</v>
      </c>
      <c r="W19" s="48" t="s">
        <v>1257</v>
      </c>
      <c r="X19" s="48" t="s">
        <v>1257</v>
      </c>
      <c r="Y19" s="48" t="s">
        <v>1257</v>
      </c>
      <c r="Z19" s="48" t="s">
        <v>1257</v>
      </c>
      <c r="AA19" s="48" t="s">
        <v>1257</v>
      </c>
      <c r="AB19" s="48" t="s">
        <v>1257</v>
      </c>
      <c r="AC19" s="48" t="s">
        <v>1257</v>
      </c>
      <c r="AD19" s="48" t="s">
        <v>1257</v>
      </c>
      <c r="AE19" s="48" t="s">
        <v>1257</v>
      </c>
      <c r="AF19" s="48" t="s">
        <v>1257</v>
      </c>
      <c r="AG19" s="48" t="s">
        <v>1257</v>
      </c>
      <c r="AH19" s="48" t="s">
        <v>1257</v>
      </c>
      <c r="AI19" s="48" t="s">
        <v>1257</v>
      </c>
      <c r="AJ19" s="48" t="s">
        <v>1257</v>
      </c>
    </row>
    <row r="20" spans="2:36">
      <c r="B20" s="48" t="s">
        <v>1238</v>
      </c>
      <c r="C20" s="48">
        <v>18</v>
      </c>
      <c r="D20" s="48" t="s">
        <v>1417</v>
      </c>
      <c r="E20" s="95">
        <v>45457</v>
      </c>
      <c r="F20" s="48">
        <v>1</v>
      </c>
      <c r="G20" s="48" t="s">
        <v>1419</v>
      </c>
      <c r="H20" s="48">
        <v>1188</v>
      </c>
      <c r="I20" s="48" t="s">
        <v>1257</v>
      </c>
      <c r="J20" s="48" t="s">
        <v>1257</v>
      </c>
      <c r="K20" s="48" t="s">
        <v>1257</v>
      </c>
      <c r="L20" s="48" t="s">
        <v>1257</v>
      </c>
      <c r="M20" s="48" t="s">
        <v>1257</v>
      </c>
      <c r="N20" s="48" t="s">
        <v>1257</v>
      </c>
      <c r="O20" s="48" t="s">
        <v>1257</v>
      </c>
      <c r="P20" s="48" t="s">
        <v>1257</v>
      </c>
      <c r="Q20" s="48" t="s">
        <v>1257</v>
      </c>
      <c r="R20" s="48" t="s">
        <v>1257</v>
      </c>
      <c r="S20" s="48" t="s">
        <v>1257</v>
      </c>
      <c r="T20" s="48" t="s">
        <v>1257</v>
      </c>
      <c r="U20" s="48" t="s">
        <v>1257</v>
      </c>
      <c r="V20" s="48" t="s">
        <v>1257</v>
      </c>
      <c r="W20" s="48" t="s">
        <v>1257</v>
      </c>
      <c r="X20" s="48" t="s">
        <v>1257</v>
      </c>
      <c r="Y20" s="48" t="s">
        <v>1257</v>
      </c>
      <c r="Z20" s="48" t="s">
        <v>1257</v>
      </c>
      <c r="AA20" s="48" t="s">
        <v>1257</v>
      </c>
      <c r="AB20" s="48" t="s">
        <v>1257</v>
      </c>
      <c r="AC20" s="48" t="s">
        <v>1257</v>
      </c>
      <c r="AD20" s="48" t="s">
        <v>1257</v>
      </c>
      <c r="AE20" s="48" t="s">
        <v>1257</v>
      </c>
      <c r="AF20" s="48" t="s">
        <v>1257</v>
      </c>
      <c r="AG20" s="48" t="s">
        <v>1257</v>
      </c>
      <c r="AH20" s="48" t="s">
        <v>1257</v>
      </c>
      <c r="AI20" s="48" t="s">
        <v>1257</v>
      </c>
      <c r="AJ20" s="48" t="s">
        <v>1257</v>
      </c>
    </row>
    <row r="21" spans="2:36">
      <c r="B21" s="48" t="s">
        <v>1240</v>
      </c>
      <c r="C21" s="48">
        <v>19</v>
      </c>
      <c r="D21" s="48" t="s">
        <v>1420</v>
      </c>
      <c r="E21" s="95">
        <v>45457</v>
      </c>
      <c r="F21" s="48">
        <v>1</v>
      </c>
      <c r="G21" s="48" cm="1">
        <f t="array" aca="1" ref="G21" ca="1">SUMPRODUCT(--(ISNUMBER((SEARCH(I28:AJ28,I21:AJ21)))))/COUNTA(I21:AJ21)</f>
        <v>0.9642857142857143</v>
      </c>
      <c r="H21" s="48" t="s">
        <v>1343</v>
      </c>
      <c r="I21" s="48" t="s">
        <v>1291</v>
      </c>
      <c r="J21" s="48" t="s">
        <v>1291</v>
      </c>
      <c r="K21" s="48" t="s">
        <v>1291</v>
      </c>
      <c r="L21" s="48" t="s">
        <v>1291</v>
      </c>
      <c r="M21" s="48" t="s">
        <v>1291</v>
      </c>
      <c r="N21" s="48" t="s">
        <v>1291</v>
      </c>
      <c r="O21" s="48" t="s">
        <v>1291</v>
      </c>
      <c r="P21" s="48" t="s">
        <v>1291</v>
      </c>
      <c r="Q21" s="48" t="s">
        <v>1291</v>
      </c>
      <c r="R21" s="48" t="s">
        <v>1291</v>
      </c>
      <c r="S21" s="48" t="s">
        <v>1292</v>
      </c>
      <c r="T21" s="48" t="s">
        <v>1292</v>
      </c>
      <c r="U21" s="48" t="s">
        <v>1292</v>
      </c>
      <c r="V21" s="48" t="s">
        <v>1291</v>
      </c>
      <c r="W21" s="48" t="s">
        <v>1291</v>
      </c>
      <c r="X21" s="48" t="s">
        <v>1291</v>
      </c>
      <c r="Y21" s="48" t="s">
        <v>1291</v>
      </c>
      <c r="Z21" s="48" t="s">
        <v>1291</v>
      </c>
      <c r="AA21" s="48" t="s">
        <v>1291</v>
      </c>
      <c r="AB21" s="48" t="s">
        <v>1291</v>
      </c>
      <c r="AC21" s="48" t="s">
        <v>1291</v>
      </c>
      <c r="AD21" s="48" t="s">
        <v>1291</v>
      </c>
      <c r="AE21" s="48" t="s">
        <v>1291</v>
      </c>
      <c r="AF21" s="48" t="s">
        <v>1291</v>
      </c>
      <c r="AG21" s="48" t="s">
        <v>1291</v>
      </c>
      <c r="AH21" s="48" t="s">
        <v>1291</v>
      </c>
      <c r="AI21" s="48" t="s">
        <v>1291</v>
      </c>
      <c r="AJ21" s="48" t="s">
        <v>1293</v>
      </c>
    </row>
    <row r="22" spans="2:36">
      <c r="B22" s="97" t="s">
        <v>1243</v>
      </c>
      <c r="C22" s="48">
        <v>20</v>
      </c>
      <c r="D22" s="48" t="s">
        <v>1417</v>
      </c>
      <c r="E22" s="95">
        <v>45457</v>
      </c>
      <c r="F22" s="48">
        <v>1</v>
      </c>
      <c r="G22" s="48" t="e" cm="1" vm="1">
        <f t="array" ref="G22">SUM(IF(I2:AJ2 = I27:AJ27, 1, 0))/ COUNTA(I2:AJ2)</f>
        <v>#VALUE!</v>
      </c>
      <c r="H22" s="48"/>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row>
    <row r="23" spans="2:36">
      <c r="B23" s="48" t="s">
        <v>1246</v>
      </c>
      <c r="C23" s="48">
        <v>21</v>
      </c>
      <c r="D23" s="48" t="s">
        <v>1420</v>
      </c>
      <c r="E23" s="95">
        <v>45457</v>
      </c>
      <c r="F23" s="48">
        <v>1</v>
      </c>
      <c r="G23" s="48" t="e" cm="1">
        <f t="array" ref="G23">SUM(IF(IF(G3:G18="null",1,G3:G18)=1,1,0))/COUNT(IF(G3:G18="null",1,1))</f>
        <v>#DIV/0!</v>
      </c>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row>
    <row r="26" spans="2:36">
      <c r="B26" s="126" t="s">
        <v>1364</v>
      </c>
    </row>
    <row r="27" spans="2:36">
      <c r="B27" s="132" t="s">
        <v>1249</v>
      </c>
      <c r="C27" s="128" t="s">
        <v>1250</v>
      </c>
      <c r="D27" s="128" t="s">
        <v>1251</v>
      </c>
      <c r="E27" s="128" t="s">
        <v>1252</v>
      </c>
      <c r="F27" s="128" t="s">
        <v>1253</v>
      </c>
      <c r="G27" s="128" t="s">
        <v>1254</v>
      </c>
      <c r="H27" s="128" t="s">
        <v>1255</v>
      </c>
      <c r="I27" s="128" t="e" cm="1" vm="2">
        <f t="array" ref="I27">TRANSPOSE(_xlfn.SORTBY(_xlfn._xlws.FILTER(Table3[NOME FÍSICO CAMPO],Table3[NOME FÍSICO TABELA]="incomesaving_account"), _xlfn._xlws.FILTER(Table3[ORDEM], Table3[NOME FÍSICO TABELA]="incomesaving_account"), 1))</f>
        <v>#VALUE!</v>
      </c>
      <c r="J27" s="128"/>
      <c r="K27" s="128"/>
      <c r="L27" s="128"/>
      <c r="M27" s="128"/>
      <c r="N27" s="128"/>
      <c r="O27" s="128"/>
      <c r="P27" s="128"/>
      <c r="Q27" s="128"/>
      <c r="R27" s="128"/>
      <c r="S27" s="128"/>
      <c r="T27" s="128"/>
      <c r="U27" s="128"/>
      <c r="V27" s="128"/>
      <c r="W27" s="128"/>
      <c r="X27" s="128"/>
      <c r="Y27" s="128"/>
      <c r="Z27" s="128"/>
      <c r="AA27" s="128"/>
      <c r="AB27" s="128"/>
      <c r="AC27" s="128"/>
      <c r="AD27" s="128"/>
      <c r="AE27" s="128"/>
      <c r="AF27" s="128"/>
      <c r="AG27" s="128"/>
      <c r="AH27" s="128"/>
      <c r="AI27" s="128"/>
      <c r="AJ27" s="214"/>
    </row>
    <row r="28" spans="2:36">
      <c r="B28" s="106" t="s">
        <v>1294</v>
      </c>
      <c r="C28" s="109">
        <v>21</v>
      </c>
      <c r="D28" s="103" t="s">
        <v>1295</v>
      </c>
      <c r="E28" s="102" t="s">
        <v>1296</v>
      </c>
      <c r="F28" s="102" t="s">
        <v>124</v>
      </c>
      <c r="G28" s="102" t="s">
        <v>124</v>
      </c>
      <c r="H28" s="102" t="s">
        <v>124</v>
      </c>
      <c r="I28" s="102" t="e" cm="1" vm="2">
        <f t="array" aca="1" ref="I28" ca="1">TRANSPOSE(_xlfn.SORTBY(_xlfn._xlws.FILTER(IF(Table3[FORMATO]:Table3[COMP_ CAMPO]&lt;&gt;"",Table3[FORMATO]:Table3[COMP_ CAMPO],9999999),Table3[NOME FÍSICO TABELA]="incomesaving_account"), _xlfn._xlws.FILTER(Table3[ORDEM], Table3[NOME FÍSICO TABELA]="incomesaving_account"), 1))</f>
        <v>#VALUE!</v>
      </c>
      <c r="J28" s="102"/>
      <c r="K28" s="102"/>
      <c r="L28" s="102"/>
      <c r="M28" s="102"/>
      <c r="N28" s="102"/>
      <c r="O28" s="102"/>
      <c r="P28" s="102"/>
      <c r="Q28" s="102"/>
      <c r="R28" s="102"/>
      <c r="S28" s="102"/>
      <c r="T28" s="102"/>
      <c r="U28" s="102"/>
      <c r="V28" s="102"/>
      <c r="W28" s="102"/>
      <c r="X28" s="102"/>
      <c r="Y28" s="102"/>
      <c r="Z28" s="102"/>
      <c r="AA28" s="102"/>
      <c r="AB28" s="102"/>
      <c r="AC28" s="102"/>
      <c r="AD28" s="108"/>
      <c r="AE28" s="108"/>
      <c r="AF28" s="108"/>
      <c r="AG28" s="108"/>
      <c r="AH28" s="108"/>
      <c r="AI28" s="102"/>
      <c r="AJ28" s="107"/>
    </row>
    <row r="29" spans="2:36">
      <c r="B29" s="106" t="s">
        <v>1297</v>
      </c>
      <c r="C29" s="109">
        <v>7</v>
      </c>
      <c r="D29" s="103" t="s">
        <v>1295</v>
      </c>
      <c r="E29" s="102" t="s">
        <v>1296</v>
      </c>
      <c r="F29" s="104" t="s">
        <v>124</v>
      </c>
      <c r="G29" s="104" t="s">
        <v>124</v>
      </c>
      <c r="H29" s="104" t="s">
        <v>124</v>
      </c>
      <c r="I29" s="150"/>
      <c r="J29" s="150"/>
      <c r="K29" s="150"/>
      <c r="L29" s="150"/>
      <c r="M29" s="150"/>
      <c r="N29" s="150"/>
      <c r="O29" s="150"/>
      <c r="P29" s="150"/>
      <c r="Q29" s="150"/>
      <c r="R29" s="150"/>
      <c r="S29" s="150"/>
      <c r="T29" s="150"/>
      <c r="U29" s="150"/>
      <c r="V29" s="150"/>
      <c r="W29" s="150"/>
      <c r="X29" s="150"/>
      <c r="Y29" s="150"/>
      <c r="Z29" s="150"/>
      <c r="AA29" s="150"/>
      <c r="AB29" s="150"/>
      <c r="AC29" s="150"/>
      <c r="AD29" s="151"/>
      <c r="AE29" s="151"/>
      <c r="AF29" s="151"/>
      <c r="AG29" s="151"/>
      <c r="AH29" s="151"/>
      <c r="AI29" s="150"/>
      <c r="AJ29" s="107"/>
    </row>
    <row r="31" spans="2:36">
      <c r="B31" s="139" t="s">
        <v>1298</v>
      </c>
    </row>
    <row r="32" spans="2:36">
      <c r="B32" s="133" t="s">
        <v>1299</v>
      </c>
      <c r="C32" s="133" t="s">
        <v>1300</v>
      </c>
      <c r="D32" s="134" t="s">
        <v>1301</v>
      </c>
      <c r="E32" s="133" t="s">
        <v>1302</v>
      </c>
      <c r="F32" s="133" t="s">
        <v>1303</v>
      </c>
    </row>
    <row r="33" spans="2:16" ht="29.1">
      <c r="B33" s="117" t="s">
        <v>1421</v>
      </c>
      <c r="C33" s="120" t="s">
        <v>1379</v>
      </c>
      <c r="D33" s="51" t="s">
        <v>1422</v>
      </c>
      <c r="E33" s="152" t="s">
        <v>1423</v>
      </c>
      <c r="F33" s="135" t="s">
        <v>1310</v>
      </c>
    </row>
    <row r="34" spans="2:16" ht="29.1">
      <c r="B34" s="117" t="s">
        <v>1421</v>
      </c>
      <c r="C34" s="120" t="s">
        <v>1380</v>
      </c>
      <c r="D34" s="51" t="s">
        <v>1422</v>
      </c>
      <c r="E34" s="152" t="s">
        <v>1423</v>
      </c>
      <c r="F34" s="135" t="s">
        <v>1310</v>
      </c>
    </row>
    <row r="35" spans="2:16" ht="29.1">
      <c r="B35" s="117" t="s">
        <v>1421</v>
      </c>
      <c r="C35" s="120" t="s">
        <v>1381</v>
      </c>
      <c r="D35" s="51" t="s">
        <v>1422</v>
      </c>
      <c r="E35" s="152" t="s">
        <v>1423</v>
      </c>
      <c r="F35" s="135" t="s">
        <v>1310</v>
      </c>
    </row>
    <row r="36" spans="2:16" ht="29.1">
      <c r="B36" s="117" t="s">
        <v>1421</v>
      </c>
      <c r="C36" s="120" t="s">
        <v>1383</v>
      </c>
      <c r="D36" s="51" t="s">
        <v>1422</v>
      </c>
      <c r="E36" s="152" t="s">
        <v>1423</v>
      </c>
      <c r="F36" s="135" t="s">
        <v>1310</v>
      </c>
    </row>
    <row r="37" spans="2:16" ht="29.1">
      <c r="B37" s="117" t="s">
        <v>1421</v>
      </c>
      <c r="C37" s="120" t="s">
        <v>1384</v>
      </c>
      <c r="D37" s="51" t="s">
        <v>1422</v>
      </c>
      <c r="E37" s="152" t="s">
        <v>1423</v>
      </c>
      <c r="F37" s="135" t="s">
        <v>1310</v>
      </c>
    </row>
    <row r="38" spans="2:16" ht="29.1">
      <c r="B38" s="117" t="s">
        <v>1421</v>
      </c>
      <c r="C38" s="120" t="s">
        <v>1385</v>
      </c>
      <c r="D38" s="51" t="s">
        <v>1422</v>
      </c>
      <c r="E38" s="152" t="s">
        <v>1423</v>
      </c>
      <c r="F38" s="135" t="s">
        <v>1310</v>
      </c>
    </row>
    <row r="39" spans="2:16" ht="29.1">
      <c r="B39" s="117" t="s">
        <v>1421</v>
      </c>
      <c r="C39" s="120" t="s">
        <v>1386</v>
      </c>
      <c r="D39" s="51" t="s">
        <v>1422</v>
      </c>
      <c r="E39" s="152" t="s">
        <v>1423</v>
      </c>
      <c r="F39" s="135" t="s">
        <v>1310</v>
      </c>
    </row>
    <row r="40" spans="2:16" ht="29.1">
      <c r="B40" s="117" t="s">
        <v>1421</v>
      </c>
      <c r="C40" s="120" t="s">
        <v>1388</v>
      </c>
      <c r="D40" s="51" t="s">
        <v>1422</v>
      </c>
      <c r="E40" s="152" t="s">
        <v>1423</v>
      </c>
      <c r="F40" s="135" t="s">
        <v>1310</v>
      </c>
    </row>
    <row r="41" spans="2:16" ht="29.1">
      <c r="B41" s="117" t="s">
        <v>1421</v>
      </c>
      <c r="C41" s="114" t="s">
        <v>678</v>
      </c>
      <c r="D41" s="51" t="s">
        <v>1424</v>
      </c>
      <c r="E41" s="152" t="s">
        <v>1423</v>
      </c>
      <c r="F41" s="135" t="s">
        <v>1310</v>
      </c>
      <c r="I41" s="157"/>
      <c r="J41" s="157"/>
      <c r="K41" s="157"/>
      <c r="L41" s="157"/>
      <c r="M41" s="157"/>
      <c r="N41" s="157"/>
      <c r="O41" s="157"/>
      <c r="P41" s="157"/>
    </row>
    <row r="42" spans="2:16" ht="29.1">
      <c r="B42" s="171" t="s">
        <v>1365</v>
      </c>
      <c r="C42" s="172" t="s">
        <v>203</v>
      </c>
      <c r="D42" s="173" t="s">
        <v>1425</v>
      </c>
      <c r="E42" s="174" t="s">
        <v>1426</v>
      </c>
      <c r="F42" s="175" t="s">
        <v>1313</v>
      </c>
      <c r="L42" s="157"/>
    </row>
    <row r="43" spans="2:16" ht="29.1">
      <c r="B43" s="110" t="s">
        <v>1314</v>
      </c>
      <c r="C43" s="114" t="s">
        <v>1315</v>
      </c>
      <c r="D43" s="51" t="s">
        <v>1427</v>
      </c>
      <c r="E43" s="154" t="s">
        <v>1428</v>
      </c>
      <c r="F43" s="135" t="s">
        <v>1310</v>
      </c>
      <c r="L43" s="157"/>
    </row>
    <row r="44" spans="2:16" ht="29.1">
      <c r="B44" s="110" t="s">
        <v>1373</v>
      </c>
      <c r="C44" s="120" t="s">
        <v>1315</v>
      </c>
      <c r="D44" s="51" t="s">
        <v>1429</v>
      </c>
      <c r="E44" s="154" t="s">
        <v>1430</v>
      </c>
      <c r="F44" s="135" t="s">
        <v>1313</v>
      </c>
      <c r="I44" s="157"/>
      <c r="J44" s="157"/>
      <c r="K44" s="157"/>
      <c r="L44" s="157"/>
    </row>
    <row r="45" spans="2:16" ht="29.1">
      <c r="B45" s="110" t="s">
        <v>1431</v>
      </c>
      <c r="C45" s="116" t="s">
        <v>1381</v>
      </c>
      <c r="D45" s="51" t="s">
        <v>1432</v>
      </c>
      <c r="E45" s="152" t="s">
        <v>1423</v>
      </c>
      <c r="F45" s="135" t="s">
        <v>1310</v>
      </c>
      <c r="I45" s="157"/>
      <c r="J45" s="157"/>
      <c r="K45" s="157"/>
      <c r="L45" s="157"/>
    </row>
    <row r="46" spans="2:16" ht="29.1">
      <c r="B46" s="110" t="s">
        <v>1431</v>
      </c>
      <c r="C46" s="120" t="s">
        <v>1382</v>
      </c>
      <c r="D46" s="51" t="s">
        <v>1432</v>
      </c>
      <c r="E46" s="152" t="s">
        <v>1423</v>
      </c>
      <c r="F46" s="135" t="s">
        <v>1310</v>
      </c>
      <c r="I46" s="157"/>
      <c r="J46" s="157"/>
      <c r="K46" s="157"/>
      <c r="L46" s="157"/>
    </row>
    <row r="47" spans="2:16" ht="29.1">
      <c r="B47" s="110" t="s">
        <v>1431</v>
      </c>
      <c r="C47" s="116" t="s">
        <v>1383</v>
      </c>
      <c r="D47" s="51" t="s">
        <v>1432</v>
      </c>
      <c r="E47" s="152" t="s">
        <v>1423</v>
      </c>
      <c r="F47" s="135" t="s">
        <v>1310</v>
      </c>
      <c r="I47" s="157"/>
      <c r="J47" s="157"/>
      <c r="K47" s="157"/>
      <c r="L47" s="157"/>
    </row>
    <row r="48" spans="2:16" ht="29.1">
      <c r="B48" s="110" t="s">
        <v>1431</v>
      </c>
      <c r="C48" s="116" t="s">
        <v>1386</v>
      </c>
      <c r="D48" s="51" t="s">
        <v>1432</v>
      </c>
      <c r="E48" s="152" t="s">
        <v>1423</v>
      </c>
      <c r="F48" s="135" t="s">
        <v>1310</v>
      </c>
      <c r="I48" s="157"/>
      <c r="J48" s="157"/>
      <c r="K48" s="157"/>
      <c r="L48" s="157"/>
    </row>
    <row r="49" spans="2:6" ht="29.1">
      <c r="B49" s="110" t="s">
        <v>1431</v>
      </c>
      <c r="C49" s="120" t="s">
        <v>1387</v>
      </c>
      <c r="D49" s="51" t="s">
        <v>1432</v>
      </c>
      <c r="E49" s="152" t="s">
        <v>1423</v>
      </c>
      <c r="F49" s="135" t="s">
        <v>1310</v>
      </c>
    </row>
    <row r="50" spans="2:6" ht="29.1">
      <c r="B50" s="110" t="s">
        <v>1431</v>
      </c>
      <c r="C50" s="170" t="s">
        <v>1388</v>
      </c>
      <c r="D50" s="51" t="s">
        <v>1432</v>
      </c>
      <c r="E50" s="152" t="s">
        <v>1423</v>
      </c>
      <c r="F50" s="135" t="s">
        <v>1310</v>
      </c>
    </row>
    <row r="51" spans="2:6">
      <c r="C51" s="48"/>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O53"/>
  <sheetViews>
    <sheetView showGridLines="0" topLeftCell="A35" workbookViewId="0">
      <selection activeCell="A9" sqref="A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1.7109375" bestFit="1" customWidth="1"/>
    <col min="31" max="31" width="33.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77" t="s">
        <v>1375</v>
      </c>
      <c r="C2" s="77" t="s">
        <v>1250</v>
      </c>
      <c r="D2" s="77" t="s">
        <v>1251</v>
      </c>
      <c r="E2" s="77" t="s">
        <v>1252</v>
      </c>
      <c r="F2" s="77" t="s">
        <v>1253</v>
      </c>
      <c r="G2" s="77" t="s">
        <v>1254</v>
      </c>
      <c r="H2" s="77" t="s">
        <v>1255</v>
      </c>
      <c r="I2" s="77" t="s">
        <v>103</v>
      </c>
      <c r="J2" s="77" t="s">
        <v>134</v>
      </c>
      <c r="K2" s="77" t="s">
        <v>155</v>
      </c>
      <c r="L2" s="77" t="s">
        <v>162</v>
      </c>
      <c r="M2" s="77" t="s">
        <v>190</v>
      </c>
      <c r="N2" s="77" t="s">
        <v>289</v>
      </c>
      <c r="O2" s="77" t="s">
        <v>299</v>
      </c>
      <c r="P2" s="77" t="s">
        <v>314</v>
      </c>
      <c r="Q2" s="77" t="s">
        <v>389</v>
      </c>
      <c r="R2" s="77" t="s">
        <v>1376</v>
      </c>
      <c r="S2" s="77" t="s">
        <v>1377</v>
      </c>
      <c r="T2" s="77" t="s">
        <v>1378</v>
      </c>
      <c r="U2" s="77" t="s">
        <v>1433</v>
      </c>
      <c r="V2" s="77" t="s">
        <v>1434</v>
      </c>
      <c r="W2" s="77" t="s">
        <v>1435</v>
      </c>
      <c r="X2" s="77" t="s">
        <v>1436</v>
      </c>
      <c r="Y2" s="77" t="s">
        <v>1437</v>
      </c>
      <c r="Z2" s="77" t="s">
        <v>1438</v>
      </c>
      <c r="AA2" s="77" t="s">
        <v>1439</v>
      </c>
      <c r="AB2" s="77" t="s">
        <v>1440</v>
      </c>
      <c r="AC2" s="77" t="s">
        <v>1441</v>
      </c>
      <c r="AD2" s="77" t="s">
        <v>1442</v>
      </c>
      <c r="AE2" s="77" t="s">
        <v>1443</v>
      </c>
      <c r="AF2" s="77" t="s">
        <v>1444</v>
      </c>
      <c r="AG2" s="77" t="s">
        <v>1445</v>
      </c>
      <c r="AH2" s="77" t="s">
        <v>1446</v>
      </c>
      <c r="AI2" s="77" t="s">
        <v>1447</v>
      </c>
      <c r="AJ2" s="77" t="s">
        <v>669</v>
      </c>
      <c r="AK2" s="77" t="s">
        <v>678</v>
      </c>
      <c r="AL2" s="77" t="s">
        <v>214</v>
      </c>
      <c r="AM2" s="77" t="s">
        <v>234</v>
      </c>
      <c r="AN2" s="77" t="s">
        <v>253</v>
      </c>
    </row>
    <row r="3" spans="2:40">
      <c r="B3" s="48" t="s">
        <v>1203</v>
      </c>
      <c r="C3" s="48">
        <v>1</v>
      </c>
      <c r="D3" s="95" t="s">
        <v>1448</v>
      </c>
      <c r="E3" s="95">
        <v>45448</v>
      </c>
      <c r="F3" s="48">
        <v>2</v>
      </c>
      <c r="G3" s="98">
        <v>1</v>
      </c>
      <c r="H3" s="180" t="s">
        <v>1449</v>
      </c>
      <c r="I3" s="48" t="s">
        <v>1257</v>
      </c>
      <c r="J3" s="48" t="s">
        <v>1257</v>
      </c>
      <c r="K3" s="48" t="s">
        <v>1257</v>
      </c>
      <c r="L3" s="48" t="s">
        <v>1257</v>
      </c>
      <c r="M3" s="48" t="s">
        <v>1257</v>
      </c>
      <c r="N3" s="48" t="s">
        <v>1257</v>
      </c>
      <c r="O3" s="48" t="s">
        <v>1257</v>
      </c>
      <c r="P3" s="48" t="s">
        <v>1257</v>
      </c>
      <c r="Q3" s="48" t="s">
        <v>1257</v>
      </c>
      <c r="R3" s="48" t="s">
        <v>1257</v>
      </c>
      <c r="S3" s="48" t="s">
        <v>1257</v>
      </c>
      <c r="T3" s="48" t="s">
        <v>1257</v>
      </c>
      <c r="U3" s="48" t="s">
        <v>1257</v>
      </c>
      <c r="V3" s="48" t="s">
        <v>1257</v>
      </c>
      <c r="W3" s="48" t="s">
        <v>1257</v>
      </c>
      <c r="X3" s="48" t="s">
        <v>1257</v>
      </c>
      <c r="Y3" s="48" t="s">
        <v>1257</v>
      </c>
      <c r="Z3" s="48" t="s">
        <v>1257</v>
      </c>
      <c r="AA3" s="48" t="s">
        <v>1257</v>
      </c>
      <c r="AB3" s="48" t="s">
        <v>1257</v>
      </c>
      <c r="AC3" s="48" t="s">
        <v>1257</v>
      </c>
      <c r="AD3" s="48" t="s">
        <v>1257</v>
      </c>
      <c r="AE3" s="48" t="s">
        <v>1257</v>
      </c>
      <c r="AF3" s="48" t="s">
        <v>1257</v>
      </c>
      <c r="AG3" s="48" t="s">
        <v>1257</v>
      </c>
      <c r="AH3" s="48" t="s">
        <v>1257</v>
      </c>
      <c r="AI3" s="48" t="s">
        <v>1257</v>
      </c>
      <c r="AJ3" s="48" t="s">
        <v>1257</v>
      </c>
      <c r="AK3" s="48" t="s">
        <v>1257</v>
      </c>
      <c r="AL3" s="48" t="s">
        <v>1257</v>
      </c>
      <c r="AM3" s="48" t="s">
        <v>1257</v>
      </c>
      <c r="AN3" s="48" t="s">
        <v>1257</v>
      </c>
    </row>
    <row r="4" spans="2:40">
      <c r="B4" s="48" t="s">
        <v>1205</v>
      </c>
      <c r="C4" s="48">
        <v>2</v>
      </c>
      <c r="D4" s="95" t="s">
        <v>1450</v>
      </c>
      <c r="E4" s="95">
        <v>45448</v>
      </c>
      <c r="F4" s="48">
        <v>2</v>
      </c>
      <c r="G4" s="98">
        <v>1</v>
      </c>
      <c r="H4" s="48" t="s">
        <v>1343</v>
      </c>
      <c r="I4" s="48" t="s">
        <v>1257</v>
      </c>
      <c r="J4" s="48" t="s">
        <v>1257</v>
      </c>
      <c r="K4" s="48" t="s">
        <v>1257</v>
      </c>
      <c r="L4" s="48" t="s">
        <v>1257</v>
      </c>
      <c r="M4" s="48" t="s">
        <v>1257</v>
      </c>
      <c r="N4" s="48" t="s">
        <v>1257</v>
      </c>
      <c r="O4" s="48" t="s">
        <v>1257</v>
      </c>
      <c r="P4" s="48" t="s">
        <v>1257</v>
      </c>
      <c r="Q4" s="48" t="s">
        <v>1257</v>
      </c>
      <c r="R4" s="48" t="s">
        <v>1257</v>
      </c>
      <c r="S4" s="48" t="s">
        <v>1257</v>
      </c>
      <c r="T4" s="48" t="s">
        <v>1257</v>
      </c>
      <c r="U4" s="48" t="s">
        <v>1257</v>
      </c>
      <c r="V4" s="48" t="s">
        <v>1257</v>
      </c>
      <c r="W4" s="48" t="s">
        <v>1257</v>
      </c>
      <c r="X4" s="48" t="s">
        <v>1257</v>
      </c>
      <c r="Y4" s="48" t="s">
        <v>1257</v>
      </c>
      <c r="Z4" s="48" t="s">
        <v>1257</v>
      </c>
      <c r="AA4" s="48" t="s">
        <v>1257</v>
      </c>
      <c r="AB4" s="48" t="s">
        <v>1257</v>
      </c>
      <c r="AC4" s="48" t="s">
        <v>1257</v>
      </c>
      <c r="AD4" s="48" t="s">
        <v>1257</v>
      </c>
      <c r="AE4" s="48" t="s">
        <v>1257</v>
      </c>
      <c r="AF4" s="48" t="s">
        <v>1257</v>
      </c>
      <c r="AG4" s="48" t="s">
        <v>1257</v>
      </c>
      <c r="AH4" s="48" t="s">
        <v>1257</v>
      </c>
      <c r="AI4" s="48" t="s">
        <v>1257</v>
      </c>
      <c r="AJ4" s="48" t="s">
        <v>1257</v>
      </c>
      <c r="AK4" s="48" t="s">
        <v>1257</v>
      </c>
      <c r="AL4" s="48" t="s">
        <v>1257</v>
      </c>
      <c r="AM4" s="48" t="s">
        <v>1257</v>
      </c>
      <c r="AN4" s="48" t="s">
        <v>1257</v>
      </c>
    </row>
    <row r="5" spans="2:40">
      <c r="B5" s="48" t="s">
        <v>1207</v>
      </c>
      <c r="C5" s="48">
        <v>3</v>
      </c>
      <c r="D5" s="95" t="s">
        <v>1451</v>
      </c>
      <c r="E5" s="95">
        <v>45448</v>
      </c>
      <c r="F5" s="48">
        <v>2</v>
      </c>
      <c r="G5" s="98">
        <v>1</v>
      </c>
      <c r="H5" s="48" t="s">
        <v>1343</v>
      </c>
      <c r="I5" s="48">
        <v>0</v>
      </c>
      <c r="J5" s="48">
        <v>0</v>
      </c>
      <c r="K5" s="48" t="s">
        <v>1257</v>
      </c>
      <c r="L5" s="48" t="s">
        <v>1257</v>
      </c>
      <c r="M5" s="48" t="s">
        <v>1257</v>
      </c>
      <c r="N5" s="48" t="s">
        <v>1257</v>
      </c>
      <c r="O5" s="48" t="s">
        <v>1257</v>
      </c>
      <c r="P5" s="48" t="s">
        <v>1257</v>
      </c>
      <c r="Q5" s="48" t="s">
        <v>1257</v>
      </c>
      <c r="R5" s="48" t="s">
        <v>1257</v>
      </c>
      <c r="S5" s="48" t="s">
        <v>1257</v>
      </c>
      <c r="T5" s="48" t="s">
        <v>1257</v>
      </c>
      <c r="U5" s="48" t="s">
        <v>1257</v>
      </c>
      <c r="V5" s="48" t="s">
        <v>1257</v>
      </c>
      <c r="W5" s="48" t="s">
        <v>1257</v>
      </c>
      <c r="X5" s="48" t="s">
        <v>1257</v>
      </c>
      <c r="Y5" s="48" t="s">
        <v>1257</v>
      </c>
      <c r="Z5" s="48" t="s">
        <v>1257</v>
      </c>
      <c r="AA5" s="48" t="s">
        <v>1257</v>
      </c>
      <c r="AB5" s="48" t="s">
        <v>1257</v>
      </c>
      <c r="AC5" s="48" t="s">
        <v>1257</v>
      </c>
      <c r="AD5" s="48" t="s">
        <v>1257</v>
      </c>
      <c r="AE5" s="48" t="s">
        <v>1257</v>
      </c>
      <c r="AF5" s="48" t="s">
        <v>1257</v>
      </c>
      <c r="AG5" s="48" t="s">
        <v>1257</v>
      </c>
      <c r="AH5" s="48" t="s">
        <v>1257</v>
      </c>
      <c r="AI5" s="48" t="s">
        <v>1257</v>
      </c>
      <c r="AJ5" s="48" t="s">
        <v>1257</v>
      </c>
      <c r="AK5" s="48" t="s">
        <v>1257</v>
      </c>
      <c r="AL5" s="48" t="s">
        <v>1257</v>
      </c>
      <c r="AM5" s="48">
        <v>0</v>
      </c>
      <c r="AN5" s="48" t="s">
        <v>1257</v>
      </c>
    </row>
    <row r="6" spans="2:40">
      <c r="B6" s="97" t="s">
        <v>1209</v>
      </c>
      <c r="C6" s="48">
        <v>4</v>
      </c>
      <c r="D6" s="48" t="s">
        <v>1260</v>
      </c>
      <c r="E6" s="95" t="s">
        <v>1257</v>
      </c>
      <c r="F6" s="48">
        <v>2</v>
      </c>
      <c r="G6" s="95" t="s">
        <v>1257</v>
      </c>
      <c r="H6" s="48"/>
      <c r="I6" s="48" t="s">
        <v>1257</v>
      </c>
      <c r="J6" s="48" t="s">
        <v>1257</v>
      </c>
      <c r="K6" s="48" t="s">
        <v>1257</v>
      </c>
      <c r="L6" s="48" t="s">
        <v>1257</v>
      </c>
      <c r="M6" s="48" t="s">
        <v>1257</v>
      </c>
      <c r="N6" s="48" t="s">
        <v>1257</v>
      </c>
      <c r="O6" s="48" t="s">
        <v>1257</v>
      </c>
      <c r="P6" s="48" t="s">
        <v>1257</v>
      </c>
      <c r="Q6" s="48" t="s">
        <v>1257</v>
      </c>
      <c r="R6" s="48" t="s">
        <v>1257</v>
      </c>
      <c r="S6" s="98" t="s">
        <v>1257</v>
      </c>
      <c r="T6" s="98" t="s">
        <v>1257</v>
      </c>
      <c r="U6" s="48" t="s">
        <v>1257</v>
      </c>
      <c r="V6" s="48" t="s">
        <v>1257</v>
      </c>
      <c r="W6" s="48" t="s">
        <v>1257</v>
      </c>
      <c r="X6" s="48" t="s">
        <v>1257</v>
      </c>
      <c r="Y6" s="48" t="s">
        <v>1257</v>
      </c>
      <c r="Z6" s="48" t="s">
        <v>1257</v>
      </c>
      <c r="AA6" s="48" t="s">
        <v>1257</v>
      </c>
      <c r="AB6" s="48" t="s">
        <v>1257</v>
      </c>
      <c r="AC6" s="48" t="s">
        <v>1257</v>
      </c>
      <c r="AD6" s="48" t="s">
        <v>1257</v>
      </c>
      <c r="AE6" s="48" t="s">
        <v>1257</v>
      </c>
      <c r="AF6" s="48" t="s">
        <v>1257</v>
      </c>
      <c r="AG6" s="48" t="s">
        <v>1257</v>
      </c>
      <c r="AH6" s="48" t="s">
        <v>1257</v>
      </c>
      <c r="AI6" s="48" t="s">
        <v>1257</v>
      </c>
      <c r="AJ6" s="48" t="s">
        <v>1257</v>
      </c>
      <c r="AK6" s="48" t="s">
        <v>1257</v>
      </c>
      <c r="AL6" s="48" t="s">
        <v>1257</v>
      </c>
      <c r="AM6" s="48" t="s">
        <v>1257</v>
      </c>
      <c r="AN6" s="48" t="s">
        <v>1257</v>
      </c>
    </row>
    <row r="7" spans="2:40">
      <c r="B7" s="97" t="s">
        <v>1211</v>
      </c>
      <c r="C7" s="48">
        <v>5</v>
      </c>
      <c r="D7" s="48" t="s">
        <v>1260</v>
      </c>
      <c r="E7" s="95" t="s">
        <v>1257</v>
      </c>
      <c r="F7" s="48">
        <v>2</v>
      </c>
      <c r="G7" s="95" t="s">
        <v>1257</v>
      </c>
      <c r="H7" s="48"/>
      <c r="I7" s="48" t="s">
        <v>1257</v>
      </c>
      <c r="J7" s="48" t="s">
        <v>1257</v>
      </c>
      <c r="K7" s="48" t="s">
        <v>1257</v>
      </c>
      <c r="L7" s="48" t="s">
        <v>1257</v>
      </c>
      <c r="M7" s="48" t="s">
        <v>1257</v>
      </c>
      <c r="N7" s="48" t="s">
        <v>1257</v>
      </c>
      <c r="O7" s="48" t="s">
        <v>1257</v>
      </c>
      <c r="P7" s="48" t="s">
        <v>1257</v>
      </c>
      <c r="Q7" s="48" t="s">
        <v>1257</v>
      </c>
      <c r="R7" s="48" t="s">
        <v>1257</v>
      </c>
      <c r="S7" s="48" t="s">
        <v>1257</v>
      </c>
      <c r="T7" s="48" t="s">
        <v>1257</v>
      </c>
      <c r="U7" s="48" t="s">
        <v>1257</v>
      </c>
      <c r="V7" s="48" t="s">
        <v>1257</v>
      </c>
      <c r="W7" s="48" t="s">
        <v>1257</v>
      </c>
      <c r="X7" s="48" t="s">
        <v>1257</v>
      </c>
      <c r="Y7" s="48" t="s">
        <v>1257</v>
      </c>
      <c r="Z7" s="48" t="s">
        <v>1257</v>
      </c>
      <c r="AA7" s="48" t="s">
        <v>1257</v>
      </c>
      <c r="AB7" s="48" t="s">
        <v>1257</v>
      </c>
      <c r="AC7" s="48" t="s">
        <v>1257</v>
      </c>
      <c r="AD7" s="48" t="s">
        <v>1257</v>
      </c>
      <c r="AE7" s="48" t="s">
        <v>1257</v>
      </c>
      <c r="AF7" s="48" t="s">
        <v>1257</v>
      </c>
      <c r="AG7" s="48" t="s">
        <v>1257</v>
      </c>
      <c r="AH7" s="48" t="s">
        <v>1257</v>
      </c>
      <c r="AI7" s="48" t="s">
        <v>1257</v>
      </c>
      <c r="AJ7" s="48" t="s">
        <v>1257</v>
      </c>
      <c r="AK7" s="48" t="s">
        <v>1257</v>
      </c>
      <c r="AL7" s="48" t="s">
        <v>1257</v>
      </c>
      <c r="AM7" s="48" t="s">
        <v>1257</v>
      </c>
      <c r="AN7" s="48" t="s">
        <v>1257</v>
      </c>
    </row>
    <row r="8" spans="2:40">
      <c r="B8" s="97" t="s">
        <v>1212</v>
      </c>
      <c r="C8" s="48">
        <v>6</v>
      </c>
      <c r="D8" s="95" t="s">
        <v>1452</v>
      </c>
      <c r="E8" s="95">
        <v>45448</v>
      </c>
      <c r="F8" s="48">
        <v>2</v>
      </c>
      <c r="G8" s="48" cm="1">
        <f t="array" ref="G8">SUMPRODUCT(--(I8:AN8&gt;0))/COUNTA(I8:AN8)</f>
        <v>1</v>
      </c>
      <c r="H8" s="48" t="s">
        <v>1343</v>
      </c>
      <c r="I8" s="48">
        <v>2</v>
      </c>
      <c r="J8" s="48">
        <v>30</v>
      </c>
      <c r="K8" s="48">
        <v>3</v>
      </c>
      <c r="L8" s="48">
        <v>3</v>
      </c>
      <c r="M8" s="48">
        <v>3</v>
      </c>
      <c r="N8" s="95">
        <v>10</v>
      </c>
      <c r="O8" s="95">
        <v>10</v>
      </c>
      <c r="P8" s="48">
        <v>3</v>
      </c>
      <c r="Q8" s="48">
        <v>1</v>
      </c>
      <c r="R8" s="98">
        <v>8</v>
      </c>
      <c r="S8" s="98">
        <v>8</v>
      </c>
      <c r="T8" s="98">
        <v>8</v>
      </c>
      <c r="U8" s="98">
        <v>8</v>
      </c>
      <c r="V8" s="98">
        <v>8</v>
      </c>
      <c r="W8" s="48">
        <v>8</v>
      </c>
      <c r="X8" s="98">
        <v>8</v>
      </c>
      <c r="Y8" s="98">
        <v>8</v>
      </c>
      <c r="Z8" s="48">
        <v>31</v>
      </c>
      <c r="AA8" s="48">
        <v>30</v>
      </c>
      <c r="AB8" s="48">
        <v>32</v>
      </c>
      <c r="AC8" s="48">
        <v>31</v>
      </c>
      <c r="AD8" s="48">
        <v>31</v>
      </c>
      <c r="AE8" s="48">
        <v>30</v>
      </c>
      <c r="AF8" s="48">
        <v>29</v>
      </c>
      <c r="AG8" s="48">
        <v>31</v>
      </c>
      <c r="AH8" s="48">
        <v>27</v>
      </c>
      <c r="AI8" s="48">
        <v>32</v>
      </c>
      <c r="AJ8" s="48">
        <v>3</v>
      </c>
      <c r="AK8" s="48">
        <v>3</v>
      </c>
      <c r="AL8" s="48">
        <v>2</v>
      </c>
      <c r="AM8" s="95">
        <v>10</v>
      </c>
      <c r="AN8" s="95">
        <v>23</v>
      </c>
    </row>
    <row r="9" spans="2:40">
      <c r="B9" s="48" t="s">
        <v>1215</v>
      </c>
      <c r="C9" s="48">
        <v>7</v>
      </c>
      <c r="D9" s="95" t="s">
        <v>1453</v>
      </c>
      <c r="E9" s="95">
        <v>45448</v>
      </c>
      <c r="F9" s="48">
        <v>2</v>
      </c>
      <c r="G9" s="48" t="e" cm="1">
        <f t="array" ref="G9">SUMPRODUCT(--(I9:AN9 &lt;= I28:AN28))/COUNTA(I28:AN28)</f>
        <v>#DIV/0!</v>
      </c>
      <c r="H9" s="48" t="s">
        <v>1343</v>
      </c>
      <c r="I9" s="48">
        <v>2</v>
      </c>
      <c r="J9" s="48">
        <v>30</v>
      </c>
      <c r="K9" s="48">
        <v>3</v>
      </c>
      <c r="L9" s="48">
        <v>3</v>
      </c>
      <c r="M9" s="48">
        <v>3</v>
      </c>
      <c r="N9" s="95">
        <v>10</v>
      </c>
      <c r="O9" s="95">
        <v>10</v>
      </c>
      <c r="P9" s="48">
        <v>3</v>
      </c>
      <c r="Q9" s="48">
        <v>1</v>
      </c>
      <c r="R9" s="48">
        <v>18</v>
      </c>
      <c r="S9" s="48">
        <v>18</v>
      </c>
      <c r="T9" s="48">
        <v>20</v>
      </c>
      <c r="U9" s="48">
        <v>17</v>
      </c>
      <c r="V9" s="48">
        <v>17</v>
      </c>
      <c r="W9" s="48">
        <v>12</v>
      </c>
      <c r="X9" s="98">
        <v>19</v>
      </c>
      <c r="Y9" s="98">
        <v>13</v>
      </c>
      <c r="Z9" s="48">
        <v>31</v>
      </c>
      <c r="AA9" s="48">
        <v>30</v>
      </c>
      <c r="AB9" s="48">
        <v>32</v>
      </c>
      <c r="AC9" s="48">
        <v>31</v>
      </c>
      <c r="AD9" s="48">
        <v>31</v>
      </c>
      <c r="AE9" s="48">
        <v>30</v>
      </c>
      <c r="AF9" s="48">
        <v>29</v>
      </c>
      <c r="AG9" s="48">
        <v>31</v>
      </c>
      <c r="AH9" s="48">
        <v>27</v>
      </c>
      <c r="AI9" s="48">
        <v>32</v>
      </c>
      <c r="AJ9" s="48">
        <v>3</v>
      </c>
      <c r="AK9" s="48">
        <v>3</v>
      </c>
      <c r="AL9" s="48">
        <v>2</v>
      </c>
      <c r="AM9" s="95">
        <v>10</v>
      </c>
      <c r="AN9" s="95">
        <v>23</v>
      </c>
    </row>
    <row r="10" spans="2:40">
      <c r="B10" s="48" t="s">
        <v>1218</v>
      </c>
      <c r="C10" s="48">
        <v>8</v>
      </c>
      <c r="D10" s="95" t="s">
        <v>1454</v>
      </c>
      <c r="E10" s="95">
        <v>45448</v>
      </c>
      <c r="F10" s="48">
        <v>2</v>
      </c>
      <c r="G10" s="95" t="s">
        <v>1257</v>
      </c>
      <c r="H10" s="48" t="s">
        <v>1343</v>
      </c>
      <c r="I10" s="48">
        <v>31</v>
      </c>
      <c r="J10" s="48">
        <v>8.9040009999999996E+21</v>
      </c>
      <c r="K10" s="48" t="s">
        <v>1455</v>
      </c>
      <c r="L10" s="48">
        <v>20</v>
      </c>
      <c r="M10" s="95">
        <v>0</v>
      </c>
      <c r="N10" s="95">
        <v>25601</v>
      </c>
      <c r="O10" s="95">
        <v>2958465</v>
      </c>
      <c r="P10" s="48">
        <v>0</v>
      </c>
      <c r="Q10" s="98">
        <v>0</v>
      </c>
      <c r="R10" s="191">
        <v>-1208895086580000</v>
      </c>
      <c r="S10" s="191" t="s">
        <v>1456</v>
      </c>
      <c r="T10" s="98">
        <v>-1.0000000001641E+17</v>
      </c>
      <c r="U10" s="98" t="s">
        <v>1266</v>
      </c>
      <c r="V10" s="98" t="s">
        <v>1266</v>
      </c>
      <c r="W10" s="98" t="s">
        <v>1266</v>
      </c>
      <c r="X10" s="98" t="s">
        <v>1266</v>
      </c>
      <c r="Y10" s="98" t="s">
        <v>1266</v>
      </c>
      <c r="Z10" s="98" t="s">
        <v>1438</v>
      </c>
      <c r="AA10" s="48" t="s">
        <v>1439</v>
      </c>
      <c r="AB10" s="48" t="s">
        <v>1440</v>
      </c>
      <c r="AC10" s="95" t="s">
        <v>1441</v>
      </c>
      <c r="AD10" s="48" t="s">
        <v>1442</v>
      </c>
      <c r="AE10" s="48" t="s">
        <v>1443</v>
      </c>
      <c r="AF10" s="48" t="s">
        <v>1444</v>
      </c>
      <c r="AG10" s="48" t="s">
        <v>1445</v>
      </c>
      <c r="AH10" s="95" t="s">
        <v>1446</v>
      </c>
      <c r="AI10" s="48" t="s">
        <v>1447</v>
      </c>
      <c r="AJ10" s="48" t="s">
        <v>1267</v>
      </c>
      <c r="AK10" s="48" t="s">
        <v>1268</v>
      </c>
      <c r="AL10" s="95" t="s">
        <v>1399</v>
      </c>
      <c r="AM10" s="95">
        <v>45448</v>
      </c>
      <c r="AN10" s="95" t="s">
        <v>1457</v>
      </c>
    </row>
    <row r="11" spans="2:40">
      <c r="B11" s="48" t="s">
        <v>1220</v>
      </c>
      <c r="C11" s="48">
        <v>9</v>
      </c>
      <c r="D11" s="95" t="s">
        <v>1458</v>
      </c>
      <c r="E11" s="95">
        <v>45448</v>
      </c>
      <c r="F11" s="48">
        <v>2</v>
      </c>
      <c r="G11" s="95" t="s">
        <v>1257</v>
      </c>
      <c r="H11" s="48" t="s">
        <v>1343</v>
      </c>
      <c r="I11" s="48">
        <v>31</v>
      </c>
      <c r="J11" s="48">
        <v>8.9040009999999996E+21</v>
      </c>
      <c r="K11" s="48" t="s">
        <v>1459</v>
      </c>
      <c r="L11" s="48">
        <v>20</v>
      </c>
      <c r="M11" s="95">
        <v>0</v>
      </c>
      <c r="N11" s="95">
        <v>25601</v>
      </c>
      <c r="O11" s="95">
        <v>2958465</v>
      </c>
      <c r="P11" s="48">
        <v>36</v>
      </c>
      <c r="Q11" s="48">
        <v>0</v>
      </c>
      <c r="R11" s="95" t="s">
        <v>1460</v>
      </c>
      <c r="S11" s="95" t="s">
        <v>1461</v>
      </c>
      <c r="T11" s="95" t="s">
        <v>1462</v>
      </c>
      <c r="U11" s="48" t="s">
        <v>1343</v>
      </c>
      <c r="V11" s="48" t="s">
        <v>1343</v>
      </c>
      <c r="W11" s="48" t="s">
        <v>1343</v>
      </c>
      <c r="X11" s="98" t="s">
        <v>1343</v>
      </c>
      <c r="Y11" s="98" t="s">
        <v>1343</v>
      </c>
      <c r="Z11" s="98" t="s">
        <v>1438</v>
      </c>
      <c r="AA11" s="48" t="s">
        <v>1439</v>
      </c>
      <c r="AB11" s="48" t="s">
        <v>1440</v>
      </c>
      <c r="AC11" s="95" t="s">
        <v>1441</v>
      </c>
      <c r="AD11" s="48" t="s">
        <v>1442</v>
      </c>
      <c r="AE11" s="48" t="s">
        <v>1443</v>
      </c>
      <c r="AF11" s="48" t="s">
        <v>1444</v>
      </c>
      <c r="AG11" s="48" t="s">
        <v>1445</v>
      </c>
      <c r="AH11" s="95" t="s">
        <v>1446</v>
      </c>
      <c r="AI11" s="48" t="s">
        <v>1447</v>
      </c>
      <c r="AJ11" s="48">
        <v>0</v>
      </c>
      <c r="AK11" s="48" t="s">
        <v>1463</v>
      </c>
      <c r="AL11" s="95" t="s">
        <v>1399</v>
      </c>
      <c r="AM11" s="95">
        <v>45448</v>
      </c>
      <c r="AN11" s="95" t="s">
        <v>1464</v>
      </c>
    </row>
    <row r="12" spans="2:40">
      <c r="B12" s="97" t="s">
        <v>1222</v>
      </c>
      <c r="C12" s="48">
        <v>10</v>
      </c>
      <c r="D12" s="95" t="s">
        <v>1465</v>
      </c>
      <c r="E12" s="95">
        <v>45448</v>
      </c>
      <c r="F12" s="48">
        <v>2</v>
      </c>
      <c r="G12" s="95" t="s">
        <v>1257</v>
      </c>
      <c r="H12" s="48" t="s">
        <v>1343</v>
      </c>
      <c r="I12" s="48">
        <v>31</v>
      </c>
      <c r="J12" s="48">
        <v>7.0060000328101998E+29</v>
      </c>
      <c r="K12" s="48" t="s">
        <v>1466</v>
      </c>
      <c r="L12" s="48">
        <v>931</v>
      </c>
      <c r="M12" s="95" t="s">
        <v>1467</v>
      </c>
      <c r="N12" s="95">
        <v>45448</v>
      </c>
      <c r="O12" s="95">
        <v>2958465</v>
      </c>
      <c r="P12" s="48">
        <v>985</v>
      </c>
      <c r="Q12" s="98">
        <v>1</v>
      </c>
      <c r="R12" s="98">
        <v>509360745520000</v>
      </c>
      <c r="S12" s="98">
        <v>9.999999999999E+16</v>
      </c>
      <c r="T12" s="98">
        <v>714240769230000</v>
      </c>
      <c r="U12" s="98">
        <v>1209000000000000</v>
      </c>
      <c r="V12" s="98">
        <v>1209000000000000</v>
      </c>
      <c r="W12" s="98">
        <v>82574000000</v>
      </c>
      <c r="X12" s="98">
        <v>1.0000000001641E+17</v>
      </c>
      <c r="Y12" s="98">
        <v>141710780000</v>
      </c>
      <c r="Z12" s="48" t="s">
        <v>1438</v>
      </c>
      <c r="AA12" s="48" t="s">
        <v>1439</v>
      </c>
      <c r="AB12" s="48" t="s">
        <v>1440</v>
      </c>
      <c r="AC12" s="48" t="s">
        <v>1441</v>
      </c>
      <c r="AD12" s="48" t="s">
        <v>1442</v>
      </c>
      <c r="AE12" s="48" t="s">
        <v>1443</v>
      </c>
      <c r="AF12" s="48" t="s">
        <v>1444</v>
      </c>
      <c r="AG12" s="48" t="s">
        <v>1445</v>
      </c>
      <c r="AH12" s="48" t="s">
        <v>1446</v>
      </c>
      <c r="AI12" s="48" t="s">
        <v>1447</v>
      </c>
      <c r="AJ12" s="48" t="s">
        <v>1468</v>
      </c>
      <c r="AK12" s="48" t="s">
        <v>1469</v>
      </c>
      <c r="AL12" s="95" t="s">
        <v>1277</v>
      </c>
      <c r="AM12" s="95">
        <v>45448</v>
      </c>
      <c r="AN12" s="48" t="s">
        <v>1457</v>
      </c>
    </row>
    <row r="13" spans="2:40">
      <c r="B13" s="48" t="s">
        <v>1224</v>
      </c>
      <c r="C13" s="48">
        <v>11</v>
      </c>
      <c r="D13" s="95" t="s">
        <v>1470</v>
      </c>
      <c r="E13" s="95">
        <v>45448</v>
      </c>
      <c r="F13" s="48">
        <v>2</v>
      </c>
      <c r="G13" s="95" t="s">
        <v>1257</v>
      </c>
      <c r="H13" s="48" t="s">
        <v>1343</v>
      </c>
      <c r="I13" s="48">
        <v>31</v>
      </c>
      <c r="J13" s="48">
        <v>7.0060000328101998E+29</v>
      </c>
      <c r="K13" s="48" t="s">
        <v>1471</v>
      </c>
      <c r="L13" s="48">
        <v>931</v>
      </c>
      <c r="M13" s="95" t="s">
        <v>1467</v>
      </c>
      <c r="N13" s="95">
        <v>45448</v>
      </c>
      <c r="O13" s="95">
        <v>2958465</v>
      </c>
      <c r="P13" s="95">
        <v>985</v>
      </c>
      <c r="Q13" s="48">
        <v>1</v>
      </c>
      <c r="R13" s="48" t="s">
        <v>1472</v>
      </c>
      <c r="S13" s="95" t="s">
        <v>1473</v>
      </c>
      <c r="T13" s="95" t="s">
        <v>1474</v>
      </c>
      <c r="U13" s="48" t="s">
        <v>1475</v>
      </c>
      <c r="V13" s="48" t="s">
        <v>1475</v>
      </c>
      <c r="W13" s="48" t="s">
        <v>1476</v>
      </c>
      <c r="X13" s="48" t="s">
        <v>1477</v>
      </c>
      <c r="Y13" s="48" t="s">
        <v>1478</v>
      </c>
      <c r="Z13" s="48" t="s">
        <v>1438</v>
      </c>
      <c r="AA13" s="48" t="s">
        <v>1439</v>
      </c>
      <c r="AB13" s="48" t="s">
        <v>1440</v>
      </c>
      <c r="AC13" s="95" t="s">
        <v>1441</v>
      </c>
      <c r="AD13" s="48" t="s">
        <v>1442</v>
      </c>
      <c r="AE13" s="48" t="s">
        <v>1443</v>
      </c>
      <c r="AF13" s="48" t="s">
        <v>1444</v>
      </c>
      <c r="AG13" s="48" t="s">
        <v>1445</v>
      </c>
      <c r="AH13" s="95" t="s">
        <v>1446</v>
      </c>
      <c r="AI13" s="48" t="s">
        <v>1447</v>
      </c>
      <c r="AJ13" s="48">
        <v>8</v>
      </c>
      <c r="AK13" s="48" t="s">
        <v>1479</v>
      </c>
      <c r="AL13" s="95" t="s">
        <v>1399</v>
      </c>
      <c r="AM13" s="95">
        <v>45448</v>
      </c>
      <c r="AN13" s="95" t="s">
        <v>1480</v>
      </c>
    </row>
    <row r="14" spans="2:40">
      <c r="B14" s="48" t="s">
        <v>1226</v>
      </c>
      <c r="C14" s="48">
        <v>12</v>
      </c>
      <c r="D14" s="95" t="s">
        <v>1481</v>
      </c>
      <c r="E14" s="95">
        <v>45448</v>
      </c>
      <c r="F14" s="48">
        <v>2</v>
      </c>
      <c r="G14" s="98" t="s">
        <v>1482</v>
      </c>
      <c r="H14" s="48" t="s">
        <v>1343</v>
      </c>
      <c r="I14" s="48">
        <v>0</v>
      </c>
      <c r="J14" s="48">
        <v>0</v>
      </c>
      <c r="K14" s="48">
        <v>0</v>
      </c>
      <c r="L14" s="48">
        <v>0</v>
      </c>
      <c r="M14" s="48">
        <v>0</v>
      </c>
      <c r="N14" s="48">
        <v>0</v>
      </c>
      <c r="O14" s="48">
        <v>0</v>
      </c>
      <c r="P14" s="48">
        <v>0</v>
      </c>
      <c r="Q14" s="48">
        <v>0</v>
      </c>
      <c r="R14" s="48">
        <v>0</v>
      </c>
      <c r="S14" s="48">
        <v>0</v>
      </c>
      <c r="T14" s="48">
        <v>0</v>
      </c>
      <c r="U14" s="48">
        <v>0</v>
      </c>
      <c r="V14" s="48">
        <v>0</v>
      </c>
      <c r="W14" s="48">
        <v>0</v>
      </c>
      <c r="X14" s="48">
        <v>0</v>
      </c>
      <c r="Y14" s="48">
        <v>1</v>
      </c>
      <c r="Z14" s="48">
        <v>0</v>
      </c>
      <c r="AA14" s="48">
        <v>0</v>
      </c>
      <c r="AB14" s="48">
        <v>0</v>
      </c>
      <c r="AC14" s="48">
        <v>0</v>
      </c>
      <c r="AD14" s="48">
        <v>0</v>
      </c>
      <c r="AE14" s="48">
        <v>0</v>
      </c>
      <c r="AF14" s="48">
        <v>0</v>
      </c>
      <c r="AG14" s="48">
        <v>0</v>
      </c>
      <c r="AH14" s="48">
        <v>0</v>
      </c>
      <c r="AI14" s="48">
        <v>0</v>
      </c>
      <c r="AJ14" s="48">
        <v>18</v>
      </c>
      <c r="AK14" s="48">
        <v>1140943</v>
      </c>
      <c r="AL14" s="48">
        <v>0</v>
      </c>
      <c r="AM14" s="48">
        <v>0</v>
      </c>
      <c r="AN14" s="48">
        <v>0</v>
      </c>
    </row>
    <row r="15" spans="2:40">
      <c r="B15" s="48" t="s">
        <v>1228</v>
      </c>
      <c r="C15" s="48">
        <v>13</v>
      </c>
      <c r="D15" s="95" t="s">
        <v>1483</v>
      </c>
      <c r="E15" s="95">
        <v>45448</v>
      </c>
      <c r="F15" s="48">
        <v>2</v>
      </c>
      <c r="G15" s="98">
        <v>1</v>
      </c>
      <c r="H15" s="98" t="s">
        <v>1343</v>
      </c>
      <c r="I15" s="48" t="s">
        <v>1257</v>
      </c>
      <c r="J15" s="48" t="s">
        <v>1257</v>
      </c>
      <c r="K15" s="48" t="s">
        <v>1257</v>
      </c>
      <c r="L15" s="48" t="s">
        <v>1257</v>
      </c>
      <c r="M15" s="48" t="s">
        <v>1257</v>
      </c>
      <c r="N15" s="97">
        <v>0</v>
      </c>
      <c r="O15" s="97">
        <v>0</v>
      </c>
      <c r="P15" s="97" t="s">
        <v>1257</v>
      </c>
      <c r="Q15" s="97" t="s">
        <v>1257</v>
      </c>
      <c r="R15" s="97" t="s">
        <v>1257</v>
      </c>
      <c r="S15" s="48" t="s">
        <v>1257</v>
      </c>
      <c r="T15" s="97" t="s">
        <v>1257</v>
      </c>
      <c r="U15" s="48" t="s">
        <v>1257</v>
      </c>
      <c r="V15" s="48" t="s">
        <v>1257</v>
      </c>
      <c r="W15" s="48" t="s">
        <v>1257</v>
      </c>
      <c r="X15" s="48" t="s">
        <v>1257</v>
      </c>
      <c r="Y15" s="48" t="s">
        <v>1257</v>
      </c>
      <c r="Z15" s="48" t="s">
        <v>1257</v>
      </c>
      <c r="AA15" s="48" t="s">
        <v>1257</v>
      </c>
      <c r="AB15" s="48" t="s">
        <v>1257</v>
      </c>
      <c r="AC15" s="48" t="s">
        <v>1257</v>
      </c>
      <c r="AD15" s="48" t="s">
        <v>1257</v>
      </c>
      <c r="AE15" s="48" t="s">
        <v>1257</v>
      </c>
      <c r="AF15" s="48" t="s">
        <v>1257</v>
      </c>
      <c r="AG15" s="48" t="s">
        <v>1257</v>
      </c>
      <c r="AH15" s="48" t="s">
        <v>1257</v>
      </c>
      <c r="AI15" s="48" t="s">
        <v>1257</v>
      </c>
      <c r="AJ15" s="48" t="s">
        <v>1257</v>
      </c>
      <c r="AK15" s="48" t="s">
        <v>1257</v>
      </c>
      <c r="AL15" s="48" t="s">
        <v>1257</v>
      </c>
      <c r="AM15" s="48" t="s">
        <v>1257</v>
      </c>
      <c r="AN15" s="48" t="s">
        <v>1257</v>
      </c>
    </row>
    <row r="16" spans="2:40">
      <c r="B16" s="48" t="s">
        <v>1230</v>
      </c>
      <c r="C16" s="48">
        <v>14</v>
      </c>
      <c r="D16" s="95" t="s">
        <v>1484</v>
      </c>
      <c r="E16" s="95">
        <v>45448</v>
      </c>
      <c r="F16" s="48">
        <v>2</v>
      </c>
      <c r="G16" s="98">
        <v>1</v>
      </c>
      <c r="H16" s="98" t="s">
        <v>1343</v>
      </c>
      <c r="I16" s="48">
        <v>0</v>
      </c>
      <c r="J16" s="48">
        <v>0</v>
      </c>
      <c r="K16" s="48">
        <v>0</v>
      </c>
      <c r="L16" s="48">
        <v>0</v>
      </c>
      <c r="M16" s="48">
        <v>0</v>
      </c>
      <c r="N16" s="97" t="s">
        <v>1257</v>
      </c>
      <c r="O16" s="97" t="s">
        <v>1257</v>
      </c>
      <c r="P16" s="48">
        <v>0</v>
      </c>
      <c r="Q16" s="48">
        <v>0</v>
      </c>
      <c r="R16" s="97" t="s">
        <v>1257</v>
      </c>
      <c r="S16" s="97" t="s">
        <v>1257</v>
      </c>
      <c r="T16" s="48" t="s">
        <v>1257</v>
      </c>
      <c r="U16" s="48" t="s">
        <v>1257</v>
      </c>
      <c r="V16" s="48" t="s">
        <v>1257</v>
      </c>
      <c r="W16" s="48" t="s">
        <v>1257</v>
      </c>
      <c r="X16" s="48" t="s">
        <v>1257</v>
      </c>
      <c r="Y16" s="48" t="s">
        <v>1257</v>
      </c>
      <c r="Z16" s="48" t="s">
        <v>1257</v>
      </c>
      <c r="AA16" s="48" t="s">
        <v>1257</v>
      </c>
      <c r="AB16" s="48" t="s">
        <v>1257</v>
      </c>
      <c r="AC16" s="48" t="s">
        <v>1257</v>
      </c>
      <c r="AD16" s="48" t="s">
        <v>1257</v>
      </c>
      <c r="AE16" s="48" t="s">
        <v>1257</v>
      </c>
      <c r="AF16" s="48" t="s">
        <v>1257</v>
      </c>
      <c r="AG16" s="48" t="s">
        <v>1257</v>
      </c>
      <c r="AH16" s="48" t="s">
        <v>1257</v>
      </c>
      <c r="AI16" s="48" t="s">
        <v>1257</v>
      </c>
      <c r="AJ16" s="48">
        <v>0</v>
      </c>
      <c r="AK16" s="48">
        <v>0</v>
      </c>
      <c r="AL16" s="48">
        <v>0</v>
      </c>
      <c r="AM16" s="48" t="s">
        <v>1257</v>
      </c>
      <c r="AN16" s="48" t="s">
        <v>1257</v>
      </c>
    </row>
    <row r="17" spans="2:41">
      <c r="B17" s="48" t="s">
        <v>1232</v>
      </c>
      <c r="C17" s="48">
        <v>15</v>
      </c>
      <c r="D17" s="95" t="s">
        <v>1485</v>
      </c>
      <c r="E17" s="95">
        <v>45448</v>
      </c>
      <c r="F17" s="48">
        <v>2</v>
      </c>
      <c r="G17" s="98">
        <v>1</v>
      </c>
      <c r="H17" s="239" t="s">
        <v>1486</v>
      </c>
      <c r="I17" s="48" t="s">
        <v>1257</v>
      </c>
      <c r="J17" s="48" t="s">
        <v>1257</v>
      </c>
      <c r="K17" s="48" t="s">
        <v>1257</v>
      </c>
      <c r="L17" s="48" t="s">
        <v>1257</v>
      </c>
      <c r="M17" s="48" t="s">
        <v>1257</v>
      </c>
      <c r="N17" s="48" t="s">
        <v>1257</v>
      </c>
      <c r="O17" s="48" t="s">
        <v>1257</v>
      </c>
      <c r="P17" s="48" t="s">
        <v>1257</v>
      </c>
      <c r="Q17" s="97" t="s">
        <v>1257</v>
      </c>
      <c r="R17" s="48" t="s">
        <v>1257</v>
      </c>
      <c r="S17" s="48" t="s">
        <v>1257</v>
      </c>
      <c r="T17" s="48" t="s">
        <v>1257</v>
      </c>
      <c r="U17" s="48" t="s">
        <v>1257</v>
      </c>
      <c r="V17" s="48" t="s">
        <v>1257</v>
      </c>
      <c r="W17" s="48" t="s">
        <v>1257</v>
      </c>
      <c r="X17" s="48" t="s">
        <v>1257</v>
      </c>
      <c r="Y17" s="48" t="s">
        <v>1257</v>
      </c>
      <c r="Z17" s="48" t="s">
        <v>1257</v>
      </c>
      <c r="AA17" s="48" t="s">
        <v>1257</v>
      </c>
      <c r="AB17" s="48" t="s">
        <v>1257</v>
      </c>
      <c r="AC17" s="48" t="s">
        <v>1257</v>
      </c>
      <c r="AD17" s="48" t="s">
        <v>1257</v>
      </c>
      <c r="AE17" s="48" t="s">
        <v>1257</v>
      </c>
      <c r="AF17" s="48" t="s">
        <v>1257</v>
      </c>
      <c r="AG17" s="48" t="s">
        <v>1257</v>
      </c>
      <c r="AH17" s="48" t="s">
        <v>1257</v>
      </c>
      <c r="AI17" s="48" t="s">
        <v>1257</v>
      </c>
      <c r="AJ17" s="48" t="s">
        <v>1257</v>
      </c>
      <c r="AK17" s="48" t="s">
        <v>1257</v>
      </c>
      <c r="AL17" s="48" t="s">
        <v>1257</v>
      </c>
      <c r="AM17" s="48" t="s">
        <v>1257</v>
      </c>
      <c r="AN17" s="48" t="s">
        <v>1257</v>
      </c>
    </row>
    <row r="18" spans="2:41">
      <c r="B18" s="48" t="s">
        <v>1234</v>
      </c>
      <c r="C18" s="48">
        <v>16</v>
      </c>
      <c r="D18" s="95" t="s">
        <v>1485</v>
      </c>
      <c r="E18" s="95">
        <v>45448</v>
      </c>
      <c r="F18" s="48">
        <v>2</v>
      </c>
      <c r="G18" s="98">
        <v>1</v>
      </c>
      <c r="H18" s="191" t="s">
        <v>1343</v>
      </c>
      <c r="I18" s="48" t="s">
        <v>1257</v>
      </c>
      <c r="J18" s="48" t="s">
        <v>1257</v>
      </c>
      <c r="K18" s="48" t="s">
        <v>1257</v>
      </c>
      <c r="L18" s="48" t="s">
        <v>1257</v>
      </c>
      <c r="M18" s="48" t="s">
        <v>1257</v>
      </c>
      <c r="N18" s="48" t="s">
        <v>1257</v>
      </c>
      <c r="O18" s="48" t="s">
        <v>1257</v>
      </c>
      <c r="P18" s="48" t="s">
        <v>1257</v>
      </c>
      <c r="Q18" s="48" t="s">
        <v>1257</v>
      </c>
      <c r="R18" s="48" t="s">
        <v>1257</v>
      </c>
      <c r="S18" s="48" t="s">
        <v>1257</v>
      </c>
      <c r="T18" s="48" t="s">
        <v>1257</v>
      </c>
      <c r="U18" s="48" t="s">
        <v>1257</v>
      </c>
      <c r="V18" s="48" t="s">
        <v>1257</v>
      </c>
      <c r="W18" s="48" t="s">
        <v>1257</v>
      </c>
      <c r="X18" s="48" t="s">
        <v>1257</v>
      </c>
      <c r="Y18" s="48" t="s">
        <v>1257</v>
      </c>
      <c r="Z18" s="48" t="s">
        <v>1257</v>
      </c>
      <c r="AA18" s="48" t="s">
        <v>1257</v>
      </c>
      <c r="AB18" s="48" t="s">
        <v>1257</v>
      </c>
      <c r="AC18" s="48" t="s">
        <v>1257</v>
      </c>
      <c r="AD18" s="48" t="s">
        <v>1257</v>
      </c>
      <c r="AE18" s="48" t="s">
        <v>1257</v>
      </c>
      <c r="AF18" s="48" t="s">
        <v>1257</v>
      </c>
      <c r="AG18" s="48" t="s">
        <v>1257</v>
      </c>
      <c r="AH18" s="48" t="s">
        <v>1257</v>
      </c>
      <c r="AI18" s="48" t="s">
        <v>1257</v>
      </c>
      <c r="AJ18" s="48" t="s">
        <v>1257</v>
      </c>
      <c r="AK18" s="48" t="s">
        <v>1257</v>
      </c>
      <c r="AL18" s="48" t="s">
        <v>1257</v>
      </c>
      <c r="AM18" s="48" t="s">
        <v>1257</v>
      </c>
      <c r="AN18" s="48" t="s">
        <v>1257</v>
      </c>
    </row>
    <row r="19" spans="2:41">
      <c r="B19" s="48" t="s">
        <v>1236</v>
      </c>
      <c r="C19" s="48">
        <v>17</v>
      </c>
      <c r="D19" s="95" t="s">
        <v>1487</v>
      </c>
      <c r="E19" s="95">
        <v>45448</v>
      </c>
      <c r="F19" s="48">
        <v>2</v>
      </c>
      <c r="G19" s="48" t="s">
        <v>1488</v>
      </c>
      <c r="H19" s="189" t="s">
        <v>1489</v>
      </c>
      <c r="I19" s="48" t="s">
        <v>1257</v>
      </c>
      <c r="J19" s="48" t="s">
        <v>1257</v>
      </c>
      <c r="K19" s="48" t="s">
        <v>1257</v>
      </c>
      <c r="L19" s="48" t="s">
        <v>1257</v>
      </c>
      <c r="M19" s="48" t="s">
        <v>1257</v>
      </c>
      <c r="N19" s="48" t="s">
        <v>1257</v>
      </c>
      <c r="O19" s="48" t="s">
        <v>1257</v>
      </c>
      <c r="P19" s="97" t="s">
        <v>1257</v>
      </c>
      <c r="Q19" s="97" t="s">
        <v>1257</v>
      </c>
      <c r="R19" s="48" t="s">
        <v>1257</v>
      </c>
      <c r="S19" s="48" t="s">
        <v>1257</v>
      </c>
      <c r="T19" s="48" t="s">
        <v>1257</v>
      </c>
      <c r="U19" s="48" t="s">
        <v>1257</v>
      </c>
      <c r="V19" s="48" t="s">
        <v>1257</v>
      </c>
      <c r="W19" s="48" t="s">
        <v>1257</v>
      </c>
      <c r="X19" s="48" t="s">
        <v>1257</v>
      </c>
      <c r="Y19" s="48" t="s">
        <v>1257</v>
      </c>
      <c r="Z19" s="48" t="s">
        <v>1257</v>
      </c>
      <c r="AA19" s="48" t="s">
        <v>1257</v>
      </c>
      <c r="AB19" s="48" t="s">
        <v>1257</v>
      </c>
      <c r="AC19" s="48" t="s">
        <v>1257</v>
      </c>
      <c r="AD19" s="48" t="s">
        <v>1257</v>
      </c>
      <c r="AE19" s="48" t="s">
        <v>1257</v>
      </c>
      <c r="AF19" s="48" t="s">
        <v>1257</v>
      </c>
      <c r="AG19" s="48" t="s">
        <v>1257</v>
      </c>
      <c r="AH19" s="48" t="s">
        <v>1257</v>
      </c>
      <c r="AI19" s="48" t="s">
        <v>1257</v>
      </c>
      <c r="AJ19" s="48" t="s">
        <v>1257</v>
      </c>
      <c r="AK19" s="48" t="s">
        <v>1257</v>
      </c>
      <c r="AL19" s="48" t="s">
        <v>1257</v>
      </c>
      <c r="AM19" s="48" t="s">
        <v>1257</v>
      </c>
      <c r="AN19" s="48" t="s">
        <v>1257</v>
      </c>
    </row>
    <row r="20" spans="2:41">
      <c r="B20" s="48" t="s">
        <v>1238</v>
      </c>
      <c r="C20" s="48">
        <v>18</v>
      </c>
      <c r="D20" s="95" t="s">
        <v>1487</v>
      </c>
      <c r="E20" s="95">
        <v>45448</v>
      </c>
      <c r="F20" s="48">
        <v>2</v>
      </c>
      <c r="G20" s="48" t="s">
        <v>1490</v>
      </c>
      <c r="H20" s="189" t="s">
        <v>1491</v>
      </c>
      <c r="I20" s="48" t="s">
        <v>1257</v>
      </c>
      <c r="J20" s="48" t="s">
        <v>1257</v>
      </c>
      <c r="K20" s="48" t="s">
        <v>1257</v>
      </c>
      <c r="L20" s="48" t="s">
        <v>1257</v>
      </c>
      <c r="M20" s="48" t="s">
        <v>1257</v>
      </c>
      <c r="N20" s="48" t="s">
        <v>1257</v>
      </c>
      <c r="O20" s="48" t="s">
        <v>1257</v>
      </c>
      <c r="P20" s="48" t="s">
        <v>1257</v>
      </c>
      <c r="Q20" s="48" t="s">
        <v>1257</v>
      </c>
      <c r="R20" s="48" t="s">
        <v>1257</v>
      </c>
      <c r="S20" s="48" t="s">
        <v>1257</v>
      </c>
      <c r="T20" s="48" t="s">
        <v>1257</v>
      </c>
      <c r="U20" s="48" t="s">
        <v>1257</v>
      </c>
      <c r="V20" s="48" t="s">
        <v>1257</v>
      </c>
      <c r="W20" s="48" t="s">
        <v>1257</v>
      </c>
      <c r="X20" s="48" t="s">
        <v>1257</v>
      </c>
      <c r="Y20" s="48" t="s">
        <v>1257</v>
      </c>
      <c r="Z20" s="48" t="s">
        <v>1257</v>
      </c>
      <c r="AA20" s="48" t="s">
        <v>1257</v>
      </c>
      <c r="AB20" s="48" t="s">
        <v>1257</v>
      </c>
      <c r="AC20" s="48" t="s">
        <v>1257</v>
      </c>
      <c r="AD20" s="48" t="s">
        <v>1257</v>
      </c>
      <c r="AE20" s="48" t="s">
        <v>1257</v>
      </c>
      <c r="AF20" s="48" t="s">
        <v>1257</v>
      </c>
      <c r="AG20" s="48" t="s">
        <v>1257</v>
      </c>
      <c r="AH20" s="48" t="s">
        <v>1257</v>
      </c>
      <c r="AI20" s="48" t="s">
        <v>1257</v>
      </c>
      <c r="AJ20" s="48" t="s">
        <v>1257</v>
      </c>
      <c r="AK20" s="48" t="s">
        <v>1257</v>
      </c>
      <c r="AL20" s="48" t="s">
        <v>1257</v>
      </c>
      <c r="AM20" s="48" t="s">
        <v>1257</v>
      </c>
      <c r="AN20" s="48" t="s">
        <v>1257</v>
      </c>
    </row>
    <row r="21" spans="2:41">
      <c r="B21" s="48" t="s">
        <v>1240</v>
      </c>
      <c r="C21" s="48">
        <v>19</v>
      </c>
      <c r="D21" s="95" t="s">
        <v>1492</v>
      </c>
      <c r="E21" s="95">
        <v>45448</v>
      </c>
      <c r="F21" s="48">
        <v>2</v>
      </c>
      <c r="G21" s="194" cm="1">
        <f t="array" aca="1" ref="G21" ca="1">SUMPRODUCT(--(ISNUMBER((SEARCH(I27:AN27,I21:AN21)))))/COUNTA(I21:AN21)</f>
        <v>0.96875</v>
      </c>
      <c r="H21" s="48" t="s">
        <v>1343</v>
      </c>
      <c r="I21" s="48" t="s">
        <v>1291</v>
      </c>
      <c r="J21" s="48" t="s">
        <v>1291</v>
      </c>
      <c r="K21" s="48" t="s">
        <v>1291</v>
      </c>
      <c r="L21" s="48" t="s">
        <v>1291</v>
      </c>
      <c r="M21" s="48" t="s">
        <v>1291</v>
      </c>
      <c r="N21" s="48" t="s">
        <v>1291</v>
      </c>
      <c r="O21" s="48" t="s">
        <v>1291</v>
      </c>
      <c r="P21" s="48" t="s">
        <v>1291</v>
      </c>
      <c r="Q21" s="48" t="s">
        <v>1291</v>
      </c>
      <c r="R21" s="48" t="s">
        <v>1292</v>
      </c>
      <c r="S21" s="48" t="s">
        <v>1292</v>
      </c>
      <c r="T21" s="48" t="s">
        <v>1292</v>
      </c>
      <c r="U21" s="48" t="s">
        <v>1292</v>
      </c>
      <c r="V21" s="48" t="s">
        <v>1292</v>
      </c>
      <c r="W21" s="48" t="s">
        <v>1292</v>
      </c>
      <c r="X21" s="48" t="s">
        <v>1292</v>
      </c>
      <c r="Y21" s="48" t="s">
        <v>1292</v>
      </c>
      <c r="Z21" s="48" t="s">
        <v>1291</v>
      </c>
      <c r="AA21" s="48" t="s">
        <v>1291</v>
      </c>
      <c r="AB21" s="48" t="s">
        <v>1291</v>
      </c>
      <c r="AC21" s="48" t="s">
        <v>1291</v>
      </c>
      <c r="AD21" s="48" t="s">
        <v>1291</v>
      </c>
      <c r="AE21" s="48" t="s">
        <v>1291</v>
      </c>
      <c r="AF21" s="48" t="s">
        <v>1291</v>
      </c>
      <c r="AG21" s="48" t="s">
        <v>1291</v>
      </c>
      <c r="AH21" s="48" t="s">
        <v>1291</v>
      </c>
      <c r="AI21" s="48" t="s">
        <v>1291</v>
      </c>
      <c r="AJ21" s="48" t="s">
        <v>1291</v>
      </c>
      <c r="AK21" s="48" t="s">
        <v>1291</v>
      </c>
      <c r="AL21" s="48" t="s">
        <v>1291</v>
      </c>
      <c r="AM21" s="48" t="s">
        <v>1291</v>
      </c>
      <c r="AN21" s="48" t="s">
        <v>1293</v>
      </c>
    </row>
    <row r="22" spans="2:41">
      <c r="B22" s="48" t="s">
        <v>1243</v>
      </c>
      <c r="C22" s="48">
        <v>20</v>
      </c>
      <c r="D22" s="95" t="s">
        <v>1492</v>
      </c>
      <c r="E22" s="95">
        <v>45448</v>
      </c>
      <c r="F22" s="48">
        <v>2</v>
      </c>
      <c r="G22" s="48" cm="1">
        <f t="array" ref="G22">SUM(IF(I2:AN2 = I26:AN26, 1, 0))/ COUNTA(I2:AN2)</f>
        <v>1</v>
      </c>
      <c r="H22" s="48"/>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row>
    <row r="23" spans="2:41">
      <c r="B23" s="48" t="s">
        <v>1246</v>
      </c>
      <c r="C23" s="48">
        <v>21</v>
      </c>
      <c r="D23" s="95" t="s">
        <v>1492</v>
      </c>
      <c r="E23" s="95">
        <v>45448</v>
      </c>
      <c r="F23" s="48">
        <v>2</v>
      </c>
      <c r="G23" s="48" t="e" cm="1">
        <f t="array" aca="1" ref="G23" ca="1">SUM(IF(IF(G3:G22="null",1,G3:G22)=1,1,0))/COUNT(IF(G3:G22="null",1,0))</f>
        <v>#DIV/0!</v>
      </c>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row>
    <row r="24" spans="2:41">
      <c r="AO24" s="204"/>
    </row>
    <row r="25" spans="2:41">
      <c r="B25" s="126" t="s">
        <v>1364</v>
      </c>
      <c r="AO25" s="205"/>
    </row>
    <row r="26" spans="2:41">
      <c r="B26" s="132" t="s">
        <v>1249</v>
      </c>
      <c r="C26" s="128" t="s">
        <v>1250</v>
      </c>
      <c r="D26" s="128" t="s">
        <v>1251</v>
      </c>
      <c r="E26" s="128" t="s">
        <v>1252</v>
      </c>
      <c r="F26" s="128" t="s">
        <v>1253</v>
      </c>
      <c r="G26" s="128" t="s">
        <v>1254</v>
      </c>
      <c r="H26" s="128" t="s">
        <v>1255</v>
      </c>
      <c r="I26" s="203" t="s">
        <v>103</v>
      </c>
      <c r="J26" s="203" t="s">
        <v>134</v>
      </c>
      <c r="K26" s="203" t="s">
        <v>155</v>
      </c>
      <c r="L26" s="203" t="s">
        <v>162</v>
      </c>
      <c r="M26" s="203" t="s">
        <v>190</v>
      </c>
      <c r="N26" s="203" t="s">
        <v>289</v>
      </c>
      <c r="O26" s="203" t="s">
        <v>299</v>
      </c>
      <c r="P26" s="203" t="s">
        <v>314</v>
      </c>
      <c r="Q26" s="203" t="s">
        <v>389</v>
      </c>
      <c r="R26" s="203" t="s">
        <v>1376</v>
      </c>
      <c r="S26" s="203" t="s">
        <v>1377</v>
      </c>
      <c r="T26" s="203" t="s">
        <v>1378</v>
      </c>
      <c r="U26" s="203" t="s">
        <v>1433</v>
      </c>
      <c r="V26" s="203" t="s">
        <v>1434</v>
      </c>
      <c r="W26" s="203" t="s">
        <v>1435</v>
      </c>
      <c r="X26" s="203" t="s">
        <v>1436</v>
      </c>
      <c r="Y26" s="203" t="s">
        <v>1437</v>
      </c>
      <c r="Z26" s="203" t="s">
        <v>1438</v>
      </c>
      <c r="AA26" s="203" t="s">
        <v>1439</v>
      </c>
      <c r="AB26" s="203" t="s">
        <v>1440</v>
      </c>
      <c r="AC26" s="203" t="s">
        <v>1441</v>
      </c>
      <c r="AD26" s="203" t="s">
        <v>1442</v>
      </c>
      <c r="AE26" s="203" t="s">
        <v>1443</v>
      </c>
      <c r="AF26" s="203" t="s">
        <v>1444</v>
      </c>
      <c r="AG26" s="203" t="s">
        <v>1445</v>
      </c>
      <c r="AH26" s="203" t="s">
        <v>1446</v>
      </c>
      <c r="AI26" s="203" t="s">
        <v>1447</v>
      </c>
      <c r="AJ26" s="203" t="s">
        <v>669</v>
      </c>
      <c r="AK26" s="203" t="s">
        <v>678</v>
      </c>
      <c r="AL26" s="203" t="s">
        <v>214</v>
      </c>
      <c r="AM26" s="203" t="s">
        <v>234</v>
      </c>
      <c r="AN26" s="203" t="s">
        <v>253</v>
      </c>
      <c r="AO26" s="206"/>
    </row>
    <row r="27" spans="2:41">
      <c r="B27" s="106" t="s">
        <v>1294</v>
      </c>
      <c r="C27" s="109">
        <v>21</v>
      </c>
      <c r="D27" s="103" t="s">
        <v>1295</v>
      </c>
      <c r="E27" s="102" t="s">
        <v>1296</v>
      </c>
      <c r="F27" s="102" t="s">
        <v>124</v>
      </c>
      <c r="G27" s="102" t="s">
        <v>124</v>
      </c>
      <c r="H27" s="102" t="s">
        <v>124</v>
      </c>
      <c r="I27" s="102" t="e" cm="1" vm="2">
        <f t="array" aca="1" ref="I27" ca="1">TRANSPOSE(_xlfn.SORTBY(_xlfn._xlws.FILTER(IF(Table3[FORMATO]:Table3[COMP_ CAMPO]&lt;&gt;"",Table3[FORMATO]:Table3[COMP_ CAMPO],9999999),Table3[NOME FÍSICO TABELA]="current_account"), _xlfn._xlws.FILTER(Table3[ORDEM], Table3[NOME FÍSICO TABELA]="current_account"), 1))</f>
        <v>#VALUE!</v>
      </c>
      <c r="J27" s="102"/>
      <c r="K27" s="102"/>
      <c r="L27" s="102"/>
      <c r="M27" s="102"/>
      <c r="N27" s="102"/>
      <c r="O27" s="102"/>
      <c r="P27" s="102"/>
      <c r="Q27" s="102"/>
      <c r="R27" s="102"/>
      <c r="S27" s="102"/>
      <c r="T27" s="102"/>
      <c r="U27" s="102"/>
      <c r="V27" s="102"/>
      <c r="W27" s="102"/>
      <c r="X27" s="102"/>
      <c r="Y27" s="102"/>
      <c r="Z27" s="102"/>
      <c r="AA27" s="102"/>
      <c r="AB27" s="102"/>
      <c r="AC27" s="102"/>
      <c r="AD27" s="102"/>
      <c r="AE27" s="102"/>
      <c r="AF27" s="102"/>
      <c r="AG27" s="102"/>
      <c r="AH27" s="102"/>
      <c r="AI27" s="102"/>
      <c r="AJ27" s="102"/>
      <c r="AK27" s="102"/>
      <c r="AL27" s="102"/>
      <c r="AM27" s="102"/>
      <c r="AN27" s="102"/>
    </row>
    <row r="28" spans="2:41">
      <c r="B28" s="106" t="s">
        <v>1297</v>
      </c>
      <c r="C28" s="109">
        <v>7</v>
      </c>
      <c r="D28" s="103" t="s">
        <v>1295</v>
      </c>
      <c r="E28" s="102" t="s">
        <v>1296</v>
      </c>
      <c r="F28" s="104" t="s">
        <v>124</v>
      </c>
      <c r="G28" s="104" t="s">
        <v>124</v>
      </c>
      <c r="H28" s="104" t="s">
        <v>124</v>
      </c>
      <c r="I28" s="150"/>
      <c r="J28" s="150"/>
      <c r="K28" s="150"/>
      <c r="L28" s="150"/>
      <c r="M28" s="150"/>
      <c r="N28" s="150"/>
      <c r="O28" s="150"/>
      <c r="P28" s="150"/>
      <c r="Q28" s="150"/>
      <c r="R28" s="150"/>
      <c r="S28" s="150"/>
      <c r="T28" s="150"/>
      <c r="U28" s="150"/>
      <c r="V28" s="150"/>
      <c r="W28" s="150"/>
      <c r="X28" s="150"/>
      <c r="Y28" s="150"/>
      <c r="Z28" s="150"/>
      <c r="AA28" s="150"/>
      <c r="AB28" s="150"/>
      <c r="AC28" s="150"/>
      <c r="AD28" s="150"/>
      <c r="AE28" s="109"/>
      <c r="AF28" s="109"/>
      <c r="AG28" s="109"/>
      <c r="AH28" s="109"/>
      <c r="AI28" s="109"/>
      <c r="AJ28" s="109"/>
      <c r="AK28" s="109"/>
      <c r="AL28" s="109"/>
      <c r="AM28" s="109"/>
      <c r="AN28" s="109"/>
    </row>
    <row r="30" spans="2:41">
      <c r="B30" s="139" t="s">
        <v>1298</v>
      </c>
    </row>
    <row r="31" spans="2:41">
      <c r="B31" s="133" t="s">
        <v>1299</v>
      </c>
      <c r="C31" s="133" t="s">
        <v>1300</v>
      </c>
      <c r="D31" s="134" t="s">
        <v>1301</v>
      </c>
      <c r="E31" s="133" t="s">
        <v>1302</v>
      </c>
      <c r="F31" s="133" t="s">
        <v>1303</v>
      </c>
    </row>
    <row r="32" spans="2:41" ht="43.5">
      <c r="B32" s="110" t="s">
        <v>1304</v>
      </c>
      <c r="C32" s="114" t="s">
        <v>482</v>
      </c>
      <c r="D32" s="51" t="s">
        <v>1493</v>
      </c>
      <c r="E32" s="152" t="s">
        <v>1494</v>
      </c>
      <c r="F32" s="135" t="s">
        <v>1310</v>
      </c>
    </row>
    <row r="33" spans="2:16" ht="29.1">
      <c r="B33" s="110" t="s">
        <v>1495</v>
      </c>
      <c r="C33" s="114" t="s">
        <v>1496</v>
      </c>
      <c r="D33" s="51" t="s">
        <v>1497</v>
      </c>
      <c r="E33" s="152" t="s">
        <v>1498</v>
      </c>
      <c r="F33" s="135" t="s">
        <v>1313</v>
      </c>
    </row>
    <row r="34" spans="2:16" ht="87">
      <c r="B34" s="110" t="s">
        <v>1314</v>
      </c>
      <c r="C34" s="114" t="s">
        <v>1315</v>
      </c>
      <c r="D34" s="51" t="s">
        <v>1499</v>
      </c>
      <c r="E34" s="152" t="s">
        <v>1500</v>
      </c>
      <c r="F34" s="135" t="s">
        <v>1501</v>
      </c>
    </row>
    <row r="35" spans="2:16" ht="57.95">
      <c r="B35" s="110" t="s">
        <v>1373</v>
      </c>
      <c r="C35" s="114" t="s">
        <v>1315</v>
      </c>
      <c r="D35" s="51" t="s">
        <v>1502</v>
      </c>
      <c r="E35" s="152" t="s">
        <v>1503</v>
      </c>
      <c r="F35" s="135" t="s">
        <v>1504</v>
      </c>
    </row>
    <row r="36" spans="2:16" ht="29.1">
      <c r="B36" s="110" t="s">
        <v>1421</v>
      </c>
      <c r="C36" s="114" t="s">
        <v>1440</v>
      </c>
      <c r="D36" s="51" t="s">
        <v>1505</v>
      </c>
      <c r="E36" s="152" t="s">
        <v>1506</v>
      </c>
      <c r="F36" s="135" t="s">
        <v>1310</v>
      </c>
    </row>
    <row r="37" spans="2:16" ht="29.1">
      <c r="B37" s="110" t="s">
        <v>1421</v>
      </c>
      <c r="C37" s="114" t="s">
        <v>1441</v>
      </c>
      <c r="D37" s="51" t="s">
        <v>1505</v>
      </c>
      <c r="E37" s="152" t="s">
        <v>1506</v>
      </c>
      <c r="F37" s="135" t="s">
        <v>1310</v>
      </c>
    </row>
    <row r="38" spans="2:16" ht="29.1">
      <c r="B38" s="110" t="s">
        <v>1421</v>
      </c>
      <c r="C38" s="114" t="s">
        <v>1442</v>
      </c>
      <c r="D38" s="51" t="s">
        <v>1505</v>
      </c>
      <c r="E38" s="152" t="s">
        <v>1506</v>
      </c>
      <c r="F38" s="135" t="s">
        <v>1310</v>
      </c>
      <c r="I38" s="157"/>
      <c r="J38" s="157"/>
      <c r="K38" s="157"/>
      <c r="L38" s="157"/>
      <c r="M38" s="157"/>
      <c r="N38" s="157"/>
      <c r="O38" s="157"/>
      <c r="P38" s="157"/>
    </row>
    <row r="39" spans="2:16" ht="29.1">
      <c r="B39" s="110" t="s">
        <v>1421</v>
      </c>
      <c r="C39" s="114" t="s">
        <v>1445</v>
      </c>
      <c r="D39" s="51" t="s">
        <v>1505</v>
      </c>
      <c r="E39" s="152" t="s">
        <v>1506</v>
      </c>
      <c r="F39" s="135" t="s">
        <v>1310</v>
      </c>
      <c r="I39" s="157"/>
      <c r="J39" s="157"/>
      <c r="K39" s="157"/>
      <c r="L39" s="157"/>
      <c r="M39" s="157"/>
      <c r="N39" s="157"/>
      <c r="O39" s="157"/>
      <c r="P39" s="157"/>
    </row>
    <row r="40" spans="2:16" ht="29.1">
      <c r="B40" s="110" t="s">
        <v>1421</v>
      </c>
      <c r="C40" s="114" t="s">
        <v>1446</v>
      </c>
      <c r="D40" s="51" t="s">
        <v>1505</v>
      </c>
      <c r="E40" s="152" t="s">
        <v>1506</v>
      </c>
      <c r="F40" s="135" t="s">
        <v>1310</v>
      </c>
    </row>
    <row r="41" spans="2:16" ht="29.1">
      <c r="B41" s="110" t="s">
        <v>1421</v>
      </c>
      <c r="C41" s="114" t="s">
        <v>1447</v>
      </c>
      <c r="D41" s="51" t="s">
        <v>1505</v>
      </c>
      <c r="E41" s="152" t="s">
        <v>1506</v>
      </c>
      <c r="F41" s="135" t="s">
        <v>1310</v>
      </c>
    </row>
    <row r="52" spans="7:7">
      <c r="G52" s="193"/>
    </row>
    <row r="53" spans="7:7">
      <c r="G53" s="19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S53"/>
  <sheetViews>
    <sheetView showGridLines="0" topLeftCell="A41" workbookViewId="0">
      <selection activeCell="D51" sqref="D51"/>
    </sheetView>
  </sheetViews>
  <sheetFormatPr defaultRowHeight="14.4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s>
  <sheetData>
    <row r="1" spans="2:45" ht="31.5" customHeight="1"/>
    <row r="2" spans="2:45">
      <c r="B2" s="77" t="s">
        <v>1249</v>
      </c>
      <c r="C2" s="77" t="s">
        <v>1250</v>
      </c>
      <c r="D2" s="77" t="s">
        <v>1251</v>
      </c>
      <c r="E2" s="77" t="s">
        <v>1252</v>
      </c>
      <c r="F2" s="77" t="s">
        <v>1253</v>
      </c>
      <c r="G2" s="77" t="s">
        <v>1254</v>
      </c>
      <c r="H2" s="77" t="s">
        <v>1255</v>
      </c>
      <c r="I2" s="48" t="s">
        <v>103</v>
      </c>
      <c r="J2" s="77" t="s">
        <v>134</v>
      </c>
      <c r="K2" s="77" t="s">
        <v>155</v>
      </c>
      <c r="L2" s="77" t="s">
        <v>162</v>
      </c>
      <c r="M2" s="77" t="s">
        <v>190</v>
      </c>
      <c r="N2" s="77" t="s">
        <v>176</v>
      </c>
      <c r="O2" s="77" t="s">
        <v>203</v>
      </c>
      <c r="P2" s="77" t="s">
        <v>307</v>
      </c>
      <c r="Q2" s="77" t="s">
        <v>144</v>
      </c>
      <c r="R2" s="77" t="s">
        <v>289</v>
      </c>
      <c r="S2" s="77" t="s">
        <v>299</v>
      </c>
      <c r="T2" s="77" t="s">
        <v>314</v>
      </c>
      <c r="U2" s="77" t="s">
        <v>389</v>
      </c>
      <c r="V2" s="77" t="s">
        <v>349</v>
      </c>
      <c r="W2" s="77" t="s">
        <v>429</v>
      </c>
      <c r="X2" s="77" t="s">
        <v>453</v>
      </c>
      <c r="Y2" s="77" t="s">
        <v>468</v>
      </c>
      <c r="Z2" s="77" t="s">
        <v>482</v>
      </c>
      <c r="AA2" s="77" t="s">
        <v>512</v>
      </c>
      <c r="AB2" s="77" t="s">
        <v>521</v>
      </c>
      <c r="AC2" s="77" t="s">
        <v>530</v>
      </c>
      <c r="AD2" s="77" t="s">
        <v>1507</v>
      </c>
      <c r="AE2" s="77" t="s">
        <v>1508</v>
      </c>
      <c r="AF2" s="77" t="s">
        <v>540</v>
      </c>
      <c r="AG2" s="77" t="s">
        <v>1509</v>
      </c>
      <c r="AH2" s="77" t="s">
        <v>1510</v>
      </c>
      <c r="AI2" s="77" t="s">
        <v>558</v>
      </c>
      <c r="AJ2" s="77" t="s">
        <v>1329</v>
      </c>
      <c r="AK2" s="77" t="s">
        <v>626</v>
      </c>
      <c r="AL2" s="77" t="s">
        <v>636</v>
      </c>
      <c r="AM2" s="77" t="s">
        <v>644</v>
      </c>
      <c r="AN2" s="77" t="s">
        <v>652</v>
      </c>
      <c r="AO2" s="77" t="s">
        <v>669</v>
      </c>
      <c r="AP2" s="77" t="s">
        <v>678</v>
      </c>
      <c r="AQ2" s="77" t="s">
        <v>214</v>
      </c>
      <c r="AR2" s="77" t="s">
        <v>234</v>
      </c>
      <c r="AS2" s="77" t="s">
        <v>253</v>
      </c>
    </row>
    <row r="3" spans="2:45">
      <c r="B3" s="48" t="s">
        <v>1203</v>
      </c>
      <c r="C3" s="48">
        <v>1</v>
      </c>
      <c r="D3" s="48" t="s">
        <v>1511</v>
      </c>
      <c r="E3" s="95">
        <v>45433</v>
      </c>
      <c r="F3" s="48">
        <v>1</v>
      </c>
      <c r="G3" s="48">
        <v>1</v>
      </c>
      <c r="H3" s="189" t="s">
        <v>1512</v>
      </c>
      <c r="I3" s="48" t="s">
        <v>1257</v>
      </c>
      <c r="J3" s="48" t="s">
        <v>1257</v>
      </c>
      <c r="K3" s="48" t="s">
        <v>1257</v>
      </c>
      <c r="L3" s="48" t="s">
        <v>1257</v>
      </c>
      <c r="M3" s="48" t="s">
        <v>1257</v>
      </c>
      <c r="N3" s="48" t="s">
        <v>1257</v>
      </c>
      <c r="O3" s="48" t="s">
        <v>1257</v>
      </c>
      <c r="P3" s="48" t="s">
        <v>1257</v>
      </c>
      <c r="Q3" s="48" t="s">
        <v>1257</v>
      </c>
      <c r="R3" s="48" t="s">
        <v>1257</v>
      </c>
      <c r="S3" s="48" t="s">
        <v>1257</v>
      </c>
      <c r="T3" s="48" t="s">
        <v>1257</v>
      </c>
      <c r="U3" s="48" t="s">
        <v>1257</v>
      </c>
      <c r="V3" s="48" t="s">
        <v>1257</v>
      </c>
      <c r="W3" s="48" t="s">
        <v>1257</v>
      </c>
      <c r="X3" s="48" t="s">
        <v>1257</v>
      </c>
      <c r="Y3" s="48" t="s">
        <v>1257</v>
      </c>
      <c r="Z3" s="48" t="s">
        <v>1257</v>
      </c>
      <c r="AA3" s="48" t="s">
        <v>1257</v>
      </c>
      <c r="AB3" s="48" t="s">
        <v>1257</v>
      </c>
      <c r="AC3" s="48" t="s">
        <v>1257</v>
      </c>
      <c r="AD3" s="185" t="s">
        <v>1257</v>
      </c>
      <c r="AE3" s="185" t="s">
        <v>1257</v>
      </c>
      <c r="AF3" s="48" t="s">
        <v>1257</v>
      </c>
      <c r="AG3" s="48" t="s">
        <v>1257</v>
      </c>
      <c r="AH3" s="48" t="s">
        <v>1257</v>
      </c>
      <c r="AI3" s="48" t="s">
        <v>1257</v>
      </c>
      <c r="AJ3" s="48" t="s">
        <v>1257</v>
      </c>
      <c r="AK3" s="48" t="s">
        <v>1257</v>
      </c>
      <c r="AL3" s="48" t="s">
        <v>1257</v>
      </c>
      <c r="AM3" s="48" t="s">
        <v>1257</v>
      </c>
      <c r="AN3" s="48" t="s">
        <v>1257</v>
      </c>
      <c r="AO3" s="48" t="s">
        <v>1257</v>
      </c>
      <c r="AP3" s="48" t="s">
        <v>1257</v>
      </c>
      <c r="AQ3" s="48" t="s">
        <v>1257</v>
      </c>
      <c r="AR3" s="48" t="s">
        <v>1257</v>
      </c>
      <c r="AS3" s="48" t="s">
        <v>1257</v>
      </c>
    </row>
    <row r="4" spans="2:45">
      <c r="B4" s="48" t="s">
        <v>1205</v>
      </c>
      <c r="C4" s="48">
        <v>2</v>
      </c>
      <c r="D4" s="48" t="s">
        <v>1513</v>
      </c>
      <c r="E4" s="95">
        <v>45433</v>
      </c>
      <c r="F4" s="48">
        <v>1</v>
      </c>
      <c r="G4" s="48">
        <v>1</v>
      </c>
      <c r="H4" s="48" t="s">
        <v>1343</v>
      </c>
      <c r="I4" s="48" t="s">
        <v>1257</v>
      </c>
      <c r="J4" s="48" t="s">
        <v>1257</v>
      </c>
      <c r="K4" s="48" t="s">
        <v>1257</v>
      </c>
      <c r="L4" s="48" t="s">
        <v>1257</v>
      </c>
      <c r="M4" s="48" t="s">
        <v>1257</v>
      </c>
      <c r="N4" s="48" t="s">
        <v>1257</v>
      </c>
      <c r="O4" s="48" t="s">
        <v>1257</v>
      </c>
      <c r="P4" s="48" t="s">
        <v>1257</v>
      </c>
      <c r="Q4" s="48" t="s">
        <v>1257</v>
      </c>
      <c r="R4" s="48" t="s">
        <v>1257</v>
      </c>
      <c r="S4" s="48" t="s">
        <v>1257</v>
      </c>
      <c r="T4" s="48" t="s">
        <v>1257</v>
      </c>
      <c r="U4" s="48" t="s">
        <v>1257</v>
      </c>
      <c r="V4" s="48" t="s">
        <v>1257</v>
      </c>
      <c r="W4" s="48" t="s">
        <v>1257</v>
      </c>
      <c r="X4" s="48" t="s">
        <v>1257</v>
      </c>
      <c r="Y4" s="48" t="s">
        <v>1257</v>
      </c>
      <c r="Z4" s="48" t="s">
        <v>1257</v>
      </c>
      <c r="AA4" s="48" t="s">
        <v>1257</v>
      </c>
      <c r="AB4" s="48" t="s">
        <v>1257</v>
      </c>
      <c r="AC4" s="48" t="s">
        <v>1257</v>
      </c>
      <c r="AD4" s="185" t="s">
        <v>1257</v>
      </c>
      <c r="AE4" s="185" t="s">
        <v>1257</v>
      </c>
      <c r="AF4" s="48" t="s">
        <v>1257</v>
      </c>
      <c r="AG4" s="48" t="s">
        <v>1257</v>
      </c>
      <c r="AH4" s="48" t="s">
        <v>1257</v>
      </c>
      <c r="AI4" s="48" t="s">
        <v>1257</v>
      </c>
      <c r="AJ4" s="48" t="s">
        <v>1257</v>
      </c>
      <c r="AK4" s="48" t="s">
        <v>1257</v>
      </c>
      <c r="AL4" s="48" t="s">
        <v>1257</v>
      </c>
      <c r="AM4" s="48" t="s">
        <v>1257</v>
      </c>
      <c r="AN4" s="48" t="s">
        <v>1257</v>
      </c>
      <c r="AO4" s="48" t="s">
        <v>1257</v>
      </c>
      <c r="AP4" s="48" t="s">
        <v>1257</v>
      </c>
      <c r="AQ4" s="48" t="s">
        <v>1257</v>
      </c>
      <c r="AR4" s="48" t="s">
        <v>1257</v>
      </c>
      <c r="AS4" s="48" t="s">
        <v>1257</v>
      </c>
    </row>
    <row r="5" spans="2:45">
      <c r="B5" s="48" t="s">
        <v>1207</v>
      </c>
      <c r="C5" s="48">
        <v>3</v>
      </c>
      <c r="D5" s="48" t="s">
        <v>1514</v>
      </c>
      <c r="E5" s="95">
        <v>45433</v>
      </c>
      <c r="F5" s="48">
        <v>1</v>
      </c>
      <c r="G5" s="48">
        <v>1</v>
      </c>
      <c r="H5" s="48" t="s">
        <v>1343</v>
      </c>
      <c r="I5" s="48">
        <v>0</v>
      </c>
      <c r="J5" s="48">
        <v>0</v>
      </c>
      <c r="K5" s="48" t="s">
        <v>1257</v>
      </c>
      <c r="L5" s="48" t="s">
        <v>1257</v>
      </c>
      <c r="M5" s="48" t="s">
        <v>1257</v>
      </c>
      <c r="N5" s="48" t="s">
        <v>1257</v>
      </c>
      <c r="O5" s="48" t="s">
        <v>1257</v>
      </c>
      <c r="P5" s="48" t="s">
        <v>1257</v>
      </c>
      <c r="Q5" s="48" t="s">
        <v>1257</v>
      </c>
      <c r="R5" s="48" t="s">
        <v>1257</v>
      </c>
      <c r="S5" s="48" t="s">
        <v>1257</v>
      </c>
      <c r="T5" s="48" t="s">
        <v>1257</v>
      </c>
      <c r="U5" s="48" t="s">
        <v>1257</v>
      </c>
      <c r="V5" s="48" t="s">
        <v>1257</v>
      </c>
      <c r="W5" s="48" t="s">
        <v>1257</v>
      </c>
      <c r="X5" s="48" t="s">
        <v>1257</v>
      </c>
      <c r="Y5" s="48" t="s">
        <v>1257</v>
      </c>
      <c r="Z5" s="48" t="s">
        <v>1257</v>
      </c>
      <c r="AA5" s="48" t="s">
        <v>1257</v>
      </c>
      <c r="AB5" s="48" t="s">
        <v>1257</v>
      </c>
      <c r="AC5" s="48" t="s">
        <v>1257</v>
      </c>
      <c r="AD5" s="185" t="s">
        <v>1257</v>
      </c>
      <c r="AE5" s="185" t="s">
        <v>1257</v>
      </c>
      <c r="AF5" s="48" t="s">
        <v>1257</v>
      </c>
      <c r="AG5" s="48" t="s">
        <v>1257</v>
      </c>
      <c r="AH5" s="48" t="s">
        <v>1257</v>
      </c>
      <c r="AI5" s="48" t="s">
        <v>1257</v>
      </c>
      <c r="AJ5" s="48" t="s">
        <v>1257</v>
      </c>
      <c r="AK5" s="48" t="s">
        <v>1257</v>
      </c>
      <c r="AL5" s="48" t="s">
        <v>1257</v>
      </c>
      <c r="AM5" s="48" t="s">
        <v>1257</v>
      </c>
      <c r="AN5" s="48" t="s">
        <v>1257</v>
      </c>
      <c r="AO5" s="48" t="s">
        <v>1257</v>
      </c>
      <c r="AP5" s="48" t="s">
        <v>1257</v>
      </c>
      <c r="AQ5" s="48" t="s">
        <v>1257</v>
      </c>
      <c r="AR5" s="48">
        <v>0</v>
      </c>
      <c r="AS5" s="48" t="s">
        <v>1257</v>
      </c>
    </row>
    <row r="6" spans="2:45">
      <c r="B6" s="97" t="s">
        <v>1209</v>
      </c>
      <c r="C6" s="48">
        <v>4</v>
      </c>
      <c r="D6" s="48" t="s">
        <v>1260</v>
      </c>
      <c r="E6" s="95" t="s">
        <v>1257</v>
      </c>
      <c r="F6" s="48">
        <v>1</v>
      </c>
      <c r="G6" s="95" t="s">
        <v>1257</v>
      </c>
      <c r="H6" s="48"/>
      <c r="I6" s="48" t="s">
        <v>1257</v>
      </c>
      <c r="J6" s="48" t="s">
        <v>1257</v>
      </c>
      <c r="K6" s="48" t="s">
        <v>1257</v>
      </c>
      <c r="L6" s="48" t="s">
        <v>1257</v>
      </c>
      <c r="M6" s="48" t="s">
        <v>1257</v>
      </c>
      <c r="N6" s="48" t="s">
        <v>1257</v>
      </c>
      <c r="O6" s="48" t="s">
        <v>1257</v>
      </c>
      <c r="P6" s="48" t="s">
        <v>1257</v>
      </c>
      <c r="Q6" s="48" t="s">
        <v>1257</v>
      </c>
      <c r="R6" s="48" t="s">
        <v>1257</v>
      </c>
      <c r="S6" s="48" t="s">
        <v>1257</v>
      </c>
      <c r="T6" s="48" t="s">
        <v>1257</v>
      </c>
      <c r="U6" s="48" t="s">
        <v>1257</v>
      </c>
      <c r="V6" s="48" t="s">
        <v>1257</v>
      </c>
      <c r="W6" s="48" t="s">
        <v>1257</v>
      </c>
      <c r="X6" s="48" t="s">
        <v>1257</v>
      </c>
      <c r="Y6" s="48" t="s">
        <v>1257</v>
      </c>
      <c r="Z6" s="48" t="s">
        <v>1257</v>
      </c>
      <c r="AA6" s="48" t="s">
        <v>1257</v>
      </c>
      <c r="AB6" s="48" t="s">
        <v>1257</v>
      </c>
      <c r="AC6" s="48" t="s">
        <v>1257</v>
      </c>
      <c r="AD6" s="185" t="s">
        <v>1257</v>
      </c>
      <c r="AE6" s="185" t="s">
        <v>1257</v>
      </c>
      <c r="AF6" s="48" t="s">
        <v>1257</v>
      </c>
      <c r="AG6" s="48" t="s">
        <v>1257</v>
      </c>
      <c r="AH6" s="48" t="s">
        <v>1257</v>
      </c>
      <c r="AI6" s="48" t="s">
        <v>1257</v>
      </c>
      <c r="AJ6" s="48" t="s">
        <v>1257</v>
      </c>
      <c r="AK6" s="48" t="s">
        <v>1257</v>
      </c>
      <c r="AL6" s="48" t="s">
        <v>1257</v>
      </c>
      <c r="AM6" s="48" t="s">
        <v>1257</v>
      </c>
      <c r="AN6" s="48" t="s">
        <v>1257</v>
      </c>
      <c r="AO6" s="48" t="s">
        <v>1257</v>
      </c>
      <c r="AP6" s="48" t="s">
        <v>1257</v>
      </c>
      <c r="AQ6" s="48" t="s">
        <v>1257</v>
      </c>
      <c r="AR6" s="48" t="s">
        <v>1257</v>
      </c>
      <c r="AS6" s="48" t="s">
        <v>1257</v>
      </c>
    </row>
    <row r="7" spans="2:45">
      <c r="B7" s="48" t="s">
        <v>1211</v>
      </c>
      <c r="C7" s="48">
        <v>5</v>
      </c>
      <c r="D7" s="48" t="s">
        <v>1260</v>
      </c>
      <c r="E7" s="95" t="s">
        <v>1257</v>
      </c>
      <c r="F7" s="48">
        <v>1</v>
      </c>
      <c r="G7" s="95" t="s">
        <v>1257</v>
      </c>
      <c r="H7" s="48"/>
      <c r="I7" s="48" t="s">
        <v>1257</v>
      </c>
      <c r="J7" s="48" t="s">
        <v>1257</v>
      </c>
      <c r="K7" s="48" t="s">
        <v>1257</v>
      </c>
      <c r="L7" s="48" t="s">
        <v>1257</v>
      </c>
      <c r="M7" s="48" t="s">
        <v>1257</v>
      </c>
      <c r="N7" s="48" t="s">
        <v>1257</v>
      </c>
      <c r="O7" s="48" t="s">
        <v>1257</v>
      </c>
      <c r="P7" s="48" t="s">
        <v>1257</v>
      </c>
      <c r="Q7" s="48" t="s">
        <v>1257</v>
      </c>
      <c r="R7" s="48" t="s">
        <v>1257</v>
      </c>
      <c r="S7" s="48" t="s">
        <v>1257</v>
      </c>
      <c r="T7" s="48" t="s">
        <v>1257</v>
      </c>
      <c r="U7" s="48" t="s">
        <v>1257</v>
      </c>
      <c r="V7" s="48" t="s">
        <v>1257</v>
      </c>
      <c r="W7" s="48" t="s">
        <v>1257</v>
      </c>
      <c r="X7" s="48" t="s">
        <v>1257</v>
      </c>
      <c r="Y7" s="48" t="s">
        <v>1257</v>
      </c>
      <c r="Z7" s="48" t="s">
        <v>1257</v>
      </c>
      <c r="AA7" s="48" t="s">
        <v>1257</v>
      </c>
      <c r="AB7" s="48" t="s">
        <v>1257</v>
      </c>
      <c r="AC7" s="48" t="s">
        <v>1257</v>
      </c>
      <c r="AD7" s="185" t="s">
        <v>1257</v>
      </c>
      <c r="AE7" s="185" t="s">
        <v>1257</v>
      </c>
      <c r="AF7" s="48" t="s">
        <v>1257</v>
      </c>
      <c r="AG7" s="48" t="s">
        <v>1257</v>
      </c>
      <c r="AH7" s="48" t="s">
        <v>1257</v>
      </c>
      <c r="AI7" s="48" t="s">
        <v>1257</v>
      </c>
      <c r="AJ7" s="48" t="s">
        <v>1257</v>
      </c>
      <c r="AK7" s="48" t="s">
        <v>1257</v>
      </c>
      <c r="AL7" s="48" t="s">
        <v>1257</v>
      </c>
      <c r="AM7" s="48" t="s">
        <v>1257</v>
      </c>
      <c r="AN7" s="48" t="s">
        <v>1257</v>
      </c>
      <c r="AO7" s="48" t="s">
        <v>1257</v>
      </c>
      <c r="AP7" s="48" t="s">
        <v>1257</v>
      </c>
      <c r="AQ7" s="48" t="s">
        <v>1257</v>
      </c>
      <c r="AR7" s="48" t="s">
        <v>1257</v>
      </c>
      <c r="AS7" s="48" t="s">
        <v>1257</v>
      </c>
    </row>
    <row r="8" spans="2:45">
      <c r="B8" s="48" t="s">
        <v>1212</v>
      </c>
      <c r="C8" s="48">
        <v>6</v>
      </c>
      <c r="D8" s="48" t="s">
        <v>1515</v>
      </c>
      <c r="E8" s="95">
        <v>45433</v>
      </c>
      <c r="F8" s="48">
        <v>1</v>
      </c>
      <c r="G8" s="48" cm="1">
        <f t="array" ref="G8">SUMPRODUCT(--(I8:AS8&gt;0))/COUNTA(I8:AS8)</f>
        <v>0.97297297297297303</v>
      </c>
      <c r="H8" s="48" t="s">
        <v>1343</v>
      </c>
      <c r="I8" s="48">
        <v>2</v>
      </c>
      <c r="J8" s="48">
        <v>30</v>
      </c>
      <c r="K8" s="48">
        <v>3</v>
      </c>
      <c r="L8" s="48">
        <v>3</v>
      </c>
      <c r="M8" s="48">
        <v>3</v>
      </c>
      <c r="N8" s="48">
        <v>2</v>
      </c>
      <c r="O8" s="48">
        <v>30</v>
      </c>
      <c r="P8" s="48">
        <v>2</v>
      </c>
      <c r="Q8" s="48">
        <v>15</v>
      </c>
      <c r="R8" s="48">
        <v>10</v>
      </c>
      <c r="S8" s="48">
        <v>10</v>
      </c>
      <c r="T8" s="48">
        <v>3</v>
      </c>
      <c r="U8" s="48">
        <v>1</v>
      </c>
      <c r="V8" s="48">
        <v>8</v>
      </c>
      <c r="W8" s="48">
        <v>8</v>
      </c>
      <c r="X8" s="48">
        <v>8</v>
      </c>
      <c r="Y8" s="48">
        <v>8</v>
      </c>
      <c r="Z8" s="48">
        <v>8</v>
      </c>
      <c r="AA8" s="48">
        <v>4</v>
      </c>
      <c r="AB8" s="48">
        <v>4</v>
      </c>
      <c r="AC8" s="48">
        <v>8</v>
      </c>
      <c r="AD8" s="185">
        <v>8</v>
      </c>
      <c r="AE8" s="185">
        <v>1</v>
      </c>
      <c r="AF8" s="48">
        <v>4</v>
      </c>
      <c r="AG8" s="48">
        <v>4</v>
      </c>
      <c r="AH8" s="98">
        <v>0</v>
      </c>
      <c r="AI8" s="48">
        <v>8</v>
      </c>
      <c r="AJ8" s="98">
        <v>3</v>
      </c>
      <c r="AK8" s="48">
        <v>3</v>
      </c>
      <c r="AL8" s="48">
        <v>8</v>
      </c>
      <c r="AM8" s="98">
        <v>8</v>
      </c>
      <c r="AN8" s="48">
        <v>8</v>
      </c>
      <c r="AO8" s="48">
        <v>3</v>
      </c>
      <c r="AP8" s="48">
        <v>3</v>
      </c>
      <c r="AQ8" s="48">
        <v>2</v>
      </c>
      <c r="AR8" s="48">
        <v>10</v>
      </c>
      <c r="AS8" s="48">
        <v>23</v>
      </c>
    </row>
    <row r="9" spans="2:45">
      <c r="B9" s="48" t="s">
        <v>1215</v>
      </c>
      <c r="C9" s="48">
        <v>7</v>
      </c>
      <c r="D9" s="48" t="s">
        <v>1516</v>
      </c>
      <c r="E9" s="95">
        <v>45433</v>
      </c>
      <c r="F9" s="48">
        <v>1</v>
      </c>
      <c r="G9" s="48" t="e" cm="1" vm="1">
        <f t="array" aca="1" ref="G9" ca="1">SUMPRODUCT(--(H9:AS9 &lt;= H27:AS27))/COUNTA(H27:AS27)</f>
        <v>#VALUE!</v>
      </c>
      <c r="H9" s="48" t="s">
        <v>1343</v>
      </c>
      <c r="I9" s="48">
        <v>2</v>
      </c>
      <c r="J9" s="48">
        <v>30</v>
      </c>
      <c r="K9" s="48">
        <v>3</v>
      </c>
      <c r="L9" s="48">
        <v>3</v>
      </c>
      <c r="M9" s="48">
        <v>3</v>
      </c>
      <c r="N9" s="48">
        <v>2</v>
      </c>
      <c r="O9" s="48">
        <v>30</v>
      </c>
      <c r="P9" s="48">
        <v>2</v>
      </c>
      <c r="Q9" s="48">
        <v>15</v>
      </c>
      <c r="R9" s="48">
        <v>10</v>
      </c>
      <c r="S9" s="48">
        <v>10</v>
      </c>
      <c r="T9" s="48">
        <v>3</v>
      </c>
      <c r="U9" s="48">
        <v>1</v>
      </c>
      <c r="V9" s="48">
        <v>15</v>
      </c>
      <c r="W9" s="48">
        <v>14</v>
      </c>
      <c r="X9" s="48">
        <v>8</v>
      </c>
      <c r="Y9" s="48">
        <v>12</v>
      </c>
      <c r="Z9" s="48">
        <v>13</v>
      </c>
      <c r="AA9" s="48">
        <v>10</v>
      </c>
      <c r="AB9" s="48">
        <v>10</v>
      </c>
      <c r="AC9" s="48">
        <v>13</v>
      </c>
      <c r="AD9" s="185">
        <v>13</v>
      </c>
      <c r="AE9" s="185">
        <v>4</v>
      </c>
      <c r="AF9" s="48">
        <v>10</v>
      </c>
      <c r="AG9" s="48">
        <v>10</v>
      </c>
      <c r="AH9" s="48">
        <v>18</v>
      </c>
      <c r="AI9" s="48">
        <v>15</v>
      </c>
      <c r="AJ9" s="48">
        <v>4</v>
      </c>
      <c r="AK9" s="48">
        <v>4</v>
      </c>
      <c r="AL9" s="48">
        <v>9</v>
      </c>
      <c r="AM9" s="98">
        <v>8</v>
      </c>
      <c r="AN9" s="48">
        <v>9</v>
      </c>
      <c r="AO9" s="48">
        <v>3</v>
      </c>
      <c r="AP9" s="48">
        <v>3</v>
      </c>
      <c r="AQ9" s="48">
        <v>2</v>
      </c>
      <c r="AR9" s="48">
        <v>10</v>
      </c>
      <c r="AS9" s="48">
        <v>23</v>
      </c>
    </row>
    <row r="10" spans="2:45">
      <c r="B10" s="97" t="s">
        <v>1218</v>
      </c>
      <c r="C10" s="48">
        <v>8</v>
      </c>
      <c r="D10" s="48" t="s">
        <v>1517</v>
      </c>
      <c r="E10" s="95">
        <v>45433</v>
      </c>
      <c r="F10" s="48">
        <v>1</v>
      </c>
      <c r="G10" s="95" t="s">
        <v>1257</v>
      </c>
      <c r="H10" s="48" t="s">
        <v>1343</v>
      </c>
      <c r="I10" s="48">
        <v>31</v>
      </c>
      <c r="J10" s="48">
        <v>5.0000028006999999E+25</v>
      </c>
      <c r="K10" s="48" t="s">
        <v>1518</v>
      </c>
      <c r="L10" s="48">
        <v>7</v>
      </c>
      <c r="M10" s="48">
        <v>101</v>
      </c>
      <c r="N10" s="48">
        <v>31</v>
      </c>
      <c r="O10" s="48">
        <v>2.2822000999999998E+22</v>
      </c>
      <c r="P10" s="48">
        <v>31</v>
      </c>
      <c r="Q10" s="48">
        <v>50000028007</v>
      </c>
      <c r="R10" s="95">
        <v>35300</v>
      </c>
      <c r="S10" s="95">
        <v>42025</v>
      </c>
      <c r="T10" s="48">
        <v>124</v>
      </c>
      <c r="U10" s="95">
        <v>0</v>
      </c>
      <c r="V10" s="95" t="s">
        <v>1266</v>
      </c>
      <c r="W10" s="98" t="s">
        <v>1266</v>
      </c>
      <c r="X10" s="48" t="s">
        <v>1266</v>
      </c>
      <c r="Y10" s="95" t="s">
        <v>1266</v>
      </c>
      <c r="Z10" s="95" t="s">
        <v>1266</v>
      </c>
      <c r="AA10" s="48" t="e">
        <v>#N/A</v>
      </c>
      <c r="AB10" s="98" t="e">
        <v>#N/A</v>
      </c>
      <c r="AC10" s="48" t="s">
        <v>1266</v>
      </c>
      <c r="AD10" s="199" t="s">
        <v>1266</v>
      </c>
      <c r="AE10" s="185" t="e">
        <v>#N/A</v>
      </c>
      <c r="AF10" s="98" t="e">
        <v>#N/A</v>
      </c>
      <c r="AG10" s="98" t="e">
        <v>#N/A</v>
      </c>
      <c r="AH10" s="98"/>
      <c r="AI10" s="48" t="s">
        <v>1266</v>
      </c>
      <c r="AJ10" s="98" t="e">
        <v>#N/A</v>
      </c>
      <c r="AK10" s="48" t="e">
        <v>#N/A</v>
      </c>
      <c r="AL10" s="98">
        <v>-2250000</v>
      </c>
      <c r="AM10" s="98" t="s">
        <v>1266</v>
      </c>
      <c r="AN10" s="98" t="s">
        <v>1266</v>
      </c>
      <c r="AO10" s="48" t="s">
        <v>1267</v>
      </c>
      <c r="AP10" s="48" t="s">
        <v>1268</v>
      </c>
      <c r="AQ10" s="95" t="s">
        <v>1399</v>
      </c>
      <c r="AR10" s="95">
        <v>45433</v>
      </c>
      <c r="AS10" s="95" t="s">
        <v>1519</v>
      </c>
    </row>
    <row r="11" spans="2:45">
      <c r="B11" s="48" t="s">
        <v>1220</v>
      </c>
      <c r="C11" s="48">
        <v>9</v>
      </c>
      <c r="D11" s="48" t="s">
        <v>1520</v>
      </c>
      <c r="E11" s="95">
        <v>45433</v>
      </c>
      <c r="F11" s="48">
        <v>1</v>
      </c>
      <c r="G11" s="95" t="s">
        <v>1257</v>
      </c>
      <c r="H11" s="48" t="s">
        <v>1343</v>
      </c>
      <c r="I11" s="48">
        <v>31</v>
      </c>
      <c r="J11" s="48">
        <v>5.0000028006999999E+25</v>
      </c>
      <c r="K11" s="48"/>
      <c r="L11" s="48">
        <v>7</v>
      </c>
      <c r="M11" s="48">
        <v>101</v>
      </c>
      <c r="N11" s="48"/>
      <c r="O11" s="48" t="e">
        <v>#N/A</v>
      </c>
      <c r="P11" s="48"/>
      <c r="Q11" s="48" t="e">
        <v>#N/A</v>
      </c>
      <c r="R11" s="95">
        <v>35300</v>
      </c>
      <c r="S11" s="95">
        <v>42025</v>
      </c>
      <c r="T11" s="48">
        <v>124</v>
      </c>
      <c r="U11" s="95">
        <v>0</v>
      </c>
      <c r="V11" s="95" t="s">
        <v>1343</v>
      </c>
      <c r="W11" s="48" t="s">
        <v>1343</v>
      </c>
      <c r="X11" s="48" t="s">
        <v>1343</v>
      </c>
      <c r="Y11" s="95" t="s">
        <v>1343</v>
      </c>
      <c r="Z11" s="95" t="s">
        <v>1343</v>
      </c>
      <c r="AA11" s="48" t="e">
        <v>#N/A</v>
      </c>
      <c r="AB11" s="48" t="e">
        <v>#N/A</v>
      </c>
      <c r="AC11" s="48" t="s">
        <v>1343</v>
      </c>
      <c r="AD11" s="185" t="s">
        <v>1343</v>
      </c>
      <c r="AE11" s="185" t="e">
        <v>#N/A</v>
      </c>
      <c r="AF11" s="48" t="e">
        <v>#N/A</v>
      </c>
      <c r="AG11" s="48" t="e">
        <v>#N/A</v>
      </c>
      <c r="AH11" s="48"/>
      <c r="AI11" s="48" t="s">
        <v>1343</v>
      </c>
      <c r="AJ11" s="48" t="e">
        <v>#N/A</v>
      </c>
      <c r="AK11" s="48" t="e">
        <v>#N/A</v>
      </c>
      <c r="AL11" s="98">
        <v>-22500000</v>
      </c>
      <c r="AM11" s="98">
        <v>0</v>
      </c>
      <c r="AN11" s="98">
        <v>0</v>
      </c>
      <c r="AO11" s="48">
        <v>0</v>
      </c>
      <c r="AP11" s="48" t="s">
        <v>1521</v>
      </c>
      <c r="AQ11" s="95" t="s">
        <v>1399</v>
      </c>
      <c r="AR11" s="95">
        <v>45433</v>
      </c>
      <c r="AS11" s="95" t="s">
        <v>1522</v>
      </c>
    </row>
    <row r="12" spans="2:45">
      <c r="B12" s="48" t="s">
        <v>1222</v>
      </c>
      <c r="C12" s="48">
        <v>10</v>
      </c>
      <c r="D12" s="48" t="s">
        <v>1523</v>
      </c>
      <c r="E12" s="95">
        <v>45433</v>
      </c>
      <c r="F12" s="48">
        <v>1</v>
      </c>
      <c r="G12" s="95" t="s">
        <v>1257</v>
      </c>
      <c r="H12" s="48" t="s">
        <v>1343</v>
      </c>
      <c r="I12" s="48">
        <v>31</v>
      </c>
      <c r="J12" s="48">
        <v>6.0750007000001898E+29</v>
      </c>
      <c r="K12" s="48" t="s">
        <v>1518</v>
      </c>
      <c r="L12" s="48">
        <v>29</v>
      </c>
      <c r="M12" s="48" t="s">
        <v>1524</v>
      </c>
      <c r="N12" s="48">
        <v>31</v>
      </c>
      <c r="O12" s="48">
        <v>2.3930258433501999E+29</v>
      </c>
      <c r="P12" s="48">
        <v>31</v>
      </c>
      <c r="Q12" s="48">
        <v>607500070000019</v>
      </c>
      <c r="R12" s="95">
        <v>45441</v>
      </c>
      <c r="S12" s="95">
        <v>2958465</v>
      </c>
      <c r="T12" s="48" t="s">
        <v>1275</v>
      </c>
      <c r="U12" s="95">
        <v>1</v>
      </c>
      <c r="V12" s="95">
        <v>70000000000000</v>
      </c>
      <c r="W12" s="98">
        <v>9500000000000</v>
      </c>
      <c r="X12" s="48" t="s">
        <v>1266</v>
      </c>
      <c r="Y12" s="95">
        <v>94818240000</v>
      </c>
      <c r="Z12" s="95">
        <v>328950890000</v>
      </c>
      <c r="AA12" s="95">
        <v>45787</v>
      </c>
      <c r="AB12" s="98">
        <v>2958465</v>
      </c>
      <c r="AC12" s="98">
        <v>403478750000</v>
      </c>
      <c r="AD12" s="200">
        <v>691581370000</v>
      </c>
      <c r="AE12" s="185">
        <v>0</v>
      </c>
      <c r="AF12" s="98">
        <v>2958465</v>
      </c>
      <c r="AG12" s="191">
        <v>2958465</v>
      </c>
      <c r="AH12" s="98" t="s">
        <v>1525</v>
      </c>
      <c r="AI12" s="98">
        <v>19152000000000</v>
      </c>
      <c r="AJ12" s="98" t="s">
        <v>1337</v>
      </c>
      <c r="AK12" s="48" t="s">
        <v>1526</v>
      </c>
      <c r="AL12" s="98">
        <v>5294660</v>
      </c>
      <c r="AM12" s="98">
        <v>9500000</v>
      </c>
      <c r="AN12" s="98">
        <v>10522000</v>
      </c>
      <c r="AO12" s="48" t="s">
        <v>1527</v>
      </c>
      <c r="AP12" s="48" t="s">
        <v>1268</v>
      </c>
      <c r="AQ12" s="95" t="s">
        <v>1277</v>
      </c>
      <c r="AR12" s="95">
        <v>45448</v>
      </c>
      <c r="AS12" s="95" t="s">
        <v>1519</v>
      </c>
    </row>
    <row r="13" spans="2:45">
      <c r="B13" s="48" t="s">
        <v>1224</v>
      </c>
      <c r="C13" s="48">
        <v>11</v>
      </c>
      <c r="D13" s="48" t="s">
        <v>1528</v>
      </c>
      <c r="E13" s="95">
        <v>45433</v>
      </c>
      <c r="F13" s="48">
        <v>1</v>
      </c>
      <c r="G13" s="95" t="s">
        <v>1257</v>
      </c>
      <c r="H13" s="48" t="s">
        <v>1343</v>
      </c>
      <c r="I13" s="48">
        <v>31</v>
      </c>
      <c r="J13" s="48">
        <v>6.0750007000001898E+29</v>
      </c>
      <c r="K13" s="48">
        <v>31</v>
      </c>
      <c r="L13" s="48">
        <v>29</v>
      </c>
      <c r="M13" s="48" t="s">
        <v>1524</v>
      </c>
      <c r="N13" s="48" t="e">
        <v>#N/A</v>
      </c>
      <c r="O13" s="48">
        <v>2.3930258433501999E+29</v>
      </c>
      <c r="P13" s="48" t="e">
        <v>#N/A</v>
      </c>
      <c r="Q13" s="48">
        <v>607500070000019</v>
      </c>
      <c r="R13" s="95">
        <v>45441</v>
      </c>
      <c r="S13" s="95">
        <v>2958465</v>
      </c>
      <c r="T13" s="48" t="s">
        <v>1275</v>
      </c>
      <c r="U13" s="95">
        <v>1</v>
      </c>
      <c r="V13" s="95" t="s">
        <v>1529</v>
      </c>
      <c r="W13" s="48" t="s">
        <v>1530</v>
      </c>
      <c r="X13" s="48" t="s">
        <v>453</v>
      </c>
      <c r="Y13" s="95" t="s">
        <v>1531</v>
      </c>
      <c r="Z13" s="95" t="s">
        <v>1532</v>
      </c>
      <c r="AA13" s="95">
        <v>45787</v>
      </c>
      <c r="AB13" s="95">
        <v>2958465</v>
      </c>
      <c r="AC13" s="48" t="s">
        <v>1533</v>
      </c>
      <c r="AD13" s="185" t="s">
        <v>1534</v>
      </c>
      <c r="AE13" s="185">
        <v>0</v>
      </c>
      <c r="AF13" s="95">
        <v>2958465</v>
      </c>
      <c r="AG13" s="95">
        <v>2958465</v>
      </c>
      <c r="AH13" s="48" t="s">
        <v>1525</v>
      </c>
      <c r="AI13" s="48" t="s">
        <v>1535</v>
      </c>
      <c r="AJ13" s="48" t="s">
        <v>1337</v>
      </c>
      <c r="AK13" s="48" t="s">
        <v>1526</v>
      </c>
      <c r="AL13" s="98">
        <v>52946600</v>
      </c>
      <c r="AM13" s="98">
        <v>95000000</v>
      </c>
      <c r="AN13" s="98">
        <v>105220000</v>
      </c>
      <c r="AO13" s="48" t="s">
        <v>1536</v>
      </c>
      <c r="AP13" s="48" t="s">
        <v>1479</v>
      </c>
      <c r="AQ13" s="95" t="s">
        <v>1277</v>
      </c>
      <c r="AR13" s="95">
        <v>45448</v>
      </c>
      <c r="AS13" s="95" t="s">
        <v>1537</v>
      </c>
    </row>
    <row r="14" spans="2:45">
      <c r="B14" s="48" t="s">
        <v>1226</v>
      </c>
      <c r="C14" s="48">
        <v>12</v>
      </c>
      <c r="D14" s="48" t="s">
        <v>1538</v>
      </c>
      <c r="E14" s="95">
        <v>45433</v>
      </c>
      <c r="F14" s="48">
        <v>1</v>
      </c>
      <c r="G14" s="48">
        <v>0.46</v>
      </c>
      <c r="H14" s="48" t="s">
        <v>1343</v>
      </c>
      <c r="I14" s="48">
        <v>0</v>
      </c>
      <c r="J14" s="48">
        <v>0</v>
      </c>
      <c r="K14" s="48">
        <v>0</v>
      </c>
      <c r="L14" s="48">
        <v>0</v>
      </c>
      <c r="M14" s="48">
        <v>0</v>
      </c>
      <c r="N14" s="48">
        <v>53</v>
      </c>
      <c r="O14" s="48">
        <v>53</v>
      </c>
      <c r="P14" s="48">
        <v>160</v>
      </c>
      <c r="Q14" s="48">
        <v>160</v>
      </c>
      <c r="R14" s="48">
        <v>0</v>
      </c>
      <c r="S14" s="48">
        <v>0</v>
      </c>
      <c r="T14" s="48">
        <v>0</v>
      </c>
      <c r="U14" s="48">
        <v>0</v>
      </c>
      <c r="V14" s="48">
        <v>160</v>
      </c>
      <c r="W14" s="48">
        <v>13764</v>
      </c>
      <c r="X14" s="48">
        <v>160536</v>
      </c>
      <c r="Y14" s="48">
        <v>0</v>
      </c>
      <c r="Z14" s="48">
        <v>0</v>
      </c>
      <c r="AA14" s="48">
        <v>160</v>
      </c>
      <c r="AB14" s="48">
        <v>160</v>
      </c>
      <c r="AC14" s="48">
        <v>160</v>
      </c>
      <c r="AD14" s="185">
        <v>0</v>
      </c>
      <c r="AE14" s="185">
        <v>160</v>
      </c>
      <c r="AF14" s="48">
        <v>160</v>
      </c>
      <c r="AG14" s="48">
        <v>160</v>
      </c>
      <c r="AH14" s="48">
        <v>160</v>
      </c>
      <c r="AI14" s="48">
        <v>160</v>
      </c>
      <c r="AJ14" s="48">
        <v>160</v>
      </c>
      <c r="AK14" s="48">
        <v>160</v>
      </c>
      <c r="AL14" s="48">
        <v>82815</v>
      </c>
      <c r="AM14" s="48">
        <v>160</v>
      </c>
      <c r="AN14" s="48">
        <v>82815</v>
      </c>
      <c r="AO14" s="48">
        <v>0</v>
      </c>
      <c r="AP14" s="48">
        <v>0</v>
      </c>
      <c r="AQ14" s="48">
        <v>0</v>
      </c>
      <c r="AR14" s="48">
        <v>0</v>
      </c>
      <c r="AS14" s="48">
        <v>0</v>
      </c>
    </row>
    <row r="15" spans="2:45">
      <c r="B15" s="48" t="s">
        <v>1228</v>
      </c>
      <c r="C15" s="48">
        <v>13</v>
      </c>
      <c r="D15" s="48" t="s">
        <v>1539</v>
      </c>
      <c r="E15" s="95">
        <v>45433</v>
      </c>
      <c r="F15" s="48">
        <v>1</v>
      </c>
      <c r="G15" s="48">
        <v>1</v>
      </c>
      <c r="H15" s="48" t="s">
        <v>1343</v>
      </c>
      <c r="I15" s="48" t="s">
        <v>1257</v>
      </c>
      <c r="J15" s="48" t="s">
        <v>1257</v>
      </c>
      <c r="K15" s="48" t="s">
        <v>1257</v>
      </c>
      <c r="L15" s="48" t="s">
        <v>1257</v>
      </c>
      <c r="M15" s="48" t="s">
        <v>1257</v>
      </c>
      <c r="N15" s="48" t="s">
        <v>1257</v>
      </c>
      <c r="O15" s="48" t="s">
        <v>1257</v>
      </c>
      <c r="P15" s="48" t="s">
        <v>1257</v>
      </c>
      <c r="Q15" s="48" t="s">
        <v>1257</v>
      </c>
      <c r="R15" s="97">
        <v>0</v>
      </c>
      <c r="S15" s="97">
        <v>0</v>
      </c>
      <c r="T15" s="48" t="s">
        <v>1257</v>
      </c>
      <c r="U15" s="97" t="s">
        <v>1257</v>
      </c>
      <c r="V15" s="97" t="s">
        <v>1257</v>
      </c>
      <c r="W15" s="48" t="s">
        <v>1257</v>
      </c>
      <c r="X15" s="48" t="s">
        <v>1257</v>
      </c>
      <c r="Y15" s="97" t="s">
        <v>1257</v>
      </c>
      <c r="Z15" s="97" t="s">
        <v>1257</v>
      </c>
      <c r="AA15" s="48">
        <v>0</v>
      </c>
      <c r="AB15" s="48">
        <v>0</v>
      </c>
      <c r="AC15" s="48" t="s">
        <v>1257</v>
      </c>
      <c r="AD15" s="201" t="s">
        <v>1257</v>
      </c>
      <c r="AE15" s="185" t="s">
        <v>1257</v>
      </c>
      <c r="AF15" s="48">
        <v>0</v>
      </c>
      <c r="AG15" s="48">
        <v>0</v>
      </c>
      <c r="AH15" s="48" t="s">
        <v>1257</v>
      </c>
      <c r="AI15" s="48" t="s">
        <v>1257</v>
      </c>
      <c r="AJ15" s="48" t="s">
        <v>1257</v>
      </c>
      <c r="AK15" s="48" t="s">
        <v>1257</v>
      </c>
      <c r="AL15" s="48" t="s">
        <v>1257</v>
      </c>
      <c r="AM15" s="48" t="s">
        <v>1257</v>
      </c>
      <c r="AN15" s="48" t="s">
        <v>1257</v>
      </c>
      <c r="AO15" s="48" t="s">
        <v>1257</v>
      </c>
      <c r="AP15" s="48" t="s">
        <v>1257</v>
      </c>
      <c r="AQ15" s="48" t="s">
        <v>1257</v>
      </c>
      <c r="AR15" s="48" t="s">
        <v>1257</v>
      </c>
      <c r="AS15" s="48" t="s">
        <v>1257</v>
      </c>
    </row>
    <row r="16" spans="2:45">
      <c r="B16" s="48" t="s">
        <v>1230</v>
      </c>
      <c r="C16" s="48">
        <v>14</v>
      </c>
      <c r="D16" s="48" t="s">
        <v>1540</v>
      </c>
      <c r="E16" s="95">
        <v>45433</v>
      </c>
      <c r="F16" s="48">
        <v>1</v>
      </c>
      <c r="G16" s="48">
        <v>1</v>
      </c>
      <c r="H16" s="48" t="s">
        <v>1343</v>
      </c>
      <c r="I16" s="48">
        <v>0</v>
      </c>
      <c r="J16" s="48">
        <v>0</v>
      </c>
      <c r="K16" s="48">
        <v>0</v>
      </c>
      <c r="L16" s="48">
        <v>0</v>
      </c>
      <c r="M16" s="48">
        <v>0</v>
      </c>
      <c r="N16" s="48">
        <v>0</v>
      </c>
      <c r="O16" s="48">
        <v>0</v>
      </c>
      <c r="P16" s="48">
        <v>0</v>
      </c>
      <c r="Q16" s="48">
        <v>0</v>
      </c>
      <c r="R16" s="48" t="s">
        <v>1257</v>
      </c>
      <c r="S16" s="48" t="s">
        <v>1257</v>
      </c>
      <c r="T16" s="48">
        <v>0</v>
      </c>
      <c r="U16" s="48" t="s">
        <v>1257</v>
      </c>
      <c r="V16" s="48" t="s">
        <v>1257</v>
      </c>
      <c r="W16" s="48" t="s">
        <v>1257</v>
      </c>
      <c r="X16" s="97" t="s">
        <v>1257</v>
      </c>
      <c r="Y16" s="48" t="s">
        <v>1257</v>
      </c>
      <c r="Z16" s="48" t="s">
        <v>1257</v>
      </c>
      <c r="AA16" s="48" t="s">
        <v>1257</v>
      </c>
      <c r="AB16" s="48" t="s">
        <v>1257</v>
      </c>
      <c r="AC16" s="97" t="s">
        <v>1257</v>
      </c>
      <c r="AD16" s="185" t="s">
        <v>1257</v>
      </c>
      <c r="AE16" s="185" t="s">
        <v>1257</v>
      </c>
      <c r="AF16" s="48" t="s">
        <v>1257</v>
      </c>
      <c r="AG16" s="48" t="s">
        <v>1257</v>
      </c>
      <c r="AH16" s="48" t="s">
        <v>1257</v>
      </c>
      <c r="AI16" s="48" t="s">
        <v>1257</v>
      </c>
      <c r="AJ16" s="48">
        <v>0</v>
      </c>
      <c r="AK16" s="48" t="s">
        <v>1257</v>
      </c>
      <c r="AL16" s="48" t="s">
        <v>1257</v>
      </c>
      <c r="AM16" s="48" t="s">
        <v>1257</v>
      </c>
      <c r="AN16" s="48" t="s">
        <v>1257</v>
      </c>
      <c r="AO16" s="97">
        <v>0</v>
      </c>
      <c r="AP16" s="48">
        <v>0</v>
      </c>
      <c r="AQ16" s="48">
        <v>0</v>
      </c>
      <c r="AR16" s="48" t="s">
        <v>1257</v>
      </c>
      <c r="AS16" s="48" t="s">
        <v>1257</v>
      </c>
    </row>
    <row r="17" spans="2:45">
      <c r="B17" s="48" t="s">
        <v>1232</v>
      </c>
      <c r="C17" s="48">
        <v>15</v>
      </c>
      <c r="D17" s="48" t="s">
        <v>1541</v>
      </c>
      <c r="E17" s="95">
        <v>45433</v>
      </c>
      <c r="F17" s="48">
        <v>1</v>
      </c>
      <c r="G17" s="48">
        <v>1</v>
      </c>
      <c r="H17" s="189" t="s">
        <v>1343</v>
      </c>
      <c r="I17" s="48" t="s">
        <v>1257</v>
      </c>
      <c r="J17" s="48" t="s">
        <v>1257</v>
      </c>
      <c r="K17" s="48" t="s">
        <v>1257</v>
      </c>
      <c r="L17" s="48" t="s">
        <v>1257</v>
      </c>
      <c r="M17" s="48" t="s">
        <v>1257</v>
      </c>
      <c r="N17" s="48" t="s">
        <v>1257</v>
      </c>
      <c r="O17" s="48" t="s">
        <v>1257</v>
      </c>
      <c r="P17" s="48" t="s">
        <v>1257</v>
      </c>
      <c r="Q17" s="48" t="s">
        <v>1257</v>
      </c>
      <c r="R17" s="48" t="s">
        <v>1257</v>
      </c>
      <c r="S17" s="48" t="s">
        <v>1257</v>
      </c>
      <c r="T17" s="48" t="s">
        <v>1257</v>
      </c>
      <c r="U17" s="48" t="s">
        <v>1257</v>
      </c>
      <c r="V17" s="48" t="s">
        <v>1257</v>
      </c>
      <c r="W17" s="48" t="s">
        <v>1257</v>
      </c>
      <c r="X17" s="97" t="s">
        <v>1257</v>
      </c>
      <c r="Y17" s="48" t="s">
        <v>1257</v>
      </c>
      <c r="Z17" s="48" t="s">
        <v>1257</v>
      </c>
      <c r="AA17" s="48" t="s">
        <v>1257</v>
      </c>
      <c r="AB17" s="48" t="s">
        <v>1257</v>
      </c>
      <c r="AC17" s="97" t="s">
        <v>1257</v>
      </c>
      <c r="AD17" s="185" t="s">
        <v>1257</v>
      </c>
      <c r="AE17" s="185" t="s">
        <v>1257</v>
      </c>
      <c r="AF17" s="48" t="s">
        <v>1257</v>
      </c>
      <c r="AG17" s="48" t="s">
        <v>1257</v>
      </c>
      <c r="AH17" s="48" t="s">
        <v>1257</v>
      </c>
      <c r="AI17" s="48" t="s">
        <v>1257</v>
      </c>
      <c r="AJ17" s="48" t="s">
        <v>1257</v>
      </c>
      <c r="AK17" s="48" t="s">
        <v>1257</v>
      </c>
      <c r="AL17" s="48" t="s">
        <v>1257</v>
      </c>
      <c r="AM17" s="48" t="s">
        <v>1257</v>
      </c>
      <c r="AN17" s="48" t="s">
        <v>1257</v>
      </c>
      <c r="AO17" s="97" t="s">
        <v>1257</v>
      </c>
      <c r="AP17" s="48" t="s">
        <v>1257</v>
      </c>
      <c r="AQ17" s="48" t="s">
        <v>1257</v>
      </c>
      <c r="AR17" s="48" t="s">
        <v>1257</v>
      </c>
      <c r="AS17" s="48" t="s">
        <v>1257</v>
      </c>
    </row>
    <row r="18" spans="2:45">
      <c r="B18" s="48" t="s">
        <v>1234</v>
      </c>
      <c r="C18" s="48">
        <v>16</v>
      </c>
      <c r="D18" s="48" t="s">
        <v>1541</v>
      </c>
      <c r="E18" s="95">
        <v>45433</v>
      </c>
      <c r="F18" s="48">
        <v>1</v>
      </c>
      <c r="G18" s="48">
        <v>1</v>
      </c>
      <c r="H18" s="48" t="s">
        <v>1343</v>
      </c>
      <c r="I18" s="48" t="s">
        <v>1257</v>
      </c>
      <c r="J18" s="48" t="s">
        <v>1257</v>
      </c>
      <c r="K18" s="48" t="s">
        <v>1257</v>
      </c>
      <c r="L18" s="48" t="s">
        <v>1257</v>
      </c>
      <c r="M18" s="48" t="s">
        <v>1257</v>
      </c>
      <c r="N18" s="48" t="s">
        <v>1257</v>
      </c>
      <c r="O18" s="48" t="s">
        <v>1257</v>
      </c>
      <c r="P18" s="48" t="s">
        <v>1257</v>
      </c>
      <c r="Q18" s="48" t="s">
        <v>1257</v>
      </c>
      <c r="R18" s="48" t="s">
        <v>1257</v>
      </c>
      <c r="S18" s="48" t="s">
        <v>1257</v>
      </c>
      <c r="T18" s="48" t="s">
        <v>1257</v>
      </c>
      <c r="U18" s="48" t="s">
        <v>1257</v>
      </c>
      <c r="V18" s="48" t="s">
        <v>1257</v>
      </c>
      <c r="W18" s="48" t="s">
        <v>1257</v>
      </c>
      <c r="X18" s="48" t="s">
        <v>1257</v>
      </c>
      <c r="Y18" s="48" t="s">
        <v>1257</v>
      </c>
      <c r="Z18" s="48" t="s">
        <v>1257</v>
      </c>
      <c r="AA18" s="48" t="s">
        <v>1257</v>
      </c>
      <c r="AB18" s="48" t="s">
        <v>1257</v>
      </c>
      <c r="AC18" s="48" t="s">
        <v>1257</v>
      </c>
      <c r="AD18" s="185" t="s">
        <v>1257</v>
      </c>
      <c r="AE18" s="185" t="s">
        <v>1257</v>
      </c>
      <c r="AF18" s="48" t="s">
        <v>1257</v>
      </c>
      <c r="AG18" s="48" t="s">
        <v>1257</v>
      </c>
      <c r="AH18" s="48" t="s">
        <v>1257</v>
      </c>
      <c r="AI18" s="48" t="s">
        <v>1257</v>
      </c>
      <c r="AJ18" s="48" t="s">
        <v>1257</v>
      </c>
      <c r="AK18" s="48" t="s">
        <v>1257</v>
      </c>
      <c r="AL18" s="48" t="s">
        <v>1257</v>
      </c>
      <c r="AM18" s="48" t="s">
        <v>1257</v>
      </c>
      <c r="AN18" s="48" t="s">
        <v>1257</v>
      </c>
      <c r="AO18" s="48" t="s">
        <v>1257</v>
      </c>
      <c r="AP18" s="48" t="s">
        <v>1257</v>
      </c>
      <c r="AQ18" s="48" t="s">
        <v>1257</v>
      </c>
      <c r="AR18" s="48" t="s">
        <v>1257</v>
      </c>
      <c r="AS18" s="48" t="s">
        <v>1257</v>
      </c>
    </row>
    <row r="19" spans="2:45">
      <c r="B19" s="48" t="s">
        <v>1236</v>
      </c>
      <c r="C19" s="48">
        <v>17</v>
      </c>
      <c r="D19" s="48" t="s">
        <v>1542</v>
      </c>
      <c r="E19" s="95">
        <v>45433</v>
      </c>
      <c r="F19" s="48">
        <v>1</v>
      </c>
      <c r="G19" s="48">
        <v>0.98</v>
      </c>
      <c r="H19" s="189" t="s">
        <v>1543</v>
      </c>
      <c r="I19" s="48" t="s">
        <v>1257</v>
      </c>
      <c r="J19" s="48" t="s">
        <v>1257</v>
      </c>
      <c r="K19" s="48" t="s">
        <v>1257</v>
      </c>
      <c r="L19" s="48" t="s">
        <v>1257</v>
      </c>
      <c r="M19" s="48" t="s">
        <v>1257</v>
      </c>
      <c r="N19" s="48" t="s">
        <v>1257</v>
      </c>
      <c r="O19" s="48" t="s">
        <v>1257</v>
      </c>
      <c r="P19" s="48" t="s">
        <v>1257</v>
      </c>
      <c r="Q19" s="48" t="s">
        <v>1257</v>
      </c>
      <c r="R19" s="48" t="s">
        <v>1257</v>
      </c>
      <c r="S19" s="48" t="s">
        <v>1257</v>
      </c>
      <c r="T19" s="48" t="s">
        <v>1257</v>
      </c>
      <c r="U19" s="48" t="s">
        <v>1257</v>
      </c>
      <c r="V19" s="48" t="s">
        <v>1257</v>
      </c>
      <c r="W19" s="48" t="s">
        <v>1257</v>
      </c>
      <c r="X19" s="48" t="s">
        <v>1257</v>
      </c>
      <c r="Y19" s="48" t="s">
        <v>1257</v>
      </c>
      <c r="Z19" s="48" t="s">
        <v>1257</v>
      </c>
      <c r="AA19" s="48" t="s">
        <v>1257</v>
      </c>
      <c r="AB19" s="48" t="s">
        <v>1257</v>
      </c>
      <c r="AC19" s="48" t="s">
        <v>1257</v>
      </c>
      <c r="AD19" s="185" t="s">
        <v>1257</v>
      </c>
      <c r="AE19" s="185" t="s">
        <v>1257</v>
      </c>
      <c r="AF19" s="48" t="s">
        <v>1257</v>
      </c>
      <c r="AG19" s="48" t="s">
        <v>1257</v>
      </c>
      <c r="AH19" s="48" t="s">
        <v>1257</v>
      </c>
      <c r="AI19" s="48" t="s">
        <v>1257</v>
      </c>
      <c r="AJ19" s="48" t="s">
        <v>1257</v>
      </c>
      <c r="AK19" s="48" t="s">
        <v>1257</v>
      </c>
      <c r="AL19" s="48" t="s">
        <v>1257</v>
      </c>
      <c r="AM19" s="48" t="s">
        <v>1257</v>
      </c>
      <c r="AN19" s="48" t="s">
        <v>1257</v>
      </c>
      <c r="AO19" s="48" t="s">
        <v>1257</v>
      </c>
      <c r="AP19" s="48" t="s">
        <v>1257</v>
      </c>
      <c r="AQ19" s="48" t="s">
        <v>1257</v>
      </c>
      <c r="AR19" s="48" t="s">
        <v>1257</v>
      </c>
      <c r="AS19" s="48" t="s">
        <v>1257</v>
      </c>
    </row>
    <row r="20" spans="2:45">
      <c r="B20" s="48" t="s">
        <v>1238</v>
      </c>
      <c r="C20" s="48">
        <v>18</v>
      </c>
      <c r="D20" s="48" t="s">
        <v>1542</v>
      </c>
      <c r="E20" s="95">
        <v>45433</v>
      </c>
      <c r="F20" s="48">
        <v>1</v>
      </c>
      <c r="G20" s="48">
        <v>1</v>
      </c>
      <c r="H20" s="48" t="s">
        <v>1343</v>
      </c>
      <c r="I20" s="48" t="s">
        <v>1257</v>
      </c>
      <c r="J20" s="48" t="s">
        <v>1257</v>
      </c>
      <c r="K20" s="48" t="s">
        <v>1257</v>
      </c>
      <c r="L20" s="48" t="s">
        <v>1257</v>
      </c>
      <c r="M20" s="48" t="s">
        <v>1257</v>
      </c>
      <c r="N20" s="48" t="s">
        <v>1257</v>
      </c>
      <c r="O20" s="48" t="s">
        <v>1257</v>
      </c>
      <c r="P20" s="48" t="s">
        <v>1257</v>
      </c>
      <c r="Q20" s="48" t="s">
        <v>1257</v>
      </c>
      <c r="R20" s="48" t="s">
        <v>1257</v>
      </c>
      <c r="S20" s="48" t="s">
        <v>1257</v>
      </c>
      <c r="T20" s="48" t="s">
        <v>1257</v>
      </c>
      <c r="U20" s="48" t="s">
        <v>1257</v>
      </c>
      <c r="V20" s="48" t="s">
        <v>1257</v>
      </c>
      <c r="W20" s="48" t="s">
        <v>1257</v>
      </c>
      <c r="X20" s="48" t="s">
        <v>1257</v>
      </c>
      <c r="Y20" s="48" t="s">
        <v>1257</v>
      </c>
      <c r="Z20" s="48" t="s">
        <v>1257</v>
      </c>
      <c r="AA20" s="48" t="s">
        <v>1257</v>
      </c>
      <c r="AB20" s="48" t="s">
        <v>1257</v>
      </c>
      <c r="AC20" s="48" t="s">
        <v>1257</v>
      </c>
      <c r="AD20" s="185" t="s">
        <v>1257</v>
      </c>
      <c r="AE20" s="185" t="s">
        <v>1257</v>
      </c>
      <c r="AF20" s="48" t="s">
        <v>1257</v>
      </c>
      <c r="AG20" s="48" t="s">
        <v>1257</v>
      </c>
      <c r="AH20" s="48" t="s">
        <v>1257</v>
      </c>
      <c r="AI20" s="48" t="s">
        <v>1257</v>
      </c>
      <c r="AJ20" s="48" t="s">
        <v>1257</v>
      </c>
      <c r="AK20" s="48" t="s">
        <v>1257</v>
      </c>
      <c r="AL20" s="48" t="s">
        <v>1257</v>
      </c>
      <c r="AM20" s="48" t="s">
        <v>1257</v>
      </c>
      <c r="AN20" s="48" t="s">
        <v>1257</v>
      </c>
      <c r="AO20" s="48" t="s">
        <v>1257</v>
      </c>
      <c r="AP20" s="48" t="s">
        <v>1257</v>
      </c>
      <c r="AQ20" s="48" t="s">
        <v>1257</v>
      </c>
      <c r="AR20" s="48" t="s">
        <v>1257</v>
      </c>
      <c r="AS20" s="48" t="s">
        <v>1257</v>
      </c>
    </row>
    <row r="21" spans="2:45">
      <c r="B21" s="48" t="s">
        <v>1240</v>
      </c>
      <c r="C21" s="48">
        <v>19</v>
      </c>
      <c r="D21" s="48" t="s">
        <v>1544</v>
      </c>
      <c r="E21" s="95">
        <v>45433</v>
      </c>
      <c r="F21" s="48">
        <v>1</v>
      </c>
      <c r="G21" s="48" cm="1">
        <f t="array" aca="1" ref="G21" ca="1">SUMPRODUCT(--(ISNUMBER((SEARCH(I27:AS27,I21:AS21)))))/COUNTA(I21:AS21)</f>
        <v>0.97297297297297303</v>
      </c>
      <c r="H21" s="48" t="s">
        <v>1343</v>
      </c>
      <c r="I21" s="48" t="s">
        <v>1291</v>
      </c>
      <c r="J21" s="48" t="s">
        <v>1291</v>
      </c>
      <c r="K21" s="48" t="s">
        <v>1291</v>
      </c>
      <c r="L21" s="48" t="s">
        <v>1291</v>
      </c>
      <c r="M21" s="48" t="s">
        <v>1291</v>
      </c>
      <c r="N21" s="48" t="s">
        <v>1291</v>
      </c>
      <c r="O21" s="48" t="s">
        <v>1291</v>
      </c>
      <c r="P21" s="48" t="s">
        <v>1291</v>
      </c>
      <c r="Q21" s="48" t="s">
        <v>1291</v>
      </c>
      <c r="R21" s="48" t="s">
        <v>1291</v>
      </c>
      <c r="S21" s="48" t="s">
        <v>1291</v>
      </c>
      <c r="T21" s="48" t="s">
        <v>1291</v>
      </c>
      <c r="U21" s="48" t="s">
        <v>1291</v>
      </c>
      <c r="V21" s="48" t="s">
        <v>1292</v>
      </c>
      <c r="W21" s="48" t="s">
        <v>1292</v>
      </c>
      <c r="X21" s="48" t="s">
        <v>1292</v>
      </c>
      <c r="Y21" s="48" t="s">
        <v>1292</v>
      </c>
      <c r="Z21" s="48" t="s">
        <v>1292</v>
      </c>
      <c r="AA21" s="48" t="s">
        <v>1291</v>
      </c>
      <c r="AB21" s="48" t="s">
        <v>1291</v>
      </c>
      <c r="AC21" s="48" t="s">
        <v>1292</v>
      </c>
      <c r="AD21" s="185" t="s">
        <v>1292</v>
      </c>
      <c r="AE21" s="185" t="s">
        <v>1291</v>
      </c>
      <c r="AF21" s="48" t="s">
        <v>1291</v>
      </c>
      <c r="AG21" s="48" t="s">
        <v>1291</v>
      </c>
      <c r="AH21" s="48" t="s">
        <v>1291</v>
      </c>
      <c r="AI21" s="48" t="s">
        <v>1292</v>
      </c>
      <c r="AJ21" s="48" t="s">
        <v>1291</v>
      </c>
      <c r="AK21" s="48" t="s">
        <v>1291</v>
      </c>
      <c r="AL21" s="48" t="s">
        <v>1292</v>
      </c>
      <c r="AM21" s="48" t="s">
        <v>1292</v>
      </c>
      <c r="AN21" s="48" t="s">
        <v>1292</v>
      </c>
      <c r="AO21" s="48" t="s">
        <v>1291</v>
      </c>
      <c r="AP21" s="48" t="s">
        <v>1291</v>
      </c>
      <c r="AQ21" s="48" t="s">
        <v>1291</v>
      </c>
      <c r="AR21" s="48" t="s">
        <v>1291</v>
      </c>
      <c r="AS21" s="48" t="s">
        <v>1293</v>
      </c>
    </row>
    <row r="22" spans="2:45">
      <c r="B22" s="97" t="s">
        <v>1243</v>
      </c>
      <c r="C22" s="48">
        <v>20</v>
      </c>
      <c r="D22" s="48" t="s">
        <v>1545</v>
      </c>
      <c r="E22" s="95">
        <v>45433</v>
      </c>
      <c r="F22" s="48">
        <v>1</v>
      </c>
      <c r="G22" s="48" t="e" cm="1" vm="1">
        <f t="array" ref="G22">SUM(IF(I2:AS2 = I26:AS26, 1, 0))/ COUNTA(I2:AS2)</f>
        <v>#VALUE!</v>
      </c>
      <c r="H22" s="48"/>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row>
    <row r="23" spans="2:45">
      <c r="B23" s="48" t="s">
        <v>1246</v>
      </c>
      <c r="C23" s="48">
        <v>21</v>
      </c>
      <c r="D23" s="48" t="s">
        <v>1545</v>
      </c>
      <c r="E23" s="95">
        <v>45433</v>
      </c>
      <c r="F23" s="48">
        <v>1</v>
      </c>
      <c r="G23" s="48" t="e" cm="1" vm="1">
        <f t="array" aca="1" ref="G23" ca="1">SUM(IF(IF(G3:G22="null",1,G3:G22)=1,1,0))/COUNT(IF(G3:G22="null",1,1))</f>
        <v>#VALUE!</v>
      </c>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row>
    <row r="25" spans="2:45">
      <c r="B25" s="139" t="s">
        <v>1364</v>
      </c>
    </row>
    <row r="26" spans="2:45">
      <c r="B26" s="132" t="s">
        <v>1249</v>
      </c>
      <c r="C26" s="128" t="s">
        <v>1250</v>
      </c>
      <c r="D26" s="128" t="s">
        <v>1251</v>
      </c>
      <c r="E26" s="128" t="s">
        <v>1252</v>
      </c>
      <c r="F26" s="128" t="s">
        <v>1253</v>
      </c>
      <c r="G26" s="128" t="s">
        <v>1254</v>
      </c>
      <c r="H26" s="128" t="s">
        <v>1255</v>
      </c>
      <c r="I26" s="123" t="e" cm="1" vm="2">
        <f t="array" ref="I26">TRANSPOSE(_xlfn.SORTBY(_xlfn._xlws.FILTER(Table3[NOME FÍSICO CAMPO],Table3[NOME FÍSICO TABELA]="confirming_contract"), _xlfn._xlws.FILTER(Table3[ORDEM], Table3[NOME FÍSICO TABELA]="confirming_contract"), 1))</f>
        <v>#VALUE!</v>
      </c>
      <c r="J26" s="123"/>
      <c r="K26" s="123"/>
      <c r="L26" s="123"/>
      <c r="M26" s="123"/>
      <c r="N26" s="123"/>
      <c r="O26" s="123"/>
      <c r="P26" s="123"/>
      <c r="Q26" s="123"/>
      <c r="R26" s="123"/>
      <c r="S26" s="123"/>
      <c r="T26" s="123"/>
      <c r="U26" s="123"/>
      <c r="V26" s="123"/>
      <c r="W26" s="123"/>
      <c r="X26" s="123"/>
      <c r="Y26" s="123"/>
      <c r="Z26" s="123"/>
      <c r="AA26" s="123"/>
      <c r="AB26" s="123"/>
      <c r="AC26" s="123"/>
      <c r="AD26" s="123"/>
      <c r="AE26" s="123"/>
      <c r="AF26" s="123"/>
      <c r="AG26" s="123"/>
      <c r="AH26" s="123"/>
      <c r="AI26" s="123"/>
      <c r="AJ26" s="123"/>
      <c r="AK26" s="123"/>
      <c r="AL26" s="123"/>
      <c r="AM26" s="123"/>
      <c r="AN26" s="123"/>
      <c r="AO26" s="123"/>
      <c r="AP26" s="123"/>
      <c r="AQ26" s="123"/>
      <c r="AR26" s="123"/>
      <c r="AS26" s="123"/>
    </row>
    <row r="27" spans="2:45">
      <c r="B27" s="101" t="s">
        <v>1294</v>
      </c>
      <c r="C27" s="150">
        <v>21</v>
      </c>
      <c r="D27" s="105" t="s">
        <v>1295</v>
      </c>
      <c r="E27" s="104" t="s">
        <v>1296</v>
      </c>
      <c r="F27" s="104" t="s">
        <v>124</v>
      </c>
      <c r="G27" s="104" t="s">
        <v>124</v>
      </c>
      <c r="H27" s="104" t="s">
        <v>124</v>
      </c>
      <c r="I27" s="102" t="e" cm="1" vm="2">
        <f t="array" aca="1" ref="I27" ca="1">TRANSPOSE(_xlfn.SORTBY(_xlfn._xlws.FILTER(IF(Table3[FORMATO]:Table3[COMP_ CAMPO]&lt;&gt;"",Table3[FORMATO]:Table3[COMP_ CAMPO],9999999),Table3[NOME FÍSICO TABELA]="confirming_contract"), _xlfn._xlws.FILTER(Table3[ORDEM], Table3[NOME FÍSICO TABELA]="confirming_contract"), 1))</f>
        <v>#VALUE!</v>
      </c>
      <c r="J27" s="104"/>
      <c r="K27" s="104"/>
      <c r="L27" s="104"/>
      <c r="M27" s="104"/>
      <c r="N27" s="104"/>
      <c r="O27" s="104"/>
      <c r="P27" s="104"/>
      <c r="Q27" s="104"/>
      <c r="R27" s="104"/>
      <c r="S27" s="104"/>
      <c r="T27" s="104"/>
      <c r="U27" s="104"/>
      <c r="V27" s="104"/>
      <c r="W27" s="104"/>
      <c r="X27" s="104"/>
      <c r="Y27" s="104"/>
      <c r="Z27" s="104"/>
      <c r="AA27" s="104"/>
      <c r="AB27" s="104"/>
      <c r="AC27" s="104"/>
      <c r="AD27" s="104"/>
      <c r="AE27" s="104"/>
      <c r="AF27" s="104"/>
      <c r="AG27" s="104"/>
      <c r="AH27" s="104"/>
      <c r="AI27" s="104"/>
      <c r="AJ27" s="104"/>
      <c r="AK27" s="104"/>
      <c r="AL27" s="104"/>
      <c r="AM27" s="104"/>
      <c r="AN27" s="104"/>
      <c r="AO27" s="104"/>
      <c r="AP27" s="104"/>
      <c r="AQ27" s="104"/>
      <c r="AR27" s="104"/>
      <c r="AS27" s="104"/>
    </row>
    <row r="28" spans="2:45">
      <c r="B28" s="101" t="s">
        <v>1297</v>
      </c>
      <c r="C28" s="150">
        <v>7</v>
      </c>
      <c r="D28" s="105" t="s">
        <v>1295</v>
      </c>
      <c r="E28" s="104" t="s">
        <v>1296</v>
      </c>
      <c r="F28" s="104" t="s">
        <v>124</v>
      </c>
      <c r="G28" s="104" t="s">
        <v>124</v>
      </c>
      <c r="H28" s="104" t="s">
        <v>124</v>
      </c>
      <c r="I28" s="150"/>
      <c r="J28" s="150"/>
      <c r="K28" s="150"/>
      <c r="L28" s="150"/>
      <c r="M28" s="150"/>
      <c r="N28" s="150"/>
      <c r="O28" s="150"/>
      <c r="P28" s="150"/>
      <c r="Q28" s="150"/>
      <c r="R28" s="150"/>
      <c r="S28" s="150"/>
      <c r="T28" s="150"/>
      <c r="U28" s="150"/>
      <c r="V28" s="150"/>
      <c r="W28" s="150"/>
      <c r="X28" s="150"/>
      <c r="Y28" s="150"/>
      <c r="Z28" s="150"/>
      <c r="AA28" s="150"/>
      <c r="AB28" s="150"/>
      <c r="AC28" s="150"/>
      <c r="AD28" s="150"/>
      <c r="AE28" s="150"/>
      <c r="AF28" s="150"/>
      <c r="AG28" s="150"/>
      <c r="AH28" s="150"/>
      <c r="AI28" s="150"/>
      <c r="AJ28" s="150"/>
      <c r="AK28" s="150"/>
      <c r="AL28" s="150"/>
      <c r="AM28" s="150"/>
      <c r="AN28" s="150"/>
      <c r="AO28" s="150"/>
      <c r="AP28" s="150"/>
      <c r="AQ28" s="150"/>
      <c r="AR28" s="150"/>
      <c r="AS28" s="150"/>
    </row>
    <row r="30" spans="2:45">
      <c r="B30" s="139" t="s">
        <v>1298</v>
      </c>
    </row>
    <row r="31" spans="2:45">
      <c r="B31" s="133" t="s">
        <v>1299</v>
      </c>
      <c r="C31" s="133" t="s">
        <v>1300</v>
      </c>
      <c r="D31" s="134" t="s">
        <v>1301</v>
      </c>
      <c r="E31" s="133" t="s">
        <v>1302</v>
      </c>
      <c r="F31" s="133" t="s">
        <v>1303</v>
      </c>
    </row>
    <row r="32" spans="2:45" ht="29.1">
      <c r="B32" s="322" t="s">
        <v>1365</v>
      </c>
      <c r="C32" s="323" t="s">
        <v>176</v>
      </c>
      <c r="D32" s="299" t="s">
        <v>1546</v>
      </c>
      <c r="E32" s="324" t="s">
        <v>1547</v>
      </c>
      <c r="F32" s="153" t="s">
        <v>1310</v>
      </c>
    </row>
    <row r="33" spans="2:6" ht="29.1">
      <c r="B33" s="322" t="s">
        <v>1365</v>
      </c>
      <c r="C33" s="323" t="s">
        <v>203</v>
      </c>
      <c r="D33" s="299" t="s">
        <v>1546</v>
      </c>
      <c r="E33" s="324" t="s">
        <v>1547</v>
      </c>
      <c r="F33" s="153" t="s">
        <v>1310</v>
      </c>
    </row>
    <row r="34" spans="2:6" ht="101.45">
      <c r="B34" s="322" t="s">
        <v>1365</v>
      </c>
      <c r="C34" s="323" t="s">
        <v>307</v>
      </c>
      <c r="D34" s="299" t="s">
        <v>1548</v>
      </c>
      <c r="E34" s="324" t="s">
        <v>1549</v>
      </c>
      <c r="F34" s="153" t="s">
        <v>1310</v>
      </c>
    </row>
    <row r="35" spans="2:6" ht="101.45">
      <c r="B35" s="322" t="s">
        <v>1365</v>
      </c>
      <c r="C35" s="323" t="s">
        <v>144</v>
      </c>
      <c r="D35" s="299" t="s">
        <v>1548</v>
      </c>
      <c r="E35" s="324" t="s">
        <v>1549</v>
      </c>
      <c r="F35" s="153" t="s">
        <v>1310</v>
      </c>
    </row>
    <row r="36" spans="2:6" ht="101.45">
      <c r="B36" s="322" t="s">
        <v>1365</v>
      </c>
      <c r="C36" s="323" t="s">
        <v>349</v>
      </c>
      <c r="D36" s="299" t="s">
        <v>1548</v>
      </c>
      <c r="E36" s="324" t="s">
        <v>1549</v>
      </c>
      <c r="F36" s="153" t="s">
        <v>1310</v>
      </c>
    </row>
    <row r="37" spans="2:6" ht="101.45">
      <c r="B37" s="322" t="s">
        <v>1365</v>
      </c>
      <c r="C37" s="323" t="s">
        <v>512</v>
      </c>
      <c r="D37" s="299" t="s">
        <v>1548</v>
      </c>
      <c r="E37" s="324" t="s">
        <v>1549</v>
      </c>
      <c r="F37" s="153" t="s">
        <v>1310</v>
      </c>
    </row>
    <row r="38" spans="2:6" ht="101.45">
      <c r="B38" s="322" t="s">
        <v>1365</v>
      </c>
      <c r="C38" s="323" t="s">
        <v>521</v>
      </c>
      <c r="D38" s="299" t="s">
        <v>1548</v>
      </c>
      <c r="E38" s="324" t="s">
        <v>1549</v>
      </c>
      <c r="F38" s="153" t="s">
        <v>1310</v>
      </c>
    </row>
    <row r="39" spans="2:6" ht="101.45">
      <c r="B39" s="322" t="s">
        <v>1365</v>
      </c>
      <c r="C39" s="323" t="s">
        <v>530</v>
      </c>
      <c r="D39" s="299" t="s">
        <v>1548</v>
      </c>
      <c r="E39" s="324" t="s">
        <v>1549</v>
      </c>
      <c r="F39" s="153" t="s">
        <v>1310</v>
      </c>
    </row>
    <row r="40" spans="2:6" ht="101.45">
      <c r="B40" s="322" t="s">
        <v>1365</v>
      </c>
      <c r="C40" s="323" t="s">
        <v>1550</v>
      </c>
      <c r="D40" s="299" t="s">
        <v>1548</v>
      </c>
      <c r="E40" s="324" t="s">
        <v>1549</v>
      </c>
      <c r="F40" s="153" t="s">
        <v>1310</v>
      </c>
    </row>
    <row r="41" spans="2:6" ht="101.45">
      <c r="B41" s="322" t="s">
        <v>1365</v>
      </c>
      <c r="C41" s="323" t="s">
        <v>1551</v>
      </c>
      <c r="D41" s="299" t="s">
        <v>1548</v>
      </c>
      <c r="E41" s="324" t="s">
        <v>1549</v>
      </c>
      <c r="F41" s="153" t="s">
        <v>1310</v>
      </c>
    </row>
    <row r="42" spans="2:6" ht="101.45">
      <c r="B42" s="322" t="s">
        <v>1365</v>
      </c>
      <c r="C42" s="323" t="s">
        <v>1552</v>
      </c>
      <c r="D42" s="299" t="s">
        <v>1548</v>
      </c>
      <c r="E42" s="324" t="s">
        <v>1549</v>
      </c>
      <c r="F42" s="153" t="s">
        <v>1310</v>
      </c>
    </row>
    <row r="43" spans="2:6" ht="101.45">
      <c r="B43" s="322" t="s">
        <v>1365</v>
      </c>
      <c r="C43" s="323" t="s">
        <v>1553</v>
      </c>
      <c r="D43" s="299" t="s">
        <v>1548</v>
      </c>
      <c r="E43" s="324" t="s">
        <v>1549</v>
      </c>
      <c r="F43" s="153" t="s">
        <v>1310</v>
      </c>
    </row>
    <row r="44" spans="2:6" ht="101.45">
      <c r="B44" s="322" t="s">
        <v>1365</v>
      </c>
      <c r="C44" s="323" t="s">
        <v>1554</v>
      </c>
      <c r="D44" s="299" t="s">
        <v>1548</v>
      </c>
      <c r="E44" s="324" t="s">
        <v>1549</v>
      </c>
      <c r="F44" s="153" t="s">
        <v>1310</v>
      </c>
    </row>
    <row r="45" spans="2:6" ht="101.45">
      <c r="B45" s="322" t="s">
        <v>1365</v>
      </c>
      <c r="C45" s="323" t="s">
        <v>1555</v>
      </c>
      <c r="D45" s="299" t="s">
        <v>1548</v>
      </c>
      <c r="E45" s="324" t="s">
        <v>1549</v>
      </c>
      <c r="F45" s="153" t="s">
        <v>1310</v>
      </c>
    </row>
    <row r="46" spans="2:6" ht="101.45">
      <c r="B46" s="322" t="s">
        <v>1365</v>
      </c>
      <c r="C46" s="323" t="s">
        <v>626</v>
      </c>
      <c r="D46" s="299" t="s">
        <v>1548</v>
      </c>
      <c r="E46" s="324" t="s">
        <v>1549</v>
      </c>
      <c r="F46" s="153" t="s">
        <v>1310</v>
      </c>
    </row>
    <row r="47" spans="2:6" ht="101.45">
      <c r="B47" s="322" t="s">
        <v>1365</v>
      </c>
      <c r="C47" s="323" t="s">
        <v>644</v>
      </c>
      <c r="D47" s="299" t="s">
        <v>1548</v>
      </c>
      <c r="E47" s="324" t="s">
        <v>1549</v>
      </c>
      <c r="F47" s="153" t="s">
        <v>1310</v>
      </c>
    </row>
    <row r="48" spans="2:6" ht="29.1">
      <c r="B48" s="322" t="s">
        <v>1365</v>
      </c>
      <c r="C48" s="323" t="s">
        <v>429</v>
      </c>
      <c r="D48" s="299" t="s">
        <v>1556</v>
      </c>
      <c r="E48" s="324" t="s">
        <v>1557</v>
      </c>
      <c r="F48" s="153" t="s">
        <v>1310</v>
      </c>
    </row>
    <row r="49" spans="2:6" ht="43.5">
      <c r="B49" s="322" t="s">
        <v>1365</v>
      </c>
      <c r="C49" s="323" t="s">
        <v>453</v>
      </c>
      <c r="D49" s="253" t="s">
        <v>1558</v>
      </c>
      <c r="E49" s="254" t="s">
        <v>1559</v>
      </c>
      <c r="F49" s="153" t="s">
        <v>1310</v>
      </c>
    </row>
    <row r="50" spans="2:6" ht="144.94999999999999">
      <c r="B50" s="322" t="s">
        <v>1365</v>
      </c>
      <c r="C50" s="255" t="s">
        <v>636</v>
      </c>
      <c r="D50" s="256" t="s">
        <v>1560</v>
      </c>
      <c r="E50" s="257" t="s">
        <v>1561</v>
      </c>
      <c r="F50" s="153" t="s">
        <v>1310</v>
      </c>
    </row>
    <row r="51" spans="2:6" ht="144.94999999999999">
      <c r="B51" s="176" t="s">
        <v>1304</v>
      </c>
      <c r="C51" s="198" t="s">
        <v>652</v>
      </c>
      <c r="D51" s="55" t="s">
        <v>1560</v>
      </c>
      <c r="E51" s="197" t="s">
        <v>1561</v>
      </c>
      <c r="F51" s="196" t="s">
        <v>1310</v>
      </c>
    </row>
    <row r="52" spans="2:6" ht="57.95">
      <c r="B52" s="176" t="s">
        <v>1314</v>
      </c>
      <c r="C52" s="177" t="s">
        <v>1562</v>
      </c>
      <c r="D52" s="55" t="s">
        <v>1563</v>
      </c>
      <c r="E52" s="195" t="s">
        <v>1564</v>
      </c>
      <c r="F52" s="196" t="s">
        <v>1313</v>
      </c>
    </row>
    <row r="53" spans="2:6" ht="57.95">
      <c r="B53" s="176" t="s">
        <v>1565</v>
      </c>
      <c r="C53" s="177" t="s">
        <v>1510</v>
      </c>
      <c r="D53" s="55" t="s">
        <v>1566</v>
      </c>
      <c r="E53" s="195" t="s">
        <v>1567</v>
      </c>
      <c r="F53" s="196" t="s">
        <v>1310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4.4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row r="2" spans="2:29">
      <c r="B2" s="77" t="s">
        <v>1249</v>
      </c>
      <c r="C2" s="77" t="s">
        <v>1250</v>
      </c>
      <c r="D2" s="77" t="s">
        <v>1251</v>
      </c>
      <c r="E2" s="77" t="s">
        <v>1252</v>
      </c>
      <c r="F2" s="77" t="s">
        <v>1253</v>
      </c>
      <c r="G2" s="77" t="s">
        <v>1254</v>
      </c>
      <c r="H2" s="77" t="s">
        <v>1255</v>
      </c>
      <c r="I2" s="77" t="s">
        <v>103</v>
      </c>
      <c r="J2" s="77" t="s">
        <v>134</v>
      </c>
      <c r="K2" s="77" t="s">
        <v>1568</v>
      </c>
      <c r="L2" s="77" t="s">
        <v>155</v>
      </c>
      <c r="M2" s="77" t="s">
        <v>162</v>
      </c>
      <c r="N2" s="77" t="s">
        <v>190</v>
      </c>
      <c r="O2" s="77" t="s">
        <v>1569</v>
      </c>
      <c r="P2" s="77" t="s">
        <v>176</v>
      </c>
      <c r="Q2" s="77" t="s">
        <v>203</v>
      </c>
      <c r="R2" s="77" t="s">
        <v>289</v>
      </c>
      <c r="S2" s="77" t="s">
        <v>299</v>
      </c>
      <c r="T2" s="77" t="s">
        <v>314</v>
      </c>
      <c r="U2" s="77" t="s">
        <v>1570</v>
      </c>
      <c r="V2" s="77" t="s">
        <v>1571</v>
      </c>
      <c r="W2" s="77" t="s">
        <v>1572</v>
      </c>
      <c r="X2" s="77" t="s">
        <v>1573</v>
      </c>
      <c r="Y2" s="77" t="s">
        <v>669</v>
      </c>
      <c r="Z2" s="77" t="s">
        <v>678</v>
      </c>
      <c r="AA2" s="77" t="s">
        <v>214</v>
      </c>
      <c r="AB2" s="77" t="s">
        <v>234</v>
      </c>
      <c r="AC2" s="77" t="s">
        <v>253</v>
      </c>
    </row>
    <row r="3" spans="2:29">
      <c r="B3" s="48" t="s">
        <v>1203</v>
      </c>
      <c r="C3" s="48">
        <v>1</v>
      </c>
      <c r="D3" s="48" t="s">
        <v>1574</v>
      </c>
      <c r="E3" s="95">
        <v>45441</v>
      </c>
      <c r="F3" s="48">
        <v>1</v>
      </c>
      <c r="G3" s="98">
        <v>1</v>
      </c>
      <c r="H3" s="98">
        <v>5903000000</v>
      </c>
      <c r="I3" s="48" t="s">
        <v>1257</v>
      </c>
      <c r="J3" s="48" t="s">
        <v>1257</v>
      </c>
      <c r="K3" s="48" t="s">
        <v>1257</v>
      </c>
      <c r="L3" s="48" t="s">
        <v>1257</v>
      </c>
      <c r="M3" s="48" t="s">
        <v>1257</v>
      </c>
      <c r="N3" s="48" t="s">
        <v>1257</v>
      </c>
      <c r="O3" s="48" t="s">
        <v>1257</v>
      </c>
      <c r="P3" s="48" t="s">
        <v>1257</v>
      </c>
      <c r="Q3" s="48" t="s">
        <v>1257</v>
      </c>
      <c r="R3" s="48" t="s">
        <v>1257</v>
      </c>
      <c r="S3" s="48" t="s">
        <v>1257</v>
      </c>
      <c r="T3" s="48" t="s">
        <v>1257</v>
      </c>
      <c r="U3" s="48" t="s">
        <v>1257</v>
      </c>
      <c r="V3" s="48" t="s">
        <v>1257</v>
      </c>
      <c r="W3" s="48" t="s">
        <v>1257</v>
      </c>
      <c r="X3" s="48" t="s">
        <v>1257</v>
      </c>
      <c r="Y3" s="48" t="s">
        <v>1257</v>
      </c>
      <c r="Z3" s="48" t="s">
        <v>1257</v>
      </c>
      <c r="AA3" s="48" t="s">
        <v>1257</v>
      </c>
      <c r="AB3" s="48" t="s">
        <v>1257</v>
      </c>
      <c r="AC3" s="48" t="s">
        <v>1257</v>
      </c>
    </row>
    <row r="4" spans="2:29">
      <c r="B4" s="48" t="s">
        <v>1205</v>
      </c>
      <c r="C4" s="48">
        <v>2</v>
      </c>
      <c r="D4" s="48" t="s">
        <v>1575</v>
      </c>
      <c r="E4" s="95">
        <v>45441</v>
      </c>
      <c r="F4" s="48">
        <v>1</v>
      </c>
      <c r="G4" s="98">
        <v>1</v>
      </c>
      <c r="H4" s="48" t="s">
        <v>1266</v>
      </c>
      <c r="I4" s="48" t="s">
        <v>1257</v>
      </c>
      <c r="J4" s="48" t="s">
        <v>1257</v>
      </c>
      <c r="K4" s="48" t="s">
        <v>1257</v>
      </c>
      <c r="L4" s="48" t="s">
        <v>1257</v>
      </c>
      <c r="M4" s="48" t="s">
        <v>1257</v>
      </c>
      <c r="N4" s="48" t="s">
        <v>1257</v>
      </c>
      <c r="O4" s="48" t="s">
        <v>1257</v>
      </c>
      <c r="P4" s="48" t="s">
        <v>1257</v>
      </c>
      <c r="Q4" s="48" t="s">
        <v>1257</v>
      </c>
      <c r="R4" s="48" t="s">
        <v>1257</v>
      </c>
      <c r="S4" s="48" t="s">
        <v>1257</v>
      </c>
      <c r="T4" s="48" t="s">
        <v>1257</v>
      </c>
      <c r="U4" s="48" t="s">
        <v>1257</v>
      </c>
      <c r="V4" s="48" t="s">
        <v>1257</v>
      </c>
      <c r="W4" s="48" t="s">
        <v>1257</v>
      </c>
      <c r="X4" s="48" t="s">
        <v>1257</v>
      </c>
      <c r="Y4" s="48" t="s">
        <v>1257</v>
      </c>
      <c r="Z4" s="48" t="s">
        <v>1257</v>
      </c>
      <c r="AA4" s="48" t="s">
        <v>1257</v>
      </c>
      <c r="AB4" s="48" t="s">
        <v>1257</v>
      </c>
      <c r="AC4" s="48" t="s">
        <v>1257</v>
      </c>
    </row>
    <row r="5" spans="2:29">
      <c r="B5" s="48" t="s">
        <v>1207</v>
      </c>
      <c r="C5" s="48">
        <v>3</v>
      </c>
      <c r="D5" s="48" t="s">
        <v>1576</v>
      </c>
      <c r="E5" s="95">
        <v>45441</v>
      </c>
      <c r="F5" s="48">
        <v>1</v>
      </c>
      <c r="G5" s="98">
        <v>1</v>
      </c>
      <c r="H5" s="48" t="s">
        <v>1266</v>
      </c>
      <c r="I5" s="48">
        <v>0</v>
      </c>
      <c r="J5" s="48">
        <v>0</v>
      </c>
      <c r="K5" s="48" t="s">
        <v>1257</v>
      </c>
      <c r="L5" s="48" t="s">
        <v>1257</v>
      </c>
      <c r="M5" s="48" t="s">
        <v>1257</v>
      </c>
      <c r="N5" s="48" t="s">
        <v>1257</v>
      </c>
      <c r="O5" s="48" t="s">
        <v>1257</v>
      </c>
      <c r="P5" s="48" t="s">
        <v>1257</v>
      </c>
      <c r="Q5" s="48" t="s">
        <v>1257</v>
      </c>
      <c r="R5" s="48" t="s">
        <v>1257</v>
      </c>
      <c r="S5" s="48" t="s">
        <v>1257</v>
      </c>
      <c r="T5" s="48" t="s">
        <v>1257</v>
      </c>
      <c r="U5" s="48" t="s">
        <v>1257</v>
      </c>
      <c r="V5" s="48" t="s">
        <v>1257</v>
      </c>
      <c r="W5" s="48" t="s">
        <v>1257</v>
      </c>
      <c r="X5" s="48" t="s">
        <v>1257</v>
      </c>
      <c r="Y5" s="48" t="s">
        <v>1257</v>
      </c>
      <c r="Z5" s="48" t="s">
        <v>1257</v>
      </c>
      <c r="AA5" s="48" t="s">
        <v>1257</v>
      </c>
      <c r="AB5" s="48">
        <v>0</v>
      </c>
      <c r="AC5" s="48" t="s">
        <v>1257</v>
      </c>
    </row>
    <row r="6" spans="2:29">
      <c r="B6" s="97" t="s">
        <v>1212</v>
      </c>
      <c r="C6" s="48">
        <v>6</v>
      </c>
      <c r="D6" s="48" t="s">
        <v>1577</v>
      </c>
      <c r="E6" s="95">
        <v>45441</v>
      </c>
      <c r="F6" s="48">
        <v>1</v>
      </c>
      <c r="G6" s="48" cm="1">
        <f t="array" ref="G6">SUMPRODUCT(--(I6:AC6&gt;0))/COUNTA(I6:AC6)</f>
        <v>1</v>
      </c>
      <c r="H6" s="48" t="s">
        <v>1266</v>
      </c>
      <c r="I6" s="48">
        <v>2</v>
      </c>
      <c r="J6" s="48">
        <v>30</v>
      </c>
      <c r="K6" s="48">
        <v>1</v>
      </c>
      <c r="L6" s="48">
        <v>3</v>
      </c>
      <c r="M6" s="48">
        <v>3</v>
      </c>
      <c r="N6" s="48">
        <v>3</v>
      </c>
      <c r="O6" s="48">
        <v>3</v>
      </c>
      <c r="P6" s="48">
        <v>2</v>
      </c>
      <c r="Q6" s="48">
        <v>30</v>
      </c>
      <c r="R6" s="48">
        <v>10</v>
      </c>
      <c r="S6" s="48">
        <v>10</v>
      </c>
      <c r="T6" s="48">
        <v>3</v>
      </c>
      <c r="U6" s="48">
        <v>10</v>
      </c>
      <c r="V6" s="48">
        <v>2</v>
      </c>
      <c r="W6" s="48">
        <v>10</v>
      </c>
      <c r="X6" s="48">
        <v>1</v>
      </c>
      <c r="Y6" s="48">
        <v>3</v>
      </c>
      <c r="Z6" s="48">
        <v>3</v>
      </c>
      <c r="AA6" s="48">
        <v>2</v>
      </c>
      <c r="AB6" s="48">
        <v>10</v>
      </c>
      <c r="AC6" s="48">
        <v>23</v>
      </c>
    </row>
    <row r="7" spans="2:29">
      <c r="B7" s="48" t="s">
        <v>1215</v>
      </c>
      <c r="C7" s="48">
        <v>7</v>
      </c>
      <c r="D7" s="48" t="s">
        <v>1578</v>
      </c>
      <c r="E7" s="95">
        <v>45441</v>
      </c>
      <c r="F7" s="48">
        <v>1</v>
      </c>
      <c r="G7" s="48" t="e" cm="1">
        <f t="array" ref="G7">SUMPRODUCT(--(I7:AC7&lt;=I25:AC25))/COUNTA(I25:AC25)</f>
        <v>#DIV/0!</v>
      </c>
      <c r="H7" s="48" t="s">
        <v>1266</v>
      </c>
      <c r="I7" s="48">
        <v>2</v>
      </c>
      <c r="J7" s="48">
        <v>30</v>
      </c>
      <c r="K7" s="48">
        <v>10</v>
      </c>
      <c r="L7" s="48">
        <v>3</v>
      </c>
      <c r="M7" s="48">
        <v>3</v>
      </c>
      <c r="N7" s="48">
        <v>3</v>
      </c>
      <c r="O7" s="48">
        <v>4</v>
      </c>
      <c r="P7" s="48">
        <v>2</v>
      </c>
      <c r="Q7" s="48">
        <v>30</v>
      </c>
      <c r="R7" s="48">
        <v>10</v>
      </c>
      <c r="S7" s="48">
        <v>10</v>
      </c>
      <c r="T7" s="48">
        <v>3</v>
      </c>
      <c r="U7" s="48">
        <v>10</v>
      </c>
      <c r="V7" s="48">
        <v>3</v>
      </c>
      <c r="W7" s="48">
        <v>10</v>
      </c>
      <c r="X7" s="48">
        <v>3</v>
      </c>
      <c r="Y7" s="48">
        <v>3</v>
      </c>
      <c r="Z7" s="48">
        <v>3</v>
      </c>
      <c r="AA7" s="48">
        <v>2</v>
      </c>
      <c r="AB7" s="48">
        <v>10</v>
      </c>
      <c r="AC7" s="48">
        <v>23</v>
      </c>
    </row>
    <row r="8" spans="2:29">
      <c r="B8" s="48" t="s">
        <v>1218</v>
      </c>
      <c r="C8" s="48">
        <v>8</v>
      </c>
      <c r="D8" s="48" t="s">
        <v>1579</v>
      </c>
      <c r="E8" s="95">
        <v>45441</v>
      </c>
      <c r="F8" s="48">
        <v>1</v>
      </c>
      <c r="G8" s="48" t="s">
        <v>1257</v>
      </c>
      <c r="H8" s="48" t="s">
        <v>1266</v>
      </c>
      <c r="I8" s="48">
        <v>31</v>
      </c>
      <c r="J8" s="48">
        <v>7.0000079999999997E+21</v>
      </c>
      <c r="K8" s="48">
        <v>1</v>
      </c>
      <c r="L8" s="48" t="s">
        <v>1336</v>
      </c>
      <c r="M8" s="48">
        <v>0</v>
      </c>
      <c r="N8" s="48">
        <v>20</v>
      </c>
      <c r="O8" s="48">
        <v>1329</v>
      </c>
      <c r="P8" s="48">
        <v>31</v>
      </c>
      <c r="Q8" s="48">
        <v>3.2487001E+22</v>
      </c>
      <c r="R8" s="95">
        <v>21205</v>
      </c>
      <c r="S8" s="95">
        <v>1</v>
      </c>
      <c r="T8" s="48">
        <v>0</v>
      </c>
      <c r="U8" s="95">
        <v>1</v>
      </c>
      <c r="V8" s="98">
        <v>25</v>
      </c>
      <c r="W8" s="48">
        <v>40967</v>
      </c>
      <c r="X8" s="48">
        <v>0</v>
      </c>
      <c r="Y8" s="48" t="s">
        <v>1336</v>
      </c>
      <c r="Z8" s="48" t="s">
        <v>1268</v>
      </c>
      <c r="AA8" s="48" t="s">
        <v>1580</v>
      </c>
      <c r="AB8" s="95">
        <v>45441</v>
      </c>
      <c r="AC8" s="48" t="s">
        <v>1581</v>
      </c>
    </row>
    <row r="9" spans="2:29">
      <c r="B9" s="48" t="s">
        <v>1220</v>
      </c>
      <c r="C9" s="48">
        <v>9</v>
      </c>
      <c r="D9" s="48" t="s">
        <v>1582</v>
      </c>
      <c r="E9" s="95">
        <v>45441</v>
      </c>
      <c r="F9" s="48">
        <v>1</v>
      </c>
      <c r="G9" s="48" t="s">
        <v>1257</v>
      </c>
      <c r="H9" s="48" t="s">
        <v>1266</v>
      </c>
      <c r="I9" s="48">
        <v>31</v>
      </c>
      <c r="J9" s="48">
        <v>7.0000079999999997E+21</v>
      </c>
      <c r="K9" s="48">
        <v>1</v>
      </c>
      <c r="L9" s="48"/>
      <c r="M9" s="48">
        <v>0</v>
      </c>
      <c r="N9" s="48">
        <v>20</v>
      </c>
      <c r="O9" s="48">
        <v>1329</v>
      </c>
      <c r="P9" s="48"/>
      <c r="Q9" s="48">
        <v>3.2487001E+22</v>
      </c>
      <c r="R9" s="96">
        <v>21205</v>
      </c>
      <c r="S9" s="96">
        <v>1</v>
      </c>
      <c r="T9" s="48">
        <v>0</v>
      </c>
      <c r="U9" s="96">
        <v>1</v>
      </c>
      <c r="V9" s="98">
        <v>24500000</v>
      </c>
      <c r="W9" s="96">
        <v>40967</v>
      </c>
      <c r="X9" s="99" t="s">
        <v>1266</v>
      </c>
      <c r="Y9" s="48">
        <v>5</v>
      </c>
      <c r="Z9" s="48" t="s">
        <v>1272</v>
      </c>
      <c r="AA9" s="48" t="s">
        <v>1580</v>
      </c>
      <c r="AB9" s="95">
        <v>45441</v>
      </c>
      <c r="AC9" s="48" t="s">
        <v>1583</v>
      </c>
    </row>
    <row r="10" spans="2:29">
      <c r="B10" s="97" t="s">
        <v>1222</v>
      </c>
      <c r="C10" s="48">
        <v>10</v>
      </c>
      <c r="D10" s="48" t="s">
        <v>1584</v>
      </c>
      <c r="E10" s="95">
        <v>45441</v>
      </c>
      <c r="F10" s="48">
        <v>1</v>
      </c>
      <c r="G10" s="48" t="s">
        <v>1257</v>
      </c>
      <c r="H10" s="48" t="s">
        <v>1266</v>
      </c>
      <c r="I10" s="48">
        <v>31</v>
      </c>
      <c r="J10" s="48">
        <v>8.0013669999999995E+24</v>
      </c>
      <c r="K10" s="48" t="s">
        <v>1585</v>
      </c>
      <c r="L10" s="48" t="s">
        <v>1336</v>
      </c>
      <c r="M10" s="48">
        <v>0</v>
      </c>
      <c r="N10" s="48">
        <v>20</v>
      </c>
      <c r="O10" s="48">
        <v>814</v>
      </c>
      <c r="P10" s="48">
        <v>31</v>
      </c>
      <c r="Q10" s="48">
        <v>2.3950315126102001E+29</v>
      </c>
      <c r="R10" s="95">
        <v>45441</v>
      </c>
      <c r="S10" s="95">
        <v>1</v>
      </c>
      <c r="T10" s="95">
        <v>978</v>
      </c>
      <c r="U10" s="95">
        <v>45441</v>
      </c>
      <c r="V10" s="98">
        <v>260</v>
      </c>
      <c r="W10" s="95">
        <v>45441</v>
      </c>
      <c r="X10" s="98">
        <v>250</v>
      </c>
      <c r="Y10" s="48" t="s">
        <v>1336</v>
      </c>
      <c r="Z10" s="48" t="s">
        <v>1268</v>
      </c>
      <c r="AA10" s="48" t="s">
        <v>1580</v>
      </c>
      <c r="AB10" s="95">
        <v>45441</v>
      </c>
      <c r="AC10" s="95" t="s">
        <v>1581</v>
      </c>
    </row>
    <row r="11" spans="2:29">
      <c r="B11" s="48" t="s">
        <v>1224</v>
      </c>
      <c r="C11" s="48">
        <v>11</v>
      </c>
      <c r="D11" s="48" t="s">
        <v>1586</v>
      </c>
      <c r="E11" s="95">
        <v>45441</v>
      </c>
      <c r="F11" s="48">
        <v>1</v>
      </c>
      <c r="G11" s="48" t="s">
        <v>1257</v>
      </c>
      <c r="H11" s="48" t="s">
        <v>1266</v>
      </c>
      <c r="I11" s="48">
        <v>31</v>
      </c>
      <c r="J11" s="48">
        <v>8.0013669999999995E+24</v>
      </c>
      <c r="K11" s="48" t="s">
        <v>1585</v>
      </c>
      <c r="L11" s="48"/>
      <c r="M11" s="48">
        <v>0</v>
      </c>
      <c r="N11" s="48">
        <v>20</v>
      </c>
      <c r="O11" s="48">
        <v>814</v>
      </c>
      <c r="P11" s="48"/>
      <c r="Q11" s="48">
        <v>2.3950315126102001E+29</v>
      </c>
      <c r="R11" s="96">
        <v>45441</v>
      </c>
      <c r="S11" s="96">
        <v>1</v>
      </c>
      <c r="T11" s="96">
        <v>978</v>
      </c>
      <c r="U11" s="96">
        <v>45441</v>
      </c>
      <c r="V11" s="98">
        <v>260000000</v>
      </c>
      <c r="W11" s="96">
        <v>45441</v>
      </c>
      <c r="X11" s="99">
        <v>250000000</v>
      </c>
      <c r="Y11" s="99">
        <v>6</v>
      </c>
      <c r="Z11" s="48" t="s">
        <v>1272</v>
      </c>
      <c r="AA11" s="48" t="s">
        <v>1580</v>
      </c>
      <c r="AB11" s="95">
        <v>45441</v>
      </c>
      <c r="AC11" s="95" t="s">
        <v>1587</v>
      </c>
    </row>
    <row r="12" spans="2:29">
      <c r="B12" s="48" t="s">
        <v>1226</v>
      </c>
      <c r="C12" s="48">
        <v>12</v>
      </c>
      <c r="D12" s="48" t="s">
        <v>1588</v>
      </c>
      <c r="E12" s="95">
        <v>45441</v>
      </c>
      <c r="F12" s="48">
        <v>1</v>
      </c>
      <c r="G12" s="48">
        <v>0.71428599999999998</v>
      </c>
      <c r="H12" s="48" t="s">
        <v>1266</v>
      </c>
      <c r="I12" s="48">
        <v>0</v>
      </c>
      <c r="J12" s="48">
        <v>0</v>
      </c>
      <c r="K12" s="48">
        <v>0</v>
      </c>
      <c r="L12" s="48">
        <v>0</v>
      </c>
      <c r="M12" s="48">
        <v>1070</v>
      </c>
      <c r="N12" s="48">
        <v>1070</v>
      </c>
      <c r="O12" s="48">
        <v>0</v>
      </c>
      <c r="P12" s="48">
        <v>0</v>
      </c>
      <c r="Q12" s="48">
        <v>0</v>
      </c>
      <c r="R12" s="48">
        <v>0</v>
      </c>
      <c r="S12" s="48">
        <v>0</v>
      </c>
      <c r="T12" s="48">
        <v>0</v>
      </c>
      <c r="U12" s="48">
        <v>125</v>
      </c>
      <c r="V12" s="48">
        <v>125</v>
      </c>
      <c r="W12" s="98">
        <v>126</v>
      </c>
      <c r="X12" s="48">
        <v>126</v>
      </c>
      <c r="Y12" s="48">
        <v>0</v>
      </c>
      <c r="Z12" s="48">
        <v>0</v>
      </c>
      <c r="AA12" s="48">
        <v>0</v>
      </c>
      <c r="AB12" s="48">
        <v>0</v>
      </c>
      <c r="AC12" s="48">
        <v>0</v>
      </c>
    </row>
    <row r="13" spans="2:29">
      <c r="B13" s="48" t="s">
        <v>1228</v>
      </c>
      <c r="C13" s="48">
        <v>13</v>
      </c>
      <c r="D13" s="48" t="s">
        <v>1589</v>
      </c>
      <c r="E13" s="95">
        <v>45441</v>
      </c>
      <c r="F13" s="48">
        <v>1</v>
      </c>
      <c r="G13" s="98">
        <v>1</v>
      </c>
      <c r="H13" s="48" t="s">
        <v>1266</v>
      </c>
      <c r="I13" s="48" t="s">
        <v>1257</v>
      </c>
      <c r="J13" s="48" t="s">
        <v>1257</v>
      </c>
      <c r="K13" s="48" t="s">
        <v>1257</v>
      </c>
      <c r="L13" s="48" t="s">
        <v>1257</v>
      </c>
      <c r="M13" s="48" t="s">
        <v>1257</v>
      </c>
      <c r="N13" s="48" t="s">
        <v>1257</v>
      </c>
      <c r="O13" s="48" t="s">
        <v>1257</v>
      </c>
      <c r="P13" s="48" t="s">
        <v>1257</v>
      </c>
      <c r="Q13" s="48" t="s">
        <v>1257</v>
      </c>
      <c r="R13" s="96">
        <v>0</v>
      </c>
      <c r="S13" s="96">
        <v>0</v>
      </c>
      <c r="T13" s="96" t="s">
        <v>1257</v>
      </c>
      <c r="U13" s="96">
        <v>0</v>
      </c>
      <c r="V13" s="96" t="s">
        <v>1257</v>
      </c>
      <c r="W13" s="98">
        <v>0</v>
      </c>
      <c r="X13" s="96" t="s">
        <v>1257</v>
      </c>
      <c r="Y13" s="98" t="s">
        <v>1257</v>
      </c>
      <c r="Z13" s="48" t="s">
        <v>1257</v>
      </c>
      <c r="AA13" s="48" t="s">
        <v>1257</v>
      </c>
      <c r="AB13" s="95" t="s">
        <v>1257</v>
      </c>
      <c r="AC13" s="95" t="s">
        <v>1257</v>
      </c>
    </row>
    <row r="14" spans="2:29">
      <c r="B14" s="48" t="s">
        <v>1230</v>
      </c>
      <c r="C14" s="48">
        <v>14</v>
      </c>
      <c r="D14" s="48" t="s">
        <v>1590</v>
      </c>
      <c r="E14" s="95">
        <v>45441</v>
      </c>
      <c r="F14" s="48">
        <v>1</v>
      </c>
      <c r="G14" s="98">
        <v>1</v>
      </c>
      <c r="H14" s="48" t="s">
        <v>1266</v>
      </c>
      <c r="I14" s="48">
        <v>0</v>
      </c>
      <c r="J14" s="48">
        <v>0</v>
      </c>
      <c r="K14" s="48">
        <v>0</v>
      </c>
      <c r="L14" s="48">
        <v>0</v>
      </c>
      <c r="M14" s="48">
        <v>0</v>
      </c>
      <c r="N14" s="48">
        <v>0</v>
      </c>
      <c r="O14" s="48">
        <v>0</v>
      </c>
      <c r="P14" s="48">
        <v>0</v>
      </c>
      <c r="Q14" s="48">
        <v>0</v>
      </c>
      <c r="R14" s="48" t="s">
        <v>1257</v>
      </c>
      <c r="S14" s="48" t="s">
        <v>1257</v>
      </c>
      <c r="T14" s="48">
        <v>0</v>
      </c>
      <c r="U14" s="48" t="s">
        <v>1257</v>
      </c>
      <c r="V14" s="48" t="s">
        <v>1257</v>
      </c>
      <c r="W14" s="48" t="s">
        <v>1257</v>
      </c>
      <c r="X14" s="48" t="s">
        <v>1257</v>
      </c>
      <c r="Y14" s="48">
        <v>0</v>
      </c>
      <c r="Z14" s="48">
        <v>0</v>
      </c>
      <c r="AA14" s="48">
        <v>0</v>
      </c>
      <c r="AB14" s="48" t="s">
        <v>1257</v>
      </c>
      <c r="AC14" s="48" t="s">
        <v>1257</v>
      </c>
    </row>
    <row r="15" spans="2:29">
      <c r="B15" s="48" t="s">
        <v>1232</v>
      </c>
      <c r="C15" s="48">
        <v>15</v>
      </c>
      <c r="D15" s="48" t="s">
        <v>1591</v>
      </c>
      <c r="E15" s="95">
        <v>45441</v>
      </c>
      <c r="F15" s="48">
        <v>1</v>
      </c>
      <c r="G15" s="98">
        <v>1</v>
      </c>
      <c r="H15" s="188" t="s">
        <v>1266</v>
      </c>
      <c r="I15" s="48" t="s">
        <v>1257</v>
      </c>
      <c r="J15" s="48" t="s">
        <v>1257</v>
      </c>
      <c r="K15" s="48" t="s">
        <v>1257</v>
      </c>
      <c r="L15" s="48" t="s">
        <v>1257</v>
      </c>
      <c r="M15" s="48" t="s">
        <v>1257</v>
      </c>
      <c r="N15" s="48" t="s">
        <v>1257</v>
      </c>
      <c r="O15" s="48" t="s">
        <v>1257</v>
      </c>
      <c r="P15" s="48" t="s">
        <v>1257</v>
      </c>
      <c r="Q15" s="48" t="s">
        <v>1257</v>
      </c>
      <c r="R15" s="97" t="s">
        <v>1257</v>
      </c>
      <c r="S15" s="97" t="s">
        <v>1257</v>
      </c>
      <c r="T15" s="97" t="s">
        <v>1257</v>
      </c>
      <c r="U15" s="97" t="s">
        <v>1257</v>
      </c>
      <c r="V15" s="97" t="s">
        <v>1257</v>
      </c>
      <c r="W15" s="97" t="s">
        <v>1257</v>
      </c>
      <c r="X15" s="97" t="s">
        <v>1257</v>
      </c>
      <c r="Y15" s="48" t="s">
        <v>1257</v>
      </c>
      <c r="Z15" s="48" t="s">
        <v>1257</v>
      </c>
      <c r="AA15" s="48" t="s">
        <v>1257</v>
      </c>
      <c r="AB15" s="48" t="s">
        <v>1257</v>
      </c>
      <c r="AC15" s="48" t="s">
        <v>1257</v>
      </c>
    </row>
    <row r="16" spans="2:29">
      <c r="B16" s="48" t="s">
        <v>1234</v>
      </c>
      <c r="C16" s="48">
        <v>16</v>
      </c>
      <c r="D16" s="48" t="s">
        <v>1591</v>
      </c>
      <c r="E16" s="95">
        <v>45441</v>
      </c>
      <c r="F16" s="48">
        <v>1</v>
      </c>
      <c r="G16" s="98">
        <v>1</v>
      </c>
      <c r="H16" s="188" t="s">
        <v>1266</v>
      </c>
      <c r="I16" s="48" t="s">
        <v>1257</v>
      </c>
      <c r="J16" s="48" t="s">
        <v>1257</v>
      </c>
      <c r="K16" s="48" t="s">
        <v>1257</v>
      </c>
      <c r="L16" s="48" t="s">
        <v>1257</v>
      </c>
      <c r="M16" s="48" t="s">
        <v>1257</v>
      </c>
      <c r="N16" s="48" t="s">
        <v>1257</v>
      </c>
      <c r="O16" s="48" t="s">
        <v>1257</v>
      </c>
      <c r="P16" s="48" t="s">
        <v>1257</v>
      </c>
      <c r="Q16" s="48" t="s">
        <v>1257</v>
      </c>
      <c r="R16" s="48" t="s">
        <v>1257</v>
      </c>
      <c r="S16" s="48" t="s">
        <v>1257</v>
      </c>
      <c r="T16" s="48" t="s">
        <v>1257</v>
      </c>
      <c r="U16" s="48" t="s">
        <v>1257</v>
      </c>
      <c r="V16" s="48" t="s">
        <v>1257</v>
      </c>
      <c r="W16" s="48" t="s">
        <v>1257</v>
      </c>
      <c r="X16" s="48" t="s">
        <v>1257</v>
      </c>
      <c r="Y16" s="48" t="s">
        <v>1257</v>
      </c>
      <c r="Z16" s="48" t="s">
        <v>1257</v>
      </c>
      <c r="AA16" s="48" t="s">
        <v>1257</v>
      </c>
      <c r="AB16" s="48" t="s">
        <v>1257</v>
      </c>
      <c r="AC16" s="48" t="s">
        <v>1257</v>
      </c>
    </row>
    <row r="17" spans="2:31">
      <c r="B17" s="48" t="s">
        <v>1240</v>
      </c>
      <c r="C17" s="48">
        <v>19</v>
      </c>
      <c r="D17" s="48" t="s">
        <v>1592</v>
      </c>
      <c r="E17" s="95">
        <v>45441</v>
      </c>
      <c r="F17" s="48">
        <v>1</v>
      </c>
      <c r="G17" s="48" cm="1">
        <f t="array" ref="G17">SUMPRODUCT(--(ISNUMBER((SEARCH(I23:AC23,I17:AC17)))))/COUNTA(I17:AC17)</f>
        <v>0.95238095238095233</v>
      </c>
      <c r="H17" s="98" t="s">
        <v>1266</v>
      </c>
      <c r="I17" s="48" t="s">
        <v>1291</v>
      </c>
      <c r="J17" s="48" t="s">
        <v>1291</v>
      </c>
      <c r="K17" s="48" t="s">
        <v>1291</v>
      </c>
      <c r="L17" s="48" t="s">
        <v>1291</v>
      </c>
      <c r="M17" s="48" t="s">
        <v>1291</v>
      </c>
      <c r="N17" s="48" t="s">
        <v>1291</v>
      </c>
      <c r="O17" s="48" t="s">
        <v>1291</v>
      </c>
      <c r="P17" s="48" t="s">
        <v>1291</v>
      </c>
      <c r="Q17" s="48" t="s">
        <v>1291</v>
      </c>
      <c r="R17" s="48" t="s">
        <v>1291</v>
      </c>
      <c r="S17" s="48" t="s">
        <v>1291</v>
      </c>
      <c r="T17" s="48" t="s">
        <v>1291</v>
      </c>
      <c r="U17" s="48" t="s">
        <v>1291</v>
      </c>
      <c r="V17" s="48" t="s">
        <v>1593</v>
      </c>
      <c r="W17" s="48" t="s">
        <v>1291</v>
      </c>
      <c r="X17" s="48" t="s">
        <v>1593</v>
      </c>
      <c r="Y17" s="48" t="s">
        <v>1291</v>
      </c>
      <c r="Z17" s="48" t="s">
        <v>1291</v>
      </c>
      <c r="AA17" s="48" t="s">
        <v>1291</v>
      </c>
      <c r="AB17" s="48" t="s">
        <v>1291</v>
      </c>
      <c r="AC17" s="48" t="s">
        <v>1293</v>
      </c>
    </row>
    <row r="18" spans="2:31">
      <c r="B18" s="48" t="s">
        <v>1243</v>
      </c>
      <c r="C18" s="48">
        <v>20</v>
      </c>
      <c r="D18" s="48"/>
      <c r="E18" s="95"/>
      <c r="F18" s="48"/>
      <c r="G18" s="48" t="e" cm="1" vm="1">
        <f t="array" ref="G18">SUM(IF(I2:AC2 = I23:AC23, 1, 0))/ COUNTA(I2:AC2)</f>
        <v>#VALUE!</v>
      </c>
      <c r="H18" s="98"/>
      <c r="I18" s="48"/>
      <c r="J18" s="48"/>
      <c r="K18" s="48"/>
      <c r="L18" s="48"/>
      <c r="M18" s="48"/>
      <c r="N18" s="48"/>
      <c r="O18" s="48"/>
      <c r="P18" s="48"/>
      <c r="Q18" s="48"/>
      <c r="R18" s="48"/>
      <c r="S18" s="48"/>
      <c r="T18" s="48"/>
      <c r="U18" s="48"/>
      <c r="V18" s="48"/>
      <c r="W18" s="48"/>
      <c r="X18" s="48"/>
      <c r="Y18" s="48"/>
      <c r="Z18" s="48"/>
      <c r="AA18" s="48"/>
      <c r="AB18" s="48"/>
      <c r="AC18" s="48"/>
    </row>
    <row r="19" spans="2:31">
      <c r="B19" s="48" t="s">
        <v>1246</v>
      </c>
      <c r="C19" s="48">
        <v>21</v>
      </c>
      <c r="D19" s="48"/>
      <c r="E19" s="95"/>
      <c r="F19" s="48"/>
      <c r="G19" s="48" t="e" cm="1">
        <f t="array" ref="G19">SUM(IF(IF(G3:G18="null",1,G3:G18)=1,1,0))/COUNT(IF(G3:G18="null",1,1))</f>
        <v>#DIV/0!</v>
      </c>
      <c r="H19" s="48"/>
      <c r="I19" s="48"/>
      <c r="J19" s="48"/>
      <c r="K19" s="48"/>
      <c r="L19" s="48"/>
      <c r="M19" s="48"/>
      <c r="N19" s="48"/>
      <c r="O19" s="48"/>
      <c r="P19" s="48"/>
      <c r="Q19" s="48"/>
      <c r="R19" s="48"/>
      <c r="S19" s="48"/>
      <c r="T19" s="48"/>
      <c r="U19" s="48"/>
      <c r="V19" s="48"/>
      <c r="W19" s="48"/>
      <c r="X19" s="48"/>
      <c r="Y19" s="48"/>
      <c r="Z19" s="48"/>
      <c r="AA19" s="48"/>
      <c r="AB19" s="48"/>
      <c r="AC19" s="48"/>
    </row>
    <row r="20" spans="2:31">
      <c r="B20" s="48"/>
      <c r="C20" s="48"/>
      <c r="D20" s="48"/>
      <c r="E20" s="95"/>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row>
    <row r="22" spans="2:31">
      <c r="B22" s="139" t="s">
        <v>1364</v>
      </c>
      <c r="C22" s="131"/>
      <c r="D22" s="131"/>
      <c r="E22" s="131"/>
      <c r="F22" s="131"/>
      <c r="G22" s="131"/>
      <c r="H22" s="131"/>
      <c r="I22" s="131"/>
      <c r="J22" s="131"/>
      <c r="K22" s="131"/>
      <c r="L22" s="131"/>
      <c r="M22" s="131"/>
      <c r="N22" s="131"/>
      <c r="O22" s="131"/>
      <c r="P22" s="131"/>
      <c r="Q22" s="131"/>
      <c r="R22" s="131"/>
      <c r="S22" s="131"/>
      <c r="T22" s="131"/>
      <c r="U22" s="131"/>
      <c r="V22" s="131"/>
      <c r="W22" s="131"/>
      <c r="X22" s="131"/>
      <c r="Y22" s="131"/>
      <c r="Z22" s="131"/>
      <c r="AA22" s="131"/>
      <c r="AB22" s="131"/>
      <c r="AC22" s="131"/>
      <c r="AD22" s="141"/>
      <c r="AE22" s="141"/>
    </row>
    <row r="23" spans="2:31">
      <c r="B23" s="148" t="s">
        <v>1249</v>
      </c>
      <c r="C23" s="130" t="s">
        <v>1250</v>
      </c>
      <c r="D23" s="130" t="s">
        <v>1251</v>
      </c>
      <c r="E23" s="130" t="s">
        <v>1252</v>
      </c>
      <c r="F23" s="130" t="s">
        <v>1253</v>
      </c>
      <c r="G23" s="130" t="s">
        <v>1254</v>
      </c>
      <c r="H23" s="130" t="s">
        <v>1255</v>
      </c>
      <c r="I23" s="130" t="e" cm="1" vm="2">
        <f t="array" ref="I23">TRANSPOSE(_xlfn.SORTBY(_xlfn._xlws.FILTER(Table3[NOME FÍSICO CAMPO],Table3[NOME FÍSICO TABELA]="bank_vault"), _xlfn._xlws.FILTER(Table3[ORDEM], Table3[NOME FÍSICO TABELA]="bank_vault"), 1))</f>
        <v>#VALUE!</v>
      </c>
      <c r="J23" s="130"/>
      <c r="K23" s="130"/>
      <c r="L23" s="130"/>
      <c r="M23" s="130"/>
      <c r="N23" s="130"/>
      <c r="O23" s="130"/>
      <c r="P23" s="130"/>
      <c r="Q23" s="130"/>
      <c r="R23" s="130"/>
      <c r="S23" s="130"/>
      <c r="T23" s="130"/>
      <c r="U23" s="130"/>
      <c r="V23" s="130"/>
      <c r="W23" s="130"/>
      <c r="X23" s="130"/>
      <c r="Y23" s="130"/>
      <c r="Z23" s="130"/>
      <c r="AA23" s="130"/>
      <c r="AB23" s="130"/>
      <c r="AC23" s="130"/>
      <c r="AD23" s="204"/>
      <c r="AE23" s="215"/>
    </row>
    <row r="24" spans="2:31">
      <c r="B24" s="114" t="s">
        <v>1294</v>
      </c>
      <c r="C24" s="142">
        <v>21</v>
      </c>
      <c r="D24" s="111" t="s">
        <v>1295</v>
      </c>
      <c r="E24" s="110" t="s">
        <v>1296</v>
      </c>
      <c r="F24" s="110" t="s">
        <v>124</v>
      </c>
      <c r="G24" s="110" t="s">
        <v>124</v>
      </c>
      <c r="H24" s="110" t="s">
        <v>124</v>
      </c>
      <c r="I24" s="110" t="e" cm="1" vm="2">
        <f t="array" aca="1" ref="I24" ca="1">TRANSPOSE(_xlfn.SORTBY(_xlfn._xlws.FILTER(IF(Table3[FORMATO]:Table3[COMP_ CAMPO]&lt;&gt;"",Table3[FORMATO]:Table3[COMP_ CAMPO],9999999),Table3[NOME FÍSICO TABELA]="bank_vault"), _xlfn._xlws.FILTER(Table3[ORDEM], Table3[NOME FÍSICO TABELA]="bank_vault"), 1))</f>
        <v>#VALUE!</v>
      </c>
      <c r="J24" s="110"/>
      <c r="K24" s="110"/>
      <c r="L24" s="110"/>
      <c r="M24" s="110"/>
      <c r="N24" s="110"/>
      <c r="O24" s="110"/>
      <c r="P24" s="110"/>
      <c r="Q24" s="110"/>
      <c r="R24" s="110"/>
      <c r="S24" s="110"/>
      <c r="T24" s="110"/>
      <c r="U24" s="110"/>
      <c r="V24" s="110"/>
      <c r="W24" s="110"/>
      <c r="X24" s="110"/>
      <c r="Y24" s="110"/>
      <c r="Z24" s="110"/>
      <c r="AA24" s="110"/>
      <c r="AB24" s="110"/>
      <c r="AC24" s="110"/>
      <c r="AD24" s="170"/>
      <c r="AE24" s="216"/>
    </row>
    <row r="25" spans="2:31">
      <c r="B25" s="116" t="s">
        <v>1297</v>
      </c>
      <c r="C25" s="112">
        <v>7</v>
      </c>
      <c r="D25" s="118" t="s">
        <v>1295</v>
      </c>
      <c r="E25" s="117" t="s">
        <v>1296</v>
      </c>
      <c r="F25" s="117" t="s">
        <v>124</v>
      </c>
      <c r="G25" s="117" t="s">
        <v>124</v>
      </c>
      <c r="H25" s="117" t="s">
        <v>124</v>
      </c>
      <c r="I25" s="112"/>
      <c r="J25" s="112"/>
      <c r="K25" s="112"/>
      <c r="L25" s="112"/>
      <c r="M25" s="112"/>
      <c r="N25" s="112"/>
      <c r="O25" s="112"/>
      <c r="P25" s="112"/>
      <c r="Q25" s="112"/>
      <c r="R25" s="112"/>
      <c r="S25" s="112"/>
      <c r="T25" s="112"/>
      <c r="U25" s="112"/>
      <c r="V25" s="112"/>
      <c r="W25" s="112"/>
      <c r="X25" s="112"/>
      <c r="Y25" s="112"/>
      <c r="Z25" s="112"/>
      <c r="AA25" s="112"/>
      <c r="AB25" s="112"/>
      <c r="AC25" s="112"/>
      <c r="AD25" s="217"/>
      <c r="AE25" s="48"/>
    </row>
    <row r="27" spans="2:31">
      <c r="B27" s="139" t="s">
        <v>1298</v>
      </c>
    </row>
    <row r="28" spans="2:31">
      <c r="B28" s="133" t="s">
        <v>1299</v>
      </c>
      <c r="C28" s="133" t="s">
        <v>1300</v>
      </c>
      <c r="D28" s="134" t="s">
        <v>1301</v>
      </c>
      <c r="E28" s="133" t="s">
        <v>1302</v>
      </c>
      <c r="F28" s="133" t="s">
        <v>1303</v>
      </c>
    </row>
    <row r="29" spans="2:31" ht="43.5">
      <c r="B29" s="110" t="s">
        <v>1365</v>
      </c>
      <c r="C29" s="114" t="s">
        <v>1573</v>
      </c>
      <c r="D29" s="51" t="s">
        <v>1594</v>
      </c>
      <c r="E29" s="135" t="s">
        <v>1595</v>
      </c>
      <c r="F29" s="135" t="s">
        <v>1310</v>
      </c>
    </row>
    <row r="30" spans="2:31" ht="43.5">
      <c r="B30" s="110" t="s">
        <v>1365</v>
      </c>
      <c r="C30" s="114" t="s">
        <v>1572</v>
      </c>
      <c r="D30" s="51" t="s">
        <v>1594</v>
      </c>
      <c r="E30" s="135" t="s">
        <v>1595</v>
      </c>
      <c r="F30" s="135"/>
    </row>
    <row r="31" spans="2:31" ht="43.5">
      <c r="B31" s="110" t="s">
        <v>1365</v>
      </c>
      <c r="C31" s="114" t="s">
        <v>1570</v>
      </c>
      <c r="D31" s="51" t="s">
        <v>1596</v>
      </c>
      <c r="E31" s="135" t="s">
        <v>1597</v>
      </c>
      <c r="F31" s="135"/>
    </row>
    <row r="32" spans="2:31" ht="43.5">
      <c r="B32" s="110" t="s">
        <v>1365</v>
      </c>
      <c r="C32" s="114" t="s">
        <v>1598</v>
      </c>
      <c r="D32" s="51" t="s">
        <v>1596</v>
      </c>
      <c r="E32" s="135" t="s">
        <v>1597</v>
      </c>
      <c r="F32" s="135" t="s">
        <v>1310</v>
      </c>
    </row>
    <row r="33" spans="2:6" ht="29.1">
      <c r="B33" s="136" t="s">
        <v>1365</v>
      </c>
      <c r="C33" s="137" t="s">
        <v>162</v>
      </c>
      <c r="D33" s="138" t="s">
        <v>1599</v>
      </c>
      <c r="E33" s="187" t="s">
        <v>1600</v>
      </c>
      <c r="F33" s="135" t="s">
        <v>1310</v>
      </c>
    </row>
    <row r="34" spans="2:6" ht="29.1">
      <c r="B34" s="136" t="s">
        <v>1365</v>
      </c>
      <c r="C34" s="137" t="s">
        <v>190</v>
      </c>
      <c r="D34" s="138" t="s">
        <v>1599</v>
      </c>
      <c r="E34" s="187" t="s">
        <v>1600</v>
      </c>
      <c r="F34" s="135" t="s">
        <v>1310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4.4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0" width="31.140625" bestFit="1" customWidth="1"/>
    <col min="11"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row r="2" spans="2:23">
      <c r="B2" s="77" t="s">
        <v>1249</v>
      </c>
      <c r="C2" s="77" t="s">
        <v>1250</v>
      </c>
      <c r="D2" s="77" t="s">
        <v>1251</v>
      </c>
      <c r="E2" s="77" t="s">
        <v>1252</v>
      </c>
      <c r="F2" s="77" t="s">
        <v>1253</v>
      </c>
      <c r="G2" s="77" t="s">
        <v>1254</v>
      </c>
      <c r="H2" s="77" t="s">
        <v>1255</v>
      </c>
      <c r="I2" s="77" t="s">
        <v>103</v>
      </c>
      <c r="J2" s="77" t="s">
        <v>144</v>
      </c>
      <c r="K2" s="77" t="s">
        <v>155</v>
      </c>
      <c r="L2" s="77" t="s">
        <v>162</v>
      </c>
      <c r="M2" s="77" t="s">
        <v>190</v>
      </c>
      <c r="N2" s="77" t="s">
        <v>176</v>
      </c>
      <c r="O2" s="77" t="s">
        <v>203</v>
      </c>
      <c r="P2" s="77" t="s">
        <v>289</v>
      </c>
      <c r="Q2" s="77" t="s">
        <v>299</v>
      </c>
      <c r="R2" s="77" t="s">
        <v>314</v>
      </c>
      <c r="S2" s="77" t="s">
        <v>453</v>
      </c>
      <c r="T2" s="77" t="s">
        <v>362</v>
      </c>
      <c r="U2" s="77" t="s">
        <v>382</v>
      </c>
      <c r="V2" s="77" t="s">
        <v>234</v>
      </c>
      <c r="W2" s="77" t="s">
        <v>253</v>
      </c>
    </row>
    <row r="3" spans="2:23">
      <c r="B3" s="48" t="s">
        <v>1203</v>
      </c>
      <c r="C3" s="48">
        <v>1</v>
      </c>
      <c r="D3" s="48" t="s">
        <v>1601</v>
      </c>
      <c r="E3" s="95">
        <v>45439</v>
      </c>
      <c r="F3" s="48">
        <v>1</v>
      </c>
      <c r="G3" s="191">
        <v>1</v>
      </c>
      <c r="H3" s="189" t="s">
        <v>1602</v>
      </c>
      <c r="I3" s="48" t="s">
        <v>1257</v>
      </c>
      <c r="J3" s="48" t="s">
        <v>1257</v>
      </c>
      <c r="K3" s="48" t="s">
        <v>1257</v>
      </c>
      <c r="L3" s="48" t="s">
        <v>1257</v>
      </c>
      <c r="M3" s="48" t="s">
        <v>1257</v>
      </c>
      <c r="N3" s="48" t="s">
        <v>1257</v>
      </c>
      <c r="O3" s="48" t="s">
        <v>1257</v>
      </c>
      <c r="P3" s="48" t="s">
        <v>1257</v>
      </c>
      <c r="Q3" s="48" t="s">
        <v>1257</v>
      </c>
      <c r="R3" s="48" t="s">
        <v>1257</v>
      </c>
      <c r="S3" s="48" t="s">
        <v>1257</v>
      </c>
      <c r="T3" s="48" t="s">
        <v>1257</v>
      </c>
      <c r="U3" s="48" t="s">
        <v>1257</v>
      </c>
      <c r="V3" s="48" t="s">
        <v>1257</v>
      </c>
      <c r="W3" s="48" t="s">
        <v>1257</v>
      </c>
    </row>
    <row r="4" spans="2:23">
      <c r="B4" s="48" t="s">
        <v>1205</v>
      </c>
      <c r="C4" s="48">
        <v>2</v>
      </c>
      <c r="D4" s="48" t="s">
        <v>1603</v>
      </c>
      <c r="E4" s="95">
        <v>45439</v>
      </c>
      <c r="F4" s="48">
        <v>1</v>
      </c>
      <c r="G4" s="191">
        <v>1</v>
      </c>
      <c r="H4" s="48">
        <v>0</v>
      </c>
      <c r="I4" s="48" t="s">
        <v>1257</v>
      </c>
      <c r="J4" s="48" t="s">
        <v>1257</v>
      </c>
      <c r="K4" s="48" t="s">
        <v>1257</v>
      </c>
      <c r="L4" s="48" t="s">
        <v>1257</v>
      </c>
      <c r="M4" s="48" t="s">
        <v>1257</v>
      </c>
      <c r="N4" s="48" t="s">
        <v>1257</v>
      </c>
      <c r="O4" s="48" t="s">
        <v>1257</v>
      </c>
      <c r="P4" s="48" t="s">
        <v>1257</v>
      </c>
      <c r="Q4" s="48" t="s">
        <v>1257</v>
      </c>
      <c r="R4" s="48" t="s">
        <v>1257</v>
      </c>
      <c r="S4" s="48" t="s">
        <v>1257</v>
      </c>
      <c r="T4" s="48" t="s">
        <v>1257</v>
      </c>
      <c r="U4" s="48" t="s">
        <v>1257</v>
      </c>
      <c r="V4" s="48" t="s">
        <v>1257</v>
      </c>
      <c r="W4" s="48" t="s">
        <v>1257</v>
      </c>
    </row>
    <row r="5" spans="2:23">
      <c r="B5" s="48" t="s">
        <v>1207</v>
      </c>
      <c r="C5" s="48">
        <v>3</v>
      </c>
      <c r="D5" s="48" t="s">
        <v>1604</v>
      </c>
      <c r="E5" s="95">
        <v>45439</v>
      </c>
      <c r="F5" s="48">
        <v>1</v>
      </c>
      <c r="G5" s="191">
        <v>1</v>
      </c>
      <c r="H5" s="48">
        <v>0</v>
      </c>
      <c r="I5" s="48">
        <v>0</v>
      </c>
      <c r="J5" s="48">
        <v>0</v>
      </c>
      <c r="K5" s="48" t="s">
        <v>1257</v>
      </c>
      <c r="L5" s="48" t="s">
        <v>1257</v>
      </c>
      <c r="M5" s="48" t="s">
        <v>1257</v>
      </c>
      <c r="N5" s="48" t="s">
        <v>1257</v>
      </c>
      <c r="O5" s="48" t="s">
        <v>1257</v>
      </c>
      <c r="P5" s="48" t="s">
        <v>1257</v>
      </c>
      <c r="Q5" s="48" t="s">
        <v>1257</v>
      </c>
      <c r="R5" s="48" t="s">
        <v>1257</v>
      </c>
      <c r="S5" s="48" t="s">
        <v>1257</v>
      </c>
      <c r="T5" s="48" t="s">
        <v>1257</v>
      </c>
      <c r="U5" s="48" t="s">
        <v>1257</v>
      </c>
      <c r="V5" s="48">
        <v>0</v>
      </c>
      <c r="W5" s="48" t="s">
        <v>1257</v>
      </c>
    </row>
    <row r="6" spans="2:23">
      <c r="B6" s="97" t="s">
        <v>1209</v>
      </c>
      <c r="C6" s="48">
        <v>4</v>
      </c>
      <c r="D6" s="48" t="s">
        <v>1604</v>
      </c>
      <c r="E6" s="95" t="s">
        <v>1257</v>
      </c>
      <c r="F6" s="48">
        <v>1</v>
      </c>
      <c r="G6" s="191" t="s">
        <v>1257</v>
      </c>
      <c r="H6" s="48">
        <v>0</v>
      </c>
      <c r="I6" s="48" t="s">
        <v>1257</v>
      </c>
      <c r="J6" s="48" t="s">
        <v>1257</v>
      </c>
      <c r="K6" s="48" t="s">
        <v>1257</v>
      </c>
      <c r="L6" s="48" t="s">
        <v>1257</v>
      </c>
      <c r="M6" s="48" t="s">
        <v>1257</v>
      </c>
      <c r="N6" s="48" t="s">
        <v>1257</v>
      </c>
      <c r="O6" s="48" t="s">
        <v>1257</v>
      </c>
      <c r="P6" s="48" t="s">
        <v>1257</v>
      </c>
      <c r="Q6" s="48" t="s">
        <v>1257</v>
      </c>
      <c r="R6" s="48" t="s">
        <v>1257</v>
      </c>
      <c r="S6" s="48" t="s">
        <v>1257</v>
      </c>
      <c r="T6" s="48" t="s">
        <v>1257</v>
      </c>
      <c r="U6" s="48" t="s">
        <v>1257</v>
      </c>
      <c r="V6" s="48" t="s">
        <v>1257</v>
      </c>
      <c r="W6" s="48" t="s">
        <v>1257</v>
      </c>
    </row>
    <row r="7" spans="2:23">
      <c r="B7" s="48" t="s">
        <v>1211</v>
      </c>
      <c r="C7" s="48">
        <v>5</v>
      </c>
      <c r="D7" s="48" t="s">
        <v>1604</v>
      </c>
      <c r="E7" s="95" t="s">
        <v>1257</v>
      </c>
      <c r="F7" s="48">
        <v>1</v>
      </c>
      <c r="G7" s="191" t="s">
        <v>1257</v>
      </c>
      <c r="H7" s="48">
        <v>0</v>
      </c>
      <c r="I7" s="48" t="s">
        <v>1257</v>
      </c>
      <c r="J7" s="48" t="s">
        <v>1257</v>
      </c>
      <c r="K7" s="48" t="s">
        <v>1257</v>
      </c>
      <c r="L7" s="48" t="s">
        <v>1257</v>
      </c>
      <c r="M7" s="48" t="s">
        <v>1257</v>
      </c>
      <c r="N7" s="48" t="s">
        <v>1257</v>
      </c>
      <c r="O7" s="48" t="s">
        <v>1257</v>
      </c>
      <c r="P7" s="48" t="s">
        <v>1257</v>
      </c>
      <c r="Q7" s="48" t="s">
        <v>1257</v>
      </c>
      <c r="R7" s="48" t="s">
        <v>1257</v>
      </c>
      <c r="S7" s="48" t="s">
        <v>1257</v>
      </c>
      <c r="T7" s="48" t="s">
        <v>1257</v>
      </c>
      <c r="U7" s="48" t="s">
        <v>1257</v>
      </c>
      <c r="V7" s="48" t="s">
        <v>1257</v>
      </c>
      <c r="W7" s="48" t="s">
        <v>1257</v>
      </c>
    </row>
    <row r="8" spans="2:23">
      <c r="B8" s="97" t="s">
        <v>1212</v>
      </c>
      <c r="C8" s="48">
        <v>6</v>
      </c>
      <c r="D8" s="48" t="s">
        <v>1605</v>
      </c>
      <c r="E8" s="95">
        <v>45439</v>
      </c>
      <c r="F8" s="48">
        <v>1</v>
      </c>
      <c r="G8" s="191" cm="1">
        <f t="array" ref="G8">SUMPRODUCT(--(I8:W8&gt;0))/COUNTA(I8:W8)</f>
        <v>1</v>
      </c>
      <c r="H8" s="48">
        <v>0</v>
      </c>
      <c r="I8" s="48">
        <v>2</v>
      </c>
      <c r="J8" s="48">
        <v>15</v>
      </c>
      <c r="K8" s="48">
        <v>3</v>
      </c>
      <c r="L8" s="48">
        <v>3</v>
      </c>
      <c r="M8" s="48">
        <v>3</v>
      </c>
      <c r="N8" s="48">
        <v>2</v>
      </c>
      <c r="O8" s="48">
        <v>30</v>
      </c>
      <c r="P8" s="48">
        <v>10</v>
      </c>
      <c r="Q8" s="48">
        <v>10</v>
      </c>
      <c r="R8" s="48">
        <v>3</v>
      </c>
      <c r="S8" s="48">
        <v>8</v>
      </c>
      <c r="T8" s="48">
        <v>3</v>
      </c>
      <c r="U8" s="48">
        <v>3</v>
      </c>
      <c r="V8" s="48">
        <v>10</v>
      </c>
      <c r="W8" s="48">
        <v>23</v>
      </c>
    </row>
    <row r="9" spans="2:23">
      <c r="B9" s="48" t="s">
        <v>1215</v>
      </c>
      <c r="C9" s="48">
        <v>7</v>
      </c>
      <c r="D9" s="48" t="s">
        <v>1606</v>
      </c>
      <c r="E9" s="95">
        <v>45439</v>
      </c>
      <c r="F9" s="48">
        <v>1</v>
      </c>
      <c r="G9" s="191" t="e" cm="1">
        <f t="array" ref="G9">SUMPRODUCT(--(I9:W9&lt;=I26:W26))/COUNTA(I26:W26)</f>
        <v>#DIV/0!</v>
      </c>
      <c r="H9" s="48">
        <v>0</v>
      </c>
      <c r="I9" s="48">
        <v>2</v>
      </c>
      <c r="J9" s="48">
        <v>15</v>
      </c>
      <c r="K9" s="48">
        <v>3</v>
      </c>
      <c r="L9" s="48">
        <v>3</v>
      </c>
      <c r="M9" s="48">
        <v>3</v>
      </c>
      <c r="N9" s="48">
        <v>2</v>
      </c>
      <c r="O9" s="48">
        <v>30</v>
      </c>
      <c r="P9" s="48">
        <v>10</v>
      </c>
      <c r="Q9" s="48">
        <v>10</v>
      </c>
      <c r="R9" s="48">
        <v>3</v>
      </c>
      <c r="S9" s="48">
        <v>14</v>
      </c>
      <c r="T9" s="48">
        <v>3</v>
      </c>
      <c r="U9" s="48">
        <v>3</v>
      </c>
      <c r="V9" s="48">
        <v>10</v>
      </c>
      <c r="W9" s="48">
        <v>23</v>
      </c>
    </row>
    <row r="10" spans="2:23">
      <c r="B10" s="48" t="s">
        <v>1218</v>
      </c>
      <c r="C10" s="48">
        <v>8</v>
      </c>
      <c r="D10" s="48" t="s">
        <v>1607</v>
      </c>
      <c r="E10" s="95">
        <v>45439</v>
      </c>
      <c r="F10" s="48">
        <v>1</v>
      </c>
      <c r="G10" s="191" t="s">
        <v>1257</v>
      </c>
      <c r="H10" s="48">
        <v>0</v>
      </c>
      <c r="I10" s="48">
        <v>31</v>
      </c>
      <c r="J10" s="183">
        <v>300001496092</v>
      </c>
      <c r="K10" s="48" t="s">
        <v>1336</v>
      </c>
      <c r="L10" s="48">
        <v>90</v>
      </c>
      <c r="M10" s="48">
        <v>1</v>
      </c>
      <c r="N10" s="48">
        <v>31</v>
      </c>
      <c r="O10" s="48">
        <v>2.0461000999999998E+22</v>
      </c>
      <c r="P10" s="95" t="s">
        <v>1265</v>
      </c>
      <c r="Q10" s="95">
        <v>2958465</v>
      </c>
      <c r="R10" s="48">
        <v>978</v>
      </c>
      <c r="S10" s="98">
        <v>-25991130000</v>
      </c>
      <c r="T10" s="48" t="s">
        <v>1336</v>
      </c>
      <c r="U10" s="48" t="s">
        <v>1268</v>
      </c>
      <c r="V10" s="95">
        <v>45439</v>
      </c>
      <c r="W10" s="48" t="s">
        <v>1608</v>
      </c>
    </row>
    <row r="11" spans="2:23">
      <c r="B11" s="48" t="s">
        <v>1220</v>
      </c>
      <c r="C11" s="48">
        <v>9</v>
      </c>
      <c r="D11" s="48" t="s">
        <v>1609</v>
      </c>
      <c r="E11" s="95">
        <v>45439</v>
      </c>
      <c r="F11" s="48">
        <v>1</v>
      </c>
      <c r="G11" s="191" t="s">
        <v>1257</v>
      </c>
      <c r="H11" s="48">
        <v>0</v>
      </c>
      <c r="I11" s="48">
        <v>31</v>
      </c>
      <c r="J11" s="183">
        <v>300001496092</v>
      </c>
      <c r="K11" s="48"/>
      <c r="L11" s="48">
        <v>90</v>
      </c>
      <c r="M11" s="48">
        <v>1</v>
      </c>
      <c r="N11" s="48"/>
      <c r="O11" s="48">
        <v>2.0461000999999998E+22</v>
      </c>
      <c r="P11" s="48" t="s">
        <v>1265</v>
      </c>
      <c r="Q11" s="95">
        <v>2958465</v>
      </c>
      <c r="R11" s="48">
        <v>978</v>
      </c>
      <c r="S11" s="98" t="s">
        <v>1610</v>
      </c>
      <c r="T11" s="48">
        <v>0</v>
      </c>
      <c r="U11" s="48" t="s">
        <v>1272</v>
      </c>
      <c r="V11" s="95">
        <v>45439</v>
      </c>
      <c r="W11" s="48" t="s">
        <v>1611</v>
      </c>
    </row>
    <row r="12" spans="2:23">
      <c r="B12" s="97" t="s">
        <v>1222</v>
      </c>
      <c r="C12" s="48">
        <v>10</v>
      </c>
      <c r="D12" s="48" t="s">
        <v>1612</v>
      </c>
      <c r="E12" s="95">
        <v>45439</v>
      </c>
      <c r="F12" s="48">
        <v>1</v>
      </c>
      <c r="G12" s="191" t="s">
        <v>1257</v>
      </c>
      <c r="H12" s="48">
        <v>0</v>
      </c>
      <c r="I12" s="48">
        <v>31</v>
      </c>
      <c r="J12" s="183">
        <v>689000000023092</v>
      </c>
      <c r="K12" s="48" t="s">
        <v>1336</v>
      </c>
      <c r="L12" s="48">
        <v>92</v>
      </c>
      <c r="M12" s="48" t="s">
        <v>1348</v>
      </c>
      <c r="N12" s="48">
        <v>31</v>
      </c>
      <c r="O12" s="48">
        <v>2.3970029463101999E+29</v>
      </c>
      <c r="P12" s="95">
        <v>45439</v>
      </c>
      <c r="Q12" s="95">
        <v>2958465</v>
      </c>
      <c r="R12" s="48">
        <v>978</v>
      </c>
      <c r="S12" s="98">
        <v>5423613370000</v>
      </c>
      <c r="T12" s="48" t="s">
        <v>1336</v>
      </c>
      <c r="U12" s="48" t="s">
        <v>1268</v>
      </c>
      <c r="V12" s="95">
        <v>45439</v>
      </c>
      <c r="W12" s="48" t="s">
        <v>1608</v>
      </c>
    </row>
    <row r="13" spans="2:23">
      <c r="B13" s="48" t="s">
        <v>1224</v>
      </c>
      <c r="C13" s="48">
        <v>11</v>
      </c>
      <c r="D13" s="48" t="s">
        <v>1613</v>
      </c>
      <c r="E13" s="95">
        <v>45439</v>
      </c>
      <c r="F13" s="48">
        <v>1</v>
      </c>
      <c r="G13" s="191" t="s">
        <v>1257</v>
      </c>
      <c r="H13" s="48">
        <v>0</v>
      </c>
      <c r="I13" s="48">
        <v>31</v>
      </c>
      <c r="J13" s="183">
        <v>689000000023092</v>
      </c>
      <c r="K13" s="48"/>
      <c r="L13" s="48">
        <v>92</v>
      </c>
      <c r="M13" s="48" t="s">
        <v>1348</v>
      </c>
      <c r="N13" s="48"/>
      <c r="O13" s="48">
        <v>2.3970029463101999E+29</v>
      </c>
      <c r="P13" s="95">
        <v>45439</v>
      </c>
      <c r="Q13" s="95">
        <v>2958465</v>
      </c>
      <c r="R13" s="48">
        <v>978</v>
      </c>
      <c r="S13" s="98" t="s">
        <v>1614</v>
      </c>
      <c r="T13" s="48">
        <v>0</v>
      </c>
      <c r="U13" s="48" t="s">
        <v>1272</v>
      </c>
      <c r="V13" s="95">
        <v>45439</v>
      </c>
      <c r="W13" s="48" t="s">
        <v>1615</v>
      </c>
    </row>
    <row r="14" spans="2:23">
      <c r="B14" s="48" t="s">
        <v>1226</v>
      </c>
      <c r="C14" s="48">
        <v>12</v>
      </c>
      <c r="D14" s="48" t="s">
        <v>1616</v>
      </c>
      <c r="E14" s="95">
        <v>45439</v>
      </c>
      <c r="F14" s="48">
        <v>1</v>
      </c>
      <c r="G14" s="191">
        <v>1</v>
      </c>
      <c r="H14" s="48">
        <v>0</v>
      </c>
      <c r="I14" s="48">
        <v>0</v>
      </c>
      <c r="J14" s="48">
        <v>0</v>
      </c>
      <c r="K14" s="48">
        <v>0</v>
      </c>
      <c r="L14" s="48">
        <v>0</v>
      </c>
      <c r="M14" s="48">
        <v>0</v>
      </c>
      <c r="N14" s="48">
        <v>0</v>
      </c>
      <c r="O14" s="48">
        <v>0</v>
      </c>
      <c r="P14" s="48">
        <v>0</v>
      </c>
      <c r="Q14" s="48">
        <v>0</v>
      </c>
      <c r="R14" s="48">
        <v>0</v>
      </c>
      <c r="S14" s="48">
        <v>0</v>
      </c>
      <c r="T14" s="48">
        <v>0</v>
      </c>
      <c r="U14" s="48">
        <v>0</v>
      </c>
      <c r="V14" s="48">
        <v>0</v>
      </c>
      <c r="W14" s="48">
        <v>0</v>
      </c>
    </row>
    <row r="15" spans="2:23">
      <c r="B15" s="48" t="s">
        <v>1228</v>
      </c>
      <c r="C15" s="48">
        <v>13</v>
      </c>
      <c r="D15" s="48" t="s">
        <v>1617</v>
      </c>
      <c r="E15" s="95">
        <v>45439</v>
      </c>
      <c r="F15" s="48">
        <v>1</v>
      </c>
      <c r="G15" s="191">
        <v>1</v>
      </c>
      <c r="H15" s="48">
        <v>0</v>
      </c>
      <c r="I15" s="48" t="s">
        <v>1257</v>
      </c>
      <c r="J15" s="48" t="s">
        <v>1257</v>
      </c>
      <c r="K15" s="48" t="s">
        <v>1257</v>
      </c>
      <c r="L15" s="48" t="s">
        <v>1257</v>
      </c>
      <c r="M15" s="48" t="s">
        <v>1257</v>
      </c>
      <c r="N15" s="48" t="s">
        <v>1257</v>
      </c>
      <c r="O15" s="48" t="s">
        <v>1257</v>
      </c>
      <c r="P15" s="48">
        <v>0</v>
      </c>
      <c r="Q15" s="48">
        <v>0</v>
      </c>
      <c r="R15" s="48" t="s">
        <v>1257</v>
      </c>
      <c r="S15" s="48" t="s">
        <v>1257</v>
      </c>
      <c r="T15" s="48" t="s">
        <v>1257</v>
      </c>
      <c r="U15" s="48" t="s">
        <v>1257</v>
      </c>
      <c r="V15" s="48" t="s">
        <v>1257</v>
      </c>
      <c r="W15" s="48" t="s">
        <v>1257</v>
      </c>
    </row>
    <row r="16" spans="2:23">
      <c r="B16" s="48" t="s">
        <v>1230</v>
      </c>
      <c r="C16" s="48">
        <v>14</v>
      </c>
      <c r="D16" s="48" t="s">
        <v>1618</v>
      </c>
      <c r="E16" s="95">
        <v>45439</v>
      </c>
      <c r="F16" s="48">
        <v>1</v>
      </c>
      <c r="G16" s="191">
        <v>1</v>
      </c>
      <c r="H16" s="48">
        <v>0</v>
      </c>
      <c r="I16" s="48">
        <v>0</v>
      </c>
      <c r="J16" s="48">
        <v>0</v>
      </c>
      <c r="K16" s="48">
        <v>0</v>
      </c>
      <c r="L16" s="48">
        <v>0</v>
      </c>
      <c r="M16" s="48">
        <v>0</v>
      </c>
      <c r="N16" s="48">
        <v>0</v>
      </c>
      <c r="O16" s="48">
        <v>0</v>
      </c>
      <c r="P16" s="48" t="s">
        <v>1257</v>
      </c>
      <c r="Q16" s="48" t="s">
        <v>1257</v>
      </c>
      <c r="R16" s="48">
        <v>0</v>
      </c>
      <c r="S16" s="48" t="s">
        <v>1257</v>
      </c>
      <c r="T16" s="48">
        <v>0</v>
      </c>
      <c r="U16" s="48">
        <v>0</v>
      </c>
      <c r="V16" s="48" t="s">
        <v>1257</v>
      </c>
      <c r="W16" s="48" t="s">
        <v>1257</v>
      </c>
    </row>
    <row r="17" spans="2:23">
      <c r="B17" s="48" t="s">
        <v>1232</v>
      </c>
      <c r="C17" s="48">
        <v>15</v>
      </c>
      <c r="D17" s="48" t="s">
        <v>1619</v>
      </c>
      <c r="E17" s="95">
        <v>45439</v>
      </c>
      <c r="F17" s="48">
        <v>1</v>
      </c>
      <c r="G17" s="191">
        <v>1</v>
      </c>
      <c r="H17" s="48">
        <v>0</v>
      </c>
      <c r="I17" s="48" t="s">
        <v>1257</v>
      </c>
      <c r="J17" s="48" t="s">
        <v>1257</v>
      </c>
      <c r="K17" s="48" t="s">
        <v>1257</v>
      </c>
      <c r="L17" s="48" t="s">
        <v>1257</v>
      </c>
      <c r="M17" s="48" t="s">
        <v>1257</v>
      </c>
      <c r="N17" s="48" t="s">
        <v>1257</v>
      </c>
      <c r="O17" s="48" t="s">
        <v>1257</v>
      </c>
      <c r="P17" s="48" t="s">
        <v>1257</v>
      </c>
      <c r="Q17" s="48" t="s">
        <v>1257</v>
      </c>
      <c r="R17" s="48" t="s">
        <v>1257</v>
      </c>
      <c r="S17" s="48" t="s">
        <v>1257</v>
      </c>
      <c r="T17" s="48" t="s">
        <v>1257</v>
      </c>
      <c r="U17" s="48" t="s">
        <v>1257</v>
      </c>
      <c r="V17" s="48" t="s">
        <v>1257</v>
      </c>
      <c r="W17" s="48" t="s">
        <v>1257</v>
      </c>
    </row>
    <row r="18" spans="2:23">
      <c r="B18" s="48" t="s">
        <v>1234</v>
      </c>
      <c r="C18" s="48">
        <v>16</v>
      </c>
      <c r="D18" s="48" t="s">
        <v>1619</v>
      </c>
      <c r="E18" s="95">
        <v>45439</v>
      </c>
      <c r="F18" s="48">
        <v>1</v>
      </c>
      <c r="G18" s="191">
        <v>1</v>
      </c>
      <c r="H18" s="48">
        <v>0</v>
      </c>
      <c r="I18" s="48" t="s">
        <v>1257</v>
      </c>
      <c r="J18" s="48" t="s">
        <v>1257</v>
      </c>
      <c r="K18" s="48" t="s">
        <v>1257</v>
      </c>
      <c r="L18" s="48" t="s">
        <v>1257</v>
      </c>
      <c r="M18" s="48" t="s">
        <v>1257</v>
      </c>
      <c r="N18" s="48" t="s">
        <v>1257</v>
      </c>
      <c r="O18" s="48" t="s">
        <v>1257</v>
      </c>
      <c r="P18" s="48" t="s">
        <v>1257</v>
      </c>
      <c r="Q18" s="48" t="s">
        <v>1257</v>
      </c>
      <c r="R18" s="48" t="s">
        <v>1257</v>
      </c>
      <c r="S18" s="48" t="s">
        <v>1257</v>
      </c>
      <c r="T18" s="48" t="s">
        <v>1257</v>
      </c>
      <c r="U18" s="48" t="s">
        <v>1257</v>
      </c>
      <c r="V18" s="48" t="s">
        <v>1257</v>
      </c>
      <c r="W18" s="48" t="s">
        <v>1257</v>
      </c>
    </row>
    <row r="19" spans="2:23">
      <c r="B19" s="48" t="s">
        <v>1240</v>
      </c>
      <c r="C19" s="48">
        <v>19</v>
      </c>
      <c r="D19" s="48" t="s">
        <v>1620</v>
      </c>
      <c r="E19" s="95">
        <v>45439</v>
      </c>
      <c r="F19" s="48">
        <v>1</v>
      </c>
      <c r="G19" s="191" cm="1">
        <f t="array" aca="1" ref="G19" ca="1">SUMPRODUCT(--(ISNUMBER((SEARCH(I25:W25,I19:W19)))))/COUNTA(I19:W19)</f>
        <v>0.93333333333333335</v>
      </c>
      <c r="H19" s="48">
        <v>0</v>
      </c>
      <c r="I19" s="48" t="s">
        <v>1291</v>
      </c>
      <c r="J19" s="48" t="s">
        <v>1291</v>
      </c>
      <c r="K19" s="48" t="s">
        <v>1291</v>
      </c>
      <c r="L19" s="48" t="s">
        <v>1291</v>
      </c>
      <c r="M19" s="48" t="s">
        <v>1291</v>
      </c>
      <c r="N19" s="48" t="s">
        <v>1291</v>
      </c>
      <c r="O19" s="48" t="s">
        <v>1291</v>
      </c>
      <c r="P19" s="48" t="s">
        <v>1291</v>
      </c>
      <c r="Q19" s="48" t="s">
        <v>1291</v>
      </c>
      <c r="R19" s="48" t="s">
        <v>1291</v>
      </c>
      <c r="S19" s="48" t="s">
        <v>1292</v>
      </c>
      <c r="T19" s="48" t="s">
        <v>1291</v>
      </c>
      <c r="U19" s="48" t="s">
        <v>1291</v>
      </c>
      <c r="V19" s="48" t="s">
        <v>1291</v>
      </c>
      <c r="W19" s="48" t="s">
        <v>1293</v>
      </c>
    </row>
    <row r="20" spans="2:23">
      <c r="B20" s="48" t="s">
        <v>1243</v>
      </c>
      <c r="C20" s="48">
        <v>20</v>
      </c>
      <c r="D20" s="48" t="s">
        <v>1621</v>
      </c>
      <c r="E20" s="95">
        <v>45439</v>
      </c>
      <c r="F20" s="48">
        <v>1</v>
      </c>
      <c r="G20" s="191" t="e" cm="1" vm="1">
        <f t="array" ref="G20">SUM(IF(I2:S2 = I24:S24, 1, 0))/ COUNTA(I2:S2)</f>
        <v>#VALUE!</v>
      </c>
      <c r="H20" s="48" t="s">
        <v>1257</v>
      </c>
      <c r="I20" s="48" t="s">
        <v>1257</v>
      </c>
      <c r="J20" s="48" t="s">
        <v>1257</v>
      </c>
      <c r="K20" s="48" t="s">
        <v>1257</v>
      </c>
      <c r="L20" s="48" t="s">
        <v>1257</v>
      </c>
      <c r="M20" s="48" t="s">
        <v>1257</v>
      </c>
      <c r="N20" s="48" t="s">
        <v>1257</v>
      </c>
      <c r="O20" s="48" t="s">
        <v>1257</v>
      </c>
      <c r="P20" s="48" t="s">
        <v>1257</v>
      </c>
      <c r="Q20" s="48" t="s">
        <v>1257</v>
      </c>
      <c r="R20" s="48" t="s">
        <v>1257</v>
      </c>
      <c r="S20" s="48" t="s">
        <v>1257</v>
      </c>
      <c r="T20" s="48" t="s">
        <v>1257</v>
      </c>
      <c r="U20" s="48" t="s">
        <v>1257</v>
      </c>
      <c r="V20" s="48" t="s">
        <v>1257</v>
      </c>
      <c r="W20" s="48" t="s">
        <v>1257</v>
      </c>
    </row>
    <row r="21" spans="2:23">
      <c r="B21" s="48" t="s">
        <v>1246</v>
      </c>
      <c r="C21" s="48">
        <v>21</v>
      </c>
      <c r="D21" s="48" t="s">
        <v>1621</v>
      </c>
      <c r="E21" s="95">
        <v>45439</v>
      </c>
      <c r="F21" s="48">
        <v>1</v>
      </c>
      <c r="G21" s="191" t="e" cm="1">
        <f t="array" aca="1" ref="G21" ca="1">SUM(IF(IF(G3:G20="null",1,G3:G20)=1,1,0))/COUNT(IF(G3:G20="null",1,1))</f>
        <v>#DIV/0!</v>
      </c>
      <c r="H21" s="48" t="s">
        <v>1257</v>
      </c>
      <c r="I21" s="48" t="s">
        <v>1257</v>
      </c>
      <c r="J21" s="48" t="s">
        <v>1257</v>
      </c>
      <c r="K21" s="48" t="s">
        <v>1257</v>
      </c>
      <c r="L21" s="48" t="s">
        <v>1257</v>
      </c>
      <c r="M21" s="48" t="s">
        <v>1257</v>
      </c>
      <c r="N21" s="48" t="s">
        <v>1257</v>
      </c>
      <c r="O21" s="48" t="s">
        <v>1257</v>
      </c>
      <c r="P21" s="48" t="s">
        <v>1257</v>
      </c>
      <c r="Q21" s="48" t="s">
        <v>1257</v>
      </c>
      <c r="R21" s="48" t="s">
        <v>1257</v>
      </c>
      <c r="S21" s="48" t="s">
        <v>1257</v>
      </c>
      <c r="T21" s="48" t="s">
        <v>1257</v>
      </c>
      <c r="U21" s="48" t="s">
        <v>1257</v>
      </c>
      <c r="V21" s="48" t="s">
        <v>1257</v>
      </c>
      <c r="W21" s="48" t="s">
        <v>1257</v>
      </c>
    </row>
    <row r="22" spans="2:23">
      <c r="B22" s="48"/>
      <c r="C22" s="48"/>
      <c r="D22" s="48"/>
      <c r="E22" s="95"/>
      <c r="F22" s="48"/>
      <c r="G22" s="48"/>
      <c r="H22" s="48"/>
      <c r="I22" s="48"/>
      <c r="J22" s="48"/>
      <c r="K22" s="48"/>
      <c r="L22" s="48"/>
      <c r="M22" s="48"/>
      <c r="N22" s="48"/>
      <c r="O22" s="48"/>
      <c r="P22" s="48"/>
      <c r="Q22" s="48"/>
      <c r="R22" s="48"/>
      <c r="S22" s="48"/>
      <c r="T22" s="48"/>
      <c r="U22" s="48"/>
      <c r="V22" s="48"/>
      <c r="W22" s="48"/>
    </row>
    <row r="23" spans="2:23">
      <c r="B23" s="140" t="s">
        <v>1364</v>
      </c>
      <c r="C23" s="141"/>
      <c r="D23" s="141"/>
      <c r="E23" s="141"/>
      <c r="F23" s="141"/>
      <c r="G23" s="141"/>
      <c r="H23" s="141"/>
    </row>
    <row r="24" spans="2:23">
      <c r="B24" s="127" t="s">
        <v>1249</v>
      </c>
      <c r="C24" s="128" t="s">
        <v>1250</v>
      </c>
      <c r="D24" s="128" t="s">
        <v>1251</v>
      </c>
      <c r="E24" s="128" t="s">
        <v>1252</v>
      </c>
      <c r="F24" s="128" t="s">
        <v>1253</v>
      </c>
      <c r="G24" s="128" t="s">
        <v>1254</v>
      </c>
      <c r="H24" s="128" t="s">
        <v>1255</v>
      </c>
      <c r="I24" s="123" t="e" cm="1" vm="2">
        <f t="array" ref="I24">TRANSPOSE(_xlfn.SORTBY(_xlfn._xlws.FILTER(Table3[NOME FÍSICO CAMPO],Table3[NOME FÍSICO TABELA]="bills_promissory_notes_process"), _xlfn._xlws.FILTER(Table3[ORDEM], Table3[NOME FÍSICO TABELA]="bills_promissory_notes_process"), 1))</f>
        <v>#VALUE!</v>
      </c>
      <c r="J24" s="123"/>
      <c r="K24" s="123"/>
      <c r="L24" s="123"/>
      <c r="M24" s="123"/>
      <c r="N24" s="123"/>
      <c r="O24" s="123"/>
      <c r="P24" s="123"/>
      <c r="Q24" s="123"/>
      <c r="R24" s="123"/>
      <c r="S24" s="123"/>
      <c r="T24" s="123"/>
      <c r="U24" s="123"/>
      <c r="V24" s="123"/>
      <c r="W24" s="124"/>
    </row>
    <row r="25" spans="2:23">
      <c r="B25" s="106" t="s">
        <v>1294</v>
      </c>
      <c r="C25" s="109">
        <v>21</v>
      </c>
      <c r="D25" s="103" t="s">
        <v>1295</v>
      </c>
      <c r="E25" s="102" t="s">
        <v>1296</v>
      </c>
      <c r="F25" s="102" t="s">
        <v>124</v>
      </c>
      <c r="G25" s="102" t="s">
        <v>124</v>
      </c>
      <c r="H25" s="102" t="s">
        <v>124</v>
      </c>
      <c r="I25" s="102" t="e" cm="1" vm="2">
        <f t="array" aca="1" ref="I25" ca="1">TRANSPOSE(_xlfn.SORTBY(_xlfn._xlws.FILTER(IF(Table3[FORMATO]:Table3[COMP_ CAMPO]&lt;&gt;"",Table3[FORMATO]:Table3[COMP_ CAMPO],9999999),Table3[NOME FÍSICO TABELA]="bills_promissory_notes_process"), _xlfn._xlws.FILTER(Table3[ORDEM], Table3[NOME FÍSICO TABELA]="bills_promissory_notes_process"), 1))</f>
        <v>#VALUE!</v>
      </c>
      <c r="J25" s="102"/>
      <c r="K25" s="102"/>
      <c r="L25" s="102"/>
      <c r="M25" s="102"/>
      <c r="N25" s="102"/>
      <c r="O25" s="102"/>
      <c r="P25" s="102"/>
      <c r="Q25" s="102"/>
      <c r="R25" s="102"/>
      <c r="S25" s="102"/>
      <c r="T25" s="102"/>
      <c r="U25" s="102"/>
      <c r="V25" s="102"/>
      <c r="W25" s="108"/>
    </row>
    <row r="26" spans="2:23">
      <c r="B26" s="106" t="s">
        <v>1297</v>
      </c>
      <c r="C26" s="109">
        <v>7</v>
      </c>
      <c r="D26" s="103" t="s">
        <v>1295</v>
      </c>
      <c r="E26" s="102" t="s">
        <v>1296</v>
      </c>
      <c r="F26" s="104" t="s">
        <v>124</v>
      </c>
      <c r="G26" s="104" t="s">
        <v>124</v>
      </c>
      <c r="H26" s="104" t="s">
        <v>124</v>
      </c>
      <c r="I26" s="150"/>
      <c r="J26" s="150"/>
      <c r="K26" s="150"/>
      <c r="L26" s="150"/>
      <c r="M26" s="150"/>
      <c r="N26" s="150"/>
      <c r="O26" s="150"/>
      <c r="P26" s="150"/>
      <c r="Q26" s="150"/>
      <c r="R26" s="150"/>
      <c r="S26" s="150"/>
      <c r="T26" s="150"/>
      <c r="U26" s="150"/>
      <c r="V26" s="150"/>
      <c r="W26" s="151"/>
    </row>
    <row r="28" spans="2:23">
      <c r="B28" s="139" t="s">
        <v>1298</v>
      </c>
    </row>
    <row r="29" spans="2:23">
      <c r="B29" s="133" t="s">
        <v>1299</v>
      </c>
      <c r="C29" s="133" t="s">
        <v>1300</v>
      </c>
      <c r="D29" s="134" t="s">
        <v>1301</v>
      </c>
      <c r="E29" s="133" t="s">
        <v>1302</v>
      </c>
      <c r="F29" s="133" t="s">
        <v>1303</v>
      </c>
    </row>
    <row r="30" spans="2:23">
      <c r="B30" s="117"/>
      <c r="C30" s="116"/>
      <c r="D30" s="122"/>
      <c r="E30" s="145"/>
      <c r="F30" s="13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row r="2" spans="2:23">
      <c r="B2" s="77" t="s">
        <v>1249</v>
      </c>
      <c r="C2" s="77" t="s">
        <v>1250</v>
      </c>
      <c r="D2" s="77" t="s">
        <v>1251</v>
      </c>
      <c r="E2" s="77" t="s">
        <v>1252</v>
      </c>
      <c r="F2" s="77" t="s">
        <v>1253</v>
      </c>
      <c r="G2" s="77" t="s">
        <v>1254</v>
      </c>
      <c r="H2" s="77" t="s">
        <v>1255</v>
      </c>
      <c r="I2" s="77" t="s">
        <v>103</v>
      </c>
      <c r="J2" s="77" t="s">
        <v>144</v>
      </c>
      <c r="K2" s="77" t="s">
        <v>155</v>
      </c>
      <c r="L2" s="77" t="s">
        <v>162</v>
      </c>
      <c r="M2" s="77" t="s">
        <v>190</v>
      </c>
      <c r="N2" s="77" t="s">
        <v>176</v>
      </c>
      <c r="O2" s="77" t="s">
        <v>203</v>
      </c>
      <c r="P2" s="77" t="s">
        <v>289</v>
      </c>
      <c r="Q2" s="77" t="s">
        <v>299</v>
      </c>
      <c r="R2" s="77" t="s">
        <v>314</v>
      </c>
      <c r="S2" s="77" t="s">
        <v>349</v>
      </c>
      <c r="T2" s="77" t="s">
        <v>362</v>
      </c>
      <c r="U2" s="77" t="s">
        <v>382</v>
      </c>
      <c r="V2" s="77" t="s">
        <v>234</v>
      </c>
      <c r="W2" s="77" t="s">
        <v>253</v>
      </c>
    </row>
    <row r="3" spans="2:23">
      <c r="B3" s="48" t="s">
        <v>1203</v>
      </c>
      <c r="C3" s="48">
        <v>1</v>
      </c>
      <c r="D3" s="48" t="s">
        <v>1622</v>
      </c>
      <c r="E3" s="95">
        <v>45433</v>
      </c>
      <c r="F3" s="48">
        <v>2</v>
      </c>
      <c r="G3" s="191">
        <v>1</v>
      </c>
      <c r="H3" s="48">
        <v>15076</v>
      </c>
      <c r="I3" s="48" t="s">
        <v>1257</v>
      </c>
      <c r="J3" s="48" t="s">
        <v>1257</v>
      </c>
      <c r="K3" s="48" t="s">
        <v>1257</v>
      </c>
      <c r="L3" s="48" t="s">
        <v>1257</v>
      </c>
      <c r="M3" s="48" t="s">
        <v>1257</v>
      </c>
      <c r="N3" s="48" t="s">
        <v>1257</v>
      </c>
      <c r="O3" s="48" t="s">
        <v>1257</v>
      </c>
      <c r="P3" s="48" t="s">
        <v>1257</v>
      </c>
      <c r="Q3" s="48" t="s">
        <v>1257</v>
      </c>
      <c r="R3" s="48" t="s">
        <v>1257</v>
      </c>
      <c r="S3" s="48" t="s">
        <v>1257</v>
      </c>
      <c r="T3" s="48" t="s">
        <v>1257</v>
      </c>
      <c r="U3" s="48" t="s">
        <v>1257</v>
      </c>
      <c r="V3" s="48" t="s">
        <v>1257</v>
      </c>
      <c r="W3" s="48" t="s">
        <v>1257</v>
      </c>
    </row>
    <row r="4" spans="2:23">
      <c r="B4" s="48" t="s">
        <v>1205</v>
      </c>
      <c r="C4" s="48">
        <v>2</v>
      </c>
      <c r="D4" s="48" t="s">
        <v>1623</v>
      </c>
      <c r="E4" s="95">
        <v>45433</v>
      </c>
      <c r="F4" s="48">
        <v>2</v>
      </c>
      <c r="G4" s="191">
        <v>1</v>
      </c>
      <c r="H4" s="48">
        <v>0</v>
      </c>
      <c r="I4" s="48" t="s">
        <v>1257</v>
      </c>
      <c r="J4" s="48" t="s">
        <v>1257</v>
      </c>
      <c r="K4" s="48" t="s">
        <v>1257</v>
      </c>
      <c r="L4" s="48" t="s">
        <v>1257</v>
      </c>
      <c r="M4" s="48" t="s">
        <v>1257</v>
      </c>
      <c r="N4" s="48" t="s">
        <v>1257</v>
      </c>
      <c r="O4" s="48" t="s">
        <v>1257</v>
      </c>
      <c r="P4" s="48" t="s">
        <v>1257</v>
      </c>
      <c r="Q4" s="48" t="s">
        <v>1257</v>
      </c>
      <c r="R4" s="48" t="s">
        <v>1257</v>
      </c>
      <c r="S4" s="48" t="s">
        <v>1257</v>
      </c>
      <c r="T4" s="48" t="s">
        <v>1257</v>
      </c>
      <c r="U4" s="48" t="s">
        <v>1257</v>
      </c>
      <c r="V4" s="48" t="s">
        <v>1257</v>
      </c>
      <c r="W4" s="48" t="s">
        <v>1257</v>
      </c>
    </row>
    <row r="5" spans="2:23">
      <c r="B5" s="48" t="s">
        <v>1207</v>
      </c>
      <c r="C5" s="48">
        <v>3</v>
      </c>
      <c r="D5" s="48" t="s">
        <v>1624</v>
      </c>
      <c r="E5" s="95">
        <v>45433</v>
      </c>
      <c r="F5" s="48">
        <v>2</v>
      </c>
      <c r="G5" s="191">
        <v>1</v>
      </c>
      <c r="H5" s="48">
        <v>0</v>
      </c>
      <c r="I5" s="48">
        <v>0</v>
      </c>
      <c r="J5" s="48">
        <v>0</v>
      </c>
      <c r="K5" s="48" t="s">
        <v>1257</v>
      </c>
      <c r="L5" s="48" t="s">
        <v>1257</v>
      </c>
      <c r="M5" s="48" t="s">
        <v>1257</v>
      </c>
      <c r="N5" s="48" t="s">
        <v>1257</v>
      </c>
      <c r="O5" s="48" t="s">
        <v>1257</v>
      </c>
      <c r="P5" s="48" t="s">
        <v>1257</v>
      </c>
      <c r="Q5" s="48" t="s">
        <v>1257</v>
      </c>
      <c r="R5" s="48" t="s">
        <v>1257</v>
      </c>
      <c r="S5" s="48" t="s">
        <v>1257</v>
      </c>
      <c r="T5" s="48" t="s">
        <v>1257</v>
      </c>
      <c r="U5" s="48" t="s">
        <v>1257</v>
      </c>
      <c r="V5" s="48">
        <v>0</v>
      </c>
      <c r="W5" s="48" t="s">
        <v>1257</v>
      </c>
    </row>
    <row r="6" spans="2:23">
      <c r="B6" s="97" t="s">
        <v>1209</v>
      </c>
      <c r="C6" s="48">
        <v>4</v>
      </c>
      <c r="D6" s="48" t="s">
        <v>1260</v>
      </c>
      <c r="E6" s="95" t="s">
        <v>1257</v>
      </c>
      <c r="F6" s="48">
        <v>2</v>
      </c>
      <c r="G6" s="48" t="s">
        <v>1257</v>
      </c>
      <c r="H6" s="48" t="s">
        <v>1257</v>
      </c>
      <c r="I6" s="48" t="s">
        <v>1257</v>
      </c>
      <c r="J6" s="48" t="s">
        <v>1257</v>
      </c>
      <c r="K6" s="48" t="s">
        <v>1257</v>
      </c>
      <c r="L6" s="48" t="s">
        <v>1257</v>
      </c>
      <c r="M6" s="48" t="s">
        <v>1257</v>
      </c>
      <c r="N6" s="48" t="s">
        <v>1257</v>
      </c>
      <c r="O6" s="48" t="s">
        <v>1257</v>
      </c>
      <c r="P6" s="48" t="s">
        <v>1257</v>
      </c>
      <c r="Q6" s="48" t="s">
        <v>1257</v>
      </c>
      <c r="R6" s="48" t="s">
        <v>1257</v>
      </c>
      <c r="S6" s="48" t="s">
        <v>1257</v>
      </c>
      <c r="T6" s="48" t="s">
        <v>1257</v>
      </c>
      <c r="U6" s="48" t="s">
        <v>1257</v>
      </c>
      <c r="V6" s="48" t="s">
        <v>1257</v>
      </c>
      <c r="W6" s="48" t="s">
        <v>1257</v>
      </c>
    </row>
    <row r="7" spans="2:23">
      <c r="B7" s="48" t="s">
        <v>1211</v>
      </c>
      <c r="C7" s="48">
        <v>5</v>
      </c>
      <c r="D7" s="48" t="s">
        <v>1260</v>
      </c>
      <c r="E7" s="95" t="s">
        <v>1257</v>
      </c>
      <c r="F7" s="48">
        <v>2</v>
      </c>
      <c r="G7" s="48" t="s">
        <v>1257</v>
      </c>
      <c r="H7" s="48" t="s">
        <v>1257</v>
      </c>
      <c r="I7" s="48" t="s">
        <v>1257</v>
      </c>
      <c r="J7" s="48" t="s">
        <v>1257</v>
      </c>
      <c r="K7" s="48" t="s">
        <v>1257</v>
      </c>
      <c r="L7" s="48" t="s">
        <v>1257</v>
      </c>
      <c r="M7" s="48" t="s">
        <v>1257</v>
      </c>
      <c r="N7" s="48" t="s">
        <v>1257</v>
      </c>
      <c r="O7" s="48" t="s">
        <v>1257</v>
      </c>
      <c r="P7" s="48" t="s">
        <v>1257</v>
      </c>
      <c r="Q7" s="48" t="s">
        <v>1257</v>
      </c>
      <c r="R7" s="48" t="s">
        <v>1257</v>
      </c>
      <c r="S7" s="48" t="s">
        <v>1257</v>
      </c>
      <c r="T7" s="48" t="s">
        <v>1257</v>
      </c>
      <c r="U7" s="48" t="s">
        <v>1257</v>
      </c>
      <c r="V7" s="48" t="s">
        <v>1257</v>
      </c>
      <c r="W7" s="48" t="s">
        <v>1257</v>
      </c>
    </row>
    <row r="8" spans="2:23">
      <c r="B8" s="97" t="s">
        <v>1212</v>
      </c>
      <c r="C8" s="48">
        <v>6</v>
      </c>
      <c r="D8" s="48" t="s">
        <v>1625</v>
      </c>
      <c r="E8" s="95">
        <v>45433</v>
      </c>
      <c r="F8" s="48">
        <v>2</v>
      </c>
      <c r="G8" s="191" cm="1">
        <f t="array" ref="G8">SUMPRODUCT(--(I8:W8&gt;0))/COUNTA(I8:W8)</f>
        <v>1</v>
      </c>
      <c r="H8" s="48">
        <v>0</v>
      </c>
      <c r="I8" s="48">
        <v>2</v>
      </c>
      <c r="J8" s="48">
        <v>15</v>
      </c>
      <c r="K8" s="48">
        <v>3</v>
      </c>
      <c r="L8" s="48">
        <v>3</v>
      </c>
      <c r="M8" s="48">
        <v>3</v>
      </c>
      <c r="N8" s="48">
        <v>2</v>
      </c>
      <c r="O8" s="48">
        <v>30</v>
      </c>
      <c r="P8" s="48">
        <v>10</v>
      </c>
      <c r="Q8" s="48">
        <v>10</v>
      </c>
      <c r="R8" s="48">
        <v>3</v>
      </c>
      <c r="S8" s="48">
        <v>8</v>
      </c>
      <c r="T8" s="48">
        <v>3</v>
      </c>
      <c r="U8" s="48">
        <v>3</v>
      </c>
      <c r="V8" s="48">
        <v>10</v>
      </c>
      <c r="W8" s="48">
        <v>23</v>
      </c>
    </row>
    <row r="9" spans="2:23">
      <c r="B9" s="48" t="s">
        <v>1215</v>
      </c>
      <c r="C9" s="48">
        <v>7</v>
      </c>
      <c r="D9" s="48" t="s">
        <v>1626</v>
      </c>
      <c r="E9" s="95">
        <v>45433</v>
      </c>
      <c r="F9" s="48">
        <v>2</v>
      </c>
      <c r="G9" s="191" t="e" cm="1">
        <f t="array" ref="G9">SUMPRODUCT(--(I9:W9&lt;=I26:W26))/COUNTA(I26:W26)</f>
        <v>#DIV/0!</v>
      </c>
      <c r="H9" s="48">
        <v>0</v>
      </c>
      <c r="I9" s="48">
        <v>2</v>
      </c>
      <c r="J9" s="48">
        <v>15</v>
      </c>
      <c r="K9" s="48">
        <v>3</v>
      </c>
      <c r="L9" s="48">
        <v>3</v>
      </c>
      <c r="M9" s="48">
        <v>3</v>
      </c>
      <c r="N9" s="48">
        <v>2</v>
      </c>
      <c r="O9" s="48">
        <v>30</v>
      </c>
      <c r="P9" s="48">
        <v>10</v>
      </c>
      <c r="Q9" s="48">
        <v>10</v>
      </c>
      <c r="R9" s="48">
        <v>3</v>
      </c>
      <c r="S9" s="48">
        <v>15</v>
      </c>
      <c r="T9" s="48">
        <v>3</v>
      </c>
      <c r="U9" s="48">
        <v>3</v>
      </c>
      <c r="V9" s="48">
        <v>10</v>
      </c>
      <c r="W9" s="48">
        <v>23</v>
      </c>
    </row>
    <row r="10" spans="2:23">
      <c r="B10" s="48" t="s">
        <v>1218</v>
      </c>
      <c r="C10" s="48">
        <v>8</v>
      </c>
      <c r="D10" s="48" t="s">
        <v>1627</v>
      </c>
      <c r="E10" s="95">
        <v>45433</v>
      </c>
      <c r="F10" s="48">
        <v>2</v>
      </c>
      <c r="G10" s="48" t="s">
        <v>1257</v>
      </c>
      <c r="H10" s="48">
        <v>0</v>
      </c>
      <c r="I10" s="48">
        <v>31</v>
      </c>
      <c r="J10" s="48">
        <v>50000028007</v>
      </c>
      <c r="K10" s="48" t="s">
        <v>1518</v>
      </c>
      <c r="L10" s="48">
        <v>7</v>
      </c>
      <c r="M10" s="48">
        <v>101</v>
      </c>
      <c r="N10" s="48">
        <v>31</v>
      </c>
      <c r="O10" s="48">
        <v>2.2822000999999998E+22</v>
      </c>
      <c r="P10" s="95">
        <v>35300</v>
      </c>
      <c r="Q10" s="95">
        <v>2958465</v>
      </c>
      <c r="R10" s="48">
        <v>124</v>
      </c>
      <c r="S10" s="98" t="s">
        <v>1266</v>
      </c>
      <c r="T10" s="48" t="s">
        <v>1267</v>
      </c>
      <c r="U10" s="48" t="s">
        <v>1268</v>
      </c>
      <c r="V10" s="95">
        <v>45433</v>
      </c>
      <c r="W10" s="48" t="s">
        <v>1628</v>
      </c>
    </row>
    <row r="11" spans="2:23">
      <c r="B11" s="48" t="s">
        <v>1220</v>
      </c>
      <c r="C11" s="48">
        <v>9</v>
      </c>
      <c r="D11" s="48" t="s">
        <v>1629</v>
      </c>
      <c r="E11" s="95">
        <v>45433</v>
      </c>
      <c r="F11" s="48">
        <v>2</v>
      </c>
      <c r="G11" s="48" t="s">
        <v>1257</v>
      </c>
      <c r="H11" s="48">
        <v>0</v>
      </c>
      <c r="I11" s="48">
        <v>31</v>
      </c>
      <c r="J11" s="48">
        <v>50000028007</v>
      </c>
      <c r="K11" s="48"/>
      <c r="L11" s="48">
        <v>7</v>
      </c>
      <c r="M11" s="48">
        <v>101</v>
      </c>
      <c r="N11" s="48"/>
      <c r="O11" s="48">
        <v>2.2822000999999998E+22</v>
      </c>
      <c r="P11" s="95">
        <v>35300</v>
      </c>
      <c r="Q11" s="95">
        <v>2958465</v>
      </c>
      <c r="R11" s="48">
        <v>124</v>
      </c>
      <c r="S11" s="48" t="s">
        <v>1343</v>
      </c>
      <c r="T11" s="48">
        <v>0</v>
      </c>
      <c r="U11" s="48" t="s">
        <v>1521</v>
      </c>
      <c r="V11" s="95">
        <v>45433</v>
      </c>
      <c r="W11" s="48" t="s">
        <v>1630</v>
      </c>
    </row>
    <row r="12" spans="2:23">
      <c r="B12" s="97" t="s">
        <v>1222</v>
      </c>
      <c r="C12" s="48">
        <v>10</v>
      </c>
      <c r="D12" s="48" t="s">
        <v>1631</v>
      </c>
      <c r="E12" s="95">
        <v>45433</v>
      </c>
      <c r="F12" s="48">
        <v>2</v>
      </c>
      <c r="G12" s="48" t="s">
        <v>1257</v>
      </c>
      <c r="H12" s="48">
        <v>0</v>
      </c>
      <c r="I12" s="48">
        <v>31</v>
      </c>
      <c r="J12" s="183">
        <v>607500070000019</v>
      </c>
      <c r="K12" s="48" t="s">
        <v>1518</v>
      </c>
      <c r="L12" s="48">
        <v>7</v>
      </c>
      <c r="M12" s="48" t="s">
        <v>1524</v>
      </c>
      <c r="N12" s="48">
        <v>31</v>
      </c>
      <c r="O12" s="48">
        <v>2.3930258433501999E+29</v>
      </c>
      <c r="P12" s="95">
        <v>45429</v>
      </c>
      <c r="Q12" s="95">
        <v>2958465</v>
      </c>
      <c r="R12" s="48">
        <v>978</v>
      </c>
      <c r="S12" s="156" t="s">
        <v>1632</v>
      </c>
      <c r="T12" s="48" t="s">
        <v>1267</v>
      </c>
      <c r="U12" s="48" t="s">
        <v>1633</v>
      </c>
      <c r="V12" s="95">
        <v>45433</v>
      </c>
      <c r="W12" s="48" t="s">
        <v>1628</v>
      </c>
    </row>
    <row r="13" spans="2:23">
      <c r="B13" s="48" t="s">
        <v>1224</v>
      </c>
      <c r="C13" s="48">
        <v>11</v>
      </c>
      <c r="D13" s="48" t="s">
        <v>1634</v>
      </c>
      <c r="E13" s="95">
        <v>45433</v>
      </c>
      <c r="F13" s="48">
        <v>2</v>
      </c>
      <c r="G13" s="48" t="s">
        <v>1257</v>
      </c>
      <c r="H13" s="48">
        <v>0</v>
      </c>
      <c r="I13" s="48">
        <v>31</v>
      </c>
      <c r="J13" s="183">
        <v>607500070000019</v>
      </c>
      <c r="K13" s="48"/>
      <c r="L13" s="48">
        <v>7</v>
      </c>
      <c r="M13" s="48" t="s">
        <v>1524</v>
      </c>
      <c r="N13" s="48"/>
      <c r="O13" s="48">
        <v>2.3930258433501999E+29</v>
      </c>
      <c r="P13" s="95">
        <v>45429</v>
      </c>
      <c r="Q13" s="95">
        <v>2958465</v>
      </c>
      <c r="R13" s="48">
        <v>978</v>
      </c>
      <c r="S13" s="48" t="s">
        <v>1529</v>
      </c>
      <c r="T13" s="48">
        <v>0</v>
      </c>
      <c r="U13" s="48" t="s">
        <v>1272</v>
      </c>
      <c r="V13" s="95">
        <v>45433</v>
      </c>
      <c r="W13" s="48" t="s">
        <v>1635</v>
      </c>
    </row>
    <row r="14" spans="2:23">
      <c r="B14" s="48" t="s">
        <v>1226</v>
      </c>
      <c r="C14" s="48">
        <v>12</v>
      </c>
      <c r="D14" s="48" t="s">
        <v>1636</v>
      </c>
      <c r="E14" s="95">
        <v>45433</v>
      </c>
      <c r="F14" s="48">
        <v>2</v>
      </c>
      <c r="G14" s="191">
        <v>1</v>
      </c>
      <c r="H14" s="48">
        <v>0</v>
      </c>
      <c r="I14" s="48">
        <v>0</v>
      </c>
      <c r="J14" s="48">
        <v>0</v>
      </c>
      <c r="K14" s="48">
        <v>0</v>
      </c>
      <c r="L14" s="48">
        <v>0</v>
      </c>
      <c r="M14" s="48">
        <v>0</v>
      </c>
      <c r="N14" s="48">
        <v>0</v>
      </c>
      <c r="O14" s="48">
        <v>0</v>
      </c>
      <c r="P14" s="48">
        <v>0</v>
      </c>
      <c r="Q14" s="48">
        <v>0</v>
      </c>
      <c r="R14" s="48">
        <v>0</v>
      </c>
      <c r="S14" s="48">
        <v>0</v>
      </c>
      <c r="T14" s="48">
        <v>0</v>
      </c>
      <c r="U14" s="48">
        <v>0</v>
      </c>
      <c r="V14" s="48">
        <v>0</v>
      </c>
      <c r="W14" s="48">
        <v>0</v>
      </c>
    </row>
    <row r="15" spans="2:23">
      <c r="B15" s="48" t="s">
        <v>1228</v>
      </c>
      <c r="C15" s="48">
        <v>13</v>
      </c>
      <c r="D15" s="48" t="s">
        <v>1637</v>
      </c>
      <c r="E15" s="95">
        <v>45433</v>
      </c>
      <c r="F15" s="48">
        <v>2</v>
      </c>
      <c r="G15" s="191">
        <v>1</v>
      </c>
      <c r="H15" s="48">
        <v>0</v>
      </c>
      <c r="I15" s="48" t="s">
        <v>1257</v>
      </c>
      <c r="J15" s="48" t="s">
        <v>1257</v>
      </c>
      <c r="K15" s="48" t="s">
        <v>1257</v>
      </c>
      <c r="L15" s="48" t="s">
        <v>1257</v>
      </c>
      <c r="M15" s="48" t="s">
        <v>1257</v>
      </c>
      <c r="N15" s="48" t="s">
        <v>1257</v>
      </c>
      <c r="O15" s="48" t="s">
        <v>1257</v>
      </c>
      <c r="P15" s="48">
        <v>0</v>
      </c>
      <c r="Q15" s="48">
        <v>0</v>
      </c>
      <c r="R15" s="48" t="s">
        <v>1257</v>
      </c>
      <c r="S15" s="48" t="s">
        <v>1257</v>
      </c>
      <c r="T15" s="48" t="s">
        <v>1257</v>
      </c>
      <c r="U15" s="48" t="s">
        <v>1257</v>
      </c>
      <c r="V15" s="48" t="s">
        <v>1257</v>
      </c>
      <c r="W15" s="48" t="s">
        <v>1257</v>
      </c>
    </row>
    <row r="16" spans="2:23">
      <c r="B16" s="48" t="s">
        <v>1230</v>
      </c>
      <c r="C16" s="48">
        <v>14</v>
      </c>
      <c r="D16" s="48" t="s">
        <v>1638</v>
      </c>
      <c r="E16" s="95">
        <v>45433</v>
      </c>
      <c r="F16" s="48">
        <v>2</v>
      </c>
      <c r="G16" s="191">
        <v>1</v>
      </c>
      <c r="H16" s="48">
        <v>0</v>
      </c>
      <c r="I16" s="48">
        <v>0</v>
      </c>
      <c r="J16" s="48">
        <v>0</v>
      </c>
      <c r="K16" s="48">
        <v>0</v>
      </c>
      <c r="L16" s="48">
        <v>0</v>
      </c>
      <c r="M16" s="48">
        <v>0</v>
      </c>
      <c r="N16" s="48">
        <v>0</v>
      </c>
      <c r="O16" s="48">
        <v>0</v>
      </c>
      <c r="P16" s="48" t="s">
        <v>1257</v>
      </c>
      <c r="Q16" s="48" t="s">
        <v>1257</v>
      </c>
      <c r="R16" s="48">
        <v>0</v>
      </c>
      <c r="S16" s="48" t="s">
        <v>1257</v>
      </c>
      <c r="T16" s="48">
        <v>0</v>
      </c>
      <c r="U16" s="48">
        <v>0</v>
      </c>
      <c r="V16" s="48" t="s">
        <v>1257</v>
      </c>
      <c r="W16" s="48" t="s">
        <v>1257</v>
      </c>
    </row>
    <row r="17" spans="2:23">
      <c r="B17" s="48" t="s">
        <v>1232</v>
      </c>
      <c r="C17" s="48">
        <v>15</v>
      </c>
      <c r="D17" s="48" t="s">
        <v>1639</v>
      </c>
      <c r="E17" s="95">
        <v>45433</v>
      </c>
      <c r="F17" s="48">
        <v>2</v>
      </c>
      <c r="G17" s="191">
        <v>1</v>
      </c>
      <c r="H17" s="48">
        <v>0</v>
      </c>
      <c r="I17" s="48" t="s">
        <v>1257</v>
      </c>
      <c r="J17" s="48" t="s">
        <v>1257</v>
      </c>
      <c r="K17" s="48" t="s">
        <v>1257</v>
      </c>
      <c r="L17" s="48" t="s">
        <v>1257</v>
      </c>
      <c r="M17" s="48" t="s">
        <v>1257</v>
      </c>
      <c r="N17" s="48" t="s">
        <v>1257</v>
      </c>
      <c r="O17" s="48" t="s">
        <v>1257</v>
      </c>
      <c r="P17" s="48" t="s">
        <v>1257</v>
      </c>
      <c r="Q17" s="48" t="s">
        <v>1257</v>
      </c>
      <c r="R17" s="48" t="s">
        <v>1257</v>
      </c>
      <c r="S17" s="48" t="s">
        <v>1257</v>
      </c>
      <c r="T17" s="48" t="s">
        <v>1257</v>
      </c>
      <c r="U17" s="48" t="s">
        <v>1257</v>
      </c>
      <c r="V17" s="48" t="s">
        <v>1257</v>
      </c>
      <c r="W17" s="48" t="s">
        <v>1257</v>
      </c>
    </row>
    <row r="18" spans="2:23">
      <c r="B18" s="48" t="s">
        <v>1234</v>
      </c>
      <c r="C18" s="48">
        <v>16</v>
      </c>
      <c r="D18" s="48" t="s">
        <v>1639</v>
      </c>
      <c r="E18" s="95">
        <v>45433</v>
      </c>
      <c r="F18" s="48">
        <v>2</v>
      </c>
      <c r="G18" s="191">
        <v>1</v>
      </c>
      <c r="H18" s="48">
        <v>0</v>
      </c>
      <c r="I18" s="48" t="s">
        <v>1257</v>
      </c>
      <c r="J18" s="48" t="s">
        <v>1257</v>
      </c>
      <c r="K18" s="48" t="s">
        <v>1257</v>
      </c>
      <c r="L18" s="48" t="s">
        <v>1257</v>
      </c>
      <c r="M18" s="48" t="s">
        <v>1257</v>
      </c>
      <c r="N18" s="48" t="s">
        <v>1257</v>
      </c>
      <c r="O18" s="48" t="s">
        <v>1257</v>
      </c>
      <c r="P18" s="48" t="s">
        <v>1257</v>
      </c>
      <c r="Q18" s="48" t="s">
        <v>1257</v>
      </c>
      <c r="R18" s="48" t="s">
        <v>1257</v>
      </c>
      <c r="S18" s="48" t="s">
        <v>1257</v>
      </c>
      <c r="T18" s="48" t="s">
        <v>1257</v>
      </c>
      <c r="U18" s="48" t="s">
        <v>1257</v>
      </c>
      <c r="V18" s="48" t="s">
        <v>1257</v>
      </c>
      <c r="W18" s="48" t="s">
        <v>1257</v>
      </c>
    </row>
    <row r="19" spans="2:23">
      <c r="B19" s="48" t="s">
        <v>1240</v>
      </c>
      <c r="C19" s="48">
        <v>19</v>
      </c>
      <c r="D19" s="48" t="s">
        <v>1640</v>
      </c>
      <c r="E19" s="95">
        <v>45433</v>
      </c>
      <c r="F19" s="48">
        <v>2</v>
      </c>
      <c r="G19" s="207" cm="1">
        <f t="array" aca="1" ref="G19" ca="1">SUMPRODUCT(--(ISNUMBER((SEARCH(I25:W25,I19:W19)))))/COUNTA(I19:W19)</f>
        <v>0.93333333333333335</v>
      </c>
      <c r="H19" s="48">
        <v>0</v>
      </c>
      <c r="I19" s="48" t="s">
        <v>1291</v>
      </c>
      <c r="J19" s="48" t="s">
        <v>1291</v>
      </c>
      <c r="K19" s="48" t="s">
        <v>1291</v>
      </c>
      <c r="L19" s="48" t="s">
        <v>1291</v>
      </c>
      <c r="M19" s="48" t="s">
        <v>1291</v>
      </c>
      <c r="N19" s="48" t="s">
        <v>1291</v>
      </c>
      <c r="O19" s="48" t="s">
        <v>1291</v>
      </c>
      <c r="P19" s="48" t="s">
        <v>1641</v>
      </c>
      <c r="Q19" s="48" t="s">
        <v>1641</v>
      </c>
      <c r="R19" s="48" t="s">
        <v>1291</v>
      </c>
      <c r="S19" s="48" t="s">
        <v>1292</v>
      </c>
      <c r="T19" s="48" t="s">
        <v>1291</v>
      </c>
      <c r="U19" s="48" t="s">
        <v>1291</v>
      </c>
      <c r="V19" s="48" t="s">
        <v>1291</v>
      </c>
      <c r="W19" s="48" t="s">
        <v>1293</v>
      </c>
    </row>
    <row r="20" spans="2:23">
      <c r="B20" s="48" t="s">
        <v>1243</v>
      </c>
      <c r="C20" s="48">
        <v>20</v>
      </c>
      <c r="D20" s="48" t="s">
        <v>1642</v>
      </c>
      <c r="E20" s="95">
        <v>45433</v>
      </c>
      <c r="F20" s="48">
        <v>1</v>
      </c>
      <c r="G20" s="191" t="e" cm="1" vm="1">
        <f t="array" ref="G20">SUM(IF(I2:W2 = I24:W24, 1, 0))/ COUNTA(I2:W2)</f>
        <v>#VALUE!</v>
      </c>
      <c r="H20" s="48" t="s">
        <v>1257</v>
      </c>
      <c r="I20" s="48" t="s">
        <v>1257</v>
      </c>
      <c r="J20" s="48" t="s">
        <v>1257</v>
      </c>
      <c r="K20" s="48" t="s">
        <v>1257</v>
      </c>
      <c r="L20" s="48" t="s">
        <v>1257</v>
      </c>
      <c r="M20" s="48" t="s">
        <v>1257</v>
      </c>
      <c r="N20" s="48" t="s">
        <v>1257</v>
      </c>
      <c r="O20" s="48" t="s">
        <v>1257</v>
      </c>
      <c r="P20" s="48" t="s">
        <v>1257</v>
      </c>
      <c r="Q20" s="48" t="s">
        <v>1257</v>
      </c>
      <c r="R20" s="48" t="s">
        <v>1257</v>
      </c>
      <c r="S20" s="48" t="s">
        <v>1257</v>
      </c>
      <c r="T20" s="48" t="s">
        <v>1257</v>
      </c>
      <c r="U20" s="48" t="s">
        <v>1257</v>
      </c>
      <c r="V20" s="48" t="s">
        <v>1257</v>
      </c>
      <c r="W20" s="48" t="s">
        <v>1257</v>
      </c>
    </row>
    <row r="21" spans="2:23">
      <c r="B21" s="48" t="s">
        <v>1246</v>
      </c>
      <c r="C21" s="48">
        <v>21</v>
      </c>
      <c r="D21" s="48" t="s">
        <v>1642</v>
      </c>
      <c r="E21" s="95">
        <v>45433</v>
      </c>
      <c r="F21" s="48">
        <v>1</v>
      </c>
      <c r="G21" s="191" t="e" cm="1">
        <f t="array" aca="1" ref="G21" ca="1">SUM(IF(IF(G3:G20="null",1,G3:G20)=1,1,0))/COUNT(IF(G3:G20="null",1,1))</f>
        <v>#DIV/0!</v>
      </c>
      <c r="H21" s="48" t="s">
        <v>1257</v>
      </c>
      <c r="I21" s="48" t="s">
        <v>1257</v>
      </c>
      <c r="J21" s="48" t="s">
        <v>1257</v>
      </c>
      <c r="K21" s="48" t="s">
        <v>1257</v>
      </c>
      <c r="L21" s="48" t="s">
        <v>1257</v>
      </c>
      <c r="M21" s="48" t="s">
        <v>1257</v>
      </c>
      <c r="N21" s="48" t="s">
        <v>1257</v>
      </c>
      <c r="O21" s="48" t="s">
        <v>1257</v>
      </c>
      <c r="P21" s="48" t="s">
        <v>1257</v>
      </c>
      <c r="Q21" s="48" t="s">
        <v>1257</v>
      </c>
      <c r="R21" s="48" t="s">
        <v>1257</v>
      </c>
      <c r="S21" s="48" t="s">
        <v>1257</v>
      </c>
      <c r="T21" s="48" t="s">
        <v>1257</v>
      </c>
      <c r="U21" s="48" t="s">
        <v>1257</v>
      </c>
      <c r="V21" s="48" t="s">
        <v>1257</v>
      </c>
      <c r="W21" s="48" t="s">
        <v>1257</v>
      </c>
    </row>
    <row r="22" spans="2:23">
      <c r="B22" s="48"/>
      <c r="C22" s="48"/>
      <c r="D22" s="48"/>
      <c r="E22" s="95"/>
      <c r="F22" s="48"/>
      <c r="G22" s="48"/>
      <c r="H22" s="48"/>
      <c r="I22" s="48"/>
      <c r="J22" s="48"/>
      <c r="K22" s="48"/>
      <c r="L22" s="48"/>
      <c r="M22" s="48"/>
      <c r="N22" s="48"/>
      <c r="O22" s="48"/>
      <c r="P22" s="48"/>
      <c r="Q22" s="48"/>
      <c r="R22" s="48"/>
      <c r="S22" s="48"/>
      <c r="T22" s="48"/>
      <c r="U22" s="48"/>
      <c r="V22" s="48"/>
      <c r="W22" s="48"/>
    </row>
    <row r="23" spans="2:23">
      <c r="B23" s="129" t="s">
        <v>1364</v>
      </c>
    </row>
    <row r="24" spans="2:23">
      <c r="B24" s="127" t="s">
        <v>1249</v>
      </c>
      <c r="C24" s="128" t="s">
        <v>1250</v>
      </c>
      <c r="D24" s="128" t="s">
        <v>1251</v>
      </c>
      <c r="E24" s="128" t="s">
        <v>1252</v>
      </c>
      <c r="F24" s="128" t="s">
        <v>1253</v>
      </c>
      <c r="G24" s="128" t="s">
        <v>1254</v>
      </c>
      <c r="H24" s="128" t="s">
        <v>1255</v>
      </c>
      <c r="I24" s="128" t="e" cm="1" vm="2">
        <f t="array" ref="I24">TRANSPOSE(_xlfn.SORTBY(_xlfn._xlws.FILTER(Table3[NOME FÍSICO CAMPO],Table3[NOME FÍSICO TABELA]="confirming_process"), _xlfn._xlws.FILTER(Table3[ORDEM], Table3[NOME FÍSICO TABELA]="confirming_process"), 1))</f>
        <v>#VALUE!</v>
      </c>
      <c r="J24" s="128"/>
      <c r="K24" s="128"/>
      <c r="L24" s="128"/>
      <c r="M24" s="128"/>
      <c r="N24" s="128"/>
      <c r="O24" s="128"/>
      <c r="P24" s="128"/>
      <c r="Q24" s="128"/>
      <c r="R24" s="128"/>
      <c r="S24" s="128"/>
      <c r="T24" s="128"/>
      <c r="U24" s="128"/>
      <c r="V24" s="128"/>
      <c r="W24" s="125"/>
    </row>
    <row r="25" spans="2:23">
      <c r="B25" s="106" t="s">
        <v>1294</v>
      </c>
      <c r="C25" s="109">
        <v>21</v>
      </c>
      <c r="D25" s="103" t="s">
        <v>1295</v>
      </c>
      <c r="E25" s="102" t="s">
        <v>1296</v>
      </c>
      <c r="F25" s="102" t="s">
        <v>124</v>
      </c>
      <c r="G25" s="102" t="s">
        <v>124</v>
      </c>
      <c r="H25" s="102" t="s">
        <v>124</v>
      </c>
      <c r="I25" s="102" t="e" cm="1" vm="2">
        <f t="array" aca="1" ref="I25" ca="1">TRANSPOSE(_xlfn.SORTBY(_xlfn._xlws.FILTER(IF(Table3[FORMATO]:Table3[COMP_ CAMPO]&lt;&gt;"",Table3[FORMATO]:Table3[COMP_ CAMPO],9999999),Table3[NOME FÍSICO TABELA]="confirming_process"), _xlfn._xlws.FILTER(Table3[ORDEM], Table3[NOME FÍSICO TABELA]="confirming_process"), 1))</f>
        <v>#VALUE!</v>
      </c>
      <c r="J25" s="102"/>
      <c r="K25" s="102"/>
      <c r="L25" s="102"/>
      <c r="M25" s="102"/>
      <c r="N25" s="102"/>
      <c r="O25" s="102"/>
      <c r="P25" s="102"/>
      <c r="Q25" s="102"/>
      <c r="R25" s="102"/>
      <c r="S25" s="102"/>
      <c r="T25" s="102"/>
      <c r="U25" s="102"/>
      <c r="V25" s="102"/>
      <c r="W25" s="108"/>
    </row>
    <row r="26" spans="2:23">
      <c r="B26" s="106" t="s">
        <v>1297</v>
      </c>
      <c r="C26" s="109">
        <v>7</v>
      </c>
      <c r="D26" s="103" t="s">
        <v>1295</v>
      </c>
      <c r="E26" s="102" t="s">
        <v>1296</v>
      </c>
      <c r="F26" s="104" t="s">
        <v>124</v>
      </c>
      <c r="G26" s="104" t="s">
        <v>124</v>
      </c>
      <c r="H26" s="104" t="s">
        <v>124</v>
      </c>
      <c r="I26" s="150"/>
      <c r="J26" s="150"/>
      <c r="K26" s="150"/>
      <c r="L26" s="150"/>
      <c r="M26" s="150"/>
      <c r="N26" s="150"/>
      <c r="O26" s="150"/>
      <c r="P26" s="150"/>
      <c r="Q26" s="150"/>
      <c r="R26" s="150"/>
      <c r="S26" s="150"/>
      <c r="T26" s="150"/>
      <c r="U26" s="150"/>
      <c r="V26" s="150"/>
      <c r="W26" s="151"/>
    </row>
    <row r="28" spans="2:23">
      <c r="B28" s="139" t="s">
        <v>1298</v>
      </c>
    </row>
    <row r="29" spans="2:23">
      <c r="B29" s="133" t="s">
        <v>1299</v>
      </c>
      <c r="C29" s="133" t="s">
        <v>1300</v>
      </c>
      <c r="D29" s="134" t="s">
        <v>1301</v>
      </c>
      <c r="E29" s="133" t="s">
        <v>1302</v>
      </c>
      <c r="F29" s="133" t="s">
        <v>1303</v>
      </c>
    </row>
    <row r="30" spans="2:23">
      <c r="B30" s="117"/>
      <c r="C30" s="116"/>
      <c r="D30" s="122"/>
      <c r="E30" s="145"/>
      <c r="F30" s="13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4.4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row r="2" spans="2:25">
      <c r="B2" s="77" t="s">
        <v>1375</v>
      </c>
      <c r="C2" s="77" t="s">
        <v>1250</v>
      </c>
      <c r="D2" s="77" t="s">
        <v>1251</v>
      </c>
      <c r="E2" s="77" t="s">
        <v>1252</v>
      </c>
      <c r="F2" s="77" t="s">
        <v>1253</v>
      </c>
      <c r="G2" s="77" t="s">
        <v>1254</v>
      </c>
      <c r="H2" s="77" t="s">
        <v>1255</v>
      </c>
      <c r="I2" s="77" t="s">
        <v>103</v>
      </c>
      <c r="J2" s="77" t="s">
        <v>144</v>
      </c>
      <c r="K2" s="128" t="s">
        <v>176</v>
      </c>
      <c r="L2" s="128" t="s">
        <v>203</v>
      </c>
      <c r="M2" s="128" t="s">
        <v>227</v>
      </c>
      <c r="N2" s="77" t="s">
        <v>248</v>
      </c>
      <c r="O2" s="77" t="s">
        <v>262</v>
      </c>
      <c r="P2" s="77" t="s">
        <v>275</v>
      </c>
      <c r="Q2" s="77" t="s">
        <v>289</v>
      </c>
      <c r="R2" s="77" t="s">
        <v>299</v>
      </c>
      <c r="S2" s="77" t="s">
        <v>314</v>
      </c>
      <c r="T2" s="77" t="s">
        <v>1643</v>
      </c>
      <c r="U2" s="77" t="s">
        <v>1644</v>
      </c>
      <c r="V2" s="77" t="s">
        <v>362</v>
      </c>
      <c r="W2" s="77" t="s">
        <v>382</v>
      </c>
      <c r="X2" s="77" t="s">
        <v>234</v>
      </c>
      <c r="Y2" s="77" t="s">
        <v>253</v>
      </c>
    </row>
    <row r="3" spans="2:25">
      <c r="B3" s="48" t="s">
        <v>1203</v>
      </c>
      <c r="C3" s="48">
        <v>1</v>
      </c>
      <c r="D3" s="48" t="s">
        <v>1645</v>
      </c>
      <c r="E3" s="95">
        <v>45390</v>
      </c>
      <c r="F3" s="48">
        <v>1</v>
      </c>
      <c r="G3" s="98">
        <v>1</v>
      </c>
      <c r="H3" s="98" t="s">
        <v>1646</v>
      </c>
      <c r="I3" s="48" t="s">
        <v>1257</v>
      </c>
      <c r="J3" s="48" t="s">
        <v>1257</v>
      </c>
      <c r="K3" s="48" t="s">
        <v>1257</v>
      </c>
      <c r="L3" s="48" t="s">
        <v>1257</v>
      </c>
      <c r="M3" s="48" t="s">
        <v>1257</v>
      </c>
      <c r="N3" s="48" t="s">
        <v>1257</v>
      </c>
      <c r="O3" s="48" t="s">
        <v>1257</v>
      </c>
      <c r="P3" s="48" t="s">
        <v>1257</v>
      </c>
      <c r="Q3" s="48" t="s">
        <v>1257</v>
      </c>
      <c r="R3" s="48" t="s">
        <v>1257</v>
      </c>
      <c r="S3" s="48" t="s">
        <v>1257</v>
      </c>
      <c r="T3" s="48" t="s">
        <v>1257</v>
      </c>
      <c r="U3" s="48" t="s">
        <v>1257</v>
      </c>
      <c r="V3" s="48" t="s">
        <v>1257</v>
      </c>
      <c r="W3" s="48" t="s">
        <v>1257</v>
      </c>
      <c r="X3" s="48" t="s">
        <v>1257</v>
      </c>
      <c r="Y3" s="48" t="s">
        <v>1257</v>
      </c>
    </row>
    <row r="4" spans="2:25">
      <c r="B4" s="48" t="s">
        <v>1205</v>
      </c>
      <c r="C4" s="48">
        <v>2</v>
      </c>
      <c r="D4" s="48" t="s">
        <v>1647</v>
      </c>
      <c r="E4" s="95">
        <v>45390</v>
      </c>
      <c r="F4" s="48">
        <v>1</v>
      </c>
      <c r="G4" s="98">
        <v>1</v>
      </c>
      <c r="H4" s="48" t="s">
        <v>1343</v>
      </c>
      <c r="I4" s="48" t="s">
        <v>1257</v>
      </c>
      <c r="J4" s="48" t="s">
        <v>1257</v>
      </c>
      <c r="K4" s="48" t="s">
        <v>1257</v>
      </c>
      <c r="L4" s="48" t="s">
        <v>1257</v>
      </c>
      <c r="M4" s="48" t="s">
        <v>1257</v>
      </c>
      <c r="N4" s="48" t="s">
        <v>1257</v>
      </c>
      <c r="O4" s="48" t="s">
        <v>1257</v>
      </c>
      <c r="P4" s="48" t="s">
        <v>1257</v>
      </c>
      <c r="Q4" s="48" t="s">
        <v>1257</v>
      </c>
      <c r="R4" s="48" t="s">
        <v>1257</v>
      </c>
      <c r="S4" s="48" t="s">
        <v>1257</v>
      </c>
      <c r="T4" s="48" t="s">
        <v>1257</v>
      </c>
      <c r="U4" s="48" t="s">
        <v>1257</v>
      </c>
      <c r="V4" s="48" t="s">
        <v>1257</v>
      </c>
      <c r="W4" s="48" t="s">
        <v>1257</v>
      </c>
      <c r="X4" s="48" t="s">
        <v>1257</v>
      </c>
      <c r="Y4" s="48" t="s">
        <v>1257</v>
      </c>
    </row>
    <row r="5" spans="2:25">
      <c r="B5" s="48" t="s">
        <v>1207</v>
      </c>
      <c r="C5" s="48">
        <v>3</v>
      </c>
      <c r="D5" s="48" t="s">
        <v>1648</v>
      </c>
      <c r="E5" s="95">
        <v>45390</v>
      </c>
      <c r="F5" s="48">
        <v>1</v>
      </c>
      <c r="G5" s="98">
        <v>1</v>
      </c>
      <c r="H5" s="48" t="s">
        <v>1343</v>
      </c>
      <c r="I5" s="48">
        <v>0</v>
      </c>
      <c r="J5" s="48">
        <v>0</v>
      </c>
      <c r="K5" s="48" t="s">
        <v>1257</v>
      </c>
      <c r="L5" s="48" t="s">
        <v>1257</v>
      </c>
      <c r="M5" s="48" t="s">
        <v>1257</v>
      </c>
      <c r="N5" s="48" t="s">
        <v>1257</v>
      </c>
      <c r="O5" s="48" t="s">
        <v>1257</v>
      </c>
      <c r="P5" s="48" t="s">
        <v>1257</v>
      </c>
      <c r="Q5" s="48" t="s">
        <v>1257</v>
      </c>
      <c r="R5" s="48" t="s">
        <v>1257</v>
      </c>
      <c r="S5" s="48" t="s">
        <v>1257</v>
      </c>
      <c r="T5" s="48" t="s">
        <v>1257</v>
      </c>
      <c r="U5" s="48" t="s">
        <v>1257</v>
      </c>
      <c r="V5" s="48" t="s">
        <v>1257</v>
      </c>
      <c r="W5" s="48" t="s">
        <v>1257</v>
      </c>
      <c r="X5" s="48">
        <v>0</v>
      </c>
      <c r="Y5" s="48" t="s">
        <v>1257</v>
      </c>
    </row>
    <row r="6" spans="2:25">
      <c r="B6" s="48" t="s">
        <v>1209</v>
      </c>
      <c r="C6" s="48">
        <v>4</v>
      </c>
      <c r="D6" s="48" t="s">
        <v>1260</v>
      </c>
      <c r="E6" s="95" t="s">
        <v>1257</v>
      </c>
      <c r="F6" s="48">
        <v>1</v>
      </c>
      <c r="G6" s="95" t="s">
        <v>1257</v>
      </c>
      <c r="H6" s="48" t="s">
        <v>1343</v>
      </c>
      <c r="I6" s="48" t="s">
        <v>1257</v>
      </c>
      <c r="J6" s="48" t="s">
        <v>1257</v>
      </c>
      <c r="K6" s="48" t="s">
        <v>1257</v>
      </c>
      <c r="L6" s="48" t="s">
        <v>1257</v>
      </c>
      <c r="M6" s="48" t="s">
        <v>1257</v>
      </c>
      <c r="N6" s="48" t="s">
        <v>1257</v>
      </c>
      <c r="O6" s="48" t="s">
        <v>1257</v>
      </c>
      <c r="P6" s="48" t="s">
        <v>1257</v>
      </c>
      <c r="Q6" s="48" t="s">
        <v>1257</v>
      </c>
      <c r="R6" s="48" t="s">
        <v>1257</v>
      </c>
      <c r="S6" s="48" t="s">
        <v>1257</v>
      </c>
      <c r="T6" s="48" t="s">
        <v>1257</v>
      </c>
      <c r="U6" s="48" t="s">
        <v>1257</v>
      </c>
      <c r="V6" s="48" t="s">
        <v>1257</v>
      </c>
      <c r="W6" s="48" t="s">
        <v>1257</v>
      </c>
      <c r="X6" s="48" t="s">
        <v>1257</v>
      </c>
      <c r="Y6" s="48" t="s">
        <v>1257</v>
      </c>
    </row>
    <row r="7" spans="2:25">
      <c r="B7" s="48" t="s">
        <v>1211</v>
      </c>
      <c r="C7" s="48">
        <v>5</v>
      </c>
      <c r="D7" s="48" t="s">
        <v>1260</v>
      </c>
      <c r="E7" s="95" t="s">
        <v>1257</v>
      </c>
      <c r="F7" s="48">
        <v>1</v>
      </c>
      <c r="G7" s="95" t="s">
        <v>1257</v>
      </c>
      <c r="H7" s="48" t="s">
        <v>1343</v>
      </c>
      <c r="I7" s="48" t="s">
        <v>1257</v>
      </c>
      <c r="J7" s="48" t="s">
        <v>1257</v>
      </c>
      <c r="K7" s="48" t="s">
        <v>1257</v>
      </c>
      <c r="L7" s="48" t="s">
        <v>1257</v>
      </c>
      <c r="M7" s="48" t="s">
        <v>1257</v>
      </c>
      <c r="N7" s="48" t="s">
        <v>1257</v>
      </c>
      <c r="O7" s="48" t="s">
        <v>1257</v>
      </c>
      <c r="P7" s="48" t="s">
        <v>1257</v>
      </c>
      <c r="Q7" s="48" t="s">
        <v>1257</v>
      </c>
      <c r="R7" s="48" t="s">
        <v>1257</v>
      </c>
      <c r="S7" s="48" t="s">
        <v>1257</v>
      </c>
      <c r="T7" s="48" t="s">
        <v>1257</v>
      </c>
      <c r="U7" s="48" t="s">
        <v>1257</v>
      </c>
      <c r="V7" s="48" t="s">
        <v>1257</v>
      </c>
      <c r="W7" s="48" t="s">
        <v>1257</v>
      </c>
      <c r="X7" s="48" t="s">
        <v>1257</v>
      </c>
      <c r="Y7" s="48" t="s">
        <v>1257</v>
      </c>
    </row>
    <row r="8" spans="2:25">
      <c r="B8" s="48" t="s">
        <v>1212</v>
      </c>
      <c r="C8" s="48">
        <v>6</v>
      </c>
      <c r="D8" s="48" t="s">
        <v>1649</v>
      </c>
      <c r="E8" s="95">
        <v>45390</v>
      </c>
      <c r="F8" s="48">
        <v>1</v>
      </c>
      <c r="G8" s="48" cm="1">
        <f t="array" ref="G8">SUMPRODUCT(--(I8:Y8&gt;0))/COUNTA(I8:Y8)</f>
        <v>1</v>
      </c>
      <c r="H8" s="48" t="s">
        <v>1343</v>
      </c>
      <c r="I8" s="48">
        <v>2</v>
      </c>
      <c r="J8" s="48">
        <v>15</v>
      </c>
      <c r="K8" s="48">
        <v>2</v>
      </c>
      <c r="L8" s="48">
        <v>4</v>
      </c>
      <c r="M8" s="48">
        <v>34</v>
      </c>
      <c r="N8" s="48">
        <v>2</v>
      </c>
      <c r="O8" s="48">
        <v>4</v>
      </c>
      <c r="P8" s="48">
        <v>34</v>
      </c>
      <c r="Q8" s="48">
        <v>10</v>
      </c>
      <c r="R8" s="48">
        <v>10</v>
      </c>
      <c r="S8" s="48">
        <v>3</v>
      </c>
      <c r="T8" s="48">
        <v>8</v>
      </c>
      <c r="U8" s="48">
        <v>8</v>
      </c>
      <c r="V8" s="48">
        <v>3</v>
      </c>
      <c r="W8" s="48">
        <v>3</v>
      </c>
      <c r="X8" s="48">
        <v>10</v>
      </c>
      <c r="Y8" s="48">
        <v>23</v>
      </c>
    </row>
    <row r="9" spans="2:25">
      <c r="B9" s="48" t="s">
        <v>1215</v>
      </c>
      <c r="C9" s="48">
        <v>7</v>
      </c>
      <c r="D9" s="48" t="s">
        <v>1650</v>
      </c>
      <c r="E9" s="95">
        <v>45390</v>
      </c>
      <c r="F9" s="48">
        <v>1</v>
      </c>
      <c r="G9" s="48" cm="1">
        <f t="array" aca="1" ref="G9" ca="1">SUMPRODUCT(--(I9:Y9&lt;=I26:Y26))/COUNTA(I26:Y26)</f>
        <v>1</v>
      </c>
      <c r="H9" s="48" t="s">
        <v>1343</v>
      </c>
      <c r="I9" s="48">
        <v>2</v>
      </c>
      <c r="J9" s="48">
        <v>15</v>
      </c>
      <c r="K9" s="48">
        <v>4</v>
      </c>
      <c r="L9" s="48">
        <v>30</v>
      </c>
      <c r="M9" s="48">
        <v>34</v>
      </c>
      <c r="N9" s="48">
        <v>4</v>
      </c>
      <c r="O9" s="48">
        <v>30</v>
      </c>
      <c r="P9" s="48">
        <v>34</v>
      </c>
      <c r="Q9" s="48">
        <v>10</v>
      </c>
      <c r="R9" s="48">
        <v>10</v>
      </c>
      <c r="S9" s="48">
        <v>3</v>
      </c>
      <c r="T9" s="48">
        <v>16</v>
      </c>
      <c r="U9" s="48">
        <v>16</v>
      </c>
      <c r="V9" s="48">
        <v>3</v>
      </c>
      <c r="W9" s="48">
        <v>3</v>
      </c>
      <c r="X9" s="48">
        <v>10</v>
      </c>
      <c r="Y9" s="48">
        <v>23</v>
      </c>
    </row>
    <row r="10" spans="2:25">
      <c r="B10" s="48" t="s">
        <v>1218</v>
      </c>
      <c r="C10" s="48">
        <v>8</v>
      </c>
      <c r="D10" s="48" t="s">
        <v>1651</v>
      </c>
      <c r="E10" s="95">
        <v>45390</v>
      </c>
      <c r="F10" s="48">
        <v>1</v>
      </c>
      <c r="G10" s="95" t="s">
        <v>1257</v>
      </c>
      <c r="H10" s="48" t="s">
        <v>1343</v>
      </c>
      <c r="I10" s="48">
        <v>89</v>
      </c>
      <c r="J10" s="48">
        <v>19950000013</v>
      </c>
      <c r="K10" s="48" t="e">
        <v>#N/A</v>
      </c>
      <c r="L10" s="48" t="e">
        <v>#N/A</v>
      </c>
      <c r="M10" s="48">
        <v>7.7800000002008096E+21</v>
      </c>
      <c r="N10" s="48" t="e">
        <v>#N/A</v>
      </c>
      <c r="O10" s="48" t="e">
        <v>#N/A</v>
      </c>
      <c r="P10" s="48">
        <v>7.7800000002008096E+21</v>
      </c>
      <c r="Q10" s="95">
        <v>32265</v>
      </c>
      <c r="R10" s="95">
        <v>36556</v>
      </c>
      <c r="S10" s="48" t="s">
        <v>1652</v>
      </c>
      <c r="T10" s="95" t="s">
        <v>1266</v>
      </c>
      <c r="U10" s="95" t="s">
        <v>1266</v>
      </c>
      <c r="V10" s="48" t="s">
        <v>1267</v>
      </c>
      <c r="W10" s="95" t="s">
        <v>1268</v>
      </c>
      <c r="X10" s="95">
        <v>45390</v>
      </c>
      <c r="Y10" s="48" t="s">
        <v>1653</v>
      </c>
    </row>
    <row r="11" spans="2:25">
      <c r="B11" s="48" t="s">
        <v>1220</v>
      </c>
      <c r="C11" s="48">
        <v>9</v>
      </c>
      <c r="D11" s="48" t="s">
        <v>1654</v>
      </c>
      <c r="E11" s="95">
        <v>45390</v>
      </c>
      <c r="F11" s="48">
        <v>1</v>
      </c>
      <c r="G11" s="95" t="s">
        <v>1257</v>
      </c>
      <c r="H11" s="48" t="s">
        <v>1343</v>
      </c>
      <c r="I11" s="48">
        <v>31</v>
      </c>
      <c r="J11" s="48">
        <v>19950000013</v>
      </c>
      <c r="K11" s="48"/>
      <c r="L11" s="48" t="e">
        <v>#N/A</v>
      </c>
      <c r="M11" s="48">
        <v>7.7800000002008096E+21</v>
      </c>
      <c r="N11" s="48"/>
      <c r="O11" s="48" t="e">
        <v>#N/A</v>
      </c>
      <c r="P11" s="48" t="s">
        <v>1655</v>
      </c>
      <c r="Q11" s="95">
        <v>32265</v>
      </c>
      <c r="R11" s="95">
        <v>36556</v>
      </c>
      <c r="S11" s="48" t="s">
        <v>1652</v>
      </c>
      <c r="T11" s="95" t="s">
        <v>1343</v>
      </c>
      <c r="U11" s="95" t="s">
        <v>1343</v>
      </c>
      <c r="V11" s="48">
        <v>5</v>
      </c>
      <c r="W11" s="95" t="s">
        <v>1272</v>
      </c>
      <c r="X11" s="95">
        <v>45390</v>
      </c>
      <c r="Y11" s="48" t="s">
        <v>1656</v>
      </c>
    </row>
    <row r="12" spans="2:25" s="179" customFormat="1">
      <c r="B12" s="178" t="s">
        <v>1222</v>
      </c>
      <c r="C12" s="178" t="s">
        <v>1657</v>
      </c>
      <c r="D12" s="178" t="s">
        <v>1658</v>
      </c>
      <c r="E12" s="95">
        <v>45390</v>
      </c>
      <c r="F12" s="48">
        <v>1</v>
      </c>
      <c r="G12" s="95" t="s">
        <v>1257</v>
      </c>
      <c r="H12" s="178" t="s">
        <v>1343</v>
      </c>
      <c r="I12" s="178" t="s">
        <v>1659</v>
      </c>
      <c r="J12" s="178" t="s">
        <v>1660</v>
      </c>
      <c r="K12" s="178" t="s">
        <v>1661</v>
      </c>
      <c r="L12" s="178" t="s">
        <v>1662</v>
      </c>
      <c r="M12" s="178" t="s">
        <v>1663</v>
      </c>
      <c r="N12" s="178" t="s">
        <v>1661</v>
      </c>
      <c r="O12" s="178" t="s">
        <v>1662</v>
      </c>
      <c r="P12" s="178" t="s">
        <v>1663</v>
      </c>
      <c r="Q12" s="178" t="s">
        <v>1664</v>
      </c>
      <c r="R12" s="178" t="s">
        <v>1665</v>
      </c>
      <c r="S12" s="178" t="s">
        <v>1666</v>
      </c>
      <c r="T12" s="178" t="s">
        <v>1667</v>
      </c>
      <c r="U12" s="178" t="s">
        <v>1668</v>
      </c>
      <c r="V12" s="178" t="s">
        <v>1267</v>
      </c>
      <c r="W12" s="178" t="s">
        <v>1268</v>
      </c>
      <c r="X12" s="178" t="s">
        <v>1669</v>
      </c>
      <c r="Y12" s="178" t="s">
        <v>1653</v>
      </c>
    </row>
    <row r="13" spans="2:25" s="179" customFormat="1">
      <c r="B13" s="178" t="s">
        <v>1224</v>
      </c>
      <c r="C13" s="178" t="s">
        <v>1670</v>
      </c>
      <c r="D13" s="178" t="s">
        <v>1671</v>
      </c>
      <c r="E13" s="95">
        <v>45390</v>
      </c>
      <c r="F13" s="48">
        <v>1</v>
      </c>
      <c r="G13" s="95" t="s">
        <v>1257</v>
      </c>
      <c r="H13" s="178" t="s">
        <v>1343</v>
      </c>
      <c r="I13" s="178" t="s">
        <v>1661</v>
      </c>
      <c r="J13" s="178" t="s">
        <v>1660</v>
      </c>
      <c r="K13" s="178" t="s">
        <v>1672</v>
      </c>
      <c r="L13" s="178" t="s">
        <v>1662</v>
      </c>
      <c r="M13" s="178" t="s">
        <v>1663</v>
      </c>
      <c r="N13" s="178" t="s">
        <v>1672</v>
      </c>
      <c r="O13" s="178" t="s">
        <v>1662</v>
      </c>
      <c r="P13" s="178" t="s">
        <v>1663</v>
      </c>
      <c r="Q13" s="178" t="s">
        <v>1664</v>
      </c>
      <c r="R13" s="178" t="s">
        <v>1665</v>
      </c>
      <c r="S13" s="178" t="s">
        <v>1666</v>
      </c>
      <c r="T13" s="178" t="s">
        <v>1673</v>
      </c>
      <c r="U13" s="178" t="s">
        <v>1674</v>
      </c>
      <c r="V13" s="178" t="s">
        <v>1675</v>
      </c>
      <c r="W13" s="178" t="s">
        <v>1272</v>
      </c>
      <c r="X13" s="178" t="s">
        <v>1669</v>
      </c>
      <c r="Y13" s="178" t="s">
        <v>1676</v>
      </c>
    </row>
    <row r="14" spans="2:25">
      <c r="B14" s="48" t="s">
        <v>1226</v>
      </c>
      <c r="C14" s="48">
        <v>12</v>
      </c>
      <c r="D14" s="48" t="s">
        <v>1677</v>
      </c>
      <c r="E14" s="95">
        <v>45390</v>
      </c>
      <c r="F14" s="48">
        <v>1</v>
      </c>
      <c r="G14" s="48">
        <v>0.65</v>
      </c>
      <c r="H14" s="48" t="s">
        <v>1343</v>
      </c>
      <c r="I14" s="48">
        <v>0</v>
      </c>
      <c r="J14" s="48">
        <v>0</v>
      </c>
      <c r="K14" s="48">
        <v>4</v>
      </c>
      <c r="L14" s="48">
        <v>4</v>
      </c>
      <c r="M14" s="48">
        <v>4</v>
      </c>
      <c r="N14" s="48">
        <v>4</v>
      </c>
      <c r="O14" s="48">
        <v>4</v>
      </c>
      <c r="P14" s="48">
        <v>4</v>
      </c>
      <c r="Q14" s="48">
        <v>0</v>
      </c>
      <c r="R14" s="48">
        <v>0</v>
      </c>
      <c r="S14" s="48">
        <v>0</v>
      </c>
      <c r="T14" s="48">
        <v>0</v>
      </c>
      <c r="U14" s="48">
        <v>0</v>
      </c>
      <c r="V14" s="48">
        <v>0</v>
      </c>
      <c r="W14" s="48">
        <v>0</v>
      </c>
      <c r="X14" s="48">
        <v>0</v>
      </c>
      <c r="Y14" s="48">
        <v>0</v>
      </c>
    </row>
    <row r="15" spans="2:25">
      <c r="B15" s="48" t="s">
        <v>1228</v>
      </c>
      <c r="C15" s="48">
        <v>13</v>
      </c>
      <c r="D15" s="48" t="s">
        <v>1678</v>
      </c>
      <c r="E15" s="95">
        <v>45390</v>
      </c>
      <c r="F15" s="48">
        <v>1</v>
      </c>
      <c r="G15" s="98">
        <v>1</v>
      </c>
      <c r="H15" s="48" t="s">
        <v>1343</v>
      </c>
      <c r="I15" s="48" t="s">
        <v>1257</v>
      </c>
      <c r="J15" s="48" t="s">
        <v>1257</v>
      </c>
      <c r="K15" s="48" t="s">
        <v>1257</v>
      </c>
      <c r="L15" s="48" t="s">
        <v>1257</v>
      </c>
      <c r="M15" s="48" t="s">
        <v>1257</v>
      </c>
      <c r="N15" s="48" t="s">
        <v>1257</v>
      </c>
      <c r="O15" s="48" t="s">
        <v>1257</v>
      </c>
      <c r="P15" s="48" t="s">
        <v>1257</v>
      </c>
      <c r="Q15" s="48">
        <v>0</v>
      </c>
      <c r="R15" s="48">
        <v>0</v>
      </c>
      <c r="S15" s="48" t="s">
        <v>1257</v>
      </c>
      <c r="T15" s="48" t="s">
        <v>1257</v>
      </c>
      <c r="U15" s="48" t="s">
        <v>1257</v>
      </c>
      <c r="V15" s="48" t="s">
        <v>1257</v>
      </c>
      <c r="W15" s="48" t="s">
        <v>1257</v>
      </c>
      <c r="X15" s="48" t="s">
        <v>1257</v>
      </c>
      <c r="Y15" s="48" t="s">
        <v>1257</v>
      </c>
    </row>
    <row r="16" spans="2:25">
      <c r="B16" s="48" t="s">
        <v>1230</v>
      </c>
      <c r="C16" s="48">
        <v>14</v>
      </c>
      <c r="D16" s="48" t="s">
        <v>1679</v>
      </c>
      <c r="E16" s="95">
        <v>45390</v>
      </c>
      <c r="F16" s="48">
        <v>1</v>
      </c>
      <c r="G16" s="98">
        <v>1</v>
      </c>
      <c r="H16" s="48" t="s">
        <v>1343</v>
      </c>
      <c r="I16" s="48">
        <v>0</v>
      </c>
      <c r="J16" s="48">
        <v>0</v>
      </c>
      <c r="K16" s="48">
        <v>0</v>
      </c>
      <c r="L16" s="48">
        <v>0</v>
      </c>
      <c r="M16" s="48" t="s">
        <v>1257</v>
      </c>
      <c r="N16" s="48">
        <v>0</v>
      </c>
      <c r="O16" s="48">
        <v>0</v>
      </c>
      <c r="P16" s="48" t="s">
        <v>1257</v>
      </c>
      <c r="Q16" s="48" t="s">
        <v>1257</v>
      </c>
      <c r="R16" s="48" t="s">
        <v>1257</v>
      </c>
      <c r="S16" s="48">
        <v>0</v>
      </c>
      <c r="T16" s="48" t="s">
        <v>1257</v>
      </c>
      <c r="U16" s="48" t="s">
        <v>1257</v>
      </c>
      <c r="V16" s="48">
        <v>0</v>
      </c>
      <c r="W16" s="48">
        <v>0</v>
      </c>
      <c r="X16" s="48" t="s">
        <v>1257</v>
      </c>
      <c r="Y16" s="48" t="s">
        <v>1257</v>
      </c>
    </row>
    <row r="17" spans="2:25">
      <c r="B17" s="48" t="s">
        <v>1680</v>
      </c>
      <c r="C17" s="48">
        <v>15</v>
      </c>
      <c r="D17" s="48" t="s">
        <v>1681</v>
      </c>
      <c r="E17" s="95">
        <v>45390</v>
      </c>
      <c r="F17" s="48">
        <v>1</v>
      </c>
      <c r="G17" s="98">
        <v>1</v>
      </c>
      <c r="H17" s="98" t="s">
        <v>1646</v>
      </c>
      <c r="I17" s="48" t="s">
        <v>1257</v>
      </c>
      <c r="J17" s="48" t="s">
        <v>1257</v>
      </c>
      <c r="K17" s="48" t="s">
        <v>1257</v>
      </c>
      <c r="L17" s="48" t="s">
        <v>1257</v>
      </c>
      <c r="M17" s="48" t="s">
        <v>1257</v>
      </c>
      <c r="N17" s="48" t="s">
        <v>1257</v>
      </c>
      <c r="O17" s="48" t="s">
        <v>1257</v>
      </c>
      <c r="P17" s="48" t="s">
        <v>1257</v>
      </c>
      <c r="Q17" s="48" t="s">
        <v>1257</v>
      </c>
      <c r="R17" s="48" t="s">
        <v>1257</v>
      </c>
      <c r="S17" s="48" t="s">
        <v>1257</v>
      </c>
      <c r="T17" s="48" t="s">
        <v>1257</v>
      </c>
      <c r="U17" s="48" t="s">
        <v>1257</v>
      </c>
      <c r="V17" s="48" t="s">
        <v>1257</v>
      </c>
      <c r="W17" s="48" t="s">
        <v>1257</v>
      </c>
      <c r="X17" s="48" t="s">
        <v>1257</v>
      </c>
      <c r="Y17" s="48" t="s">
        <v>1257</v>
      </c>
    </row>
    <row r="18" spans="2:25">
      <c r="B18" s="48" t="s">
        <v>1682</v>
      </c>
      <c r="C18" s="48">
        <v>16</v>
      </c>
      <c r="D18" s="48" t="s">
        <v>1681</v>
      </c>
      <c r="E18" s="95">
        <v>45390</v>
      </c>
      <c r="F18" s="48">
        <v>1</v>
      </c>
      <c r="G18" s="98">
        <v>1</v>
      </c>
      <c r="H18" s="98" t="s">
        <v>1646</v>
      </c>
      <c r="I18" s="48" t="s">
        <v>1257</v>
      </c>
      <c r="J18" s="48" t="s">
        <v>1257</v>
      </c>
      <c r="K18" s="48" t="s">
        <v>1257</v>
      </c>
      <c r="L18" s="48" t="s">
        <v>1257</v>
      </c>
      <c r="M18" s="48" t="s">
        <v>1257</v>
      </c>
      <c r="N18" s="48" t="s">
        <v>1257</v>
      </c>
      <c r="O18" s="48" t="s">
        <v>1257</v>
      </c>
      <c r="P18" s="48" t="s">
        <v>1257</v>
      </c>
      <c r="Q18" s="48" t="s">
        <v>1257</v>
      </c>
      <c r="R18" s="48" t="s">
        <v>1257</v>
      </c>
      <c r="S18" s="48" t="s">
        <v>1257</v>
      </c>
      <c r="T18" s="48" t="s">
        <v>1257</v>
      </c>
      <c r="U18" s="48" t="s">
        <v>1257</v>
      </c>
      <c r="V18" s="48" t="s">
        <v>1257</v>
      </c>
      <c r="W18" s="48" t="s">
        <v>1257</v>
      </c>
      <c r="X18" s="48" t="s">
        <v>1257</v>
      </c>
      <c r="Y18" s="48" t="s">
        <v>1257</v>
      </c>
    </row>
    <row r="19" spans="2:25">
      <c r="B19" s="48" t="s">
        <v>1240</v>
      </c>
      <c r="C19" s="48">
        <v>19</v>
      </c>
      <c r="D19" s="48" t="s">
        <v>1683</v>
      </c>
      <c r="E19" s="95">
        <v>45390</v>
      </c>
      <c r="F19" s="48">
        <v>1</v>
      </c>
      <c r="G19" s="98" cm="1">
        <f t="array" aca="1" ref="G19" ca="1">SUMPRODUCT(--(ISNUMBER((SEARCH(I25:W25,I19:W19)))))/COUNTA(I19:W19)</f>
        <v>0.8666666666666667</v>
      </c>
      <c r="H19" s="48" t="s">
        <v>1343</v>
      </c>
      <c r="I19" s="48" t="s">
        <v>1291</v>
      </c>
      <c r="J19" s="48" t="s">
        <v>1291</v>
      </c>
      <c r="K19" s="48" t="s">
        <v>1291</v>
      </c>
      <c r="L19" s="48" t="s">
        <v>1291</v>
      </c>
      <c r="M19" s="48" t="s">
        <v>1291</v>
      </c>
      <c r="N19" s="48" t="s">
        <v>1291</v>
      </c>
      <c r="O19" s="48" t="s">
        <v>1291</v>
      </c>
      <c r="P19" s="48" t="s">
        <v>1291</v>
      </c>
      <c r="Q19" s="48" t="s">
        <v>1641</v>
      </c>
      <c r="R19" s="48" t="s">
        <v>1641</v>
      </c>
      <c r="S19" s="48" t="s">
        <v>1291</v>
      </c>
      <c r="T19" s="48" t="s">
        <v>1292</v>
      </c>
      <c r="U19" s="48" t="s">
        <v>1292</v>
      </c>
      <c r="V19" s="48" t="s">
        <v>1291</v>
      </c>
      <c r="W19" s="48" t="s">
        <v>1291</v>
      </c>
      <c r="X19" s="48" t="s">
        <v>1291</v>
      </c>
      <c r="Y19" s="48" t="s">
        <v>1293</v>
      </c>
    </row>
    <row r="20" spans="2:25">
      <c r="B20" s="48" t="s">
        <v>1243</v>
      </c>
      <c r="C20" s="48">
        <v>20</v>
      </c>
      <c r="D20" s="48" t="s">
        <v>1683</v>
      </c>
      <c r="E20" s="95">
        <v>45390</v>
      </c>
      <c r="F20" s="48">
        <v>1</v>
      </c>
      <c r="G20" s="98" cm="1">
        <f t="array" ref="G20">SUM(IF(I2:Y2 = I24:Y24, 1, 0))/ COUNTA(I2:Y2)</f>
        <v>0.88235294117647056</v>
      </c>
      <c r="H20" s="48"/>
      <c r="I20" s="48"/>
      <c r="J20" s="48"/>
      <c r="K20" s="48"/>
      <c r="L20" s="48"/>
      <c r="M20" s="48"/>
      <c r="N20" s="48"/>
      <c r="O20" s="48"/>
      <c r="P20" s="48"/>
      <c r="Q20" s="48"/>
      <c r="R20" s="48"/>
      <c r="S20" s="48"/>
      <c r="T20" s="48"/>
      <c r="U20" s="48"/>
      <c r="V20" s="48"/>
      <c r="W20" s="48"/>
      <c r="X20" s="48"/>
      <c r="Y20" s="48"/>
    </row>
    <row r="21" spans="2:25">
      <c r="B21" s="48" t="s">
        <v>1246</v>
      </c>
      <c r="C21" s="48">
        <v>21</v>
      </c>
      <c r="D21" s="48" t="s">
        <v>1683</v>
      </c>
      <c r="E21" s="95">
        <v>45390</v>
      </c>
      <c r="F21" s="48">
        <v>1</v>
      </c>
      <c r="G21" s="48" cm="1">
        <f t="array" aca="1" ref="G21" ca="1">SUM(IF(IF(G3:G20="null",1,G3:G20)=1,1,0))/COUNT(IF(G3:G20="null",1,1))</f>
        <v>0.83333333333333337</v>
      </c>
      <c r="H21" s="48"/>
      <c r="I21" s="48"/>
      <c r="J21" s="48"/>
      <c r="K21" s="48"/>
      <c r="L21" s="48"/>
      <c r="M21" s="48"/>
      <c r="N21" s="48"/>
      <c r="O21" s="48"/>
      <c r="P21" s="48"/>
      <c r="Q21" s="48"/>
      <c r="R21" s="48"/>
      <c r="S21" s="48"/>
      <c r="T21" s="48"/>
      <c r="U21" s="48"/>
      <c r="V21" s="48"/>
      <c r="W21" s="48"/>
      <c r="X21" s="48"/>
      <c r="Y21" s="48"/>
    </row>
    <row r="22" spans="2:25">
      <c r="B22" s="48"/>
      <c r="C22" s="48"/>
      <c r="D22" s="48"/>
      <c r="E22" s="95"/>
      <c r="F22" s="48"/>
      <c r="G22" s="48"/>
      <c r="H22" s="48"/>
      <c r="I22" s="48"/>
      <c r="J22" s="48"/>
      <c r="K22" s="48"/>
      <c r="L22" s="48"/>
      <c r="M22" s="48"/>
      <c r="N22" s="48"/>
      <c r="O22" s="48"/>
      <c r="P22" s="48"/>
      <c r="Q22" s="48"/>
      <c r="R22" s="48"/>
      <c r="S22" s="48"/>
      <c r="T22" s="48"/>
      <c r="U22" s="48"/>
      <c r="V22" s="48"/>
      <c r="W22" s="48"/>
      <c r="X22" s="48"/>
      <c r="Y22" s="48"/>
    </row>
    <row r="23" spans="2:25">
      <c r="B23" s="126" t="s">
        <v>1364</v>
      </c>
    </row>
    <row r="24" spans="2:25">
      <c r="B24" s="132" t="s">
        <v>1249</v>
      </c>
      <c r="C24" s="128" t="s">
        <v>1250</v>
      </c>
      <c r="D24" s="128" t="s">
        <v>1251</v>
      </c>
      <c r="E24" s="128" t="s">
        <v>1252</v>
      </c>
      <c r="F24" s="128" t="s">
        <v>1253</v>
      </c>
      <c r="G24" s="128" t="s">
        <v>1254</v>
      </c>
      <c r="H24" s="128" t="s">
        <v>1255</v>
      </c>
      <c r="I24" s="128" t="str" cm="1">
        <f t="array" ref="I24:Y24">TRANSPOSE(_xlfn.SORTBY(_xlfn._xlws.FILTER(Table3[NOME FÍSICO CAMPO],Table3[NOME FÍSICO TABELA]="factoring_process"), _xlfn._xlws.FILTER(Table3[ORDEM], Table3[NOME FÍSICO TABELA]="factoring_process"), 1))</f>
        <v>bank_id</v>
      </c>
      <c r="J24" s="128" t="str">
        <v>process_id</v>
      </c>
      <c r="K24" s="128" t="str">
        <v>main_current_account_bank_id</v>
      </c>
      <c r="L24" s="128" t="str">
        <v>main_current_account_contract_id</v>
      </c>
      <c r="M24" s="128" t="str">
        <v>main_current_account_iban</v>
      </c>
      <c r="N24" s="128" t="str">
        <v>main_loan_account_bank_id</v>
      </c>
      <c r="O24" s="128" t="str">
        <v>main_loan_account_contract_id</v>
      </c>
      <c r="P24" s="128" t="str">
        <v>main_loan_account_iban</v>
      </c>
      <c r="Q24" s="128" t="str">
        <v>opening_date</v>
      </c>
      <c r="R24" s="128" t="str">
        <v>current_maturity_date</v>
      </c>
      <c r="S24" s="128" t="str">
        <v>currency_code</v>
      </c>
      <c r="T24" s="128" t="str">
        <v>initial_authorized_amount</v>
      </c>
      <c r="U24" s="128" t="str">
        <v>current_authorized_amount</v>
      </c>
      <c r="V24" s="128" t="str">
        <v>process_status_code</v>
      </c>
      <c r="W24" s="128" t="str">
        <v>process_opening_channel_code</v>
      </c>
      <c r="X24" s="128" t="str">
        <v>data_date_part</v>
      </c>
      <c r="Y24" s="128" t="str">
        <v>data_timestamp_part</v>
      </c>
    </row>
    <row r="25" spans="2:25">
      <c r="B25" s="106" t="s">
        <v>1294</v>
      </c>
      <c r="C25" s="109">
        <v>16</v>
      </c>
      <c r="D25" s="103" t="s">
        <v>1295</v>
      </c>
      <c r="E25" s="102" t="s">
        <v>1296</v>
      </c>
      <c r="F25" s="102" t="s">
        <v>124</v>
      </c>
      <c r="G25" s="102" t="s">
        <v>124</v>
      </c>
      <c r="H25" s="102" t="s">
        <v>124</v>
      </c>
      <c r="I25" s="102" t="str" cm="1">
        <f t="array" aca="1" ref="I25:Y26" ca="1">TRANSPOSE(_xlfn.SORTBY(_xlfn._xlws.FILTER(IF(Table3[FORMATO]:Table3[COMP_ CAMPO]&lt;&gt;"",Table3[FORMATO]:Table3[COMP_ CAMPO],9999999),Table3[NOME FÍSICO TABELA]="factoring_process"), _xlfn._xlws.FILTER(Table3[ORDEM], Table3[NOME FÍSICO TABELA]="factoring_process"), 1))</f>
        <v>STRING</v>
      </c>
      <c r="J25" s="102" t="str">
        <f ca="1"/>
        <v>STRING</v>
      </c>
      <c r="K25" s="102" t="str">
        <f ca="1"/>
        <v>STRING</v>
      </c>
      <c r="L25" s="102" t="str">
        <f ca="1"/>
        <v>STRING</v>
      </c>
      <c r="M25" s="102" t="str">
        <f ca="1"/>
        <v>STRING</v>
      </c>
      <c r="N25" s="102" t="str">
        <f ca="1"/>
        <v>STRING</v>
      </c>
      <c r="O25" s="102" t="str">
        <f ca="1"/>
        <v>STRING</v>
      </c>
      <c r="P25" s="102" t="str">
        <f ca="1"/>
        <v>STRING</v>
      </c>
      <c r="Q25" s="102" t="str">
        <f ca="1"/>
        <v>STRING</v>
      </c>
      <c r="R25" s="102" t="str">
        <f ca="1"/>
        <v>STRING</v>
      </c>
      <c r="S25" s="102" t="str">
        <f ca="1"/>
        <v>STRING</v>
      </c>
      <c r="T25" s="102" t="str">
        <f ca="1"/>
        <v>DECIMAL</v>
      </c>
      <c r="U25" s="102" t="str">
        <f ca="1"/>
        <v>DECIMAL</v>
      </c>
      <c r="V25" s="102" t="str">
        <f ca="1"/>
        <v>STRING</v>
      </c>
      <c r="W25" s="102" t="str">
        <f ca="1"/>
        <v>STRING</v>
      </c>
      <c r="X25" s="102" t="str">
        <f ca="1"/>
        <v>STRING</v>
      </c>
      <c r="Y25" s="102" t="str">
        <f ca="1"/>
        <v>TIMESTAMP</v>
      </c>
    </row>
    <row r="26" spans="2:25">
      <c r="B26" s="106" t="s">
        <v>1297</v>
      </c>
      <c r="C26" s="109">
        <v>7</v>
      </c>
      <c r="D26" s="103" t="s">
        <v>1295</v>
      </c>
      <c r="E26" s="102" t="s">
        <v>1296</v>
      </c>
      <c r="F26" s="104" t="s">
        <v>124</v>
      </c>
      <c r="G26" s="104" t="s">
        <v>124</v>
      </c>
      <c r="H26" s="104" t="s">
        <v>124</v>
      </c>
      <c r="I26" s="150">
        <f ca="1"/>
        <v>4</v>
      </c>
      <c r="J26" s="150">
        <f ca="1"/>
        <v>15</v>
      </c>
      <c r="K26" s="150">
        <f ca="1"/>
        <v>4</v>
      </c>
      <c r="L26" s="150">
        <f ca="1"/>
        <v>30</v>
      </c>
      <c r="M26" s="150">
        <f ca="1"/>
        <v>34</v>
      </c>
      <c r="N26" s="150">
        <f ca="1"/>
        <v>4</v>
      </c>
      <c r="O26" s="150">
        <f ca="1"/>
        <v>30</v>
      </c>
      <c r="P26" s="150">
        <f ca="1"/>
        <v>34</v>
      </c>
      <c r="Q26" s="150">
        <f ca="1"/>
        <v>10</v>
      </c>
      <c r="R26" s="150">
        <f ca="1"/>
        <v>10</v>
      </c>
      <c r="S26" s="150">
        <f ca="1"/>
        <v>4</v>
      </c>
      <c r="T26" s="150">
        <f ca="1"/>
        <v>23</v>
      </c>
      <c r="U26" s="150">
        <f ca="1"/>
        <v>23</v>
      </c>
      <c r="V26" s="150">
        <f ca="1"/>
        <v>4</v>
      </c>
      <c r="W26" s="150">
        <f ca="1"/>
        <v>4</v>
      </c>
      <c r="X26" s="150">
        <f ca="1"/>
        <v>10</v>
      </c>
      <c r="Y26" s="150">
        <f ca="1"/>
        <v>23</v>
      </c>
    </row>
    <row r="28" spans="2:25">
      <c r="B28" s="139" t="s">
        <v>1298</v>
      </c>
    </row>
    <row r="29" spans="2:25">
      <c r="B29" s="133" t="s">
        <v>1299</v>
      </c>
      <c r="C29" s="133" t="s">
        <v>1300</v>
      </c>
      <c r="D29" s="134" t="s">
        <v>1301</v>
      </c>
      <c r="E29" s="133" t="s">
        <v>1302</v>
      </c>
      <c r="F29" s="133" t="s">
        <v>1303</v>
      </c>
    </row>
    <row r="30" spans="2:25" ht="43.5">
      <c r="B30" s="176" t="s">
        <v>1304</v>
      </c>
      <c r="C30" s="177" t="s">
        <v>176</v>
      </c>
      <c r="D30" s="55" t="s">
        <v>1684</v>
      </c>
      <c r="E30" s="97" t="s">
        <v>1685</v>
      </c>
      <c r="F30" s="135" t="s">
        <v>1310</v>
      </c>
      <c r="I30" t="s">
        <v>1686</v>
      </c>
    </row>
    <row r="31" spans="2:25" ht="43.5">
      <c r="B31" s="176" t="s">
        <v>1304</v>
      </c>
      <c r="C31" s="177" t="s">
        <v>203</v>
      </c>
      <c r="D31" s="55" t="s">
        <v>1684</v>
      </c>
      <c r="E31" s="97" t="s">
        <v>1685</v>
      </c>
      <c r="F31" s="135" t="s">
        <v>1310</v>
      </c>
    </row>
    <row r="32" spans="2:25" ht="43.5">
      <c r="B32" s="176" t="s">
        <v>1304</v>
      </c>
      <c r="C32" s="121" t="s">
        <v>227</v>
      </c>
      <c r="D32" s="55" t="s">
        <v>1684</v>
      </c>
      <c r="E32" s="97" t="s">
        <v>1685</v>
      </c>
      <c r="F32" s="135" t="s">
        <v>1310</v>
      </c>
    </row>
    <row r="33" spans="2:16" ht="43.5">
      <c r="B33" s="176" t="s">
        <v>1304</v>
      </c>
      <c r="C33" s="121" t="s">
        <v>248</v>
      </c>
      <c r="D33" s="55" t="s">
        <v>1684</v>
      </c>
      <c r="E33" s="97" t="s">
        <v>1685</v>
      </c>
      <c r="F33" s="135" t="s">
        <v>1310</v>
      </c>
    </row>
    <row r="34" spans="2:16" ht="43.5">
      <c r="B34" s="176" t="s">
        <v>1304</v>
      </c>
      <c r="C34" s="121" t="s">
        <v>262</v>
      </c>
      <c r="D34" s="55" t="s">
        <v>1684</v>
      </c>
      <c r="E34" s="97" t="s">
        <v>1685</v>
      </c>
      <c r="F34" s="135" t="s">
        <v>1310</v>
      </c>
    </row>
    <row r="35" spans="2:16" ht="43.5">
      <c r="B35" s="176" t="s">
        <v>1304</v>
      </c>
      <c r="C35" s="121" t="s">
        <v>275</v>
      </c>
      <c r="D35" s="55" t="s">
        <v>1684</v>
      </c>
      <c r="E35" s="97" t="s">
        <v>1685</v>
      </c>
      <c r="F35" s="135" t="s">
        <v>1310</v>
      </c>
    </row>
    <row r="38" spans="2:16">
      <c r="I38" s="157"/>
      <c r="J38" s="157"/>
      <c r="K38" s="157"/>
      <c r="L38" s="157"/>
      <c r="M38" s="157"/>
      <c r="N38" s="157"/>
      <c r="O38" s="157"/>
      <c r="P38" s="157"/>
    </row>
    <row r="39" spans="2:16">
      <c r="I39" s="157"/>
      <c r="J39" s="157"/>
      <c r="K39" s="157"/>
      <c r="L39" s="157"/>
      <c r="M39" s="157"/>
      <c r="N39" s="157"/>
      <c r="O39" s="157"/>
      <c r="P39" s="157"/>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4.4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row r="2" spans="2:30">
      <c r="B2" s="77" t="s">
        <v>1249</v>
      </c>
      <c r="C2" s="77" t="s">
        <v>1250</v>
      </c>
      <c r="D2" s="77" t="s">
        <v>1251</v>
      </c>
      <c r="E2" s="77" t="s">
        <v>1252</v>
      </c>
      <c r="F2" s="77" t="s">
        <v>1253</v>
      </c>
      <c r="G2" s="77" t="s">
        <v>1254</v>
      </c>
      <c r="H2" s="77" t="s">
        <v>1255</v>
      </c>
      <c r="I2" s="77" t="s">
        <v>1687</v>
      </c>
      <c r="J2" s="77" t="s">
        <v>103</v>
      </c>
      <c r="K2" s="77" t="s">
        <v>134</v>
      </c>
      <c r="L2" s="77" t="s">
        <v>1688</v>
      </c>
      <c r="M2" s="77" t="s">
        <v>1689</v>
      </c>
      <c r="N2" s="77" t="s">
        <v>1690</v>
      </c>
      <c r="O2" s="77" t="s">
        <v>1691</v>
      </c>
      <c r="P2" s="77" t="s">
        <v>1692</v>
      </c>
      <c r="Q2" s="77" t="s">
        <v>1693</v>
      </c>
      <c r="R2" s="77" t="s">
        <v>234</v>
      </c>
      <c r="S2" s="77" t="s">
        <v>253</v>
      </c>
    </row>
    <row r="3" spans="2:30">
      <c r="B3" s="48" t="s">
        <v>1203</v>
      </c>
      <c r="C3" s="48">
        <v>1</v>
      </c>
      <c r="D3" s="48" t="s">
        <v>1694</v>
      </c>
      <c r="E3" s="95">
        <v>45471</v>
      </c>
      <c r="F3" s="48">
        <v>1</v>
      </c>
      <c r="G3" s="98">
        <v>1</v>
      </c>
      <c r="H3" s="180" t="s">
        <v>1695</v>
      </c>
      <c r="I3" s="48" t="s">
        <v>1257</v>
      </c>
      <c r="J3" s="48" t="s">
        <v>1257</v>
      </c>
      <c r="K3" s="48" t="s">
        <v>1257</v>
      </c>
      <c r="L3" s="48" t="s">
        <v>1257</v>
      </c>
      <c r="M3" s="48" t="s">
        <v>1257</v>
      </c>
      <c r="N3" s="48" t="s">
        <v>1257</v>
      </c>
      <c r="O3" s="48" t="s">
        <v>1257</v>
      </c>
      <c r="P3" s="48" t="s">
        <v>1257</v>
      </c>
      <c r="Q3" s="48" t="s">
        <v>1257</v>
      </c>
      <c r="R3" s="48" t="s">
        <v>1257</v>
      </c>
      <c r="S3" s="48" t="s">
        <v>1257</v>
      </c>
    </row>
    <row r="4" spans="2:30">
      <c r="B4" s="48" t="s">
        <v>1205</v>
      </c>
      <c r="C4" s="48">
        <v>2</v>
      </c>
      <c r="D4" s="48" t="s">
        <v>1696</v>
      </c>
      <c r="E4" s="95">
        <v>45471</v>
      </c>
      <c r="F4" s="48">
        <v>1</v>
      </c>
      <c r="G4" s="98">
        <v>1</v>
      </c>
      <c r="H4" s="48" t="s">
        <v>1343</v>
      </c>
      <c r="I4" s="48" t="s">
        <v>1257</v>
      </c>
      <c r="J4" s="48" t="s">
        <v>1257</v>
      </c>
      <c r="K4" s="48" t="s">
        <v>1257</v>
      </c>
      <c r="L4" s="48" t="s">
        <v>1257</v>
      </c>
      <c r="M4" s="48" t="s">
        <v>1257</v>
      </c>
      <c r="N4" s="48" t="s">
        <v>1257</v>
      </c>
      <c r="O4" s="48" t="s">
        <v>1257</v>
      </c>
      <c r="P4" s="48" t="s">
        <v>1257</v>
      </c>
      <c r="Q4" s="48" t="s">
        <v>1257</v>
      </c>
      <c r="R4" s="48" t="s">
        <v>1257</v>
      </c>
      <c r="S4" s="48" t="s">
        <v>1257</v>
      </c>
    </row>
    <row r="5" spans="2:30">
      <c r="B5" s="48" t="s">
        <v>1207</v>
      </c>
      <c r="C5" s="48">
        <v>3</v>
      </c>
      <c r="D5" s="48" t="s">
        <v>1697</v>
      </c>
      <c r="E5" s="95">
        <v>45471</v>
      </c>
      <c r="F5" s="48">
        <v>1</v>
      </c>
      <c r="G5" s="98">
        <v>1</v>
      </c>
      <c r="H5" s="48" t="s">
        <v>1343</v>
      </c>
      <c r="I5" s="48">
        <v>0</v>
      </c>
      <c r="J5" s="48" t="s">
        <v>1257</v>
      </c>
      <c r="K5" s="48" t="s">
        <v>1257</v>
      </c>
      <c r="L5" s="48" t="s">
        <v>1257</v>
      </c>
      <c r="M5" s="48" t="s">
        <v>1257</v>
      </c>
      <c r="N5" s="48" t="s">
        <v>1257</v>
      </c>
      <c r="O5" s="48" t="s">
        <v>1257</v>
      </c>
      <c r="P5" s="48" t="s">
        <v>1257</v>
      </c>
      <c r="Q5" s="48" t="s">
        <v>1257</v>
      </c>
      <c r="R5" s="48">
        <v>0</v>
      </c>
      <c r="S5" s="48" t="s">
        <v>1257</v>
      </c>
    </row>
    <row r="6" spans="2:30">
      <c r="B6" s="48" t="s">
        <v>1209</v>
      </c>
      <c r="C6" s="48">
        <v>4</v>
      </c>
      <c r="D6" s="48" t="s">
        <v>1697</v>
      </c>
      <c r="E6" s="95" t="s">
        <v>1257</v>
      </c>
      <c r="F6" s="48">
        <v>1</v>
      </c>
      <c r="G6" s="95" t="s">
        <v>1257</v>
      </c>
      <c r="H6" s="48"/>
      <c r="I6" s="48" t="s">
        <v>1257</v>
      </c>
      <c r="J6" s="48" t="s">
        <v>1257</v>
      </c>
      <c r="K6" s="48" t="s">
        <v>1257</v>
      </c>
      <c r="L6" s="48" t="s">
        <v>1257</v>
      </c>
      <c r="M6" s="48" t="s">
        <v>1257</v>
      </c>
      <c r="N6" s="48" t="s">
        <v>1257</v>
      </c>
      <c r="O6" s="48" t="s">
        <v>1257</v>
      </c>
      <c r="P6" s="48" t="s">
        <v>1257</v>
      </c>
      <c r="Q6" s="48" t="s">
        <v>1257</v>
      </c>
      <c r="R6" s="48" t="s">
        <v>1257</v>
      </c>
      <c r="S6" s="48" t="s">
        <v>1257</v>
      </c>
    </row>
    <row r="7" spans="2:30">
      <c r="B7" s="48" t="s">
        <v>1211</v>
      </c>
      <c r="C7" s="48">
        <v>5</v>
      </c>
      <c r="D7" s="48" t="s">
        <v>1697</v>
      </c>
      <c r="E7" s="95" t="s">
        <v>1257</v>
      </c>
      <c r="F7" s="48">
        <v>1</v>
      </c>
      <c r="G7" s="95" t="s">
        <v>1257</v>
      </c>
      <c r="H7" s="48"/>
      <c r="I7" s="48" t="s">
        <v>1257</v>
      </c>
      <c r="J7" s="48" t="s">
        <v>1257</v>
      </c>
      <c r="K7" s="48" t="s">
        <v>1257</v>
      </c>
      <c r="L7" s="48" t="s">
        <v>1257</v>
      </c>
      <c r="M7" s="48" t="s">
        <v>1257</v>
      </c>
      <c r="N7" s="48" t="s">
        <v>1257</v>
      </c>
      <c r="O7" s="48" t="s">
        <v>1257</v>
      </c>
      <c r="P7" s="48" t="s">
        <v>1257</v>
      </c>
      <c r="Q7" s="48" t="s">
        <v>1257</v>
      </c>
      <c r="R7" s="48" t="s">
        <v>1257</v>
      </c>
      <c r="S7" s="48" t="s">
        <v>1257</v>
      </c>
    </row>
    <row r="8" spans="2:30">
      <c r="B8" s="97" t="s">
        <v>1212</v>
      </c>
      <c r="C8" s="48">
        <v>6</v>
      </c>
      <c r="D8" s="48" t="s">
        <v>1698</v>
      </c>
      <c r="E8" s="95">
        <v>45471</v>
      </c>
      <c r="F8" s="48">
        <v>1</v>
      </c>
      <c r="G8" s="48" cm="1">
        <f t="array" ref="G8">SUMPRODUCT(--(I8:S8&gt;0))/COUNTA(I8:S8)</f>
        <v>1</v>
      </c>
      <c r="H8" s="48" t="s">
        <v>1343</v>
      </c>
      <c r="I8" s="48">
        <v>3</v>
      </c>
      <c r="J8" s="48">
        <v>2</v>
      </c>
      <c r="K8" s="48">
        <v>30</v>
      </c>
      <c r="L8" s="48">
        <v>7</v>
      </c>
      <c r="M8" s="48">
        <v>7</v>
      </c>
      <c r="N8" s="48">
        <v>10</v>
      </c>
      <c r="O8" s="48">
        <v>10</v>
      </c>
      <c r="P8" s="48">
        <v>3</v>
      </c>
      <c r="Q8" s="48">
        <v>1</v>
      </c>
      <c r="R8" s="48">
        <v>10</v>
      </c>
      <c r="S8" s="48">
        <v>23</v>
      </c>
    </row>
    <row r="9" spans="2:30">
      <c r="B9" s="48" t="s">
        <v>1215</v>
      </c>
      <c r="C9" s="48">
        <v>7</v>
      </c>
      <c r="D9" s="48" t="s">
        <v>1699</v>
      </c>
      <c r="E9" s="95">
        <v>45471</v>
      </c>
      <c r="F9" s="48">
        <v>1</v>
      </c>
      <c r="G9" s="48" t="e" cm="1">
        <f t="array" ref="G9">SUMPRODUCT(--(I9:S9&lt;=I28:S28))/COUNTA(I28:S28)</f>
        <v>#DIV/0!</v>
      </c>
      <c r="H9" s="48" t="s">
        <v>1343</v>
      </c>
      <c r="I9" s="48">
        <v>5</v>
      </c>
      <c r="J9" s="48">
        <v>2</v>
      </c>
      <c r="K9" s="48">
        <v>30</v>
      </c>
      <c r="L9" s="48">
        <v>7</v>
      </c>
      <c r="M9" s="48">
        <v>7</v>
      </c>
      <c r="N9" s="48">
        <v>10</v>
      </c>
      <c r="O9" s="48">
        <v>10</v>
      </c>
      <c r="P9" s="48">
        <v>3</v>
      </c>
      <c r="Q9" s="48">
        <v>238</v>
      </c>
      <c r="R9" s="48">
        <v>10</v>
      </c>
      <c r="S9" s="48">
        <v>23</v>
      </c>
    </row>
    <row r="10" spans="2:30" ht="29.1">
      <c r="B10" s="48" t="s">
        <v>1218</v>
      </c>
      <c r="C10" s="48">
        <v>8</v>
      </c>
      <c r="D10" s="48" t="s">
        <v>1700</v>
      </c>
      <c r="E10" s="95">
        <v>45471</v>
      </c>
      <c r="F10" s="48">
        <v>1</v>
      </c>
      <c r="G10" s="95" t="s">
        <v>1257</v>
      </c>
      <c r="H10" s="48" t="s">
        <v>1343</v>
      </c>
      <c r="I10" s="48">
        <v>201</v>
      </c>
      <c r="J10" s="48">
        <v>31</v>
      </c>
      <c r="K10" s="48">
        <v>7.0000079999999997E+21</v>
      </c>
      <c r="L10" s="48" t="s">
        <v>1701</v>
      </c>
      <c r="M10" s="48" t="s">
        <v>1701</v>
      </c>
      <c r="N10" s="96">
        <v>43047</v>
      </c>
      <c r="O10" s="96">
        <v>1</v>
      </c>
      <c r="P10" s="48">
        <v>201</v>
      </c>
      <c r="Q10" s="97" t="s">
        <v>1702</v>
      </c>
      <c r="R10" s="95">
        <v>45471</v>
      </c>
      <c r="S10" s="48" t="s">
        <v>1703</v>
      </c>
    </row>
    <row r="11" spans="2:30" ht="29.1">
      <c r="B11" s="48" t="s">
        <v>1220</v>
      </c>
      <c r="C11" s="48">
        <v>9</v>
      </c>
      <c r="D11" s="48" t="s">
        <v>1704</v>
      </c>
      <c r="E11" s="95">
        <v>45471</v>
      </c>
      <c r="F11" s="48">
        <v>1</v>
      </c>
      <c r="G11" s="95" t="s">
        <v>1257</v>
      </c>
      <c r="H11" s="48" t="s">
        <v>1343</v>
      </c>
      <c r="I11" s="48">
        <v>201</v>
      </c>
      <c r="J11" s="48"/>
      <c r="K11" s="48">
        <v>7.0000079999999997E+21</v>
      </c>
      <c r="L11" s="48" t="s">
        <v>1701</v>
      </c>
      <c r="M11" s="48" t="s">
        <v>1701</v>
      </c>
      <c r="N11" s="96">
        <v>43047</v>
      </c>
      <c r="O11" s="96">
        <v>1</v>
      </c>
      <c r="P11" s="48">
        <v>201</v>
      </c>
      <c r="Q11" s="97" t="s">
        <v>1702</v>
      </c>
      <c r="R11" s="95">
        <v>45471</v>
      </c>
      <c r="S11" s="48" t="s">
        <v>1705</v>
      </c>
    </row>
    <row r="12" spans="2:30">
      <c r="B12" s="97" t="s">
        <v>1222</v>
      </c>
      <c r="C12" s="48">
        <v>10</v>
      </c>
      <c r="D12" s="48" t="s">
        <v>1706</v>
      </c>
      <c r="E12" s="95">
        <v>45471</v>
      </c>
      <c r="F12" s="48">
        <v>1</v>
      </c>
      <c r="G12" s="95" t="s">
        <v>1257</v>
      </c>
      <c r="H12" s="48" t="s">
        <v>1343</v>
      </c>
      <c r="I12" s="48">
        <v>35585</v>
      </c>
      <c r="J12" s="48">
        <v>31</v>
      </c>
      <c r="K12" s="48">
        <v>8.0014189999999995E+24</v>
      </c>
      <c r="L12" s="48" t="s">
        <v>1707</v>
      </c>
      <c r="M12" s="48" t="s">
        <v>1707</v>
      </c>
      <c r="N12" s="96">
        <v>45471</v>
      </c>
      <c r="O12" s="96">
        <v>45471</v>
      </c>
      <c r="P12" s="48">
        <v>204</v>
      </c>
      <c r="Q12" s="97" t="s">
        <v>1708</v>
      </c>
      <c r="R12" s="95">
        <v>45471</v>
      </c>
      <c r="S12" s="95" t="s">
        <v>1703</v>
      </c>
      <c r="U12" s="90"/>
      <c r="V12" s="91"/>
      <c r="X12" s="90"/>
      <c r="AD12" s="90"/>
    </row>
    <row r="13" spans="2:30">
      <c r="B13" s="48" t="s">
        <v>1224</v>
      </c>
      <c r="C13" s="48">
        <v>11</v>
      </c>
      <c r="D13" s="48" t="s">
        <v>1709</v>
      </c>
      <c r="E13" s="95">
        <v>45471</v>
      </c>
      <c r="F13" s="48">
        <v>1</v>
      </c>
      <c r="G13" s="95" t="s">
        <v>1257</v>
      </c>
      <c r="H13" s="48" t="s">
        <v>1343</v>
      </c>
      <c r="I13" s="48">
        <v>35585</v>
      </c>
      <c r="J13" s="48"/>
      <c r="K13" s="48">
        <v>8.0014189999999995E+24</v>
      </c>
      <c r="L13" s="48" t="s">
        <v>1707</v>
      </c>
      <c r="M13" s="48" t="s">
        <v>1707</v>
      </c>
      <c r="N13" s="96">
        <v>45471</v>
      </c>
      <c r="O13" s="96">
        <v>45471</v>
      </c>
      <c r="P13" s="48">
        <v>204</v>
      </c>
      <c r="Q13" s="97" t="s">
        <v>1708</v>
      </c>
      <c r="R13" s="96">
        <v>45471</v>
      </c>
      <c r="S13" s="96" t="s">
        <v>1710</v>
      </c>
      <c r="U13" s="93"/>
      <c r="V13" s="91"/>
      <c r="W13" s="92"/>
      <c r="X13" s="93"/>
      <c r="Y13" s="92"/>
      <c r="Z13" s="92"/>
      <c r="AD13" s="90"/>
    </row>
    <row r="14" spans="2:30">
      <c r="B14" s="48" t="s">
        <v>1226</v>
      </c>
      <c r="C14" s="48">
        <v>12</v>
      </c>
      <c r="D14" s="48" t="s">
        <v>1711</v>
      </c>
      <c r="E14" s="95">
        <v>45471</v>
      </c>
      <c r="F14" s="48">
        <v>1</v>
      </c>
      <c r="G14" s="48" t="s">
        <v>1712</v>
      </c>
      <c r="H14" s="48" t="s">
        <v>1343</v>
      </c>
      <c r="I14" s="48">
        <v>0</v>
      </c>
      <c r="J14" s="48">
        <v>0</v>
      </c>
      <c r="K14" s="48">
        <v>0</v>
      </c>
      <c r="L14" s="48">
        <v>12369</v>
      </c>
      <c r="M14" s="48">
        <v>13484</v>
      </c>
      <c r="N14" s="189">
        <v>0</v>
      </c>
      <c r="O14" s="189">
        <v>0</v>
      </c>
      <c r="P14" s="48">
        <v>0</v>
      </c>
      <c r="Q14" s="48">
        <v>0</v>
      </c>
      <c r="R14" s="48">
        <v>0</v>
      </c>
      <c r="S14" s="48">
        <v>0</v>
      </c>
      <c r="U14" s="90"/>
      <c r="V14" s="91"/>
      <c r="W14" s="91"/>
      <c r="X14" s="90"/>
      <c r="Y14" s="91"/>
      <c r="Z14" s="91"/>
      <c r="AD14" s="90"/>
    </row>
    <row r="15" spans="2:30">
      <c r="B15" s="48" t="s">
        <v>1228</v>
      </c>
      <c r="C15" s="48">
        <v>13</v>
      </c>
      <c r="D15" s="48" t="s">
        <v>1713</v>
      </c>
      <c r="E15" s="95">
        <v>45471</v>
      </c>
      <c r="F15" s="48">
        <v>1</v>
      </c>
      <c r="G15" s="98">
        <v>1</v>
      </c>
      <c r="H15" s="48" t="s">
        <v>1343</v>
      </c>
      <c r="I15" s="48" t="s">
        <v>1257</v>
      </c>
      <c r="J15" s="48" t="s">
        <v>1257</v>
      </c>
      <c r="K15" s="48" t="s">
        <v>1257</v>
      </c>
      <c r="L15" s="48" t="s">
        <v>1257</v>
      </c>
      <c r="M15" s="48" t="s">
        <v>1257</v>
      </c>
      <c r="N15" s="184">
        <v>0</v>
      </c>
      <c r="O15" s="184">
        <v>0</v>
      </c>
      <c r="P15" s="48" t="s">
        <v>1257</v>
      </c>
      <c r="Q15" s="48" t="s">
        <v>1257</v>
      </c>
      <c r="R15" s="96" t="s">
        <v>1257</v>
      </c>
      <c r="S15" s="96" t="s">
        <v>1257</v>
      </c>
      <c r="U15" s="93"/>
      <c r="V15" s="91"/>
      <c r="W15" s="91"/>
      <c r="X15" s="93"/>
      <c r="Y15" s="91"/>
      <c r="Z15" s="91"/>
      <c r="AD15" s="90"/>
    </row>
    <row r="16" spans="2:30">
      <c r="B16" s="48" t="s">
        <v>1230</v>
      </c>
      <c r="C16" s="48">
        <v>14</v>
      </c>
      <c r="D16" s="48" t="s">
        <v>1714</v>
      </c>
      <c r="E16" s="95">
        <v>45471</v>
      </c>
      <c r="F16" s="48">
        <v>1</v>
      </c>
      <c r="G16" s="98">
        <v>1</v>
      </c>
      <c r="H16" s="48" t="s">
        <v>1343</v>
      </c>
      <c r="I16" s="48">
        <v>0</v>
      </c>
      <c r="J16" s="48">
        <v>0</v>
      </c>
      <c r="K16" s="48">
        <v>0</v>
      </c>
      <c r="L16" s="48">
        <v>0</v>
      </c>
      <c r="M16" s="48">
        <v>0</v>
      </c>
      <c r="N16" s="48" t="s">
        <v>1257</v>
      </c>
      <c r="O16" s="48" t="s">
        <v>1257</v>
      </c>
      <c r="P16" s="48">
        <v>0</v>
      </c>
      <c r="Q16" s="48" t="s">
        <v>1257</v>
      </c>
      <c r="R16" s="48" t="s">
        <v>1257</v>
      </c>
      <c r="S16" s="48" t="s">
        <v>1257</v>
      </c>
    </row>
    <row r="17" spans="2:24">
      <c r="B17" s="48" t="s">
        <v>1232</v>
      </c>
      <c r="C17" s="48">
        <v>15</v>
      </c>
      <c r="D17" s="48" t="s">
        <v>1715</v>
      </c>
      <c r="E17" s="95">
        <v>45471</v>
      </c>
      <c r="F17" s="48">
        <v>1</v>
      </c>
      <c r="G17" s="98">
        <v>1</v>
      </c>
      <c r="H17" s="48" t="s">
        <v>1343</v>
      </c>
      <c r="I17" s="48" t="s">
        <v>1257</v>
      </c>
      <c r="J17" s="48" t="s">
        <v>1257</v>
      </c>
      <c r="K17" s="48" t="s">
        <v>1257</v>
      </c>
      <c r="L17" s="48" t="s">
        <v>1257</v>
      </c>
      <c r="M17" s="48" t="s">
        <v>1257</v>
      </c>
      <c r="N17" s="97" t="s">
        <v>1257</v>
      </c>
      <c r="O17" s="97" t="s">
        <v>1257</v>
      </c>
      <c r="P17" s="48" t="s">
        <v>1257</v>
      </c>
      <c r="Q17" s="48" t="s">
        <v>1257</v>
      </c>
      <c r="R17" s="97" t="s">
        <v>1257</v>
      </c>
      <c r="S17" s="97" t="s">
        <v>1257</v>
      </c>
      <c r="U17" s="47"/>
      <c r="X17" s="47"/>
    </row>
    <row r="18" spans="2:24">
      <c r="B18" s="48" t="s">
        <v>1234</v>
      </c>
      <c r="C18" s="48">
        <v>16</v>
      </c>
      <c r="D18" s="48" t="s">
        <v>1715</v>
      </c>
      <c r="E18" s="95">
        <v>45471</v>
      </c>
      <c r="F18" s="48">
        <v>1</v>
      </c>
      <c r="G18" s="98">
        <v>1</v>
      </c>
      <c r="H18" s="48" t="s">
        <v>1343</v>
      </c>
      <c r="I18" s="48" t="s">
        <v>1257</v>
      </c>
      <c r="J18" s="48" t="s">
        <v>1257</v>
      </c>
      <c r="K18" s="48" t="s">
        <v>1257</v>
      </c>
      <c r="L18" s="48" t="s">
        <v>1257</v>
      </c>
      <c r="M18" s="48" t="s">
        <v>1257</v>
      </c>
      <c r="N18" s="48" t="s">
        <v>1257</v>
      </c>
      <c r="O18" s="48" t="s">
        <v>1257</v>
      </c>
      <c r="P18" s="48" t="s">
        <v>1257</v>
      </c>
      <c r="Q18" s="48" t="s">
        <v>1257</v>
      </c>
      <c r="R18" s="48" t="s">
        <v>1257</v>
      </c>
      <c r="S18" s="48" t="s">
        <v>1257</v>
      </c>
    </row>
    <row r="19" spans="2:24">
      <c r="B19" s="48" t="s">
        <v>1240</v>
      </c>
      <c r="C19" s="48">
        <v>19</v>
      </c>
      <c r="D19" s="48" t="s">
        <v>1716</v>
      </c>
      <c r="E19" s="95">
        <v>45471</v>
      </c>
      <c r="F19" s="48">
        <v>1</v>
      </c>
      <c r="G19" s="98" cm="1">
        <f t="array" aca="1" ref="G19" ca="1">SUMPRODUCT(--(ISNUMBER((SEARCH(I27:S27,I19:S19)))))/COUNTA(I19:S19)</f>
        <v>0.90909090909090906</v>
      </c>
      <c r="H19" s="48" t="s">
        <v>1343</v>
      </c>
      <c r="I19" s="48" t="s">
        <v>1717</v>
      </c>
      <c r="J19" s="48" t="s">
        <v>1291</v>
      </c>
      <c r="K19" s="48" t="s">
        <v>1291</v>
      </c>
      <c r="L19" s="48" t="s">
        <v>1291</v>
      </c>
      <c r="M19" s="48" t="s">
        <v>1291</v>
      </c>
      <c r="N19" s="48" t="s">
        <v>1291</v>
      </c>
      <c r="O19" s="48" t="s">
        <v>1291</v>
      </c>
      <c r="P19" s="48" t="s">
        <v>1291</v>
      </c>
      <c r="Q19" s="48" t="s">
        <v>1291</v>
      </c>
      <c r="R19" s="48" t="s">
        <v>1291</v>
      </c>
      <c r="S19" s="48" t="s">
        <v>1293</v>
      </c>
    </row>
    <row r="20" spans="2:24">
      <c r="B20" s="48" t="s">
        <v>1243</v>
      </c>
      <c r="C20" s="48">
        <v>20</v>
      </c>
      <c r="D20" s="48"/>
      <c r="E20" s="95">
        <v>45471</v>
      </c>
      <c r="F20" s="48">
        <v>1</v>
      </c>
      <c r="G20" s="48" t="e" cm="1" vm="1">
        <f t="array" ref="G20">SUM(IF(I2:S2 = I26:S26, 1, 0))/ COUNTA(I2:S2)</f>
        <v>#VALUE!</v>
      </c>
      <c r="H20" s="48"/>
      <c r="I20" s="48"/>
      <c r="J20" s="48"/>
      <c r="K20" s="48"/>
      <c r="L20" s="48"/>
      <c r="M20" s="48"/>
      <c r="N20" s="48"/>
      <c r="O20" s="48"/>
      <c r="P20" s="48"/>
      <c r="Q20" s="48"/>
      <c r="R20" s="48"/>
      <c r="S20" s="48"/>
    </row>
    <row r="21" spans="2:24">
      <c r="B21" s="48" t="s">
        <v>1246</v>
      </c>
      <c r="C21" s="48">
        <v>21</v>
      </c>
      <c r="D21" s="48"/>
      <c r="E21" s="95">
        <v>45471</v>
      </c>
      <c r="F21" s="48">
        <v>1</v>
      </c>
      <c r="G21" s="48" t="e" cm="1">
        <f t="array" aca="1" ref="G21" ca="1">SUM(IF(IF(G3:G20="null",1,G3:G20)=1,1,0))/COUNT(IF(G3:G20="null",1,1))</f>
        <v>#DIV/0!</v>
      </c>
      <c r="H21" s="48"/>
      <c r="I21" s="48"/>
      <c r="J21" s="48"/>
      <c r="K21" s="48"/>
      <c r="L21" s="48"/>
      <c r="M21" s="48"/>
      <c r="N21" s="48"/>
      <c r="O21" s="48"/>
      <c r="P21" s="48"/>
      <c r="Q21" s="48"/>
      <c r="R21" s="48"/>
      <c r="S21" s="48"/>
    </row>
    <row r="25" spans="2:24">
      <c r="B25" s="139" t="s">
        <v>1364</v>
      </c>
      <c r="C25" s="141"/>
      <c r="D25" s="141"/>
      <c r="E25" s="141"/>
      <c r="F25" s="141"/>
      <c r="G25" s="141"/>
      <c r="H25" s="141"/>
    </row>
    <row r="26" spans="2:24">
      <c r="B26" s="132" t="s">
        <v>1249</v>
      </c>
      <c r="C26" s="128" t="s">
        <v>1250</v>
      </c>
      <c r="D26" s="128" t="s">
        <v>1251</v>
      </c>
      <c r="E26" s="128" t="s">
        <v>1252</v>
      </c>
      <c r="F26" s="128" t="s">
        <v>1253</v>
      </c>
      <c r="G26" s="128" t="s">
        <v>1254</v>
      </c>
      <c r="H26" s="128" t="s">
        <v>1255</v>
      </c>
      <c r="I26" s="123" t="e" cm="1" vm="2">
        <f t="array" ref="I26">TRANSPOSE(_xlfn.SORTBY(_xlfn._xlws.FILTER(Table3[NOME FÍSICO CAMPO],Table3[NOME FÍSICO TABELA]="bank_vault_visit"), _xlfn._xlws.FILTER(Table3[ORDEM], Table3[NOME FÍSICO TABELA]="bank_vault_visit"), 1))</f>
        <v>#VALUE!</v>
      </c>
      <c r="J26" s="123"/>
      <c r="K26" s="123"/>
      <c r="L26" s="123"/>
      <c r="M26" s="123"/>
      <c r="N26" s="123"/>
      <c r="O26" s="123"/>
      <c r="P26" s="123"/>
      <c r="Q26" s="123"/>
      <c r="R26" s="123"/>
      <c r="S26" s="124"/>
    </row>
    <row r="27" spans="2:24">
      <c r="B27" s="114" t="s">
        <v>1294</v>
      </c>
      <c r="C27" s="142">
        <v>21</v>
      </c>
      <c r="D27" s="111" t="s">
        <v>1295</v>
      </c>
      <c r="E27" s="110" t="s">
        <v>1296</v>
      </c>
      <c r="F27" s="110" t="s">
        <v>124</v>
      </c>
      <c r="G27" s="110" t="s">
        <v>124</v>
      </c>
      <c r="H27" s="110" t="s">
        <v>124</v>
      </c>
      <c r="I27" s="110" t="e" cm="1" vm="2">
        <f t="array" aca="1" ref="I27" ca="1">TRANSPOSE(_xlfn.SORTBY(_xlfn._xlws.FILTER(IF(Table3[FORMATO]:Table3[COMP_ CAMPO]&lt;&gt;"",Table3[FORMATO]:Table3[COMP_ CAMPO],9999999),Table3[NOME FÍSICO TABELA]="bank_vault_visit"), _xlfn._xlws.FILTER(Table3[ORDEM], Table3[NOME FÍSICO TABELA]="bank_vault_visit"), 1))</f>
        <v>#VALUE!</v>
      </c>
      <c r="J27" s="110"/>
      <c r="K27" s="110"/>
      <c r="L27" s="110"/>
      <c r="M27" s="110"/>
      <c r="N27" s="110"/>
      <c r="O27" s="110"/>
      <c r="P27" s="110"/>
      <c r="Q27" s="110"/>
      <c r="R27" s="110"/>
      <c r="S27" s="115"/>
    </row>
    <row r="28" spans="2:24">
      <c r="B28" s="121" t="s">
        <v>1297</v>
      </c>
      <c r="C28" s="142">
        <v>7</v>
      </c>
      <c r="D28" s="144" t="s">
        <v>1295</v>
      </c>
      <c r="E28" s="142" t="s">
        <v>1296</v>
      </c>
      <c r="F28" s="142" t="s">
        <v>124</v>
      </c>
      <c r="G28" s="142" t="s">
        <v>124</v>
      </c>
      <c r="H28" s="142" t="s">
        <v>124</v>
      </c>
      <c r="I28" s="142"/>
      <c r="J28" s="142"/>
      <c r="K28" s="142"/>
      <c r="L28" s="142"/>
      <c r="M28" s="142"/>
      <c r="N28" s="142"/>
      <c r="O28" s="142"/>
      <c r="P28" s="142"/>
      <c r="Q28" s="142"/>
      <c r="R28" s="142"/>
      <c r="S28" s="143"/>
    </row>
    <row r="30" spans="2:24">
      <c r="B30" s="139" t="s">
        <v>1298</v>
      </c>
    </row>
    <row r="31" spans="2:24">
      <c r="B31" s="148" t="s">
        <v>1299</v>
      </c>
      <c r="C31" s="130" t="s">
        <v>1300</v>
      </c>
      <c r="D31" s="149" t="s">
        <v>1301</v>
      </c>
      <c r="E31" s="130" t="s">
        <v>1302</v>
      </c>
      <c r="F31" s="149" t="s">
        <v>1303</v>
      </c>
    </row>
    <row r="32" spans="2:24" ht="29.1">
      <c r="B32" s="182" t="s">
        <v>1304</v>
      </c>
      <c r="C32" s="182" t="s">
        <v>1688</v>
      </c>
      <c r="D32" s="138" t="s">
        <v>1718</v>
      </c>
      <c r="E32" s="138" t="s">
        <v>1719</v>
      </c>
      <c r="F32" s="182" t="s">
        <v>1310</v>
      </c>
    </row>
    <row r="33" spans="2:24" ht="116.1">
      <c r="B33" s="182" t="s">
        <v>1304</v>
      </c>
      <c r="C33" s="182" t="s">
        <v>1689</v>
      </c>
      <c r="D33" s="138" t="s">
        <v>1720</v>
      </c>
      <c r="E33" s="138" t="s">
        <v>1721</v>
      </c>
      <c r="F33" s="138" t="s">
        <v>1722</v>
      </c>
    </row>
    <row r="36" spans="2:24">
      <c r="K36" s="90"/>
      <c r="M36" s="91"/>
      <c r="N36" s="91"/>
    </row>
    <row r="37" spans="2:24">
      <c r="K37" s="90"/>
      <c r="M37" s="91"/>
    </row>
    <row r="38" spans="2:24">
      <c r="K38" s="90"/>
      <c r="M38" s="181"/>
    </row>
    <row r="39" spans="2:24">
      <c r="K39" s="90"/>
      <c r="M39" s="48"/>
    </row>
    <row r="40" spans="2:24">
      <c r="K40" s="90"/>
      <c r="M40" s="48"/>
    </row>
    <row r="41" spans="2:24">
      <c r="K41" s="90"/>
      <c r="M41" s="181"/>
    </row>
    <row r="42" spans="2:24">
      <c r="K42" s="90"/>
      <c r="M42" s="181"/>
    </row>
    <row r="43" spans="2:24">
      <c r="K43" s="90"/>
      <c r="M43" s="181"/>
    </row>
    <row r="44" spans="2:24">
      <c r="K44" s="90"/>
      <c r="M44" s="181"/>
    </row>
    <row r="45" spans="2:24">
      <c r="K45" s="90"/>
    </row>
    <row r="46" spans="2:24">
      <c r="K46" s="90"/>
    </row>
    <row r="47" spans="2:24">
      <c r="K47" s="90"/>
    </row>
    <row r="48" spans="2:24">
      <c r="K48" s="90"/>
      <c r="M48" s="91"/>
      <c r="T48" s="93"/>
      <c r="U48" s="93"/>
      <c r="W48" s="47"/>
      <c r="X48" s="90"/>
    </row>
    <row r="49" spans="11:24">
      <c r="K49" s="90"/>
      <c r="M49" s="91"/>
      <c r="T49" s="93"/>
      <c r="U49" s="93"/>
      <c r="W49" s="47"/>
      <c r="X49" s="90"/>
    </row>
    <row r="50" spans="11:24">
      <c r="K50" s="90"/>
      <c r="M50" s="91"/>
      <c r="T50" s="93"/>
      <c r="U50" s="93"/>
      <c r="X50" s="90"/>
    </row>
    <row r="51" spans="11:24">
      <c r="K51" s="90"/>
      <c r="T51" s="93"/>
      <c r="U51" s="93"/>
      <c r="X51" s="90"/>
    </row>
    <row r="52" spans="11:24">
      <c r="K52" s="90"/>
      <c r="M52" s="91"/>
    </row>
    <row r="53" spans="11:24">
      <c r="K53" s="90"/>
      <c r="M53" s="91"/>
      <c r="T53" s="47"/>
      <c r="U53" s="47"/>
    </row>
    <row r="54" spans="11:24">
      <c r="K54" s="9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4.4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row r="2" spans="2:16">
      <c r="B2" s="77" t="s">
        <v>1249</v>
      </c>
      <c r="C2" s="77" t="s">
        <v>1250</v>
      </c>
      <c r="D2" s="77" t="s">
        <v>1251</v>
      </c>
      <c r="E2" s="77" t="s">
        <v>1252</v>
      </c>
      <c r="F2" s="77" t="s">
        <v>1253</v>
      </c>
      <c r="G2" s="77" t="s">
        <v>1254</v>
      </c>
      <c r="H2" s="77" t="s">
        <v>1255</v>
      </c>
      <c r="I2" s="77" t="s">
        <v>103</v>
      </c>
      <c r="J2" s="77" t="s">
        <v>134</v>
      </c>
      <c r="K2" s="77" t="s">
        <v>832</v>
      </c>
      <c r="L2" s="77" t="s">
        <v>1723</v>
      </c>
      <c r="M2" s="77" t="s">
        <v>1724</v>
      </c>
      <c r="N2" s="77" t="s">
        <v>1725</v>
      </c>
      <c r="O2" s="77" t="s">
        <v>234</v>
      </c>
      <c r="P2" s="77" t="s">
        <v>253</v>
      </c>
    </row>
    <row r="3" spans="2:16">
      <c r="B3" s="48" t="s">
        <v>1203</v>
      </c>
      <c r="C3" s="48">
        <v>1</v>
      </c>
      <c r="D3" s="48" t="s">
        <v>1726</v>
      </c>
      <c r="E3" s="95">
        <v>45471</v>
      </c>
      <c r="F3" s="48">
        <v>1</v>
      </c>
      <c r="G3" s="98">
        <v>1</v>
      </c>
      <c r="H3" s="180" t="s">
        <v>1727</v>
      </c>
      <c r="I3" s="48" t="s">
        <v>1257</v>
      </c>
      <c r="J3" s="48" t="s">
        <v>1257</v>
      </c>
      <c r="K3" s="48" t="s">
        <v>1257</v>
      </c>
      <c r="L3" s="48" t="s">
        <v>1257</v>
      </c>
      <c r="M3" s="48" t="s">
        <v>1257</v>
      </c>
      <c r="N3" s="48" t="s">
        <v>1257</v>
      </c>
      <c r="O3" s="48" t="s">
        <v>1257</v>
      </c>
      <c r="P3" s="48" t="s">
        <v>1257</v>
      </c>
    </row>
    <row r="4" spans="2:16">
      <c r="B4" s="48" t="s">
        <v>1205</v>
      </c>
      <c r="C4" s="48">
        <v>2</v>
      </c>
      <c r="D4" s="48" t="s">
        <v>1728</v>
      </c>
      <c r="E4" s="95">
        <v>45471</v>
      </c>
      <c r="F4" s="48">
        <v>1</v>
      </c>
      <c r="G4" s="98">
        <v>1</v>
      </c>
      <c r="H4" s="48" t="s">
        <v>1266</v>
      </c>
      <c r="I4" s="48" t="s">
        <v>1257</v>
      </c>
      <c r="J4" s="48" t="s">
        <v>1257</v>
      </c>
      <c r="K4" s="48" t="s">
        <v>1257</v>
      </c>
      <c r="L4" s="48" t="s">
        <v>1257</v>
      </c>
      <c r="M4" s="48" t="s">
        <v>1257</v>
      </c>
      <c r="N4" s="48" t="s">
        <v>1257</v>
      </c>
      <c r="O4" s="48" t="s">
        <v>1257</v>
      </c>
      <c r="P4" s="48" t="s">
        <v>1257</v>
      </c>
    </row>
    <row r="5" spans="2:16">
      <c r="B5" s="48" t="s">
        <v>1207</v>
      </c>
      <c r="C5" s="48">
        <v>3</v>
      </c>
      <c r="D5" s="48" t="s">
        <v>1729</v>
      </c>
      <c r="E5" s="95">
        <v>45471</v>
      </c>
      <c r="F5" s="48">
        <v>1</v>
      </c>
      <c r="G5" s="98">
        <v>1</v>
      </c>
      <c r="H5" s="48" t="s">
        <v>1266</v>
      </c>
      <c r="I5" s="48">
        <v>0</v>
      </c>
      <c r="J5" s="48">
        <v>0</v>
      </c>
      <c r="K5" s="48">
        <v>0</v>
      </c>
      <c r="L5" s="48">
        <v>0</v>
      </c>
      <c r="M5" s="48">
        <v>0</v>
      </c>
      <c r="N5" s="48" t="s">
        <v>1257</v>
      </c>
      <c r="O5" s="48">
        <v>0</v>
      </c>
      <c r="P5" s="48" t="s">
        <v>1257</v>
      </c>
    </row>
    <row r="6" spans="2:16">
      <c r="B6" s="97" t="s">
        <v>1212</v>
      </c>
      <c r="C6" s="48">
        <v>6</v>
      </c>
      <c r="D6" s="48" t="s">
        <v>1730</v>
      </c>
      <c r="E6" s="95">
        <v>45471</v>
      </c>
      <c r="F6" s="48">
        <v>1</v>
      </c>
      <c r="G6" s="48" cm="1">
        <f t="array" ref="G6">SUMPRODUCT(--(I6:P6&gt;0))/COUNTA(I6:P6)</f>
        <v>1</v>
      </c>
      <c r="H6" s="48" t="s">
        <v>1266</v>
      </c>
      <c r="I6" s="48">
        <v>2</v>
      </c>
      <c r="J6" s="48">
        <v>30</v>
      </c>
      <c r="K6" s="48">
        <v>10</v>
      </c>
      <c r="L6" s="48">
        <v>1</v>
      </c>
      <c r="M6" s="48">
        <v>1</v>
      </c>
      <c r="N6" s="48">
        <v>10</v>
      </c>
      <c r="O6" s="48">
        <v>10</v>
      </c>
      <c r="P6" s="48">
        <v>21</v>
      </c>
    </row>
    <row r="7" spans="2:16">
      <c r="B7" s="48" t="s">
        <v>1215</v>
      </c>
      <c r="C7" s="48">
        <v>7</v>
      </c>
      <c r="D7" s="48" t="s">
        <v>1731</v>
      </c>
      <c r="E7" s="95">
        <v>45471</v>
      </c>
      <c r="F7" s="48">
        <v>1</v>
      </c>
      <c r="G7" s="48" t="e" cm="1" vm="1">
        <f t="array" aca="1" ref="G7" ca="1">SUMPRODUCT(--(I7:P7&lt;=I24:P24))/COUNTA(I24:P24)</f>
        <v>#VALUE!</v>
      </c>
      <c r="H7" s="48" t="s">
        <v>1266</v>
      </c>
      <c r="I7" s="48">
        <v>2</v>
      </c>
      <c r="J7" s="48">
        <v>30</v>
      </c>
      <c r="K7" s="48">
        <v>10</v>
      </c>
      <c r="L7" s="48">
        <v>1</v>
      </c>
      <c r="M7" s="48">
        <v>4</v>
      </c>
      <c r="N7" s="48">
        <v>10</v>
      </c>
      <c r="O7" s="48">
        <v>10</v>
      </c>
      <c r="P7" s="48">
        <v>21</v>
      </c>
    </row>
    <row r="8" spans="2:16">
      <c r="B8" s="48" t="s">
        <v>1218</v>
      </c>
      <c r="C8" s="48">
        <v>8</v>
      </c>
      <c r="D8" s="48" t="s">
        <v>1732</v>
      </c>
      <c r="E8" s="95">
        <v>45471</v>
      </c>
      <c r="F8" s="48">
        <v>1</v>
      </c>
      <c r="G8" s="48" t="s">
        <v>1257</v>
      </c>
      <c r="H8" s="48" t="s">
        <v>1266</v>
      </c>
      <c r="I8" s="48">
        <v>31</v>
      </c>
      <c r="J8" s="48">
        <v>162304820002470</v>
      </c>
      <c r="K8" s="48">
        <v>0</v>
      </c>
      <c r="L8" s="48">
        <v>0</v>
      </c>
      <c r="M8" s="48">
        <v>0</v>
      </c>
      <c r="N8" s="48" t="s">
        <v>1265</v>
      </c>
      <c r="O8" s="95">
        <v>45471</v>
      </c>
      <c r="P8" s="48" t="s">
        <v>1733</v>
      </c>
    </row>
    <row r="9" spans="2:16">
      <c r="B9" s="48" t="s">
        <v>1220</v>
      </c>
      <c r="C9" s="48">
        <v>9</v>
      </c>
      <c r="D9" s="48" t="s">
        <v>1734</v>
      </c>
      <c r="E9" s="95">
        <v>45471</v>
      </c>
      <c r="F9" s="48">
        <v>1</v>
      </c>
      <c r="G9" s="48" t="s">
        <v>1257</v>
      </c>
      <c r="H9" s="48" t="s">
        <v>1266</v>
      </c>
      <c r="I9" s="48">
        <v>31</v>
      </c>
      <c r="J9" s="48">
        <v>162304820002470</v>
      </c>
      <c r="K9" s="48">
        <v>0</v>
      </c>
      <c r="L9" s="48">
        <v>0</v>
      </c>
      <c r="M9" s="48">
        <v>0</v>
      </c>
      <c r="N9" s="48" t="s">
        <v>1265</v>
      </c>
      <c r="O9" s="95">
        <v>45471</v>
      </c>
      <c r="P9" s="48" t="s">
        <v>1735</v>
      </c>
    </row>
    <row r="10" spans="2:16">
      <c r="B10" s="97" t="s">
        <v>1222</v>
      </c>
      <c r="C10" s="48">
        <v>10</v>
      </c>
      <c r="D10" s="48" t="s">
        <v>1736</v>
      </c>
      <c r="E10" s="95">
        <v>45471</v>
      </c>
      <c r="F10" s="48">
        <v>1</v>
      </c>
      <c r="G10" s="48" t="s">
        <v>1257</v>
      </c>
      <c r="H10" s="48" t="s">
        <v>1266</v>
      </c>
      <c r="I10" s="48">
        <v>89</v>
      </c>
      <c r="J10" s="48">
        <v>8.8780038000002303E+29</v>
      </c>
      <c r="K10" s="48">
        <v>9961000426</v>
      </c>
      <c r="L10" s="48" t="s">
        <v>1737</v>
      </c>
      <c r="M10" s="48">
        <v>1057</v>
      </c>
      <c r="N10" s="95">
        <v>2958465</v>
      </c>
      <c r="O10" s="95">
        <v>45471</v>
      </c>
      <c r="P10" s="48" t="s">
        <v>1733</v>
      </c>
    </row>
    <row r="11" spans="2:16">
      <c r="B11" s="48" t="s">
        <v>1224</v>
      </c>
      <c r="C11" s="48">
        <v>11</v>
      </c>
      <c r="D11" s="48" t="s">
        <v>1738</v>
      </c>
      <c r="E11" s="95">
        <v>45471</v>
      </c>
      <c r="F11" s="48">
        <v>1</v>
      </c>
      <c r="G11" s="48" t="s">
        <v>1257</v>
      </c>
      <c r="H11" s="48" t="s">
        <v>1266</v>
      </c>
      <c r="I11" s="48">
        <v>89</v>
      </c>
      <c r="J11" s="48">
        <v>8.8780038000002303E+29</v>
      </c>
      <c r="K11" s="48">
        <v>9961000426</v>
      </c>
      <c r="L11" s="48" t="s">
        <v>1737</v>
      </c>
      <c r="M11" s="48">
        <v>1057</v>
      </c>
      <c r="N11" s="95">
        <v>2958465</v>
      </c>
      <c r="O11" s="95">
        <v>45471</v>
      </c>
      <c r="P11" s="48" t="s">
        <v>1739</v>
      </c>
    </row>
    <row r="12" spans="2:16">
      <c r="B12" s="48" t="s">
        <v>1226</v>
      </c>
      <c r="C12" s="48">
        <v>12</v>
      </c>
      <c r="D12" s="48" t="s">
        <v>1740</v>
      </c>
      <c r="E12" s="95">
        <v>45471</v>
      </c>
      <c r="F12" s="48">
        <v>1</v>
      </c>
      <c r="G12" s="48">
        <v>1</v>
      </c>
      <c r="H12" s="48" t="s">
        <v>1266</v>
      </c>
      <c r="I12" s="48">
        <v>0</v>
      </c>
      <c r="J12" s="48">
        <v>0</v>
      </c>
      <c r="K12" s="48">
        <v>0</v>
      </c>
      <c r="L12" s="48">
        <v>0</v>
      </c>
      <c r="M12" s="48">
        <v>0</v>
      </c>
      <c r="N12" s="95">
        <v>0</v>
      </c>
      <c r="O12" s="95">
        <v>0</v>
      </c>
      <c r="P12" s="48">
        <v>0</v>
      </c>
    </row>
    <row r="13" spans="2:16">
      <c r="B13" s="48" t="s">
        <v>1228</v>
      </c>
      <c r="C13" s="48">
        <v>13</v>
      </c>
      <c r="D13" s="48" t="s">
        <v>1741</v>
      </c>
      <c r="E13" s="95">
        <v>45471</v>
      </c>
      <c r="F13" s="48">
        <v>1</v>
      </c>
      <c r="G13" s="48">
        <v>1</v>
      </c>
      <c r="H13" s="48" t="s">
        <v>1266</v>
      </c>
      <c r="I13" s="48" t="s">
        <v>1257</v>
      </c>
      <c r="J13" s="48" t="s">
        <v>1257</v>
      </c>
      <c r="K13" s="48" t="s">
        <v>1257</v>
      </c>
      <c r="L13" s="48" t="s">
        <v>1257</v>
      </c>
      <c r="M13" s="48" t="s">
        <v>1257</v>
      </c>
      <c r="N13" s="95">
        <v>0</v>
      </c>
      <c r="O13" s="95" t="s">
        <v>1257</v>
      </c>
      <c r="P13" s="48" t="s">
        <v>1257</v>
      </c>
    </row>
    <row r="14" spans="2:16">
      <c r="B14" s="48" t="s">
        <v>1230</v>
      </c>
      <c r="C14" s="48">
        <v>14</v>
      </c>
      <c r="D14" s="48" t="s">
        <v>1742</v>
      </c>
      <c r="E14" s="95">
        <v>45471</v>
      </c>
      <c r="F14" s="48">
        <v>1</v>
      </c>
      <c r="G14" s="48">
        <v>1</v>
      </c>
      <c r="H14" s="48" t="s">
        <v>1266</v>
      </c>
      <c r="I14" s="48" t="s">
        <v>1257</v>
      </c>
      <c r="J14" s="48" t="s">
        <v>1257</v>
      </c>
      <c r="K14" s="48" t="s">
        <v>1257</v>
      </c>
      <c r="L14" s="48">
        <v>0</v>
      </c>
      <c r="M14" s="48" t="s">
        <v>1257</v>
      </c>
      <c r="N14" s="48" t="s">
        <v>1257</v>
      </c>
      <c r="O14" s="48" t="s">
        <v>1257</v>
      </c>
      <c r="P14" s="48" t="s">
        <v>1257</v>
      </c>
    </row>
    <row r="15" spans="2:16">
      <c r="B15" s="48" t="s">
        <v>1232</v>
      </c>
      <c r="C15" s="48">
        <v>15</v>
      </c>
      <c r="D15" s="48" t="s">
        <v>1743</v>
      </c>
      <c r="E15" s="95">
        <v>45471</v>
      </c>
      <c r="F15" s="48">
        <v>1</v>
      </c>
      <c r="G15" s="48">
        <v>1</v>
      </c>
      <c r="H15" s="48" t="s">
        <v>1266</v>
      </c>
      <c r="I15" s="48" t="s">
        <v>1257</v>
      </c>
      <c r="J15" s="48" t="s">
        <v>1257</v>
      </c>
      <c r="K15" s="48" t="s">
        <v>1257</v>
      </c>
      <c r="L15" s="48" t="s">
        <v>1257</v>
      </c>
      <c r="M15" s="48" t="s">
        <v>1257</v>
      </c>
      <c r="N15" s="97" t="s">
        <v>1257</v>
      </c>
      <c r="O15" s="48" t="s">
        <v>1257</v>
      </c>
      <c r="P15" s="48" t="s">
        <v>1257</v>
      </c>
    </row>
    <row r="16" spans="2:16">
      <c r="B16" s="48" t="s">
        <v>1234</v>
      </c>
      <c r="C16" s="48">
        <v>16</v>
      </c>
      <c r="D16" s="48" t="s">
        <v>1743</v>
      </c>
      <c r="E16" s="95">
        <v>45471</v>
      </c>
      <c r="F16" s="48">
        <v>1</v>
      </c>
      <c r="G16" s="48">
        <v>1</v>
      </c>
      <c r="H16" s="48" t="s">
        <v>1266</v>
      </c>
      <c r="I16" s="48" t="s">
        <v>1257</v>
      </c>
      <c r="J16" s="48" t="s">
        <v>1257</v>
      </c>
      <c r="K16" s="48" t="s">
        <v>1257</v>
      </c>
      <c r="L16" s="48" t="s">
        <v>1257</v>
      </c>
      <c r="M16" s="48" t="s">
        <v>1257</v>
      </c>
      <c r="N16" s="48" t="s">
        <v>1257</v>
      </c>
      <c r="O16" s="48" t="s">
        <v>1257</v>
      </c>
      <c r="P16" s="48" t="s">
        <v>1257</v>
      </c>
    </row>
    <row r="17" spans="2:16">
      <c r="B17" s="48" t="s">
        <v>1240</v>
      </c>
      <c r="C17" s="48">
        <v>19</v>
      </c>
      <c r="D17" s="48" t="s">
        <v>1744</v>
      </c>
      <c r="E17" s="95">
        <v>45471</v>
      </c>
      <c r="F17" s="48">
        <v>1</v>
      </c>
      <c r="G17" s="48" cm="1">
        <f t="array" aca="1" ref="G17" ca="1">SUMPRODUCT(--(ISNUMBER((SEARCH(I24:P24,I17:P17)))))/COUNTA(I17:P17)</f>
        <v>0.875</v>
      </c>
      <c r="H17" s="48" t="s">
        <v>1266</v>
      </c>
      <c r="I17" s="48" t="s">
        <v>1291</v>
      </c>
      <c r="J17" s="48" t="s">
        <v>1291</v>
      </c>
      <c r="K17" s="48" t="s">
        <v>1291</v>
      </c>
      <c r="L17" s="48" t="s">
        <v>1291</v>
      </c>
      <c r="M17" s="48" t="s">
        <v>1717</v>
      </c>
      <c r="N17" s="48" t="s">
        <v>1641</v>
      </c>
      <c r="O17" s="48" t="s">
        <v>1291</v>
      </c>
      <c r="P17" s="48" t="s">
        <v>1293</v>
      </c>
    </row>
    <row r="18" spans="2:16">
      <c r="B18" s="48" t="s">
        <v>1243</v>
      </c>
      <c r="C18" s="48">
        <v>20</v>
      </c>
      <c r="D18" s="48"/>
      <c r="E18" s="95">
        <v>45471</v>
      </c>
      <c r="F18" s="48">
        <v>1</v>
      </c>
      <c r="G18" s="48" t="e" cm="1" vm="1">
        <f t="array" ref="G18">SUM(IF(I2:P2 = I23:P23, 1, 0))/ COUNTA(I2:P2)</f>
        <v>#VALUE!</v>
      </c>
      <c r="H18" s="48" t="s">
        <v>1266</v>
      </c>
      <c r="I18" s="48" t="s">
        <v>1257</v>
      </c>
      <c r="J18" s="48" t="s">
        <v>1257</v>
      </c>
      <c r="K18" s="48" t="s">
        <v>1257</v>
      </c>
      <c r="L18" s="48" t="s">
        <v>1257</v>
      </c>
      <c r="M18" s="48" t="s">
        <v>1257</v>
      </c>
      <c r="N18" s="48" t="s">
        <v>1257</v>
      </c>
      <c r="O18" s="48" t="s">
        <v>1257</v>
      </c>
      <c r="P18" s="48" t="s">
        <v>1257</v>
      </c>
    </row>
    <row r="19" spans="2:16">
      <c r="B19" s="48" t="s">
        <v>1246</v>
      </c>
      <c r="C19" s="48">
        <v>21</v>
      </c>
      <c r="D19" s="48"/>
      <c r="E19" s="95">
        <v>45471</v>
      </c>
      <c r="F19" s="48">
        <v>1</v>
      </c>
      <c r="G19" s="48" t="e" cm="1" vm="1">
        <f t="array" aca="1" ref="G19" ca="1">SUM(IF(IF(G3:G18="null",1,G3:G18)=1,1,0))/COUNT(IF(G3:G18="null",1,1))</f>
        <v>#VALUE!</v>
      </c>
      <c r="H19" s="48" t="s">
        <v>1266</v>
      </c>
      <c r="I19" s="48" t="s">
        <v>1257</v>
      </c>
      <c r="J19" s="48" t="s">
        <v>1257</v>
      </c>
      <c r="K19" s="48" t="s">
        <v>1257</v>
      </c>
      <c r="L19" s="48" t="s">
        <v>1257</v>
      </c>
      <c r="M19" s="48" t="s">
        <v>1257</v>
      </c>
      <c r="N19" s="48">
        <v>0</v>
      </c>
      <c r="O19" s="48" t="s">
        <v>1257</v>
      </c>
      <c r="P19" s="48" t="s">
        <v>1257</v>
      </c>
    </row>
    <row r="22" spans="2:16">
      <c r="B22" s="129" t="s">
        <v>1745</v>
      </c>
    </row>
    <row r="23" spans="2:16">
      <c r="B23" s="127" t="s">
        <v>1249</v>
      </c>
      <c r="C23" s="128" t="s">
        <v>1250</v>
      </c>
      <c r="D23" s="128" t="s">
        <v>1251</v>
      </c>
      <c r="E23" s="128" t="s">
        <v>1252</v>
      </c>
      <c r="F23" s="128" t="s">
        <v>1253</v>
      </c>
      <c r="G23" s="128" t="s">
        <v>1254</v>
      </c>
      <c r="H23" s="128" t="s">
        <v>1255</v>
      </c>
      <c r="I23" s="128" t="e" cm="1" vm="2">
        <f t="array" ref="I23">TRANSPOSE(_xlfn.SORTBY(_xlfn._xlws.FILTER(Table3[NOME FÍSICO CAMPO],Table3[NOME FÍSICO TABELA]="contract_party_relationship"), _xlfn._xlws.FILTER(Table3[ORDEM], Table3[NOME FÍSICO TABELA]="contract_party_relationship"), 1))</f>
        <v>#VALUE!</v>
      </c>
      <c r="J23" s="128"/>
      <c r="K23" s="128"/>
      <c r="L23" s="128"/>
      <c r="M23" s="128"/>
      <c r="N23" s="128"/>
      <c r="O23" s="128"/>
      <c r="P23" s="125"/>
    </row>
    <row r="24" spans="2:16">
      <c r="B24" s="120" t="s">
        <v>124</v>
      </c>
      <c r="C24" s="112">
        <v>21</v>
      </c>
      <c r="D24" s="113" t="s">
        <v>1295</v>
      </c>
      <c r="E24" s="112" t="s">
        <v>1296</v>
      </c>
      <c r="F24" s="112" t="s">
        <v>124</v>
      </c>
      <c r="G24" s="112" t="s">
        <v>124</v>
      </c>
      <c r="H24" s="112" t="s">
        <v>124</v>
      </c>
      <c r="I24" s="112" t="e" cm="1" vm="2">
        <f t="array" aca="1" ref="I24" ca="1">TRANSPOSE(_xlfn.SORTBY(_xlfn._xlws.FILTER(IF(Table3[FORMATO]:Table3[COMP_ CAMPO]&lt;&gt;"",Table3[FORMATO]:Table3[COMP_ CAMPO],9999999),Table3[NOME FÍSICO TABELA]="contract_party_relationship"), _xlfn._xlws.FILTER(Table3[ORDEM], Table3[NOME FÍSICO TABELA]="contract_party_relationship"), 1))</f>
        <v>#VALUE!</v>
      </c>
      <c r="J24" s="112"/>
      <c r="K24" s="112"/>
      <c r="L24" s="112"/>
      <c r="M24" s="112"/>
      <c r="N24" s="112"/>
      <c r="O24" s="112"/>
      <c r="P24" s="119"/>
    </row>
    <row r="25" spans="2:16">
      <c r="B25" s="120" t="s">
        <v>124</v>
      </c>
      <c r="C25" s="112">
        <v>7</v>
      </c>
      <c r="D25" s="113" t="s">
        <v>1295</v>
      </c>
      <c r="E25" s="112" t="s">
        <v>1296</v>
      </c>
      <c r="F25" s="112" t="s">
        <v>124</v>
      </c>
      <c r="G25" s="112" t="s">
        <v>124</v>
      </c>
      <c r="H25" s="112" t="s">
        <v>124</v>
      </c>
      <c r="I25" s="112"/>
      <c r="J25" s="112"/>
      <c r="K25" s="112"/>
      <c r="L25" s="112"/>
      <c r="M25" s="112"/>
      <c r="N25" s="112"/>
      <c r="O25" s="112"/>
      <c r="P25" s="119"/>
    </row>
    <row r="26" spans="2:16">
      <c r="B26" s="48"/>
      <c r="C26" s="48"/>
      <c r="D26" s="96"/>
      <c r="E26" s="48"/>
      <c r="F26" s="48"/>
      <c r="G26" s="48"/>
      <c r="H26" s="48"/>
      <c r="I26" s="48"/>
      <c r="J26" s="48"/>
      <c r="K26" s="48"/>
      <c r="L26" s="48"/>
      <c r="M26" s="48"/>
      <c r="N26" s="48"/>
      <c r="O26" s="48"/>
      <c r="P26" s="48"/>
    </row>
    <row r="27" spans="2:16">
      <c r="B27" s="139" t="s">
        <v>1298</v>
      </c>
    </row>
    <row r="28" spans="2:16">
      <c r="B28" s="148" t="s">
        <v>1299</v>
      </c>
      <c r="C28" s="130" t="s">
        <v>1300</v>
      </c>
      <c r="D28" s="149" t="s">
        <v>1301</v>
      </c>
      <c r="E28" s="130" t="s">
        <v>1302</v>
      </c>
      <c r="F28" s="149" t="s">
        <v>1303</v>
      </c>
    </row>
    <row r="29" spans="2:16" ht="29.1">
      <c r="B29" s="52" t="s">
        <v>1746</v>
      </c>
      <c r="C29" s="52" t="s">
        <v>1725</v>
      </c>
      <c r="D29" s="51" t="s">
        <v>1747</v>
      </c>
      <c r="E29" s="155" t="s">
        <v>1748</v>
      </c>
      <c r="F29" s="52" t="s">
        <v>1310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K65"/>
  <sheetViews>
    <sheetView showGridLines="0" topLeftCell="A20" workbookViewId="0">
      <selection activeCell="G65" sqref="G65"/>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24.7109375" customWidth="1"/>
    <col min="8" max="8" width="23.140625" customWidth="1"/>
    <col min="9" max="9" width="29.28515625" customWidth="1"/>
    <col min="10" max="10" width="47.28515625" style="159" customWidth="1"/>
    <col min="11" max="11" width="23.85546875" style="159" bestFit="1" customWidth="1"/>
    <col min="12" max="12" width="22.7109375" style="159" bestFit="1" customWidth="1"/>
    <col min="13" max="13" width="30" style="159" bestFit="1" customWidth="1"/>
    <col min="14" max="21" width="30" style="159" customWidth="1"/>
    <col min="22" max="24" width="30.7109375" style="159" bestFit="1" customWidth="1"/>
    <col min="25" max="31" width="30.7109375" style="159" customWidth="1"/>
    <col min="32" max="32" width="30.7109375" style="159" bestFit="1" customWidth="1"/>
    <col min="33" max="33" width="31.28515625" style="159" customWidth="1"/>
    <col min="34" max="34" width="26.85546875" style="159" bestFit="1" customWidth="1"/>
    <col min="35" max="35" width="30.7109375" style="159" bestFit="1" customWidth="1"/>
    <col min="36" max="40" width="30.7109375" style="159" customWidth="1"/>
    <col min="41" max="41" width="43.28515625" style="159" customWidth="1"/>
    <col min="42" max="45" width="30.7109375" style="159" bestFit="1" customWidth="1"/>
    <col min="46" max="46" width="24.5703125" style="159" bestFit="1" customWidth="1"/>
    <col min="47" max="47" width="30.7109375" style="159" bestFit="1" customWidth="1"/>
    <col min="48" max="48" width="16.42578125" style="159" bestFit="1" customWidth="1"/>
    <col min="49" max="49" width="26.85546875" style="159" bestFit="1" customWidth="1"/>
    <col min="50" max="50" width="30.7109375" style="159" bestFit="1" customWidth="1"/>
    <col min="51" max="51" width="25.140625" style="159" bestFit="1" customWidth="1"/>
    <col min="52" max="52" width="45.7109375" style="159" bestFit="1" customWidth="1"/>
    <col min="53" max="53" width="44.28515625" style="159" customWidth="1"/>
    <col min="54" max="54" width="32.28515625" customWidth="1"/>
    <col min="55" max="55" width="32.5703125" customWidth="1"/>
    <col min="56" max="56" width="21.5703125" customWidth="1"/>
    <col min="57" max="57" width="27.7109375" customWidth="1"/>
    <col min="58" max="58" width="46.42578125" customWidth="1"/>
  </cols>
  <sheetData>
    <row r="1" spans="2:53" ht="27.75" customHeight="1"/>
    <row r="2" spans="2:53">
      <c r="B2" s="77" t="s">
        <v>1375</v>
      </c>
      <c r="C2" s="77" t="s">
        <v>1250</v>
      </c>
      <c r="D2" s="77" t="s">
        <v>1251</v>
      </c>
      <c r="E2" s="77" t="s">
        <v>1252</v>
      </c>
      <c r="F2" s="77" t="s">
        <v>1253</v>
      </c>
      <c r="G2" s="77" t="s">
        <v>1254</v>
      </c>
      <c r="H2" s="77" t="s">
        <v>1255</v>
      </c>
      <c r="I2" s="77" t="s">
        <v>103</v>
      </c>
      <c r="J2" s="160" t="s">
        <v>134</v>
      </c>
      <c r="K2" s="160" t="s">
        <v>155</v>
      </c>
      <c r="L2" s="160" t="s">
        <v>162</v>
      </c>
      <c r="M2" s="160" t="s">
        <v>190</v>
      </c>
      <c r="N2" s="160" t="s">
        <v>176</v>
      </c>
      <c r="O2" s="160" t="s">
        <v>203</v>
      </c>
      <c r="P2" s="160" t="s">
        <v>227</v>
      </c>
      <c r="Q2" s="160" t="s">
        <v>248</v>
      </c>
      <c r="R2" s="160" t="s">
        <v>262</v>
      </c>
      <c r="S2" s="160" t="s">
        <v>275</v>
      </c>
      <c r="T2" s="160" t="s">
        <v>307</v>
      </c>
      <c r="U2" s="160" t="s">
        <v>144</v>
      </c>
      <c r="V2" s="160" t="s">
        <v>289</v>
      </c>
      <c r="W2" s="160" t="s">
        <v>299</v>
      </c>
      <c r="X2" s="160" t="s">
        <v>314</v>
      </c>
      <c r="Y2" s="160" t="s">
        <v>389</v>
      </c>
      <c r="Z2" s="160" t="s">
        <v>349</v>
      </c>
      <c r="AA2" s="160" t="s">
        <v>429</v>
      </c>
      <c r="AB2" s="160" t="s">
        <v>443</v>
      </c>
      <c r="AC2" s="160" t="s">
        <v>453</v>
      </c>
      <c r="AD2" s="160" t="s">
        <v>468</v>
      </c>
      <c r="AE2" s="160" t="s">
        <v>482</v>
      </c>
      <c r="AF2" s="160" t="s">
        <v>512</v>
      </c>
      <c r="AG2" s="160" t="s">
        <v>521</v>
      </c>
      <c r="AH2" s="160" t="s">
        <v>530</v>
      </c>
      <c r="AI2" s="160" t="s">
        <v>540</v>
      </c>
      <c r="AJ2" s="160" t="s">
        <v>549</v>
      </c>
      <c r="AK2" s="160" t="s">
        <v>558</v>
      </c>
      <c r="AL2" s="160" t="s">
        <v>567</v>
      </c>
      <c r="AM2" s="160" t="s">
        <v>577</v>
      </c>
      <c r="AN2" s="159" t="s">
        <v>589</v>
      </c>
      <c r="AO2" s="159" t="s">
        <v>600</v>
      </c>
      <c r="AP2" s="159" t="s">
        <v>608</v>
      </c>
      <c r="AQ2" s="159" t="s">
        <v>617</v>
      </c>
      <c r="AR2" s="159" t="s">
        <v>626</v>
      </c>
      <c r="AS2" s="159" t="s">
        <v>636</v>
      </c>
      <c r="AT2" s="159" t="s">
        <v>644</v>
      </c>
      <c r="AU2" s="159" t="s">
        <v>652</v>
      </c>
      <c r="AV2" s="159" t="s">
        <v>661</v>
      </c>
      <c r="AW2" s="159" t="s">
        <v>669</v>
      </c>
      <c r="AX2" s="159" t="s">
        <v>678</v>
      </c>
      <c r="AY2" s="159" t="s">
        <v>214</v>
      </c>
      <c r="AZ2" s="159" t="s">
        <v>234</v>
      </c>
      <c r="BA2" s="159" t="s">
        <v>253</v>
      </c>
    </row>
    <row r="3" spans="2:53">
      <c r="B3" s="48" t="s">
        <v>1203</v>
      </c>
      <c r="C3" s="48">
        <v>1</v>
      </c>
      <c r="D3" t="s">
        <v>1749</v>
      </c>
      <c r="E3" s="260">
        <v>45390</v>
      </c>
      <c r="F3" s="94">
        <v>1</v>
      </c>
      <c r="G3" s="259">
        <v>1</v>
      </c>
      <c r="H3" s="94">
        <v>125228</v>
      </c>
      <c r="I3" s="94" t="s">
        <v>1257</v>
      </c>
      <c r="J3" s="94" t="s">
        <v>1257</v>
      </c>
      <c r="K3" s="94" t="s">
        <v>1257</v>
      </c>
      <c r="L3" s="94" t="s">
        <v>1257</v>
      </c>
      <c r="M3" s="94" t="s">
        <v>1257</v>
      </c>
      <c r="N3" s="94" t="s">
        <v>1257</v>
      </c>
      <c r="O3" s="94" t="s">
        <v>1257</v>
      </c>
      <c r="P3" s="94" t="s">
        <v>1257</v>
      </c>
      <c r="Q3" s="94" t="s">
        <v>1257</v>
      </c>
      <c r="R3" s="94" t="s">
        <v>1257</v>
      </c>
      <c r="S3" s="94" t="s">
        <v>1257</v>
      </c>
      <c r="T3" s="94" t="s">
        <v>1257</v>
      </c>
      <c r="U3" s="94" t="s">
        <v>1257</v>
      </c>
      <c r="V3" s="94" t="s">
        <v>1257</v>
      </c>
      <c r="W3" s="94" t="s">
        <v>1257</v>
      </c>
      <c r="X3" s="94" t="s">
        <v>1257</v>
      </c>
      <c r="Y3" s="94" t="s">
        <v>1257</v>
      </c>
      <c r="Z3" s="94" t="s">
        <v>1257</v>
      </c>
      <c r="AA3" s="94" t="s">
        <v>1257</v>
      </c>
      <c r="AB3" s="94" t="s">
        <v>1257</v>
      </c>
      <c r="AC3" s="94" t="s">
        <v>1257</v>
      </c>
      <c r="AD3" s="94" t="s">
        <v>1257</v>
      </c>
      <c r="AE3" s="94" t="s">
        <v>1257</v>
      </c>
      <c r="AF3" s="94" t="s">
        <v>1257</v>
      </c>
      <c r="AG3" s="94" t="s">
        <v>1257</v>
      </c>
      <c r="AH3" s="94" t="s">
        <v>1257</v>
      </c>
      <c r="AI3" s="94" t="s">
        <v>1257</v>
      </c>
      <c r="AJ3" s="94" t="s">
        <v>1257</v>
      </c>
      <c r="AK3" s="94" t="s">
        <v>1257</v>
      </c>
      <c r="AL3" s="94" t="s">
        <v>1257</v>
      </c>
      <c r="AM3" s="94" t="s">
        <v>1257</v>
      </c>
      <c r="AN3" s="94" t="s">
        <v>1257</v>
      </c>
      <c r="AO3" s="94" t="s">
        <v>1257</v>
      </c>
      <c r="AP3" s="94" t="s">
        <v>1257</v>
      </c>
      <c r="AQ3" s="94" t="s">
        <v>1257</v>
      </c>
      <c r="AR3" s="94" t="s">
        <v>1257</v>
      </c>
      <c r="AS3" s="94" t="s">
        <v>1257</v>
      </c>
      <c r="AT3" s="94" t="s">
        <v>1257</v>
      </c>
      <c r="AU3" s="94" t="s">
        <v>1257</v>
      </c>
      <c r="AV3" s="94" t="s">
        <v>1257</v>
      </c>
      <c r="AW3" s="94" t="s">
        <v>1257</v>
      </c>
      <c r="AX3" s="94" t="s">
        <v>1257</v>
      </c>
      <c r="AY3" s="94" t="s">
        <v>1257</v>
      </c>
      <c r="AZ3" s="94" t="s">
        <v>1257</v>
      </c>
      <c r="BA3" s="94" t="s">
        <v>1257</v>
      </c>
    </row>
    <row r="4" spans="2:53">
      <c r="B4" s="48" t="s">
        <v>1205</v>
      </c>
      <c r="C4" s="48">
        <v>2</v>
      </c>
      <c r="D4" t="s">
        <v>1750</v>
      </c>
      <c r="E4" s="260">
        <v>45390</v>
      </c>
      <c r="F4" s="94">
        <v>1</v>
      </c>
      <c r="G4" s="259">
        <v>0.99999199999999999</v>
      </c>
      <c r="H4" s="258">
        <v>1</v>
      </c>
      <c r="I4" s="94" t="s">
        <v>1257</v>
      </c>
      <c r="J4" s="94" t="s">
        <v>1257</v>
      </c>
      <c r="K4" s="94" t="s">
        <v>1257</v>
      </c>
      <c r="L4" s="94" t="s">
        <v>1257</v>
      </c>
      <c r="M4" s="94" t="s">
        <v>1257</v>
      </c>
      <c r="N4" s="94" t="s">
        <v>1257</v>
      </c>
      <c r="O4" s="94" t="s">
        <v>1257</v>
      </c>
      <c r="P4" s="94" t="s">
        <v>1257</v>
      </c>
      <c r="Q4" s="94" t="s">
        <v>1257</v>
      </c>
      <c r="R4" s="94" t="s">
        <v>1257</v>
      </c>
      <c r="S4" s="94" t="s">
        <v>1257</v>
      </c>
      <c r="T4" s="94" t="s">
        <v>1257</v>
      </c>
      <c r="U4" s="94" t="s">
        <v>1257</v>
      </c>
      <c r="V4" s="94" t="s">
        <v>1257</v>
      </c>
      <c r="W4" s="94" t="s">
        <v>1257</v>
      </c>
      <c r="X4" s="94" t="s">
        <v>1257</v>
      </c>
      <c r="Y4" s="94" t="s">
        <v>1257</v>
      </c>
      <c r="Z4" s="94" t="s">
        <v>1257</v>
      </c>
      <c r="AA4" s="94" t="s">
        <v>1257</v>
      </c>
      <c r="AB4" s="94" t="s">
        <v>1257</v>
      </c>
      <c r="AC4" s="94" t="s">
        <v>1257</v>
      </c>
      <c r="AD4" s="94" t="s">
        <v>1257</v>
      </c>
      <c r="AE4" s="94" t="s">
        <v>1257</v>
      </c>
      <c r="AF4" s="94" t="s">
        <v>1257</v>
      </c>
      <c r="AG4" s="94" t="s">
        <v>1257</v>
      </c>
      <c r="AH4" s="94" t="s">
        <v>1257</v>
      </c>
      <c r="AI4" s="94" t="s">
        <v>1257</v>
      </c>
      <c r="AJ4" s="94" t="s">
        <v>1257</v>
      </c>
      <c r="AK4" s="94" t="s">
        <v>1257</v>
      </c>
      <c r="AL4" s="94" t="s">
        <v>1257</v>
      </c>
      <c r="AM4" s="94" t="s">
        <v>1257</v>
      </c>
      <c r="AN4" s="94" t="s">
        <v>1257</v>
      </c>
      <c r="AO4" s="94" t="s">
        <v>1257</v>
      </c>
      <c r="AP4" s="94" t="s">
        <v>1257</v>
      </c>
      <c r="AQ4" s="94" t="s">
        <v>1257</v>
      </c>
      <c r="AR4" s="94" t="s">
        <v>1257</v>
      </c>
      <c r="AS4" s="94" t="s">
        <v>1257</v>
      </c>
      <c r="AT4" s="94" t="s">
        <v>1257</v>
      </c>
      <c r="AU4" s="94" t="s">
        <v>1257</v>
      </c>
      <c r="AV4" s="94" t="s">
        <v>1257</v>
      </c>
      <c r="AW4" s="94" t="s">
        <v>1257</v>
      </c>
      <c r="AX4" s="94" t="s">
        <v>1257</v>
      </c>
      <c r="AY4" s="94" t="s">
        <v>1257</v>
      </c>
      <c r="AZ4" s="94" t="s">
        <v>1257</v>
      </c>
      <c r="BA4" s="94" t="s">
        <v>1257</v>
      </c>
    </row>
    <row r="5" spans="2:53">
      <c r="B5" s="48" t="s">
        <v>1207</v>
      </c>
      <c r="C5" s="48">
        <v>3</v>
      </c>
      <c r="D5" t="s">
        <v>1751</v>
      </c>
      <c r="E5" s="260">
        <v>45390</v>
      </c>
      <c r="F5" s="94">
        <v>1</v>
      </c>
      <c r="G5" s="259">
        <v>1</v>
      </c>
      <c r="H5" s="94">
        <v>0</v>
      </c>
      <c r="I5" s="94">
        <v>0</v>
      </c>
      <c r="J5" s="94">
        <v>0</v>
      </c>
      <c r="K5" s="94" t="s">
        <v>1257</v>
      </c>
      <c r="L5" s="94" t="s">
        <v>1257</v>
      </c>
      <c r="M5" s="94" t="s">
        <v>1257</v>
      </c>
      <c r="N5" s="94" t="s">
        <v>1257</v>
      </c>
      <c r="O5" s="94" t="s">
        <v>1257</v>
      </c>
      <c r="P5" s="94" t="s">
        <v>1257</v>
      </c>
      <c r="Q5" s="94" t="s">
        <v>1257</v>
      </c>
      <c r="R5" s="94" t="s">
        <v>1257</v>
      </c>
      <c r="S5" s="94" t="s">
        <v>1257</v>
      </c>
      <c r="T5" s="94" t="s">
        <v>1257</v>
      </c>
      <c r="U5" s="94" t="s">
        <v>1257</v>
      </c>
      <c r="V5" s="94" t="s">
        <v>1257</v>
      </c>
      <c r="W5" s="94" t="s">
        <v>1257</v>
      </c>
      <c r="X5" s="94" t="s">
        <v>1257</v>
      </c>
      <c r="Y5" s="94" t="s">
        <v>1257</v>
      </c>
      <c r="Z5" s="94" t="s">
        <v>1257</v>
      </c>
      <c r="AA5" s="94" t="s">
        <v>1257</v>
      </c>
      <c r="AB5" s="94" t="s">
        <v>1257</v>
      </c>
      <c r="AC5" s="94" t="s">
        <v>1257</v>
      </c>
      <c r="AD5" s="94" t="s">
        <v>1257</v>
      </c>
      <c r="AE5" s="94" t="s">
        <v>1257</v>
      </c>
      <c r="AF5" s="94" t="s">
        <v>1257</v>
      </c>
      <c r="AG5" s="94" t="s">
        <v>1257</v>
      </c>
      <c r="AH5" s="94" t="s">
        <v>1257</v>
      </c>
      <c r="AI5" s="94" t="s">
        <v>1257</v>
      </c>
      <c r="AJ5" s="94" t="s">
        <v>1257</v>
      </c>
      <c r="AK5" s="94" t="s">
        <v>1257</v>
      </c>
      <c r="AL5" s="94" t="s">
        <v>1257</v>
      </c>
      <c r="AM5" s="94" t="s">
        <v>1257</v>
      </c>
      <c r="AN5" s="94" t="s">
        <v>1257</v>
      </c>
      <c r="AO5" s="94" t="s">
        <v>1257</v>
      </c>
      <c r="AP5" s="94" t="s">
        <v>1257</v>
      </c>
      <c r="AQ5" s="94" t="s">
        <v>1257</v>
      </c>
      <c r="AR5" s="94" t="s">
        <v>1257</v>
      </c>
      <c r="AS5" s="94" t="s">
        <v>1257</v>
      </c>
      <c r="AT5" s="94" t="s">
        <v>1257</v>
      </c>
      <c r="AU5" s="94" t="s">
        <v>1257</v>
      </c>
      <c r="AV5" s="94" t="s">
        <v>1257</v>
      </c>
      <c r="AW5" s="94" t="s">
        <v>1257</v>
      </c>
      <c r="AX5" s="94" t="s">
        <v>1257</v>
      </c>
      <c r="AY5" s="94" t="s">
        <v>1257</v>
      </c>
      <c r="AZ5" s="94">
        <v>0</v>
      </c>
      <c r="BA5" s="94" t="s">
        <v>1257</v>
      </c>
    </row>
    <row r="6" spans="2:53">
      <c r="B6" s="97" t="s">
        <v>1209</v>
      </c>
      <c r="C6" s="48">
        <v>4</v>
      </c>
      <c r="D6" t="s">
        <v>1260</v>
      </c>
      <c r="E6" s="260">
        <v>45390</v>
      </c>
      <c r="F6" s="94">
        <v>1</v>
      </c>
      <c r="G6" s="259" t="s">
        <v>1257</v>
      </c>
      <c r="H6" s="94" t="s">
        <v>1257</v>
      </c>
      <c r="I6" s="94" t="s">
        <v>1257</v>
      </c>
      <c r="J6" s="94" t="s">
        <v>1257</v>
      </c>
      <c r="K6" s="94" t="s">
        <v>1257</v>
      </c>
      <c r="L6" s="94" t="s">
        <v>1257</v>
      </c>
      <c r="M6" s="94" t="s">
        <v>1257</v>
      </c>
      <c r="N6" s="94" t="s">
        <v>1257</v>
      </c>
      <c r="O6" s="94" t="s">
        <v>1257</v>
      </c>
      <c r="P6" s="94" t="s">
        <v>1257</v>
      </c>
      <c r="Q6" s="94" t="s">
        <v>1257</v>
      </c>
      <c r="R6" s="94" t="s">
        <v>1257</v>
      </c>
      <c r="S6" s="94" t="s">
        <v>1257</v>
      </c>
      <c r="T6" s="94" t="s">
        <v>1257</v>
      </c>
      <c r="U6" s="94" t="s">
        <v>1257</v>
      </c>
      <c r="V6" s="94" t="s">
        <v>1257</v>
      </c>
      <c r="W6" s="94" t="s">
        <v>1257</v>
      </c>
      <c r="X6" s="94" t="s">
        <v>1257</v>
      </c>
      <c r="Y6" s="94" t="s">
        <v>1257</v>
      </c>
      <c r="Z6" s="94" t="s">
        <v>1257</v>
      </c>
      <c r="AA6" s="94" t="s">
        <v>1257</v>
      </c>
      <c r="AB6" s="94" t="s">
        <v>1257</v>
      </c>
      <c r="AC6" s="94" t="s">
        <v>1257</v>
      </c>
      <c r="AD6" s="94" t="s">
        <v>1257</v>
      </c>
      <c r="AE6" s="94" t="s">
        <v>1257</v>
      </c>
      <c r="AF6" s="94" t="s">
        <v>1257</v>
      </c>
      <c r="AG6" s="94" t="s">
        <v>1257</v>
      </c>
      <c r="AH6" s="94" t="s">
        <v>1257</v>
      </c>
      <c r="AI6" s="94" t="s">
        <v>1257</v>
      </c>
      <c r="AJ6" s="94" t="s">
        <v>1257</v>
      </c>
      <c r="AK6" s="94" t="s">
        <v>1257</v>
      </c>
      <c r="AL6" s="94" t="s">
        <v>1257</v>
      </c>
      <c r="AM6" s="94" t="s">
        <v>1257</v>
      </c>
      <c r="AN6" s="94" t="s">
        <v>1257</v>
      </c>
      <c r="AO6" s="94" t="s">
        <v>1257</v>
      </c>
      <c r="AP6" s="94" t="s">
        <v>1257</v>
      </c>
      <c r="AQ6" s="94" t="s">
        <v>1257</v>
      </c>
      <c r="AR6" s="94" t="s">
        <v>1257</v>
      </c>
      <c r="AS6" s="94" t="s">
        <v>1257</v>
      </c>
      <c r="AT6" s="94" t="s">
        <v>1257</v>
      </c>
      <c r="AU6" s="94" t="s">
        <v>1257</v>
      </c>
      <c r="AV6" s="94" t="s">
        <v>1257</v>
      </c>
      <c r="AW6" s="94" t="s">
        <v>1257</v>
      </c>
      <c r="AX6" s="94" t="s">
        <v>1257</v>
      </c>
      <c r="AY6" s="94" t="s">
        <v>1257</v>
      </c>
      <c r="AZ6" s="94" t="s">
        <v>1257</v>
      </c>
      <c r="BA6" s="94" t="s">
        <v>1257</v>
      </c>
    </row>
    <row r="7" spans="2:53">
      <c r="B7" s="97" t="s">
        <v>1211</v>
      </c>
      <c r="C7" s="48">
        <v>5</v>
      </c>
      <c r="D7" t="s">
        <v>1260</v>
      </c>
      <c r="E7" s="260">
        <v>45390</v>
      </c>
      <c r="F7" s="94">
        <v>1</v>
      </c>
      <c r="G7" s="259" t="s">
        <v>1257</v>
      </c>
      <c r="H7" s="94" t="s">
        <v>1257</v>
      </c>
      <c r="I7" s="94" t="s">
        <v>1257</v>
      </c>
      <c r="J7" s="94" t="s">
        <v>1257</v>
      </c>
      <c r="K7" s="94" t="s">
        <v>1257</v>
      </c>
      <c r="L7" s="94" t="s">
        <v>1257</v>
      </c>
      <c r="M7" s="94" t="s">
        <v>1257</v>
      </c>
      <c r="N7" s="94" t="s">
        <v>1257</v>
      </c>
      <c r="O7" s="94" t="s">
        <v>1257</v>
      </c>
      <c r="P7" s="94" t="s">
        <v>1257</v>
      </c>
      <c r="Q7" s="94" t="s">
        <v>1257</v>
      </c>
      <c r="R7" s="94" t="s">
        <v>1257</v>
      </c>
      <c r="S7" s="94" t="s">
        <v>1257</v>
      </c>
      <c r="T7" s="94" t="s">
        <v>1257</v>
      </c>
      <c r="U7" s="94" t="s">
        <v>1257</v>
      </c>
      <c r="V7" s="94" t="s">
        <v>1257</v>
      </c>
      <c r="W7" s="94" t="s">
        <v>1257</v>
      </c>
      <c r="X7" s="94" t="s">
        <v>1257</v>
      </c>
      <c r="Y7" s="94" t="s">
        <v>1257</v>
      </c>
      <c r="Z7" s="94" t="s">
        <v>1257</v>
      </c>
      <c r="AA7" s="94" t="s">
        <v>1257</v>
      </c>
      <c r="AB7" s="94" t="s">
        <v>1257</v>
      </c>
      <c r="AC7" s="94" t="s">
        <v>1257</v>
      </c>
      <c r="AD7" s="94" t="s">
        <v>1257</v>
      </c>
      <c r="AE7" s="94" t="s">
        <v>1257</v>
      </c>
      <c r="AF7" s="94" t="s">
        <v>1257</v>
      </c>
      <c r="AG7" s="94" t="s">
        <v>1257</v>
      </c>
      <c r="AH7" s="94" t="s">
        <v>1257</v>
      </c>
      <c r="AI7" s="94" t="s">
        <v>1257</v>
      </c>
      <c r="AJ7" s="94" t="s">
        <v>1257</v>
      </c>
      <c r="AK7" s="94" t="s">
        <v>1257</v>
      </c>
      <c r="AL7" s="94" t="s">
        <v>1257</v>
      </c>
      <c r="AM7" s="94" t="s">
        <v>1257</v>
      </c>
      <c r="AN7" s="94" t="s">
        <v>1257</v>
      </c>
      <c r="AO7" s="94" t="s">
        <v>1257</v>
      </c>
      <c r="AP7" s="94" t="s">
        <v>1257</v>
      </c>
      <c r="AQ7" s="94" t="s">
        <v>1257</v>
      </c>
      <c r="AR7" s="94" t="s">
        <v>1257</v>
      </c>
      <c r="AS7" s="94" t="s">
        <v>1257</v>
      </c>
      <c r="AT7" s="94" t="s">
        <v>1257</v>
      </c>
      <c r="AU7" s="94" t="s">
        <v>1257</v>
      </c>
      <c r="AV7" s="94" t="s">
        <v>1257</v>
      </c>
      <c r="AW7" s="94" t="s">
        <v>1257</v>
      </c>
      <c r="AX7" s="94" t="s">
        <v>1257</v>
      </c>
      <c r="AY7" s="94" t="s">
        <v>1257</v>
      </c>
      <c r="AZ7" s="94" t="s">
        <v>1257</v>
      </c>
      <c r="BA7" s="94" t="s">
        <v>1257</v>
      </c>
    </row>
    <row r="8" spans="2:53">
      <c r="B8" s="97" t="s">
        <v>1212</v>
      </c>
      <c r="C8" s="48">
        <v>6</v>
      </c>
      <c r="D8" t="s">
        <v>1752</v>
      </c>
      <c r="E8" s="260">
        <v>45390</v>
      </c>
      <c r="F8" s="94">
        <v>1</v>
      </c>
      <c r="G8" s="259" cm="1">
        <f t="array" ref="G8">SUMPRODUCT(--(I8:BA8&gt;0))/COUNTA(I8:BA8)</f>
        <v>1</v>
      </c>
      <c r="H8" s="94">
        <v>0</v>
      </c>
      <c r="I8" s="94">
        <v>2</v>
      </c>
      <c r="J8" s="94">
        <v>30</v>
      </c>
      <c r="K8" s="94">
        <v>3</v>
      </c>
      <c r="L8" s="94">
        <v>3</v>
      </c>
      <c r="M8" s="94">
        <v>3</v>
      </c>
      <c r="N8" s="94">
        <v>2</v>
      </c>
      <c r="O8" s="94">
        <v>4</v>
      </c>
      <c r="P8" s="94">
        <v>34</v>
      </c>
      <c r="Q8" s="94">
        <v>2</v>
      </c>
      <c r="R8" s="94">
        <v>4</v>
      </c>
      <c r="S8" s="94">
        <v>34</v>
      </c>
      <c r="T8" s="94">
        <v>2</v>
      </c>
      <c r="U8" s="94">
        <v>15</v>
      </c>
      <c r="V8" s="94">
        <v>10</v>
      </c>
      <c r="W8" s="94">
        <v>10</v>
      </c>
      <c r="X8" s="94">
        <v>3</v>
      </c>
      <c r="Y8" s="94">
        <v>1</v>
      </c>
      <c r="Z8" s="94">
        <v>8</v>
      </c>
      <c r="AA8" s="94">
        <v>8</v>
      </c>
      <c r="AB8" s="94">
        <v>8</v>
      </c>
      <c r="AC8" s="94">
        <v>8</v>
      </c>
      <c r="AD8" s="94">
        <v>8</v>
      </c>
      <c r="AE8" s="94">
        <v>8</v>
      </c>
      <c r="AF8" s="94">
        <v>4</v>
      </c>
      <c r="AG8" s="94">
        <v>4</v>
      </c>
      <c r="AH8" s="94">
        <v>8</v>
      </c>
      <c r="AI8" s="94">
        <v>4</v>
      </c>
      <c r="AJ8" s="94">
        <v>8</v>
      </c>
      <c r="AK8" s="94">
        <v>8</v>
      </c>
      <c r="AL8" s="94">
        <v>3</v>
      </c>
      <c r="AM8" s="94">
        <v>3</v>
      </c>
      <c r="AN8" s="94">
        <v>8</v>
      </c>
      <c r="AO8" s="94">
        <v>8</v>
      </c>
      <c r="AP8" s="94">
        <v>8</v>
      </c>
      <c r="AQ8" s="94">
        <v>3</v>
      </c>
      <c r="AR8" s="94">
        <v>3</v>
      </c>
      <c r="AS8" s="94">
        <v>8</v>
      </c>
      <c r="AT8" s="94">
        <v>8</v>
      </c>
      <c r="AU8" s="94">
        <v>8</v>
      </c>
      <c r="AV8" s="94">
        <v>1</v>
      </c>
      <c r="AW8" s="94">
        <v>3</v>
      </c>
      <c r="AX8" s="94">
        <v>3</v>
      </c>
      <c r="AY8" s="94">
        <v>2</v>
      </c>
      <c r="AZ8" s="94">
        <v>10</v>
      </c>
      <c r="BA8" s="94">
        <v>22</v>
      </c>
    </row>
    <row r="9" spans="2:53">
      <c r="B9" s="48" t="s">
        <v>1215</v>
      </c>
      <c r="C9" s="48">
        <v>7</v>
      </c>
      <c r="D9" t="s">
        <v>1753</v>
      </c>
      <c r="E9" s="260">
        <v>45390</v>
      </c>
      <c r="F9" s="94">
        <v>1</v>
      </c>
      <c r="G9" s="259" cm="1">
        <f t="array" aca="1" ref="G9" ca="1">SUMPRODUCT(--(I9:BA9 &lt;= I28:BA28))/COUNTA(I28:BA28)</f>
        <v>0.93333333333333335</v>
      </c>
      <c r="H9" s="94">
        <v>0</v>
      </c>
      <c r="I9" s="94">
        <v>2</v>
      </c>
      <c r="J9" s="94">
        <v>30</v>
      </c>
      <c r="K9" s="94">
        <v>3</v>
      </c>
      <c r="L9" s="94">
        <v>3</v>
      </c>
      <c r="M9" s="94">
        <v>3</v>
      </c>
      <c r="N9" s="94">
        <v>4</v>
      </c>
      <c r="O9" s="94">
        <v>30</v>
      </c>
      <c r="P9" s="94">
        <v>34</v>
      </c>
      <c r="Q9" s="94">
        <v>4</v>
      </c>
      <c r="R9" s="94">
        <v>30</v>
      </c>
      <c r="S9" s="94">
        <v>34</v>
      </c>
      <c r="T9" s="94">
        <v>2</v>
      </c>
      <c r="U9" s="94">
        <v>15</v>
      </c>
      <c r="V9" s="94">
        <v>10</v>
      </c>
      <c r="W9" s="94">
        <v>10</v>
      </c>
      <c r="X9" s="94">
        <v>3</v>
      </c>
      <c r="Y9" s="94">
        <v>1</v>
      </c>
      <c r="Z9" s="94">
        <v>16</v>
      </c>
      <c r="AA9" s="94">
        <v>16</v>
      </c>
      <c r="AB9" s="94">
        <v>10</v>
      </c>
      <c r="AC9" s="94">
        <v>15</v>
      </c>
      <c r="AD9" s="94">
        <v>15</v>
      </c>
      <c r="AE9" s="94">
        <v>11</v>
      </c>
      <c r="AF9" s="94">
        <v>19</v>
      </c>
      <c r="AG9" s="94">
        <v>10</v>
      </c>
      <c r="AH9" s="94">
        <v>16</v>
      </c>
      <c r="AI9" s="94">
        <v>10</v>
      </c>
      <c r="AJ9" s="94">
        <v>16</v>
      </c>
      <c r="AK9" s="94">
        <v>15</v>
      </c>
      <c r="AL9" s="94">
        <v>4</v>
      </c>
      <c r="AM9" s="94">
        <v>4</v>
      </c>
      <c r="AN9" s="94">
        <v>9</v>
      </c>
      <c r="AO9" s="94">
        <v>8</v>
      </c>
      <c r="AP9" s="94">
        <v>8</v>
      </c>
      <c r="AQ9" s="94">
        <v>4</v>
      </c>
      <c r="AR9" s="94">
        <v>4</v>
      </c>
      <c r="AS9" s="94">
        <v>9</v>
      </c>
      <c r="AT9" s="94">
        <v>8</v>
      </c>
      <c r="AU9" s="94">
        <v>8</v>
      </c>
      <c r="AV9" s="94">
        <v>4</v>
      </c>
      <c r="AW9" s="94">
        <v>3</v>
      </c>
      <c r="AX9" s="94">
        <v>3</v>
      </c>
      <c r="AY9" s="94">
        <v>2</v>
      </c>
      <c r="AZ9" s="94">
        <v>10</v>
      </c>
      <c r="BA9" s="94">
        <v>22</v>
      </c>
    </row>
    <row r="10" spans="2:53">
      <c r="B10" s="48" t="s">
        <v>1218</v>
      </c>
      <c r="C10" s="48">
        <v>8</v>
      </c>
      <c r="D10" t="s">
        <v>1754</v>
      </c>
      <c r="E10" s="260">
        <v>45390</v>
      </c>
      <c r="F10" s="94">
        <v>1</v>
      </c>
      <c r="G10" s="259" t="s">
        <v>1257</v>
      </c>
      <c r="H10" s="94">
        <v>0</v>
      </c>
      <c r="I10" s="94">
        <v>31</v>
      </c>
      <c r="J10" s="94" t="s">
        <v>1755</v>
      </c>
      <c r="K10" s="94" t="s">
        <v>1756</v>
      </c>
      <c r="L10" s="94">
        <v>0</v>
      </c>
      <c r="M10" s="94">
        <v>9</v>
      </c>
      <c r="N10" s="94" t="e">
        <v>#N/A</v>
      </c>
      <c r="O10" s="94" t="e">
        <v>#N/A</v>
      </c>
      <c r="P10" s="94">
        <v>7.7800000002008096E+21</v>
      </c>
      <c r="Q10" s="94" t="e">
        <v>#N/A</v>
      </c>
      <c r="R10" s="94" t="e">
        <v>#N/A</v>
      </c>
      <c r="S10" s="94">
        <v>7.7800000002008096E+21</v>
      </c>
      <c r="T10" s="94">
        <v>31</v>
      </c>
      <c r="U10" s="94">
        <v>19950000013</v>
      </c>
      <c r="V10" s="260">
        <v>32265</v>
      </c>
      <c r="W10" s="260">
        <v>36313</v>
      </c>
      <c r="X10" s="94">
        <v>978</v>
      </c>
      <c r="Y10" s="260">
        <v>0</v>
      </c>
      <c r="Z10" s="260">
        <v>-48901888000000</v>
      </c>
      <c r="AA10" s="258">
        <v>-50082278400000</v>
      </c>
      <c r="AB10" s="94" t="s">
        <v>1266</v>
      </c>
      <c r="AC10" s="260">
        <v>-11976360000</v>
      </c>
      <c r="AD10" s="258">
        <v>-1240000000000</v>
      </c>
      <c r="AE10" s="94" t="s">
        <v>1266</v>
      </c>
      <c r="AF10" s="94" t="e">
        <v>#N/A</v>
      </c>
      <c r="AG10" s="260" t="e">
        <v>#N/A</v>
      </c>
      <c r="AH10" s="94" t="s">
        <v>1266</v>
      </c>
      <c r="AI10" s="94" t="e">
        <v>#N/A</v>
      </c>
      <c r="AJ10" s="94" t="s">
        <v>1266</v>
      </c>
      <c r="AK10" s="258" t="s">
        <v>1266</v>
      </c>
      <c r="AL10" s="94" t="e">
        <v>#N/A</v>
      </c>
      <c r="AM10" s="258" t="e">
        <v>#N/A</v>
      </c>
      <c r="AN10" s="258" t="s">
        <v>1757</v>
      </c>
      <c r="AO10" s="94" t="s">
        <v>1266</v>
      </c>
      <c r="AP10" s="94" t="s">
        <v>1266</v>
      </c>
      <c r="AQ10" s="94" t="e">
        <v>#N/A</v>
      </c>
      <c r="AR10" s="94" t="e">
        <v>#N/A</v>
      </c>
      <c r="AS10" s="94" t="s">
        <v>1758</v>
      </c>
      <c r="AT10" s="94" t="s">
        <v>1266</v>
      </c>
      <c r="AU10" s="94" t="s">
        <v>1266</v>
      </c>
      <c r="AV10" s="94" t="e">
        <v>#N/A</v>
      </c>
      <c r="AW10" s="94" t="s">
        <v>1267</v>
      </c>
      <c r="AX10" s="94" t="s">
        <v>1268</v>
      </c>
      <c r="AY10" s="94" t="s">
        <v>1399</v>
      </c>
      <c r="AZ10" s="260">
        <v>45390</v>
      </c>
      <c r="BA10" s="94" t="s">
        <v>1759</v>
      </c>
    </row>
    <row r="11" spans="2:53">
      <c r="B11" s="48" t="s">
        <v>1220</v>
      </c>
      <c r="C11" s="48">
        <v>9</v>
      </c>
      <c r="D11" t="s">
        <v>1760</v>
      </c>
      <c r="E11" s="260">
        <v>45390</v>
      </c>
      <c r="F11" s="94">
        <v>1</v>
      </c>
      <c r="G11" s="259" t="s">
        <v>1257</v>
      </c>
      <c r="H11" s="94">
        <v>0</v>
      </c>
      <c r="I11" s="94">
        <v>31</v>
      </c>
      <c r="J11" s="94" t="s">
        <v>1755</v>
      </c>
      <c r="K11" s="94" t="s">
        <v>1756</v>
      </c>
      <c r="L11" s="94">
        <v>0</v>
      </c>
      <c r="M11" s="94">
        <v>9</v>
      </c>
      <c r="N11" s="94" t="e">
        <v>#N/A</v>
      </c>
      <c r="O11" s="94" t="e">
        <v>#N/A</v>
      </c>
      <c r="P11" s="94">
        <v>7.7800000002008096E+21</v>
      </c>
      <c r="Q11" s="94" t="e">
        <v>#N/A</v>
      </c>
      <c r="R11" s="94" t="e">
        <v>#N/A</v>
      </c>
      <c r="S11" s="94">
        <v>7.7800000002008096E+21</v>
      </c>
      <c r="T11" s="94">
        <v>31</v>
      </c>
      <c r="U11" s="94">
        <v>19950000013</v>
      </c>
      <c r="V11" s="260">
        <v>32265</v>
      </c>
      <c r="W11" s="260">
        <v>36313</v>
      </c>
      <c r="X11" s="94">
        <v>978</v>
      </c>
      <c r="Y11" s="260">
        <v>0</v>
      </c>
      <c r="Z11" s="260">
        <v>-48901888000000</v>
      </c>
      <c r="AA11" s="258">
        <v>-50082278400000</v>
      </c>
      <c r="AB11" s="94" t="s">
        <v>1266</v>
      </c>
      <c r="AC11" s="260">
        <v>-11976360000</v>
      </c>
      <c r="AD11" s="258">
        <v>-1240000000000</v>
      </c>
      <c r="AE11" s="94" t="s">
        <v>1266</v>
      </c>
      <c r="AF11" s="94" t="e">
        <v>#N/A</v>
      </c>
      <c r="AG11" s="260" t="e">
        <v>#N/A</v>
      </c>
      <c r="AH11" s="94" t="s">
        <v>1266</v>
      </c>
      <c r="AI11" s="94" t="e">
        <v>#N/A</v>
      </c>
      <c r="AJ11" s="94" t="s">
        <v>1266</v>
      </c>
      <c r="AK11" s="258" t="s">
        <v>1266</v>
      </c>
      <c r="AL11" s="94" t="e">
        <v>#N/A</v>
      </c>
      <c r="AM11" s="258" t="e">
        <v>#N/A</v>
      </c>
      <c r="AN11" s="258" t="s">
        <v>1757</v>
      </c>
      <c r="AO11" s="94" t="s">
        <v>1266</v>
      </c>
      <c r="AP11" s="94" t="s">
        <v>1266</v>
      </c>
      <c r="AQ11" s="94" t="e">
        <v>#N/A</v>
      </c>
      <c r="AR11" s="94" t="e">
        <v>#N/A</v>
      </c>
      <c r="AS11" s="94" t="s">
        <v>1758</v>
      </c>
      <c r="AT11" s="94" t="s">
        <v>1266</v>
      </c>
      <c r="AU11" s="94" t="s">
        <v>1266</v>
      </c>
      <c r="AV11" s="94" t="e">
        <v>#N/A</v>
      </c>
      <c r="AW11" s="94" t="s">
        <v>1267</v>
      </c>
      <c r="AX11" s="94" t="s">
        <v>1268</v>
      </c>
      <c r="AY11" s="94" t="s">
        <v>1399</v>
      </c>
      <c r="AZ11" s="260">
        <v>45390</v>
      </c>
      <c r="BA11" s="94" t="s">
        <v>1759</v>
      </c>
    </row>
    <row r="12" spans="2:53">
      <c r="B12" s="97" t="s">
        <v>1222</v>
      </c>
      <c r="C12" s="48">
        <v>10</v>
      </c>
      <c r="D12" t="s">
        <v>1761</v>
      </c>
      <c r="E12" s="260">
        <v>45390</v>
      </c>
      <c r="F12" s="94">
        <v>1</v>
      </c>
      <c r="G12" s="259" t="s">
        <v>1257</v>
      </c>
      <c r="H12" s="94">
        <v>0</v>
      </c>
      <c r="I12" s="94">
        <v>89</v>
      </c>
      <c r="J12" s="94">
        <v>3.1172498702899997E+26</v>
      </c>
      <c r="K12" s="94" t="s">
        <v>1756</v>
      </c>
      <c r="L12" s="94" t="s">
        <v>1762</v>
      </c>
      <c r="M12" s="94" t="s">
        <v>1763</v>
      </c>
      <c r="N12" s="94">
        <v>31</v>
      </c>
      <c r="O12" s="94">
        <v>2.3930278393702E+29</v>
      </c>
      <c r="P12" s="94" t="s">
        <v>1663</v>
      </c>
      <c r="Q12" s="94">
        <v>31</v>
      </c>
      <c r="R12" s="94">
        <v>2.3930278393702E+29</v>
      </c>
      <c r="S12" s="94" t="s">
        <v>1663</v>
      </c>
      <c r="T12" s="94">
        <v>31</v>
      </c>
      <c r="U12" s="94">
        <v>20240000133</v>
      </c>
      <c r="V12" s="260">
        <v>45390</v>
      </c>
      <c r="W12" s="260">
        <v>2958465</v>
      </c>
      <c r="X12" s="94" t="s">
        <v>1666</v>
      </c>
      <c r="Y12" s="260">
        <v>1</v>
      </c>
      <c r="Z12" s="260">
        <v>199999961040000</v>
      </c>
      <c r="AA12" s="258">
        <v>180235937460000</v>
      </c>
      <c r="AB12" s="258">
        <v>100000000</v>
      </c>
      <c r="AC12" s="260">
        <v>37950000000000</v>
      </c>
      <c r="AD12" s="258">
        <v>5165000000000</v>
      </c>
      <c r="AE12" s="258">
        <v>8835980000</v>
      </c>
      <c r="AF12" s="262">
        <v>47845</v>
      </c>
      <c r="AG12" s="260">
        <v>45391</v>
      </c>
      <c r="AH12" s="258">
        <v>171783440160000</v>
      </c>
      <c r="AI12" s="258">
        <v>45391</v>
      </c>
      <c r="AJ12" s="258">
        <v>199999961040000</v>
      </c>
      <c r="AK12" s="258">
        <v>37950000000000</v>
      </c>
      <c r="AL12" s="258" t="s">
        <v>1337</v>
      </c>
      <c r="AM12" s="258" t="s">
        <v>1764</v>
      </c>
      <c r="AN12" s="258" t="s">
        <v>1765</v>
      </c>
      <c r="AO12" s="258">
        <v>5750000</v>
      </c>
      <c r="AP12" s="258">
        <v>5750000</v>
      </c>
      <c r="AQ12" s="94" t="s">
        <v>1337</v>
      </c>
      <c r="AR12" s="258" t="s">
        <v>1766</v>
      </c>
      <c r="AS12" s="258">
        <v>4160000</v>
      </c>
      <c r="AT12" s="258">
        <v>5000000</v>
      </c>
      <c r="AU12" s="258">
        <v>8923000</v>
      </c>
      <c r="AV12" s="258">
        <v>1</v>
      </c>
      <c r="AW12" s="258" t="s">
        <v>1276</v>
      </c>
      <c r="AX12" s="258" t="s">
        <v>1268</v>
      </c>
      <c r="AY12" s="94" t="s">
        <v>1277</v>
      </c>
      <c r="AZ12" s="260">
        <v>45390</v>
      </c>
      <c r="BA12" s="94" t="s">
        <v>1759</v>
      </c>
    </row>
    <row r="13" spans="2:53">
      <c r="B13" s="48" t="s">
        <v>1224</v>
      </c>
      <c r="C13" s="48">
        <v>11</v>
      </c>
      <c r="D13" t="s">
        <v>1767</v>
      </c>
      <c r="E13" s="260">
        <v>45390</v>
      </c>
      <c r="F13" s="94">
        <v>1</v>
      </c>
      <c r="G13" s="259" t="s">
        <v>1257</v>
      </c>
      <c r="H13" s="94">
        <v>0</v>
      </c>
      <c r="I13" s="94">
        <v>89</v>
      </c>
      <c r="J13" s="94">
        <v>3.1172498702899997E+26</v>
      </c>
      <c r="K13" s="94" t="s">
        <v>1756</v>
      </c>
      <c r="L13" s="94" t="s">
        <v>1762</v>
      </c>
      <c r="M13" s="94" t="s">
        <v>1763</v>
      </c>
      <c r="N13" s="94">
        <v>31</v>
      </c>
      <c r="O13" s="94">
        <v>2.3930278393702E+29</v>
      </c>
      <c r="P13" s="94" t="s">
        <v>1663</v>
      </c>
      <c r="Q13" s="94">
        <v>31</v>
      </c>
      <c r="R13" s="94">
        <v>2.3930278393702E+29</v>
      </c>
      <c r="S13" s="94" t="s">
        <v>1663</v>
      </c>
      <c r="T13" s="94">
        <v>31</v>
      </c>
      <c r="U13" s="94">
        <v>20240000133</v>
      </c>
      <c r="V13" s="260">
        <v>45390</v>
      </c>
      <c r="W13" s="260">
        <v>2958465</v>
      </c>
      <c r="X13" s="94" t="s">
        <v>1666</v>
      </c>
      <c r="Y13" s="260">
        <v>1</v>
      </c>
      <c r="Z13" s="260">
        <v>199999961040000</v>
      </c>
      <c r="AA13" s="258">
        <v>180235937460000</v>
      </c>
      <c r="AB13" s="258">
        <v>100000000</v>
      </c>
      <c r="AC13" s="260">
        <v>37950000000000</v>
      </c>
      <c r="AD13" s="258">
        <v>5165000000000</v>
      </c>
      <c r="AE13" s="258">
        <v>8835980000</v>
      </c>
      <c r="AF13" s="262">
        <v>47845</v>
      </c>
      <c r="AG13" s="260">
        <v>45391</v>
      </c>
      <c r="AH13" s="258">
        <v>171783440160000</v>
      </c>
      <c r="AI13" s="258">
        <v>45391</v>
      </c>
      <c r="AJ13" s="258">
        <v>199999961040000</v>
      </c>
      <c r="AK13" s="258">
        <v>37950000000000</v>
      </c>
      <c r="AL13" s="258" t="s">
        <v>1337</v>
      </c>
      <c r="AM13" s="258" t="s">
        <v>1764</v>
      </c>
      <c r="AN13" s="258" t="s">
        <v>1765</v>
      </c>
      <c r="AO13" s="258">
        <v>5750000</v>
      </c>
      <c r="AP13" s="258">
        <v>5750000</v>
      </c>
      <c r="AQ13" s="94" t="s">
        <v>1337</v>
      </c>
      <c r="AR13" s="258" t="s">
        <v>1766</v>
      </c>
      <c r="AS13" s="258">
        <v>4160000</v>
      </c>
      <c r="AT13" s="258">
        <v>5000000</v>
      </c>
      <c r="AU13" s="258">
        <v>8923000</v>
      </c>
      <c r="AV13" s="258">
        <v>1</v>
      </c>
      <c r="AW13" s="258" t="s">
        <v>1276</v>
      </c>
      <c r="AX13" s="258" t="s">
        <v>1268</v>
      </c>
      <c r="AY13" s="94" t="s">
        <v>1277</v>
      </c>
      <c r="AZ13" s="260">
        <v>45390</v>
      </c>
      <c r="BA13" s="94" t="s">
        <v>1759</v>
      </c>
    </row>
    <row r="14" spans="2:53">
      <c r="B14" s="48" t="s">
        <v>1226</v>
      </c>
      <c r="C14" s="48">
        <v>12</v>
      </c>
      <c r="D14" t="s">
        <v>1768</v>
      </c>
      <c r="E14" s="260">
        <v>45390</v>
      </c>
      <c r="F14" s="94">
        <v>1</v>
      </c>
      <c r="G14" s="259">
        <v>0.33333299999999999</v>
      </c>
      <c r="H14" s="94">
        <v>0</v>
      </c>
      <c r="I14" s="94">
        <v>0</v>
      </c>
      <c r="J14" s="94">
        <v>0</v>
      </c>
      <c r="K14" s="94">
        <v>0</v>
      </c>
      <c r="L14" s="94">
        <v>0</v>
      </c>
      <c r="M14" s="94">
        <v>3</v>
      </c>
      <c r="N14" s="94">
        <v>5</v>
      </c>
      <c r="O14" s="94">
        <v>5</v>
      </c>
      <c r="P14" s="94">
        <v>7669</v>
      </c>
      <c r="Q14" s="94">
        <v>9</v>
      </c>
      <c r="R14" s="94">
        <v>9</v>
      </c>
      <c r="S14" s="94">
        <v>7669</v>
      </c>
      <c r="T14" s="94">
        <v>9</v>
      </c>
      <c r="U14" s="94">
        <v>9</v>
      </c>
      <c r="V14" s="94">
        <v>0</v>
      </c>
      <c r="W14" s="94">
        <v>0</v>
      </c>
      <c r="X14" s="94">
        <v>0</v>
      </c>
      <c r="Y14" s="94">
        <v>0</v>
      </c>
      <c r="Z14" s="94">
        <v>9</v>
      </c>
      <c r="AA14" s="94">
        <v>481</v>
      </c>
      <c r="AB14" s="94">
        <v>9</v>
      </c>
      <c r="AC14" s="94">
        <v>3</v>
      </c>
      <c r="AD14" s="94">
        <v>42</v>
      </c>
      <c r="AE14" s="94">
        <v>0</v>
      </c>
      <c r="AF14" s="94">
        <v>932</v>
      </c>
      <c r="AG14" s="94">
        <v>932</v>
      </c>
      <c r="AH14" s="94">
        <v>9</v>
      </c>
      <c r="AI14" s="94">
        <v>78201</v>
      </c>
      <c r="AJ14" s="94">
        <v>87148</v>
      </c>
      <c r="AK14" s="94">
        <v>9001</v>
      </c>
      <c r="AL14" s="94">
        <v>9</v>
      </c>
      <c r="AM14" s="94">
        <v>9</v>
      </c>
      <c r="AN14" s="94">
        <v>9</v>
      </c>
      <c r="AO14" s="94">
        <v>9</v>
      </c>
      <c r="AP14" s="94">
        <v>9</v>
      </c>
      <c r="AQ14" s="94">
        <v>9</v>
      </c>
      <c r="AR14" s="94">
        <v>9</v>
      </c>
      <c r="AS14" s="94">
        <v>9</v>
      </c>
      <c r="AT14" s="94">
        <v>9</v>
      </c>
      <c r="AU14" s="94">
        <v>9</v>
      </c>
      <c r="AV14" s="94">
        <v>0</v>
      </c>
      <c r="AW14" s="94">
        <v>0</v>
      </c>
      <c r="AX14" s="94">
        <v>0</v>
      </c>
      <c r="AY14" s="94">
        <v>0</v>
      </c>
      <c r="AZ14" s="94">
        <v>0</v>
      </c>
      <c r="BA14" s="94">
        <v>0</v>
      </c>
    </row>
    <row r="15" spans="2:53">
      <c r="B15" s="48" t="s">
        <v>1228</v>
      </c>
      <c r="C15" s="48">
        <v>13</v>
      </c>
      <c r="D15" t="s">
        <v>1769</v>
      </c>
      <c r="E15" s="260">
        <v>45390</v>
      </c>
      <c r="F15" s="94">
        <v>1</v>
      </c>
      <c r="G15" s="259">
        <v>1</v>
      </c>
      <c r="H15" s="94">
        <v>0</v>
      </c>
      <c r="I15" s="94" t="s">
        <v>1257</v>
      </c>
      <c r="J15" s="94" t="s">
        <v>1257</v>
      </c>
      <c r="K15" s="94" t="s">
        <v>1257</v>
      </c>
      <c r="L15" s="94" t="s">
        <v>1257</v>
      </c>
      <c r="M15" s="94" t="s">
        <v>1257</v>
      </c>
      <c r="N15" s="94" t="s">
        <v>1257</v>
      </c>
      <c r="O15" s="94" t="s">
        <v>1257</v>
      </c>
      <c r="P15" s="94" t="s">
        <v>1257</v>
      </c>
      <c r="Q15" s="94" t="s">
        <v>1257</v>
      </c>
      <c r="R15" s="94" t="s">
        <v>1257</v>
      </c>
      <c r="S15" s="94" t="s">
        <v>1257</v>
      </c>
      <c r="T15" s="94" t="s">
        <v>1257</v>
      </c>
      <c r="U15" s="94" t="s">
        <v>1257</v>
      </c>
      <c r="V15" s="94">
        <v>0</v>
      </c>
      <c r="W15" s="94">
        <v>0</v>
      </c>
      <c r="X15" s="94" t="s">
        <v>1257</v>
      </c>
      <c r="Y15" s="94" t="s">
        <v>1257</v>
      </c>
      <c r="Z15" s="94" t="s">
        <v>1257</v>
      </c>
      <c r="AA15" s="94" t="s">
        <v>1257</v>
      </c>
      <c r="AB15" s="94" t="s">
        <v>1257</v>
      </c>
      <c r="AC15" s="94" t="s">
        <v>1257</v>
      </c>
      <c r="AD15" s="94" t="s">
        <v>1257</v>
      </c>
      <c r="AE15" s="94" t="s">
        <v>1257</v>
      </c>
      <c r="AF15" s="94">
        <v>0</v>
      </c>
      <c r="AG15" s="94">
        <v>0</v>
      </c>
      <c r="AH15" s="94" t="s">
        <v>1257</v>
      </c>
      <c r="AI15" s="94">
        <v>0</v>
      </c>
      <c r="AJ15" s="94" t="s">
        <v>1257</v>
      </c>
      <c r="AK15" s="94" t="s">
        <v>1257</v>
      </c>
      <c r="AL15" s="94" t="s">
        <v>1257</v>
      </c>
      <c r="AM15" s="94" t="s">
        <v>1257</v>
      </c>
      <c r="AN15" s="94" t="s">
        <v>1257</v>
      </c>
      <c r="AO15" s="94" t="s">
        <v>1257</v>
      </c>
      <c r="AP15" s="94" t="s">
        <v>1257</v>
      </c>
      <c r="AQ15" s="94" t="s">
        <v>1257</v>
      </c>
      <c r="AR15" s="94" t="s">
        <v>1257</v>
      </c>
      <c r="AS15" s="94" t="s">
        <v>1257</v>
      </c>
      <c r="AT15" s="94" t="s">
        <v>1257</v>
      </c>
      <c r="AU15" s="94" t="s">
        <v>1257</v>
      </c>
      <c r="AV15" s="94" t="s">
        <v>1257</v>
      </c>
      <c r="AW15" s="94" t="s">
        <v>1257</v>
      </c>
      <c r="AX15" s="94" t="s">
        <v>1257</v>
      </c>
      <c r="AY15" s="94" t="s">
        <v>1257</v>
      </c>
      <c r="AZ15" s="94" t="s">
        <v>1257</v>
      </c>
      <c r="BA15" s="94" t="s">
        <v>1257</v>
      </c>
    </row>
    <row r="16" spans="2:53">
      <c r="B16" s="48" t="s">
        <v>1230</v>
      </c>
      <c r="C16" s="48">
        <v>14</v>
      </c>
      <c r="D16" t="s">
        <v>1770</v>
      </c>
      <c r="E16" s="260">
        <v>45390</v>
      </c>
      <c r="F16" s="94">
        <v>1</v>
      </c>
      <c r="G16" s="259">
        <v>1</v>
      </c>
      <c r="H16" s="94">
        <v>0</v>
      </c>
      <c r="I16" s="94" t="s">
        <v>1257</v>
      </c>
      <c r="J16" s="94" t="s">
        <v>1257</v>
      </c>
      <c r="K16" s="94">
        <v>0</v>
      </c>
      <c r="L16" s="94">
        <v>0</v>
      </c>
      <c r="M16" s="94">
        <v>0</v>
      </c>
      <c r="N16" s="94" t="s">
        <v>1257</v>
      </c>
      <c r="O16" s="94" t="s">
        <v>1257</v>
      </c>
      <c r="P16" s="94">
        <v>0</v>
      </c>
      <c r="Q16" s="94" t="s">
        <v>1257</v>
      </c>
      <c r="R16" s="94" t="s">
        <v>1257</v>
      </c>
      <c r="S16" s="94">
        <v>0</v>
      </c>
      <c r="T16" s="94" t="s">
        <v>1257</v>
      </c>
      <c r="U16" s="94" t="s">
        <v>1257</v>
      </c>
      <c r="V16" s="263" t="s">
        <v>1257</v>
      </c>
      <c r="W16" s="263" t="s">
        <v>1257</v>
      </c>
      <c r="X16" s="94">
        <v>0</v>
      </c>
      <c r="Y16" s="263">
        <v>0</v>
      </c>
      <c r="Z16" s="263" t="s">
        <v>1257</v>
      </c>
      <c r="AA16" s="94" t="s">
        <v>1257</v>
      </c>
      <c r="AB16" s="94" t="s">
        <v>1257</v>
      </c>
      <c r="AC16" s="263" t="s">
        <v>1257</v>
      </c>
      <c r="AD16" s="94" t="s">
        <v>1257</v>
      </c>
      <c r="AE16" s="94" t="s">
        <v>1257</v>
      </c>
      <c r="AF16" s="94" t="s">
        <v>1257</v>
      </c>
      <c r="AG16" s="263" t="s">
        <v>1257</v>
      </c>
      <c r="AH16" s="94" t="s">
        <v>1257</v>
      </c>
      <c r="AI16" s="94" t="s">
        <v>1257</v>
      </c>
      <c r="AJ16" s="94" t="s">
        <v>1257</v>
      </c>
      <c r="AK16" s="94" t="s">
        <v>1257</v>
      </c>
      <c r="AL16" s="94">
        <v>0</v>
      </c>
      <c r="AM16" s="94">
        <v>0</v>
      </c>
      <c r="AN16" s="94" t="s">
        <v>1257</v>
      </c>
      <c r="AO16" s="94" t="s">
        <v>1257</v>
      </c>
      <c r="AP16" s="94" t="s">
        <v>1257</v>
      </c>
      <c r="AQ16" s="94">
        <v>0</v>
      </c>
      <c r="AR16" s="94">
        <v>0</v>
      </c>
      <c r="AS16" s="94" t="s">
        <v>1257</v>
      </c>
      <c r="AT16" s="94" t="s">
        <v>1257</v>
      </c>
      <c r="AU16" s="94" t="s">
        <v>1257</v>
      </c>
      <c r="AV16" s="94">
        <v>0</v>
      </c>
      <c r="AW16" s="94">
        <v>0</v>
      </c>
      <c r="AX16" s="94">
        <v>0</v>
      </c>
      <c r="AY16" s="94">
        <v>0</v>
      </c>
      <c r="AZ16" s="94" t="s">
        <v>1257</v>
      </c>
      <c r="BA16" s="94" t="s">
        <v>1257</v>
      </c>
    </row>
    <row r="17" spans="2:63">
      <c r="B17" s="48" t="s">
        <v>1232</v>
      </c>
      <c r="C17" s="48">
        <v>15</v>
      </c>
      <c r="D17" t="s">
        <v>1771</v>
      </c>
      <c r="E17" s="260">
        <v>45390</v>
      </c>
      <c r="F17" s="94">
        <v>1</v>
      </c>
      <c r="G17" s="259">
        <v>0.99992800000000004</v>
      </c>
      <c r="H17" s="94">
        <v>0</v>
      </c>
      <c r="I17" s="94" t="s">
        <v>1257</v>
      </c>
      <c r="J17" s="94" t="s">
        <v>1257</v>
      </c>
      <c r="K17" s="94" t="s">
        <v>1257</v>
      </c>
      <c r="L17" s="94" t="s">
        <v>1257</v>
      </c>
      <c r="M17" s="94" t="s">
        <v>1257</v>
      </c>
      <c r="N17" s="94" t="s">
        <v>1257</v>
      </c>
      <c r="O17" s="94" t="s">
        <v>1257</v>
      </c>
      <c r="P17" s="94" t="s">
        <v>1257</v>
      </c>
      <c r="Q17" s="94" t="s">
        <v>1257</v>
      </c>
      <c r="R17" s="94" t="s">
        <v>1257</v>
      </c>
      <c r="S17" s="94" t="s">
        <v>1257</v>
      </c>
      <c r="T17" s="94" t="s">
        <v>1257</v>
      </c>
      <c r="U17" s="94" t="s">
        <v>1257</v>
      </c>
      <c r="V17" s="94" t="s">
        <v>1257</v>
      </c>
      <c r="W17" s="94" t="s">
        <v>1257</v>
      </c>
      <c r="X17" s="94" t="s">
        <v>1257</v>
      </c>
      <c r="Y17" s="94" t="s">
        <v>1257</v>
      </c>
      <c r="Z17" s="94" t="s">
        <v>1257</v>
      </c>
      <c r="AA17" s="94" t="s">
        <v>1257</v>
      </c>
      <c r="AB17" s="94" t="s">
        <v>1257</v>
      </c>
      <c r="AC17" s="94" t="s">
        <v>1257</v>
      </c>
      <c r="AD17" s="94" t="s">
        <v>1257</v>
      </c>
      <c r="AE17" s="94" t="s">
        <v>1257</v>
      </c>
      <c r="AF17" s="94" t="s">
        <v>1257</v>
      </c>
      <c r="AG17" s="94" t="s">
        <v>1257</v>
      </c>
      <c r="AH17" s="94" t="s">
        <v>1257</v>
      </c>
      <c r="AI17" s="94" t="s">
        <v>1257</v>
      </c>
      <c r="AJ17" s="94" t="s">
        <v>1257</v>
      </c>
      <c r="AK17" s="94" t="s">
        <v>1257</v>
      </c>
      <c r="AL17" s="94" t="s">
        <v>1257</v>
      </c>
      <c r="AM17" s="94" t="s">
        <v>1257</v>
      </c>
      <c r="AN17" s="94" t="s">
        <v>1257</v>
      </c>
      <c r="AO17" s="94" t="s">
        <v>1257</v>
      </c>
      <c r="AP17" s="94" t="s">
        <v>1257</v>
      </c>
      <c r="AQ17" s="94" t="s">
        <v>1257</v>
      </c>
      <c r="AR17" s="94" t="s">
        <v>1257</v>
      </c>
      <c r="AS17" s="94" t="s">
        <v>1257</v>
      </c>
      <c r="AT17" s="94" t="s">
        <v>1257</v>
      </c>
      <c r="AU17" s="94" t="s">
        <v>1257</v>
      </c>
      <c r="AV17" s="94" t="s">
        <v>1257</v>
      </c>
      <c r="AW17" s="94" t="s">
        <v>1257</v>
      </c>
      <c r="AX17" s="94" t="s">
        <v>1257</v>
      </c>
      <c r="AY17" s="94" t="s">
        <v>1257</v>
      </c>
      <c r="AZ17" s="94" t="s">
        <v>1257</v>
      </c>
      <c r="BA17" s="94" t="s">
        <v>1257</v>
      </c>
    </row>
    <row r="18" spans="2:63">
      <c r="B18" s="48" t="s">
        <v>1234</v>
      </c>
      <c r="C18" s="48">
        <v>16</v>
      </c>
      <c r="D18" t="s">
        <v>1771</v>
      </c>
      <c r="E18" s="260">
        <v>45390</v>
      </c>
      <c r="F18" s="94">
        <v>1</v>
      </c>
      <c r="G18" s="259">
        <v>0.99992800000000004</v>
      </c>
      <c r="H18" s="94">
        <v>0</v>
      </c>
      <c r="I18" s="94" t="s">
        <v>1257</v>
      </c>
      <c r="J18" s="94" t="s">
        <v>1257</v>
      </c>
      <c r="K18" s="94" t="s">
        <v>1257</v>
      </c>
      <c r="L18" s="94" t="s">
        <v>1257</v>
      </c>
      <c r="M18" s="94" t="s">
        <v>1257</v>
      </c>
      <c r="N18" s="94" t="s">
        <v>1257</v>
      </c>
      <c r="O18" s="94" t="s">
        <v>1257</v>
      </c>
      <c r="P18" s="94" t="s">
        <v>1257</v>
      </c>
      <c r="Q18" s="94" t="s">
        <v>1257</v>
      </c>
      <c r="R18" s="94" t="s">
        <v>1257</v>
      </c>
      <c r="S18" s="94" t="s">
        <v>1257</v>
      </c>
      <c r="T18" s="94" t="s">
        <v>1257</v>
      </c>
      <c r="U18" s="94" t="s">
        <v>1257</v>
      </c>
      <c r="V18" s="94" t="s">
        <v>1257</v>
      </c>
      <c r="W18" s="94" t="s">
        <v>1257</v>
      </c>
      <c r="X18" s="94" t="s">
        <v>1257</v>
      </c>
      <c r="Y18" s="94" t="s">
        <v>1257</v>
      </c>
      <c r="Z18" s="94" t="s">
        <v>1257</v>
      </c>
      <c r="AA18" s="94" t="s">
        <v>1257</v>
      </c>
      <c r="AB18" s="263" t="s">
        <v>1257</v>
      </c>
      <c r="AC18" s="94" t="s">
        <v>1257</v>
      </c>
      <c r="AD18" s="94" t="s">
        <v>1257</v>
      </c>
      <c r="AE18" s="94" t="s">
        <v>1257</v>
      </c>
      <c r="AF18" s="263" t="s">
        <v>1257</v>
      </c>
      <c r="AG18" s="94" t="s">
        <v>1257</v>
      </c>
      <c r="AH18" s="94" t="s">
        <v>1257</v>
      </c>
      <c r="AI18" s="94" t="s">
        <v>1257</v>
      </c>
      <c r="AJ18" s="94" t="s">
        <v>1257</v>
      </c>
      <c r="AK18" s="94" t="s">
        <v>1257</v>
      </c>
      <c r="AL18" s="94" t="s">
        <v>1257</v>
      </c>
      <c r="AM18" s="94" t="s">
        <v>1257</v>
      </c>
      <c r="AN18" s="94" t="s">
        <v>1257</v>
      </c>
      <c r="AO18" s="94" t="s">
        <v>1257</v>
      </c>
      <c r="AP18" s="94" t="s">
        <v>1257</v>
      </c>
      <c r="AQ18" s="94" t="s">
        <v>1257</v>
      </c>
      <c r="AR18" s="94" t="s">
        <v>1257</v>
      </c>
      <c r="AS18" s="94" t="s">
        <v>1257</v>
      </c>
      <c r="AT18" s="94" t="s">
        <v>1257</v>
      </c>
      <c r="AU18" s="94" t="s">
        <v>1257</v>
      </c>
      <c r="AV18" s="94" t="s">
        <v>1257</v>
      </c>
      <c r="AW18" s="94" t="s">
        <v>1257</v>
      </c>
      <c r="AX18" s="94" t="s">
        <v>1257</v>
      </c>
      <c r="AY18" s="94" t="s">
        <v>1257</v>
      </c>
      <c r="AZ18" s="94" t="s">
        <v>1257</v>
      </c>
      <c r="BA18" s="94" t="s">
        <v>1257</v>
      </c>
    </row>
    <row r="19" spans="2:63">
      <c r="B19" s="48" t="s">
        <v>1236</v>
      </c>
      <c r="C19" s="48">
        <v>17</v>
      </c>
      <c r="D19" t="s">
        <v>1771</v>
      </c>
      <c r="E19" s="260">
        <v>45390</v>
      </c>
      <c r="F19" s="94">
        <v>1</v>
      </c>
      <c r="G19" s="207">
        <f>1-13292/H3</f>
        <v>0.89385760373079504</v>
      </c>
      <c r="H19" s="48">
        <v>13292</v>
      </c>
      <c r="I19" s="94" t="s">
        <v>1257</v>
      </c>
      <c r="J19" s="94" t="s">
        <v>1257</v>
      </c>
      <c r="K19" s="94" t="s">
        <v>1257</v>
      </c>
      <c r="L19" s="94" t="s">
        <v>1257</v>
      </c>
      <c r="M19" s="94" t="s">
        <v>1257</v>
      </c>
      <c r="N19" s="94" t="s">
        <v>1257</v>
      </c>
      <c r="O19" s="94" t="s">
        <v>1257</v>
      </c>
      <c r="P19" s="94" t="s">
        <v>1257</v>
      </c>
      <c r="Q19" s="94" t="s">
        <v>1257</v>
      </c>
      <c r="R19" s="94" t="s">
        <v>1257</v>
      </c>
      <c r="S19" s="94" t="s">
        <v>1257</v>
      </c>
      <c r="T19" s="94" t="s">
        <v>1257</v>
      </c>
      <c r="U19" s="94" t="s">
        <v>1257</v>
      </c>
      <c r="V19" s="94" t="s">
        <v>1257</v>
      </c>
      <c r="W19" s="94" t="s">
        <v>1257</v>
      </c>
      <c r="X19" s="94" t="s">
        <v>1257</v>
      </c>
      <c r="Y19" s="94" t="s">
        <v>1257</v>
      </c>
      <c r="Z19" s="94" t="s">
        <v>1257</v>
      </c>
      <c r="AA19" s="94" t="s">
        <v>1257</v>
      </c>
      <c r="AB19" s="94" t="s">
        <v>1257</v>
      </c>
      <c r="AC19" s="94" t="s">
        <v>1257</v>
      </c>
      <c r="AD19" s="94" t="s">
        <v>1257</v>
      </c>
      <c r="AE19" s="94" t="s">
        <v>1257</v>
      </c>
      <c r="AF19" s="94" t="s">
        <v>1257</v>
      </c>
      <c r="AG19" s="94" t="s">
        <v>1257</v>
      </c>
      <c r="AH19" s="94" t="s">
        <v>1257</v>
      </c>
      <c r="AI19" s="94" t="s">
        <v>1257</v>
      </c>
      <c r="AJ19" s="94" t="s">
        <v>1257</v>
      </c>
      <c r="AK19" s="94" t="s">
        <v>1257</v>
      </c>
      <c r="AL19" s="94" t="s">
        <v>1257</v>
      </c>
      <c r="AM19" s="94" t="s">
        <v>1257</v>
      </c>
      <c r="AN19" s="94" t="s">
        <v>1257</v>
      </c>
      <c r="AO19" s="94" t="s">
        <v>1257</v>
      </c>
      <c r="AP19" s="94" t="s">
        <v>1257</v>
      </c>
      <c r="AQ19" s="94" t="s">
        <v>1257</v>
      </c>
      <c r="AR19" s="94" t="s">
        <v>1257</v>
      </c>
      <c r="AS19" s="94" t="s">
        <v>1257</v>
      </c>
      <c r="AT19" s="94" t="s">
        <v>1257</v>
      </c>
      <c r="AU19" s="94" t="s">
        <v>1257</v>
      </c>
      <c r="AV19" s="94" t="s">
        <v>1257</v>
      </c>
      <c r="AW19" s="94" t="s">
        <v>1257</v>
      </c>
      <c r="AX19" s="94" t="s">
        <v>1257</v>
      </c>
      <c r="AY19" s="94" t="s">
        <v>1257</v>
      </c>
      <c r="AZ19" s="94" t="s">
        <v>1257</v>
      </c>
      <c r="BA19" s="94" t="s">
        <v>1257</v>
      </c>
    </row>
    <row r="20" spans="2:63">
      <c r="B20" s="48" t="s">
        <v>1238</v>
      </c>
      <c r="C20" s="48">
        <v>18</v>
      </c>
      <c r="D20" t="s">
        <v>1771</v>
      </c>
      <c r="E20" s="260">
        <v>45390</v>
      </c>
      <c r="F20" s="94">
        <v>1</v>
      </c>
      <c r="G20" s="207">
        <f>1 - 3682/199733</f>
        <v>0.98156538979537677</v>
      </c>
      <c r="H20" s="48">
        <v>3682</v>
      </c>
      <c r="I20" s="94" t="s">
        <v>1257</v>
      </c>
      <c r="J20" s="94" t="s">
        <v>1257</v>
      </c>
      <c r="K20" s="94" t="s">
        <v>1257</v>
      </c>
      <c r="L20" s="94" t="s">
        <v>1257</v>
      </c>
      <c r="M20" s="94" t="s">
        <v>1257</v>
      </c>
      <c r="N20" s="94" t="s">
        <v>1257</v>
      </c>
      <c r="O20" s="94" t="s">
        <v>1257</v>
      </c>
      <c r="P20" s="94" t="s">
        <v>1257</v>
      </c>
      <c r="Q20" s="94" t="s">
        <v>1257</v>
      </c>
      <c r="R20" s="94" t="s">
        <v>1257</v>
      </c>
      <c r="S20" s="94" t="s">
        <v>1257</v>
      </c>
      <c r="T20" s="94" t="s">
        <v>1257</v>
      </c>
      <c r="U20" s="94" t="s">
        <v>1257</v>
      </c>
      <c r="V20" s="94" t="s">
        <v>1257</v>
      </c>
      <c r="W20" s="94" t="s">
        <v>1257</v>
      </c>
      <c r="X20" s="94" t="s">
        <v>1257</v>
      </c>
      <c r="Y20" s="94" t="s">
        <v>1257</v>
      </c>
      <c r="Z20" s="94" t="s">
        <v>1257</v>
      </c>
      <c r="AA20" s="94" t="s">
        <v>1257</v>
      </c>
      <c r="AB20" s="94" t="s">
        <v>1257</v>
      </c>
      <c r="AC20" s="94" t="s">
        <v>1257</v>
      </c>
      <c r="AD20" s="94" t="s">
        <v>1257</v>
      </c>
      <c r="AE20" s="94" t="s">
        <v>1257</v>
      </c>
      <c r="AF20" s="94" t="s">
        <v>1257</v>
      </c>
      <c r="AG20" s="94" t="s">
        <v>1257</v>
      </c>
      <c r="AH20" s="94" t="s">
        <v>1257</v>
      </c>
      <c r="AI20" s="94" t="s">
        <v>1257</v>
      </c>
      <c r="AJ20" s="94" t="s">
        <v>1257</v>
      </c>
      <c r="AK20" s="94" t="s">
        <v>1257</v>
      </c>
      <c r="AL20" s="94" t="s">
        <v>1257</v>
      </c>
      <c r="AM20" s="94" t="s">
        <v>1257</v>
      </c>
      <c r="AN20" s="94" t="s">
        <v>1257</v>
      </c>
      <c r="AO20" s="94" t="s">
        <v>1257</v>
      </c>
      <c r="AP20" s="94" t="s">
        <v>1257</v>
      </c>
      <c r="AQ20" s="94" t="s">
        <v>1257</v>
      </c>
      <c r="AR20" s="94" t="s">
        <v>1257</v>
      </c>
      <c r="AS20" s="94" t="s">
        <v>1257</v>
      </c>
      <c r="AT20" s="94" t="s">
        <v>1257</v>
      </c>
      <c r="AU20" s="94" t="s">
        <v>1257</v>
      </c>
      <c r="AV20" s="94" t="s">
        <v>1257</v>
      </c>
      <c r="AW20" s="94" t="s">
        <v>1257</v>
      </c>
      <c r="AX20" s="94" t="s">
        <v>1257</v>
      </c>
      <c r="AY20" s="94" t="s">
        <v>1257</v>
      </c>
      <c r="AZ20" s="94" t="s">
        <v>1257</v>
      </c>
      <c r="BA20" s="94" t="s">
        <v>1257</v>
      </c>
    </row>
    <row r="21" spans="2:63">
      <c r="B21" s="48" t="s">
        <v>1240</v>
      </c>
      <c r="C21" s="48">
        <v>19</v>
      </c>
      <c r="D21" t="s">
        <v>1772</v>
      </c>
      <c r="E21" s="260">
        <v>45390</v>
      </c>
      <c r="F21" s="94">
        <v>1</v>
      </c>
      <c r="G21" s="207" cm="1">
        <f t="array" aca="1" ref="G21" ca="1">SUMPRODUCT(--(ISNUMBER((SEARCH(I27:BA27,I21:BA21)))))/COUNTA(I21:BA21)</f>
        <v>0.66666666666666663</v>
      </c>
      <c r="H21" s="48" t="s">
        <v>1257</v>
      </c>
      <c r="I21" s="48" t="s">
        <v>1291</v>
      </c>
      <c r="J21" s="48" t="s">
        <v>1291</v>
      </c>
      <c r="K21" s="48" t="s">
        <v>1291</v>
      </c>
      <c r="L21" s="48" t="s">
        <v>1291</v>
      </c>
      <c r="M21" s="48" t="s">
        <v>1291</v>
      </c>
      <c r="N21" s="48" t="s">
        <v>1291</v>
      </c>
      <c r="O21" s="48" t="s">
        <v>1291</v>
      </c>
      <c r="P21" s="48" t="s">
        <v>1291</v>
      </c>
      <c r="Q21" s="48" t="s">
        <v>1291</v>
      </c>
      <c r="R21" s="48" t="s">
        <v>1291</v>
      </c>
      <c r="S21" s="48" t="s">
        <v>1291</v>
      </c>
      <c r="T21" s="48" t="s">
        <v>1291</v>
      </c>
      <c r="U21" s="48" t="s">
        <v>1291</v>
      </c>
      <c r="V21" s="48" t="s">
        <v>1291</v>
      </c>
      <c r="W21" s="48" t="s">
        <v>1291</v>
      </c>
      <c r="X21" s="48" t="s">
        <v>1291</v>
      </c>
      <c r="Y21" s="48" t="s">
        <v>1291</v>
      </c>
      <c r="Z21" s="48" t="s">
        <v>1292</v>
      </c>
      <c r="AA21" s="48" t="s">
        <v>1292</v>
      </c>
      <c r="AB21" s="48" t="s">
        <v>1292</v>
      </c>
      <c r="AC21" s="48" t="s">
        <v>1292</v>
      </c>
      <c r="AD21" s="48" t="s">
        <v>1292</v>
      </c>
      <c r="AE21" s="48" t="s">
        <v>1292</v>
      </c>
      <c r="AF21" s="48" t="s">
        <v>1291</v>
      </c>
      <c r="AG21" s="48" t="s">
        <v>1291</v>
      </c>
      <c r="AH21" s="48" t="s">
        <v>1292</v>
      </c>
      <c r="AI21" s="48" t="s">
        <v>1291</v>
      </c>
      <c r="AJ21" s="48" t="s">
        <v>1292</v>
      </c>
      <c r="AK21" s="48" t="s">
        <v>1292</v>
      </c>
      <c r="AL21" s="48" t="s">
        <v>1291</v>
      </c>
      <c r="AM21" s="48" t="s">
        <v>1291</v>
      </c>
      <c r="AN21" s="48" t="s">
        <v>1292</v>
      </c>
      <c r="AO21" s="48" t="s">
        <v>1292</v>
      </c>
      <c r="AP21" s="48" t="s">
        <v>1292</v>
      </c>
      <c r="AQ21" s="48" t="s">
        <v>1291</v>
      </c>
      <c r="AR21" s="48" t="s">
        <v>1291</v>
      </c>
      <c r="AS21" s="48" t="s">
        <v>1292</v>
      </c>
      <c r="AT21" s="48" t="s">
        <v>1292</v>
      </c>
      <c r="AU21" s="48" t="s">
        <v>1292</v>
      </c>
      <c r="AV21" s="48" t="s">
        <v>1291</v>
      </c>
      <c r="AW21" s="48" t="s">
        <v>1291</v>
      </c>
      <c r="AX21" s="48" t="s">
        <v>1291</v>
      </c>
      <c r="AY21" s="48" t="s">
        <v>1291</v>
      </c>
      <c r="AZ21" s="48" t="s">
        <v>1291</v>
      </c>
      <c r="BA21" s="48" t="s">
        <v>1293</v>
      </c>
    </row>
    <row r="22" spans="2:63">
      <c r="B22" s="48" t="s">
        <v>1243</v>
      </c>
      <c r="C22" s="48">
        <v>20</v>
      </c>
      <c r="D22" t="s">
        <v>1771</v>
      </c>
      <c r="E22" s="260">
        <v>45390</v>
      </c>
      <c r="F22" s="94">
        <v>1</v>
      </c>
      <c r="G22" s="259" cm="1">
        <f t="array" ref="G22">SUM(IF(I2:BA2 = I26:BA26, 1, 0))/ COUNTA(I2:BA2)</f>
        <v>0.4</v>
      </c>
      <c r="H22" s="48" t="s">
        <v>1257</v>
      </c>
      <c r="I22" s="48" t="s">
        <v>1257</v>
      </c>
      <c r="J22" s="48" t="s">
        <v>1257</v>
      </c>
      <c r="K22" s="48" t="s">
        <v>1257</v>
      </c>
      <c r="L22" s="48" t="s">
        <v>1257</v>
      </c>
      <c r="M22" s="48" t="s">
        <v>1257</v>
      </c>
      <c r="N22" s="48" t="s">
        <v>1257</v>
      </c>
      <c r="O22" s="48" t="s">
        <v>1257</v>
      </c>
      <c r="P22" s="48" t="s">
        <v>1257</v>
      </c>
      <c r="Q22" s="48" t="s">
        <v>1257</v>
      </c>
      <c r="R22" s="48" t="s">
        <v>1257</v>
      </c>
      <c r="S22" s="48" t="s">
        <v>1257</v>
      </c>
      <c r="T22" s="48" t="s">
        <v>1257</v>
      </c>
      <c r="U22" s="48" t="s">
        <v>1257</v>
      </c>
      <c r="V22" s="48" t="s">
        <v>1257</v>
      </c>
      <c r="W22" s="48" t="s">
        <v>1257</v>
      </c>
      <c r="X22" s="48" t="s">
        <v>1257</v>
      </c>
      <c r="Y22" s="48" t="s">
        <v>1257</v>
      </c>
      <c r="Z22" s="48" t="s">
        <v>1257</v>
      </c>
      <c r="AA22" s="48" t="s">
        <v>1257</v>
      </c>
      <c r="AB22" s="48" t="s">
        <v>1257</v>
      </c>
      <c r="AC22" s="48" t="s">
        <v>1257</v>
      </c>
      <c r="AD22" s="48" t="s">
        <v>1257</v>
      </c>
      <c r="AE22" s="48" t="s">
        <v>1257</v>
      </c>
      <c r="AF22" s="48" t="s">
        <v>1257</v>
      </c>
      <c r="AG22" s="48" t="s">
        <v>1257</v>
      </c>
      <c r="AH22" s="48" t="s">
        <v>1257</v>
      </c>
      <c r="AI22" s="48" t="s">
        <v>1257</v>
      </c>
      <c r="AJ22" s="48" t="s">
        <v>1257</v>
      </c>
      <c r="AK22" s="48" t="s">
        <v>1257</v>
      </c>
      <c r="AL22" s="48" t="s">
        <v>1257</v>
      </c>
      <c r="AM22" s="48" t="s">
        <v>1257</v>
      </c>
      <c r="AN22" s="48" t="s">
        <v>1257</v>
      </c>
      <c r="AO22" s="48" t="s">
        <v>1257</v>
      </c>
      <c r="AP22" s="48" t="s">
        <v>1257</v>
      </c>
      <c r="AQ22" s="48" t="s">
        <v>1257</v>
      </c>
      <c r="AR22" s="48" t="s">
        <v>1257</v>
      </c>
      <c r="AS22" s="48" t="s">
        <v>1257</v>
      </c>
      <c r="AT22" s="48" t="s">
        <v>1257</v>
      </c>
      <c r="AU22" s="48" t="s">
        <v>1257</v>
      </c>
      <c r="AV22" s="48" t="s">
        <v>1257</v>
      </c>
      <c r="AW22" s="48" t="s">
        <v>1257</v>
      </c>
      <c r="AX22" s="48" t="s">
        <v>1257</v>
      </c>
      <c r="AY22" s="48" t="s">
        <v>1257</v>
      </c>
      <c r="AZ22" s="48" t="s">
        <v>1257</v>
      </c>
      <c r="BA22" s="48" t="s">
        <v>1257</v>
      </c>
    </row>
    <row r="23" spans="2:63">
      <c r="B23" s="48" t="s">
        <v>1246</v>
      </c>
      <c r="C23" s="48">
        <v>21</v>
      </c>
      <c r="D23" t="s">
        <v>1771</v>
      </c>
      <c r="E23" s="260">
        <v>45390</v>
      </c>
      <c r="F23" s="94">
        <v>1</v>
      </c>
      <c r="G23" s="207" cm="1">
        <f t="array" aca="1" ref="G23" ca="1">SUM(IF(IF(G3:G22="null",1,G3:G22)=1,1,0))/COUNT(IF(G3:G22="null",1,1))</f>
        <v>0.55000000000000004</v>
      </c>
      <c r="H23" s="48" t="s">
        <v>1257</v>
      </c>
      <c r="I23" s="48" t="s">
        <v>1257</v>
      </c>
      <c r="J23" s="48" t="s">
        <v>1257</v>
      </c>
      <c r="K23" s="48" t="s">
        <v>1257</v>
      </c>
      <c r="L23" s="48" t="s">
        <v>1257</v>
      </c>
      <c r="M23" s="48" t="s">
        <v>1257</v>
      </c>
      <c r="N23" s="48" t="s">
        <v>1257</v>
      </c>
      <c r="O23" s="48" t="s">
        <v>1257</v>
      </c>
      <c r="P23" s="48" t="s">
        <v>1257</v>
      </c>
      <c r="Q23" s="48" t="s">
        <v>1257</v>
      </c>
      <c r="R23" s="48" t="s">
        <v>1257</v>
      </c>
      <c r="S23" s="48" t="s">
        <v>1257</v>
      </c>
      <c r="T23" s="48" t="s">
        <v>1257</v>
      </c>
      <c r="U23" s="48" t="s">
        <v>1257</v>
      </c>
      <c r="V23" s="48" t="s">
        <v>1257</v>
      </c>
      <c r="W23" s="48" t="s">
        <v>1257</v>
      </c>
      <c r="X23" s="48" t="s">
        <v>1257</v>
      </c>
      <c r="Y23" s="48" t="s">
        <v>1257</v>
      </c>
      <c r="Z23" s="48" t="s">
        <v>1257</v>
      </c>
      <c r="AA23" s="48" t="s">
        <v>1257</v>
      </c>
      <c r="AB23" s="48" t="s">
        <v>1257</v>
      </c>
      <c r="AC23" s="48" t="s">
        <v>1257</v>
      </c>
      <c r="AD23" s="48" t="s">
        <v>1257</v>
      </c>
      <c r="AE23" s="48" t="s">
        <v>1257</v>
      </c>
      <c r="AF23" s="48" t="s">
        <v>1257</v>
      </c>
      <c r="AG23" s="48" t="s">
        <v>1257</v>
      </c>
      <c r="AH23" s="48" t="s">
        <v>1257</v>
      </c>
      <c r="AI23" s="48" t="s">
        <v>1257</v>
      </c>
      <c r="AJ23" s="48" t="s">
        <v>1257</v>
      </c>
      <c r="AK23" s="48" t="s">
        <v>1257</v>
      </c>
      <c r="AL23" s="48" t="s">
        <v>1257</v>
      </c>
      <c r="AM23" s="48" t="s">
        <v>1257</v>
      </c>
      <c r="AN23" s="48" t="s">
        <v>1257</v>
      </c>
      <c r="AO23" s="48" t="s">
        <v>1257</v>
      </c>
      <c r="AP23" s="48" t="s">
        <v>1257</v>
      </c>
      <c r="AQ23" s="48" t="s">
        <v>1257</v>
      </c>
      <c r="AR23" s="48" t="s">
        <v>1257</v>
      </c>
      <c r="AS23" s="48" t="s">
        <v>1257</v>
      </c>
      <c r="AT23" s="48" t="s">
        <v>1257</v>
      </c>
      <c r="AU23" s="48" t="s">
        <v>1257</v>
      </c>
      <c r="AV23" s="48" t="s">
        <v>1257</v>
      </c>
      <c r="AW23" s="48" t="s">
        <v>1257</v>
      </c>
      <c r="AX23" s="48" t="s">
        <v>1257</v>
      </c>
      <c r="AY23" s="48" t="s">
        <v>1257</v>
      </c>
      <c r="AZ23" s="48" t="s">
        <v>1257</v>
      </c>
      <c r="BA23" s="48" t="s">
        <v>1257</v>
      </c>
    </row>
    <row r="25" spans="2:63">
      <c r="B25" s="129" t="s">
        <v>1364</v>
      </c>
    </row>
    <row r="26" spans="2:63">
      <c r="B26" s="166" t="s">
        <v>1249</v>
      </c>
      <c r="C26" s="165" t="s">
        <v>1250</v>
      </c>
      <c r="D26" s="165" t="s">
        <v>1251</v>
      </c>
      <c r="E26" s="165" t="s">
        <v>1252</v>
      </c>
      <c r="F26" s="165" t="s">
        <v>1253</v>
      </c>
      <c r="G26" s="165" t="s">
        <v>1254</v>
      </c>
      <c r="H26" s="165" t="s">
        <v>1255</v>
      </c>
      <c r="I26" s="165" t="str" cm="1">
        <f t="array" ref="I26:BK26">TRANSPOSE(_xlfn.SORTBY(_xlfn._xlws.FILTER(Table3[NOME FÍSICO CAMPO],Table3[NOME FÍSICO TABELA]="factoring_contract"), _xlfn._xlws.FILTER(Table3[ORDEM], Table3[NOME FÍSICO TABELA]="factoring_contract"), 1))</f>
        <v>bank_id</v>
      </c>
      <c r="J26" s="167" t="str">
        <v>contract_id</v>
      </c>
      <c r="K26" s="261" t="str">
        <v>product_family_id</v>
      </c>
      <c r="L26" s="261" t="str">
        <v>product_id</v>
      </c>
      <c r="M26" s="261" t="str">
        <v>subproduct_id</v>
      </c>
      <c r="N26" s="167" t="str">
        <v>main_current_account_bank_id</v>
      </c>
      <c r="O26" s="167" t="str">
        <v>main_current_account_contract_id</v>
      </c>
      <c r="P26" s="167" t="str">
        <v>main_current_account_iban</v>
      </c>
      <c r="Q26" s="167" t="str">
        <v>main_loan_account_bank_id</v>
      </c>
      <c r="R26" s="167" t="str">
        <v>main_loan_account_contract_id</v>
      </c>
      <c r="S26" s="167" t="str">
        <v>main_loan_account_iban</v>
      </c>
      <c r="T26" s="167" t="str">
        <v>process_bank_id</v>
      </c>
      <c r="U26" s="167" t="str">
        <v>process_id</v>
      </c>
      <c r="V26" s="167" t="str">
        <v>opening_date</v>
      </c>
      <c r="W26" s="167" t="str">
        <v>current_maturity_date</v>
      </c>
      <c r="X26" s="167" t="str">
        <v>currency_code</v>
      </c>
      <c r="Y26" s="167" t="str">
        <v>litigation_indicator</v>
      </c>
      <c r="Z26" s="167" t="str">
        <v>current_authorized_amount</v>
      </c>
      <c r="AA26" s="167" t="str">
        <v>cur_authorized_amt_lcl_currcy</v>
      </c>
      <c r="AB26" s="167" t="str">
        <v>current_unauthorized_amount</v>
      </c>
      <c r="AC26" s="167" t="str">
        <v>cur_unauthorized_amt_lcl_currcy</v>
      </c>
      <c r="AD26" s="167" t="str">
        <v>current_available_amount</v>
      </c>
      <c r="AE26" s="167" t="str">
        <v>current_available_amt_lcl_currcy</v>
      </c>
      <c r="AF26" s="167" t="str">
        <v>current_retention_rate</v>
      </c>
      <c r="AG26" s="167" t="str">
        <v>cur_outsng_principal_balance</v>
      </c>
      <c r="AH26" s="167" t="str">
        <v>cur_outsng_prin_bal_lcl_currcy</v>
      </c>
      <c r="AI26" s="167" t="str">
        <v>current_overdue_principal_bal</v>
      </c>
      <c r="AJ26" s="167" t="str">
        <v>cur_overdue_prin_bal_lcl_currcy</v>
      </c>
      <c r="AK26" s="167" t="str">
        <v>cur_debt_litigation_princip_bal</v>
      </c>
      <c r="AL26" s="167" t="str">
        <v>cur_debt_ltg_prin_bal_lcl_currcy</v>
      </c>
      <c r="AM26" s="167" t="str">
        <v>current_service_amount</v>
      </c>
      <c r="AN26" s="167" t="str">
        <v>cur_service_amount_lcl_currcy</v>
      </c>
      <c r="AO26" s="167" t="str">
        <v>next_regular_amort_due_date</v>
      </c>
      <c r="AP26" s="167" t="str">
        <v>last_regular_amort_pay_date</v>
      </c>
      <c r="AQ26" s="167" t="str">
        <v>current_bill_princip_amount</v>
      </c>
      <c r="AR26" s="167" t="str">
        <v>current_bill_prin_amount_lcl_currcy</v>
      </c>
      <c r="AS26" s="167" t="str">
        <v>last_advance_date</v>
      </c>
      <c r="AT26" s="167" t="str">
        <v>last_advance_principal_amount</v>
      </c>
      <c r="AU26" s="167" t="str">
        <v>cur_advance_principal_amt</v>
      </c>
      <c r="AV26" s="167" t="str">
        <v>initial_active_rate_type_code</v>
      </c>
      <c r="AW26" s="167" t="str">
        <v>initial_active_indexing</v>
      </c>
      <c r="AX26" s="161" t="str">
        <v>initial_active_index_rate</v>
      </c>
      <c r="AY26" s="161" t="str">
        <v>initial_active_spread</v>
      </c>
      <c r="AZ26" s="161" t="str">
        <v>initial_active_interest_rate</v>
      </c>
      <c r="BA26" s="168" t="str">
        <v>cur_active_rate_type_code</v>
      </c>
      <c r="BB26" t="str">
        <v>current_active_indexing</v>
      </c>
      <c r="BC26" t="str">
        <v>current_active_index_rate</v>
      </c>
      <c r="BD26" t="str">
        <v>current_active_spread</v>
      </c>
      <c r="BE26" t="str">
        <v>current_active_interest_rate</v>
      </c>
      <c r="BF26" t="str">
        <v>recourse_indicator</v>
      </c>
      <c r="BG26" t="str">
        <v>contract_status_code</v>
      </c>
      <c r="BH26" t="str">
        <v>contract_opening_channel_code</v>
      </c>
      <c r="BI26" t="str">
        <v>source_code</v>
      </c>
      <c r="BJ26" t="str">
        <v>data_date_part</v>
      </c>
      <c r="BK26" t="str">
        <v>data_timestamp_part</v>
      </c>
    </row>
    <row r="27" spans="2:63">
      <c r="B27" s="106" t="s">
        <v>1294</v>
      </c>
      <c r="C27" s="109">
        <v>21</v>
      </c>
      <c r="D27" s="103" t="s">
        <v>1295</v>
      </c>
      <c r="E27" s="102" t="s">
        <v>1296</v>
      </c>
      <c r="F27" s="102" t="s">
        <v>124</v>
      </c>
      <c r="G27" s="102" t="s">
        <v>124</v>
      </c>
      <c r="H27" s="102" t="s">
        <v>124</v>
      </c>
      <c r="I27" s="102" t="str" cm="1">
        <f t="array" aca="1" ref="I27:BK28" ca="1">TRANSPOSE(_xlfn.SORTBY(_xlfn._xlws.FILTER(IF(Table3[FORMATO]:Table3[COMP_ CAMPO]&lt;&gt;"",Table3[FORMATO]:Table3[COMP_ CAMPO],9999999),Table3[NOME FÍSICO TABELA]="factoring_contract"), _xlfn._xlws.FILTER(Table3[ORDEM], Table3[NOME FÍSICO TABELA]="factoring_contract"), 1))</f>
        <v>STRING</v>
      </c>
      <c r="J27" s="162" t="str">
        <f ca="1"/>
        <v>STRING</v>
      </c>
      <c r="K27" s="162" t="str">
        <f ca="1"/>
        <v>STRING</v>
      </c>
      <c r="L27" s="162" t="str">
        <f ca="1"/>
        <v>STRING</v>
      </c>
      <c r="M27" s="162" t="str">
        <f ca="1"/>
        <v>STRING</v>
      </c>
      <c r="N27" s="162" t="str">
        <f ca="1"/>
        <v>STRING</v>
      </c>
      <c r="O27" s="162" t="str">
        <f ca="1"/>
        <v>STRING</v>
      </c>
      <c r="P27" s="162" t="str">
        <f ca="1"/>
        <v>STRING</v>
      </c>
      <c r="Q27" s="162" t="str">
        <f ca="1"/>
        <v>STRING</v>
      </c>
      <c r="R27" s="162" t="str">
        <f ca="1"/>
        <v>STRING</v>
      </c>
      <c r="S27" s="162" t="str">
        <f ca="1"/>
        <v>STRING</v>
      </c>
      <c r="T27" s="162" t="str">
        <f ca="1"/>
        <v>STRING</v>
      </c>
      <c r="U27" s="162" t="str">
        <f ca="1"/>
        <v>STRING</v>
      </c>
      <c r="V27" s="162" t="str">
        <f ca="1"/>
        <v>STRING</v>
      </c>
      <c r="W27" s="162" t="str">
        <f ca="1"/>
        <v>STRING</v>
      </c>
      <c r="X27" s="162" t="str">
        <f ca="1"/>
        <v>STRING</v>
      </c>
      <c r="Y27" s="162" t="str">
        <f ca="1"/>
        <v>STRING</v>
      </c>
      <c r="Z27" s="162" t="str">
        <f ca="1"/>
        <v>DECIMAL</v>
      </c>
      <c r="AA27" s="162" t="str">
        <f ca="1"/>
        <v>DECIMAL</v>
      </c>
      <c r="AB27" s="162" t="str">
        <f ca="1"/>
        <v>DECIMAL</v>
      </c>
      <c r="AC27" s="162" t="str">
        <f ca="1"/>
        <v>DECIMAL</v>
      </c>
      <c r="AD27" s="162" t="str">
        <f ca="1"/>
        <v>DECIMAL</v>
      </c>
      <c r="AE27" s="162" t="str">
        <f ca="1"/>
        <v>DECIMAL</v>
      </c>
      <c r="AF27" s="162" t="str">
        <f ca="1"/>
        <v>DECIMAL</v>
      </c>
      <c r="AG27" s="162" t="str">
        <f ca="1"/>
        <v>DECIMAL</v>
      </c>
      <c r="AH27" s="162" t="str">
        <f ca="1"/>
        <v>DECIMAL</v>
      </c>
      <c r="AI27" s="162" t="str">
        <f ca="1"/>
        <v>DECIMAL</v>
      </c>
      <c r="AJ27" s="162" t="str">
        <f ca="1"/>
        <v>DECIMAL</v>
      </c>
      <c r="AK27" s="162" t="str">
        <f ca="1"/>
        <v>DECIMAL</v>
      </c>
      <c r="AL27" s="162" t="str">
        <f ca="1"/>
        <v>DECIMAL</v>
      </c>
      <c r="AM27" s="162" t="str">
        <f ca="1"/>
        <v>DECIMAL</v>
      </c>
      <c r="AN27" s="162" t="str">
        <f ca="1"/>
        <v>DECIMAL</v>
      </c>
      <c r="AO27" s="162" t="str">
        <f ca="1"/>
        <v>STRING</v>
      </c>
      <c r="AP27" s="162" t="str">
        <f ca="1"/>
        <v>STRING</v>
      </c>
      <c r="AQ27" s="162" t="str">
        <f ca="1"/>
        <v>DECIMAL</v>
      </c>
      <c r="AR27" s="162" t="str">
        <f ca="1"/>
        <v>DECIMAL</v>
      </c>
      <c r="AS27" s="162" t="str">
        <f ca="1"/>
        <v>STRING</v>
      </c>
      <c r="AT27" s="162" t="str">
        <f ca="1"/>
        <v>STRING</v>
      </c>
      <c r="AU27" s="162" t="str">
        <f ca="1"/>
        <v>DECIMAL</v>
      </c>
      <c r="AV27" s="162" t="str">
        <f ca="1"/>
        <v>STRING</v>
      </c>
      <c r="AW27" s="162" t="str">
        <f ca="1"/>
        <v>STRING</v>
      </c>
      <c r="AX27" s="162" t="str">
        <f ca="1"/>
        <v>DECIMAL</v>
      </c>
      <c r="AY27" s="162" t="str">
        <f ca="1"/>
        <v>DECIMAL</v>
      </c>
      <c r="AZ27" s="162" t="str">
        <f ca="1"/>
        <v>DECIMAL</v>
      </c>
      <c r="BA27" s="169" t="str">
        <f ca="1"/>
        <v>STRING</v>
      </c>
      <c r="BB27" t="str">
        <f ca="1"/>
        <v>STRING</v>
      </c>
      <c r="BC27" t="str">
        <f ca="1"/>
        <v>DECIMAL</v>
      </c>
      <c r="BD27" t="str">
        <f ca="1"/>
        <v>DECIMAL</v>
      </c>
      <c r="BE27" t="str">
        <f ca="1"/>
        <v>DECIMAL</v>
      </c>
      <c r="BF27" t="str">
        <f ca="1"/>
        <v>STRING</v>
      </c>
      <c r="BG27" t="str">
        <f ca="1"/>
        <v>STRING</v>
      </c>
      <c r="BH27" t="str">
        <f ca="1"/>
        <v>STRING</v>
      </c>
      <c r="BI27" t="str">
        <f ca="1"/>
        <v>STRING</v>
      </c>
      <c r="BJ27" t="str">
        <f ca="1"/>
        <v>STRING</v>
      </c>
      <c r="BK27" t="str">
        <f ca="1"/>
        <v>TIMESTAMP</v>
      </c>
    </row>
    <row r="28" spans="2:63">
      <c r="B28" s="106" t="s">
        <v>1297</v>
      </c>
      <c r="C28" s="109">
        <v>7</v>
      </c>
      <c r="D28" s="103" t="s">
        <v>1295</v>
      </c>
      <c r="E28" s="102" t="s">
        <v>1296</v>
      </c>
      <c r="F28" s="104" t="s">
        <v>124</v>
      </c>
      <c r="G28" s="104" t="s">
        <v>124</v>
      </c>
      <c r="H28" s="104" t="s">
        <v>124</v>
      </c>
      <c r="I28" s="150">
        <f ca="1"/>
        <v>4</v>
      </c>
      <c r="J28" s="163">
        <f ca="1"/>
        <v>30</v>
      </c>
      <c r="K28" s="163">
        <f ca="1"/>
        <v>3</v>
      </c>
      <c r="L28" s="163">
        <f ca="1"/>
        <v>3</v>
      </c>
      <c r="M28" s="163">
        <f ca="1"/>
        <v>3</v>
      </c>
      <c r="N28" s="163">
        <f ca="1"/>
        <v>4</v>
      </c>
      <c r="O28" s="163">
        <f ca="1"/>
        <v>30</v>
      </c>
      <c r="P28" s="163">
        <f ca="1"/>
        <v>21</v>
      </c>
      <c r="Q28" s="163">
        <f ca="1"/>
        <v>4</v>
      </c>
      <c r="R28" s="163">
        <f ca="1"/>
        <v>30</v>
      </c>
      <c r="S28" s="163">
        <f ca="1"/>
        <v>21</v>
      </c>
      <c r="T28" s="163">
        <f ca="1"/>
        <v>4</v>
      </c>
      <c r="U28" s="163">
        <f ca="1"/>
        <v>15</v>
      </c>
      <c r="V28" s="163">
        <f ca="1"/>
        <v>10</v>
      </c>
      <c r="W28" s="163">
        <f ca="1"/>
        <v>10</v>
      </c>
      <c r="X28" s="163">
        <f ca="1"/>
        <v>3</v>
      </c>
      <c r="Y28" s="163">
        <f ca="1"/>
        <v>9999999</v>
      </c>
      <c r="Z28" s="163">
        <f ca="1"/>
        <v>23</v>
      </c>
      <c r="AA28" s="163">
        <f ca="1"/>
        <v>23</v>
      </c>
      <c r="AB28" s="163">
        <f ca="1"/>
        <v>23</v>
      </c>
      <c r="AC28" s="163">
        <f ca="1"/>
        <v>23</v>
      </c>
      <c r="AD28" s="163">
        <f ca="1"/>
        <v>23</v>
      </c>
      <c r="AE28" s="163">
        <f ca="1"/>
        <v>23</v>
      </c>
      <c r="AF28" s="163">
        <f ca="1"/>
        <v>23</v>
      </c>
      <c r="AG28" s="163">
        <f ca="1"/>
        <v>23</v>
      </c>
      <c r="AH28" s="163">
        <f ca="1"/>
        <v>23</v>
      </c>
      <c r="AI28" s="163">
        <f ca="1"/>
        <v>23</v>
      </c>
      <c r="AJ28" s="163">
        <f ca="1"/>
        <v>23</v>
      </c>
      <c r="AK28" s="163">
        <f ca="1"/>
        <v>23</v>
      </c>
      <c r="AL28" s="163">
        <f ca="1"/>
        <v>23</v>
      </c>
      <c r="AM28" s="163">
        <f ca="1"/>
        <v>23</v>
      </c>
      <c r="AN28" s="163">
        <f ca="1"/>
        <v>23</v>
      </c>
      <c r="AO28" s="163">
        <f ca="1"/>
        <v>10</v>
      </c>
      <c r="AP28" s="163">
        <f ca="1"/>
        <v>10</v>
      </c>
      <c r="AQ28" s="163">
        <f ca="1"/>
        <v>23</v>
      </c>
      <c r="AR28" s="163">
        <f ca="1"/>
        <v>23</v>
      </c>
      <c r="AS28" s="163">
        <f ca="1"/>
        <v>10</v>
      </c>
      <c r="AT28" s="163">
        <f ca="1"/>
        <v>9999999</v>
      </c>
      <c r="AU28" s="163">
        <f ca="1"/>
        <v>23</v>
      </c>
      <c r="AV28" s="163">
        <f ca="1"/>
        <v>9999999</v>
      </c>
      <c r="AW28" s="163">
        <f ca="1"/>
        <v>3</v>
      </c>
      <c r="AX28" s="163">
        <f ca="1"/>
        <v>23</v>
      </c>
      <c r="AY28" s="162">
        <f ca="1"/>
        <v>23</v>
      </c>
      <c r="AZ28" s="162">
        <f ca="1"/>
        <v>23</v>
      </c>
      <c r="BA28" s="169">
        <f ca="1"/>
        <v>3</v>
      </c>
      <c r="BB28">
        <f ca="1"/>
        <v>3</v>
      </c>
      <c r="BC28">
        <f ca="1"/>
        <v>23</v>
      </c>
      <c r="BD28">
        <f ca="1"/>
        <v>23</v>
      </c>
      <c r="BE28">
        <f ca="1"/>
        <v>23</v>
      </c>
      <c r="BF28">
        <f ca="1"/>
        <v>9999999</v>
      </c>
      <c r="BG28">
        <f ca="1"/>
        <v>3</v>
      </c>
      <c r="BH28">
        <f ca="1"/>
        <v>3</v>
      </c>
      <c r="BI28">
        <f ca="1"/>
        <v>2</v>
      </c>
      <c r="BJ28">
        <f ca="1"/>
        <v>10</v>
      </c>
      <c r="BK28">
        <f ca="1"/>
        <v>23</v>
      </c>
    </row>
    <row r="30" spans="2:63">
      <c r="B30" s="139" t="s">
        <v>1298</v>
      </c>
    </row>
    <row r="31" spans="2:63">
      <c r="B31" s="133" t="s">
        <v>1299</v>
      </c>
      <c r="C31" s="133" t="s">
        <v>1300</v>
      </c>
      <c r="D31" s="134" t="s">
        <v>1301</v>
      </c>
      <c r="E31" s="133" t="s">
        <v>1302</v>
      </c>
      <c r="F31" s="133" t="s">
        <v>1303</v>
      </c>
    </row>
    <row r="32" spans="2:63" ht="29.1">
      <c r="B32" s="264" t="s">
        <v>1421</v>
      </c>
      <c r="C32" s="265" t="s">
        <v>227</v>
      </c>
      <c r="D32" s="65" t="s">
        <v>1773</v>
      </c>
      <c r="E32" s="266"/>
      <c r="F32" s="267"/>
    </row>
    <row r="33" spans="2:31" ht="29.1">
      <c r="B33" s="264" t="s">
        <v>1421</v>
      </c>
      <c r="C33" s="265" t="s">
        <v>275</v>
      </c>
      <c r="D33" s="65" t="s">
        <v>1773</v>
      </c>
      <c r="E33" s="266"/>
      <c r="F33" s="267"/>
    </row>
    <row r="34" spans="2:31" ht="29.1">
      <c r="B34" s="117" t="s">
        <v>1304</v>
      </c>
      <c r="C34" s="120" t="s">
        <v>190</v>
      </c>
      <c r="D34" s="51" t="s">
        <v>1774</v>
      </c>
      <c r="E34" s="152" t="s">
        <v>1775</v>
      </c>
      <c r="F34" s="135" t="s">
        <v>1776</v>
      </c>
      <c r="G34" t="s">
        <v>1777</v>
      </c>
    </row>
    <row r="35" spans="2:31" ht="43.5">
      <c r="B35" s="117" t="s">
        <v>1304</v>
      </c>
      <c r="C35" s="120" t="s">
        <v>176</v>
      </c>
      <c r="D35" s="51" t="s">
        <v>1778</v>
      </c>
      <c r="E35" s="152" t="s">
        <v>1779</v>
      </c>
      <c r="F35" s="135" t="s">
        <v>1307</v>
      </c>
    </row>
    <row r="36" spans="2:31" ht="43.5">
      <c r="B36" s="117" t="s">
        <v>1304</v>
      </c>
      <c r="C36" s="120" t="s">
        <v>203</v>
      </c>
      <c r="D36" s="51" t="s">
        <v>1778</v>
      </c>
      <c r="E36" s="152" t="s">
        <v>1779</v>
      </c>
      <c r="F36" s="135" t="s">
        <v>1307</v>
      </c>
    </row>
    <row r="37" spans="2:31" ht="87">
      <c r="B37" s="117" t="s">
        <v>1304</v>
      </c>
      <c r="C37" s="116" t="s">
        <v>227</v>
      </c>
      <c r="D37" s="51" t="s">
        <v>1780</v>
      </c>
      <c r="E37" s="152" t="s">
        <v>1781</v>
      </c>
      <c r="F37" s="135" t="s">
        <v>1782</v>
      </c>
    </row>
    <row r="38" spans="2:31" ht="43.5">
      <c r="B38" s="117" t="s">
        <v>1304</v>
      </c>
      <c r="C38" s="120" t="s">
        <v>248</v>
      </c>
      <c r="D38" s="51" t="s">
        <v>1778</v>
      </c>
      <c r="E38" s="152" t="s">
        <v>1779</v>
      </c>
      <c r="F38" s="135" t="s">
        <v>1307</v>
      </c>
      <c r="I38" s="157"/>
      <c r="J38" s="164"/>
      <c r="K38" s="164"/>
      <c r="L38" s="164"/>
      <c r="M38" s="164"/>
      <c r="N38" s="164"/>
      <c r="O38" s="164"/>
      <c r="P38" s="164"/>
      <c r="Q38" s="164"/>
      <c r="R38" s="164"/>
      <c r="S38" s="164"/>
      <c r="T38" s="164"/>
      <c r="U38" s="164"/>
      <c r="V38" s="164"/>
      <c r="W38" s="164"/>
      <c r="X38" s="164"/>
      <c r="Y38" s="164"/>
      <c r="Z38" s="164"/>
      <c r="AA38" s="164"/>
      <c r="AB38" s="164"/>
      <c r="AC38" s="164"/>
      <c r="AD38" s="164"/>
      <c r="AE38" s="164"/>
    </row>
    <row r="39" spans="2:31" ht="43.5">
      <c r="B39" s="117" t="s">
        <v>1304</v>
      </c>
      <c r="C39" s="120" t="s">
        <v>262</v>
      </c>
      <c r="D39" s="51" t="s">
        <v>1778</v>
      </c>
      <c r="E39" s="152" t="s">
        <v>1779</v>
      </c>
      <c r="F39" s="135" t="s">
        <v>1307</v>
      </c>
      <c r="I39" s="157"/>
      <c r="J39" s="164"/>
      <c r="K39" s="164"/>
      <c r="L39" s="164"/>
      <c r="M39" s="164"/>
      <c r="N39" s="164"/>
      <c r="O39" s="164"/>
      <c r="P39" s="164"/>
      <c r="Q39" s="164"/>
      <c r="R39" s="164"/>
      <c r="S39" s="164"/>
      <c r="T39" s="164"/>
      <c r="U39" s="164"/>
      <c r="V39" s="164"/>
      <c r="W39" s="164"/>
      <c r="X39" s="164"/>
      <c r="Y39" s="164"/>
      <c r="Z39" s="164"/>
      <c r="AA39" s="164"/>
      <c r="AB39" s="164"/>
      <c r="AC39" s="164"/>
      <c r="AD39" s="164"/>
      <c r="AE39" s="164"/>
    </row>
    <row r="40" spans="2:31" ht="87">
      <c r="B40" s="117" t="s">
        <v>1304</v>
      </c>
      <c r="C40" s="116" t="s">
        <v>275</v>
      </c>
      <c r="D40" s="51" t="s">
        <v>1780</v>
      </c>
      <c r="E40" s="152" t="s">
        <v>1781</v>
      </c>
      <c r="F40" s="135" t="s">
        <v>1782</v>
      </c>
    </row>
    <row r="41" spans="2:31" ht="43.5">
      <c r="B41" s="117" t="s">
        <v>1304</v>
      </c>
      <c r="C41" s="137" t="s">
        <v>307</v>
      </c>
      <c r="D41" s="51" t="s">
        <v>1778</v>
      </c>
      <c r="E41" s="152" t="s">
        <v>1779</v>
      </c>
      <c r="F41" s="135" t="s">
        <v>1307</v>
      </c>
    </row>
    <row r="42" spans="2:31" ht="43.5">
      <c r="B42" s="117" t="s">
        <v>1304</v>
      </c>
      <c r="C42" s="137" t="s">
        <v>144</v>
      </c>
      <c r="D42" s="51" t="s">
        <v>1778</v>
      </c>
      <c r="E42" s="152" t="s">
        <v>1779</v>
      </c>
      <c r="F42" s="135" t="s">
        <v>1307</v>
      </c>
    </row>
    <row r="43" spans="2:31" ht="43.5">
      <c r="B43" s="117" t="s">
        <v>1304</v>
      </c>
      <c r="C43" s="137" t="s">
        <v>349</v>
      </c>
      <c r="D43" s="51" t="s">
        <v>1778</v>
      </c>
      <c r="E43" s="152" t="s">
        <v>1779</v>
      </c>
      <c r="F43" s="135" t="s">
        <v>1307</v>
      </c>
    </row>
    <row r="44" spans="2:31" ht="72.599999999999994">
      <c r="B44" s="136" t="s">
        <v>1304</v>
      </c>
      <c r="C44" s="137" t="s">
        <v>429</v>
      </c>
      <c r="D44" s="51" t="s">
        <v>1783</v>
      </c>
      <c r="E44" s="152" t="s">
        <v>1784</v>
      </c>
      <c r="F44" s="135" t="s">
        <v>1785</v>
      </c>
    </row>
    <row r="45" spans="2:31" ht="43.5">
      <c r="B45" s="110" t="s">
        <v>1304</v>
      </c>
      <c r="C45" s="114" t="s">
        <v>443</v>
      </c>
      <c r="D45" s="51" t="s">
        <v>1778</v>
      </c>
      <c r="E45" s="152" t="s">
        <v>1779</v>
      </c>
      <c r="F45" s="135" t="s">
        <v>1307</v>
      </c>
    </row>
    <row r="46" spans="2:31" ht="29.1">
      <c r="B46" s="110" t="s">
        <v>1304</v>
      </c>
      <c r="C46" s="114" t="s">
        <v>1786</v>
      </c>
      <c r="D46" s="51" t="s">
        <v>1787</v>
      </c>
      <c r="E46" s="152" t="s">
        <v>1788</v>
      </c>
      <c r="F46" s="135" t="s">
        <v>1313</v>
      </c>
    </row>
    <row r="47" spans="2:31" ht="29.1">
      <c r="B47" s="110" t="s">
        <v>1304</v>
      </c>
      <c r="C47" s="114" t="s">
        <v>468</v>
      </c>
      <c r="D47" s="173" t="s">
        <v>1789</v>
      </c>
      <c r="E47" s="152" t="s">
        <v>1790</v>
      </c>
      <c r="F47" s="135" t="s">
        <v>1313</v>
      </c>
    </row>
    <row r="48" spans="2:31" ht="57.95">
      <c r="B48" s="110" t="s">
        <v>1304</v>
      </c>
      <c r="C48" s="114" t="s">
        <v>521</v>
      </c>
      <c r="D48" s="51" t="s">
        <v>1791</v>
      </c>
      <c r="E48" s="271" t="s">
        <v>1792</v>
      </c>
      <c r="F48" s="135" t="s">
        <v>1793</v>
      </c>
    </row>
    <row r="49" spans="2:6" ht="57.95">
      <c r="B49" s="110" t="s">
        <v>1304</v>
      </c>
      <c r="C49" s="114" t="s">
        <v>512</v>
      </c>
      <c r="D49" s="51" t="s">
        <v>1791</v>
      </c>
      <c r="E49" s="271" t="s">
        <v>1792</v>
      </c>
      <c r="F49" s="135" t="s">
        <v>1793</v>
      </c>
    </row>
    <row r="50" spans="2:6" ht="43.5">
      <c r="B50" s="110" t="s">
        <v>1304</v>
      </c>
      <c r="C50" s="114" t="s">
        <v>1794</v>
      </c>
      <c r="D50" s="51" t="s">
        <v>1778</v>
      </c>
      <c r="E50" s="152" t="s">
        <v>1779</v>
      </c>
      <c r="F50" s="135" t="s">
        <v>1307</v>
      </c>
    </row>
    <row r="51" spans="2:6" ht="57.95">
      <c r="B51" s="110" t="s">
        <v>1304</v>
      </c>
      <c r="C51" s="114" t="s">
        <v>540</v>
      </c>
      <c r="D51" s="51" t="s">
        <v>1795</v>
      </c>
      <c r="E51" s="152" t="s">
        <v>1796</v>
      </c>
      <c r="F51" s="135" t="s">
        <v>1797</v>
      </c>
    </row>
    <row r="52" spans="2:6" ht="87">
      <c r="B52" s="110" t="s">
        <v>1304</v>
      </c>
      <c r="C52" s="114" t="s">
        <v>549</v>
      </c>
      <c r="D52" s="51" t="s">
        <v>1798</v>
      </c>
      <c r="E52" s="152" t="s">
        <v>1799</v>
      </c>
      <c r="F52" s="135" t="s">
        <v>1800</v>
      </c>
    </row>
    <row r="53" spans="2:6" ht="87">
      <c r="B53" s="110" t="s">
        <v>1304</v>
      </c>
      <c r="C53" s="114" t="s">
        <v>558</v>
      </c>
      <c r="D53" s="51" t="s">
        <v>1801</v>
      </c>
      <c r="E53" s="152" t="s">
        <v>1802</v>
      </c>
      <c r="F53" s="135" t="s">
        <v>1800</v>
      </c>
    </row>
    <row r="54" spans="2:6" ht="43.5">
      <c r="B54" s="110" t="s">
        <v>1304</v>
      </c>
      <c r="C54" s="268" t="s">
        <v>1803</v>
      </c>
      <c r="D54" s="51" t="s">
        <v>1778</v>
      </c>
      <c r="E54" s="152" t="s">
        <v>1779</v>
      </c>
      <c r="F54" s="135" t="s">
        <v>1307</v>
      </c>
    </row>
    <row r="55" spans="2:6" ht="43.5">
      <c r="B55" s="110" t="s">
        <v>1304</v>
      </c>
      <c r="C55" s="269" t="s">
        <v>577</v>
      </c>
      <c r="D55" s="51" t="s">
        <v>1778</v>
      </c>
      <c r="E55" s="152" t="s">
        <v>1779</v>
      </c>
      <c r="F55" s="135" t="s">
        <v>1307</v>
      </c>
    </row>
    <row r="56" spans="2:6" ht="43.5">
      <c r="B56" s="110" t="s">
        <v>1304</v>
      </c>
      <c r="C56" s="269" t="s">
        <v>589</v>
      </c>
      <c r="D56" s="51" t="s">
        <v>1778</v>
      </c>
      <c r="E56" s="152" t="s">
        <v>1779</v>
      </c>
      <c r="F56" s="135" t="s">
        <v>1307</v>
      </c>
    </row>
    <row r="57" spans="2:6" ht="43.5">
      <c r="B57" s="110" t="s">
        <v>1304</v>
      </c>
      <c r="C57" s="269" t="s">
        <v>600</v>
      </c>
      <c r="D57" s="51" t="s">
        <v>1778</v>
      </c>
      <c r="E57" s="152" t="s">
        <v>1779</v>
      </c>
      <c r="F57" s="135" t="s">
        <v>1307</v>
      </c>
    </row>
    <row r="58" spans="2:6" ht="43.5">
      <c r="B58" s="110" t="s">
        <v>1304</v>
      </c>
      <c r="C58" s="270" t="s">
        <v>608</v>
      </c>
      <c r="D58" s="51" t="s">
        <v>1778</v>
      </c>
      <c r="E58" s="152" t="s">
        <v>1779</v>
      </c>
      <c r="F58" s="135" t="s">
        <v>1307</v>
      </c>
    </row>
    <row r="59" spans="2:6" ht="43.5">
      <c r="B59" s="110" t="s">
        <v>1304</v>
      </c>
      <c r="C59" s="270" t="s">
        <v>617</v>
      </c>
      <c r="D59" s="51" t="s">
        <v>1778</v>
      </c>
      <c r="E59" s="152" t="s">
        <v>1779</v>
      </c>
      <c r="F59" s="135" t="s">
        <v>1307</v>
      </c>
    </row>
    <row r="60" spans="2:6" ht="43.5">
      <c r="B60" s="110" t="s">
        <v>1304</v>
      </c>
      <c r="C60" s="270" t="s">
        <v>626</v>
      </c>
      <c r="D60" s="51" t="s">
        <v>1778</v>
      </c>
      <c r="E60" s="152" t="s">
        <v>1779</v>
      </c>
      <c r="F60" s="135" t="s">
        <v>1307</v>
      </c>
    </row>
    <row r="61" spans="2:6" ht="43.5">
      <c r="B61" s="110" t="s">
        <v>1304</v>
      </c>
      <c r="C61" s="270" t="s">
        <v>636</v>
      </c>
      <c r="D61" s="51" t="s">
        <v>1778</v>
      </c>
      <c r="E61" s="152" t="s">
        <v>1779</v>
      </c>
      <c r="F61" s="135" t="s">
        <v>1307</v>
      </c>
    </row>
    <row r="62" spans="2:6" ht="43.5">
      <c r="B62" s="110" t="s">
        <v>1304</v>
      </c>
      <c r="C62" s="270" t="s">
        <v>644</v>
      </c>
      <c r="D62" s="51" t="s">
        <v>1778</v>
      </c>
      <c r="E62" s="152" t="s">
        <v>1779</v>
      </c>
      <c r="F62" s="135" t="s">
        <v>1307</v>
      </c>
    </row>
    <row r="63" spans="2:6" ht="43.5">
      <c r="B63" s="110" t="s">
        <v>1304</v>
      </c>
      <c r="C63" s="270" t="s">
        <v>652</v>
      </c>
      <c r="D63" s="51" t="s">
        <v>1778</v>
      </c>
      <c r="E63" s="152" t="s">
        <v>1779</v>
      </c>
      <c r="F63" s="135" t="s">
        <v>1307</v>
      </c>
    </row>
    <row r="64" spans="2:6" ht="87">
      <c r="B64" s="136" t="s">
        <v>1314</v>
      </c>
      <c r="C64" s="137" t="s">
        <v>1315</v>
      </c>
      <c r="D64" s="138" t="s">
        <v>1804</v>
      </c>
      <c r="E64" s="97" t="s">
        <v>1805</v>
      </c>
      <c r="F64" s="187" t="s">
        <v>1806</v>
      </c>
    </row>
    <row r="65" spans="2:7" ht="130.5">
      <c r="B65" s="136" t="s">
        <v>1373</v>
      </c>
      <c r="C65" s="137" t="s">
        <v>1315</v>
      </c>
      <c r="D65" s="138" t="s">
        <v>1807</v>
      </c>
      <c r="E65" s="97" t="s">
        <v>1808</v>
      </c>
      <c r="F65" s="187" t="s">
        <v>1806</v>
      </c>
      <c r="G65" t="s">
        <v>1809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S30"/>
  <sheetViews>
    <sheetView showGridLines="0" topLeftCell="A23" workbookViewId="0">
      <selection activeCell="I25" sqref="I25"/>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77" t="s">
        <v>1249</v>
      </c>
      <c r="C2" s="77" t="s">
        <v>1250</v>
      </c>
      <c r="D2" s="77" t="s">
        <v>1251</v>
      </c>
      <c r="E2" s="77" t="s">
        <v>1252</v>
      </c>
      <c r="F2" s="77" t="s">
        <v>1253</v>
      </c>
      <c r="G2" s="77" t="s">
        <v>1254</v>
      </c>
      <c r="H2" s="77" t="s">
        <v>1255</v>
      </c>
      <c r="I2" s="77" t="s">
        <v>1810</v>
      </c>
      <c r="J2" s="77" t="s">
        <v>1811</v>
      </c>
      <c r="K2" s="77" t="s">
        <v>1812</v>
      </c>
      <c r="L2" s="77" t="s">
        <v>1813</v>
      </c>
      <c r="M2" s="77" t="s">
        <v>1814</v>
      </c>
      <c r="N2" s="77" t="s">
        <v>1815</v>
      </c>
      <c r="O2" s="77" t="s">
        <v>1816</v>
      </c>
      <c r="P2" s="77" t="s">
        <v>1817</v>
      </c>
      <c r="Q2" s="77" t="s">
        <v>1818</v>
      </c>
      <c r="R2" s="77" t="s">
        <v>234</v>
      </c>
      <c r="S2" s="77" t="s">
        <v>253</v>
      </c>
    </row>
    <row r="3" spans="2:19">
      <c r="B3" s="48" t="s">
        <v>1203</v>
      </c>
      <c r="C3" s="48">
        <v>1</v>
      </c>
      <c r="D3" s="48" t="s">
        <v>1819</v>
      </c>
      <c r="E3" s="95">
        <v>45483</v>
      </c>
      <c r="F3" s="48">
        <v>1</v>
      </c>
      <c r="G3" s="191">
        <v>1</v>
      </c>
      <c r="H3" s="183">
        <v>468593</v>
      </c>
      <c r="I3" s="48" t="s">
        <v>1257</v>
      </c>
      <c r="J3" s="48" t="s">
        <v>1257</v>
      </c>
      <c r="K3" s="48" t="s">
        <v>1257</v>
      </c>
      <c r="L3" s="48" t="s">
        <v>1257</v>
      </c>
      <c r="M3" s="48" t="s">
        <v>1257</v>
      </c>
      <c r="N3" s="48" t="s">
        <v>1257</v>
      </c>
      <c r="O3" s="48" t="s">
        <v>1257</v>
      </c>
      <c r="P3" s="48" t="s">
        <v>1257</v>
      </c>
      <c r="Q3" s="48" t="s">
        <v>1257</v>
      </c>
      <c r="R3" s="48" t="s">
        <v>1257</v>
      </c>
      <c r="S3" s="48" t="s">
        <v>1257</v>
      </c>
    </row>
    <row r="4" spans="2:19">
      <c r="B4" s="48" t="s">
        <v>1205</v>
      </c>
      <c r="C4" s="48">
        <v>2</v>
      </c>
      <c r="D4" s="48" t="s">
        <v>1820</v>
      </c>
      <c r="E4" s="95">
        <v>45483</v>
      </c>
      <c r="F4" s="48">
        <v>1</v>
      </c>
      <c r="G4" s="191">
        <v>1</v>
      </c>
      <c r="H4" s="183">
        <v>0</v>
      </c>
      <c r="I4" s="48" t="s">
        <v>1257</v>
      </c>
      <c r="J4" s="48" t="s">
        <v>1257</v>
      </c>
      <c r="K4" s="48" t="s">
        <v>1257</v>
      </c>
      <c r="L4" s="48" t="s">
        <v>1257</v>
      </c>
      <c r="M4" s="48" t="s">
        <v>1257</v>
      </c>
      <c r="N4" s="48" t="s">
        <v>1257</v>
      </c>
      <c r="O4" s="48" t="s">
        <v>1257</v>
      </c>
      <c r="P4" s="48" t="s">
        <v>1257</v>
      </c>
      <c r="Q4" s="48" t="s">
        <v>1257</v>
      </c>
      <c r="R4" s="48" t="s">
        <v>1257</v>
      </c>
      <c r="S4" s="48" t="s">
        <v>1257</v>
      </c>
    </row>
    <row r="5" spans="2:19">
      <c r="B5" s="48" t="s">
        <v>1207</v>
      </c>
      <c r="C5" s="48">
        <v>3</v>
      </c>
      <c r="D5" s="48" t="s">
        <v>1821</v>
      </c>
      <c r="E5" s="95">
        <v>45483</v>
      </c>
      <c r="F5" s="48">
        <v>1</v>
      </c>
      <c r="G5" s="191">
        <v>1</v>
      </c>
      <c r="H5" s="183">
        <v>0</v>
      </c>
      <c r="I5" s="48">
        <v>0</v>
      </c>
      <c r="J5" s="48" t="s">
        <v>1257</v>
      </c>
      <c r="K5" s="48" t="s">
        <v>1257</v>
      </c>
      <c r="L5" s="48" t="s">
        <v>1257</v>
      </c>
      <c r="M5" s="48" t="s">
        <v>1257</v>
      </c>
      <c r="N5" s="48" t="s">
        <v>1257</v>
      </c>
      <c r="O5" s="48" t="s">
        <v>1257</v>
      </c>
      <c r="P5" s="48" t="s">
        <v>1257</v>
      </c>
      <c r="Q5" s="48" t="s">
        <v>1257</v>
      </c>
      <c r="R5" s="48">
        <v>0</v>
      </c>
      <c r="S5" s="48" t="s">
        <v>1257</v>
      </c>
    </row>
    <row r="6" spans="2:19">
      <c r="B6" s="97" t="s">
        <v>1209</v>
      </c>
      <c r="C6" s="48">
        <v>4</v>
      </c>
      <c r="D6" s="48" t="s">
        <v>1260</v>
      </c>
      <c r="E6" s="95" t="s">
        <v>1257</v>
      </c>
      <c r="F6" s="48">
        <v>1</v>
      </c>
      <c r="G6" s="48" t="s">
        <v>1257</v>
      </c>
      <c r="H6" s="48" t="s">
        <v>1257</v>
      </c>
      <c r="I6" s="48" t="s">
        <v>1257</v>
      </c>
      <c r="J6" s="48" t="s">
        <v>1257</v>
      </c>
      <c r="K6" s="48" t="s">
        <v>1257</v>
      </c>
      <c r="L6" s="48" t="s">
        <v>1257</v>
      </c>
      <c r="M6" s="48" t="s">
        <v>1257</v>
      </c>
      <c r="N6" s="48" t="s">
        <v>1257</v>
      </c>
      <c r="O6" s="48" t="s">
        <v>1257</v>
      </c>
      <c r="P6" s="48" t="s">
        <v>1257</v>
      </c>
      <c r="Q6" s="48" t="s">
        <v>1257</v>
      </c>
      <c r="R6" s="48" t="s">
        <v>1257</v>
      </c>
      <c r="S6" s="48" t="s">
        <v>1257</v>
      </c>
    </row>
    <row r="7" spans="2:19">
      <c r="B7" s="48" t="s">
        <v>1211</v>
      </c>
      <c r="C7" s="48">
        <v>5</v>
      </c>
      <c r="D7" s="48" t="s">
        <v>1260</v>
      </c>
      <c r="E7" s="95" t="s">
        <v>1257</v>
      </c>
      <c r="F7" s="48">
        <v>1</v>
      </c>
      <c r="G7" s="48" t="s">
        <v>1257</v>
      </c>
      <c r="H7" s="48" t="s">
        <v>1257</v>
      </c>
      <c r="I7" s="48" t="s">
        <v>1257</v>
      </c>
      <c r="J7" s="48" t="s">
        <v>1257</v>
      </c>
      <c r="K7" s="48" t="s">
        <v>1257</v>
      </c>
      <c r="L7" s="48" t="s">
        <v>1257</v>
      </c>
      <c r="M7" s="48" t="s">
        <v>1257</v>
      </c>
      <c r="N7" s="48" t="s">
        <v>1257</v>
      </c>
      <c r="O7" s="48" t="s">
        <v>1257</v>
      </c>
      <c r="P7" s="48" t="s">
        <v>1257</v>
      </c>
      <c r="Q7" s="48" t="s">
        <v>1257</v>
      </c>
      <c r="R7" s="48" t="s">
        <v>1257</v>
      </c>
      <c r="S7" s="48" t="s">
        <v>1257</v>
      </c>
    </row>
    <row r="8" spans="2:19">
      <c r="B8" s="97" t="s">
        <v>1212</v>
      </c>
      <c r="C8" s="48">
        <v>6</v>
      </c>
      <c r="D8" s="48" t="s">
        <v>1822</v>
      </c>
      <c r="E8" s="95">
        <v>45483</v>
      </c>
      <c r="F8" s="48">
        <v>1</v>
      </c>
      <c r="G8" s="220" cm="1">
        <f t="array" ref="G8">SUMPRODUCT(--(I8:S8&gt;0))/COUNTA(I8:S8)</f>
        <v>1</v>
      </c>
      <c r="H8" s="183">
        <v>0</v>
      </c>
      <c r="I8" s="48">
        <v>16</v>
      </c>
      <c r="J8" s="48">
        <v>2</v>
      </c>
      <c r="K8" s="48">
        <v>15</v>
      </c>
      <c r="L8" s="48">
        <v>1</v>
      </c>
      <c r="M8" s="48">
        <v>1</v>
      </c>
      <c r="N8" s="48">
        <v>7</v>
      </c>
      <c r="O8" s="48">
        <v>8</v>
      </c>
      <c r="P8" s="48">
        <v>10</v>
      </c>
      <c r="Q8" s="48">
        <v>3</v>
      </c>
      <c r="R8" s="48">
        <v>10</v>
      </c>
      <c r="S8" s="48">
        <v>23</v>
      </c>
    </row>
    <row r="9" spans="2:19">
      <c r="B9" s="48" t="s">
        <v>1215</v>
      </c>
      <c r="C9" s="48">
        <v>7</v>
      </c>
      <c r="D9" s="48" t="s">
        <v>1823</v>
      </c>
      <c r="E9" s="95">
        <v>45483</v>
      </c>
      <c r="F9" s="48">
        <v>1</v>
      </c>
      <c r="G9" s="220" t="e" cm="1">
        <f t="array" ref="G9">SUMPRODUCT(--(I9:S9&lt;=I26:S26))/COUNTA(I26:S26)</f>
        <v>#DIV/0!</v>
      </c>
      <c r="H9" s="183">
        <v>0</v>
      </c>
      <c r="I9" s="48">
        <v>16</v>
      </c>
      <c r="J9" s="48">
        <v>2</v>
      </c>
      <c r="K9" s="48">
        <v>15</v>
      </c>
      <c r="L9" s="48">
        <v>1</v>
      </c>
      <c r="M9" s="48">
        <v>10</v>
      </c>
      <c r="N9" s="48">
        <v>7</v>
      </c>
      <c r="O9" s="48">
        <v>16</v>
      </c>
      <c r="P9" s="48">
        <v>16</v>
      </c>
      <c r="Q9" s="48">
        <v>3</v>
      </c>
      <c r="R9" s="48">
        <v>10</v>
      </c>
      <c r="S9" s="48">
        <v>23</v>
      </c>
    </row>
    <row r="10" spans="2:19">
      <c r="B10" s="48" t="s">
        <v>1218</v>
      </c>
      <c r="C10" s="48">
        <v>8</v>
      </c>
      <c r="D10" s="48" t="s">
        <v>1824</v>
      </c>
      <c r="E10" s="95">
        <v>45483</v>
      </c>
      <c r="F10" s="48">
        <v>1</v>
      </c>
      <c r="G10" s="48" t="s">
        <v>1257</v>
      </c>
      <c r="H10" s="183">
        <v>0</v>
      </c>
      <c r="I10" s="48">
        <v>4293430451808770</v>
      </c>
      <c r="J10" s="48">
        <v>31</v>
      </c>
      <c r="K10" s="48">
        <v>3163579860010</v>
      </c>
      <c r="L10" s="48">
        <v>0</v>
      </c>
      <c r="M10" s="48">
        <v>0</v>
      </c>
      <c r="N10" s="48" t="s">
        <v>1825</v>
      </c>
      <c r="O10" s="48" t="s">
        <v>1266</v>
      </c>
      <c r="P10" s="95">
        <v>750000000</v>
      </c>
      <c r="Q10" s="95" t="s">
        <v>1336</v>
      </c>
      <c r="R10" s="95">
        <v>45483</v>
      </c>
      <c r="S10" s="98" t="s">
        <v>1826</v>
      </c>
    </row>
    <row r="11" spans="2:19">
      <c r="B11" s="48" t="s">
        <v>1220</v>
      </c>
      <c r="C11" s="48">
        <v>9</v>
      </c>
      <c r="D11" s="48" t="s">
        <v>1827</v>
      </c>
      <c r="E11" s="95">
        <v>45483</v>
      </c>
      <c r="F11" s="48">
        <v>1</v>
      </c>
      <c r="G11" s="48" t="s">
        <v>1257</v>
      </c>
      <c r="H11" s="183">
        <v>0</v>
      </c>
      <c r="I11" s="48">
        <v>4293430451808770</v>
      </c>
      <c r="J11" s="48">
        <v>31</v>
      </c>
      <c r="K11" s="48">
        <v>3163579860010</v>
      </c>
      <c r="L11" s="48">
        <v>0</v>
      </c>
      <c r="M11" s="48">
        <v>0</v>
      </c>
      <c r="N11" s="48">
        <v>202407</v>
      </c>
      <c r="O11" s="48" t="s">
        <v>1266</v>
      </c>
      <c r="P11" s="95">
        <v>750000000</v>
      </c>
      <c r="Q11" s="95">
        <v>15</v>
      </c>
      <c r="R11" s="95">
        <v>45483</v>
      </c>
      <c r="S11" s="48" t="s">
        <v>1828</v>
      </c>
    </row>
    <row r="12" spans="2:19">
      <c r="B12" s="97" t="s">
        <v>1222</v>
      </c>
      <c r="C12" s="48">
        <v>10</v>
      </c>
      <c r="D12" s="48" t="s">
        <v>1829</v>
      </c>
      <c r="E12" s="95">
        <v>45483</v>
      </c>
      <c r="F12" s="48">
        <v>1</v>
      </c>
      <c r="G12" s="48" t="s">
        <v>1257</v>
      </c>
      <c r="H12" s="183">
        <v>0</v>
      </c>
      <c r="I12" s="48">
        <v>5166320263218330</v>
      </c>
      <c r="J12" s="183">
        <v>31</v>
      </c>
      <c r="K12" s="48">
        <v>5131570000010</v>
      </c>
      <c r="L12" s="48">
        <v>8</v>
      </c>
      <c r="M12" s="95">
        <v>45483</v>
      </c>
      <c r="N12" s="48" t="s">
        <v>1830</v>
      </c>
      <c r="O12" s="98">
        <v>999999999000000</v>
      </c>
      <c r="P12" s="95">
        <v>999999999000000</v>
      </c>
      <c r="Q12" s="95" t="s">
        <v>1336</v>
      </c>
      <c r="R12" s="95">
        <v>45483</v>
      </c>
      <c r="S12" s="156" t="s">
        <v>1826</v>
      </c>
    </row>
    <row r="13" spans="2:19">
      <c r="B13" s="48" t="s">
        <v>1224</v>
      </c>
      <c r="C13" s="48">
        <v>11</v>
      </c>
      <c r="D13" s="48" t="s">
        <v>1831</v>
      </c>
      <c r="E13" s="95">
        <v>45483</v>
      </c>
      <c r="F13" s="48">
        <v>1</v>
      </c>
      <c r="G13" s="48" t="s">
        <v>1257</v>
      </c>
      <c r="H13" s="183">
        <v>0</v>
      </c>
      <c r="I13" s="48">
        <v>5166320263218330</v>
      </c>
      <c r="J13" s="183">
        <v>31</v>
      </c>
      <c r="K13" s="48">
        <v>5131570000010</v>
      </c>
      <c r="L13" s="48">
        <v>8</v>
      </c>
      <c r="M13" s="95">
        <v>45483</v>
      </c>
      <c r="N13" s="48">
        <v>202912</v>
      </c>
      <c r="O13" s="98">
        <v>999999999000000</v>
      </c>
      <c r="P13" s="95">
        <v>999999999000000</v>
      </c>
      <c r="Q13" s="95">
        <v>5</v>
      </c>
      <c r="R13" s="95">
        <v>45483</v>
      </c>
      <c r="S13" s="48" t="s">
        <v>1832</v>
      </c>
    </row>
    <row r="14" spans="2:19">
      <c r="B14" s="48" t="s">
        <v>1226</v>
      </c>
      <c r="C14" s="48">
        <v>12</v>
      </c>
      <c r="D14" s="48" t="s">
        <v>1833</v>
      </c>
      <c r="E14" s="95">
        <v>45483</v>
      </c>
      <c r="F14" s="48">
        <v>1</v>
      </c>
      <c r="G14" s="191">
        <v>1</v>
      </c>
      <c r="H14" s="183">
        <v>0</v>
      </c>
      <c r="I14" s="48">
        <v>0</v>
      </c>
      <c r="J14" s="48">
        <v>0</v>
      </c>
      <c r="K14" s="48">
        <v>0</v>
      </c>
      <c r="L14" s="48">
        <v>0</v>
      </c>
      <c r="M14" s="48">
        <v>0</v>
      </c>
      <c r="N14" s="48">
        <v>0</v>
      </c>
      <c r="O14" s="48">
        <v>0</v>
      </c>
      <c r="P14" s="48">
        <v>0</v>
      </c>
      <c r="Q14" s="48">
        <v>0</v>
      </c>
      <c r="R14" s="48">
        <v>0</v>
      </c>
      <c r="S14" s="48">
        <v>0</v>
      </c>
    </row>
    <row r="15" spans="2:19">
      <c r="B15" s="48" t="s">
        <v>1228</v>
      </c>
      <c r="C15" s="48">
        <v>13</v>
      </c>
      <c r="D15" s="48" t="s">
        <v>1834</v>
      </c>
      <c r="E15" s="95">
        <v>45483</v>
      </c>
      <c r="F15" s="48">
        <v>1</v>
      </c>
      <c r="G15" s="191">
        <v>1</v>
      </c>
      <c r="H15" s="183">
        <v>0</v>
      </c>
      <c r="I15" s="48" t="s">
        <v>1257</v>
      </c>
      <c r="J15" s="48" t="s">
        <v>1257</v>
      </c>
      <c r="K15" s="48" t="s">
        <v>1257</v>
      </c>
      <c r="L15" s="48" t="s">
        <v>1257</v>
      </c>
      <c r="M15" s="48">
        <v>0</v>
      </c>
      <c r="N15" s="48">
        <v>0</v>
      </c>
      <c r="O15" s="48" t="s">
        <v>1257</v>
      </c>
      <c r="P15" s="48" t="s">
        <v>1257</v>
      </c>
      <c r="Q15" s="48" t="s">
        <v>1257</v>
      </c>
      <c r="R15" s="48" t="s">
        <v>1257</v>
      </c>
      <c r="S15" s="48" t="s">
        <v>1257</v>
      </c>
    </row>
    <row r="16" spans="2:19">
      <c r="B16" s="48" t="s">
        <v>1230</v>
      </c>
      <c r="C16" s="48">
        <v>14</v>
      </c>
      <c r="D16" s="48" t="s">
        <v>1835</v>
      </c>
      <c r="E16" s="95">
        <v>45483</v>
      </c>
      <c r="F16" s="48">
        <v>1</v>
      </c>
      <c r="G16" s="191">
        <v>1</v>
      </c>
      <c r="H16" s="183">
        <v>0</v>
      </c>
      <c r="I16" s="48" t="s">
        <v>1257</v>
      </c>
      <c r="J16" s="48">
        <v>0</v>
      </c>
      <c r="K16" s="48">
        <v>0</v>
      </c>
      <c r="L16" s="48" t="s">
        <v>1257</v>
      </c>
      <c r="M16" s="48" t="s">
        <v>1257</v>
      </c>
      <c r="N16" s="48" t="s">
        <v>1257</v>
      </c>
      <c r="O16" s="48" t="s">
        <v>1257</v>
      </c>
      <c r="P16" s="48" t="s">
        <v>1257</v>
      </c>
      <c r="Q16" s="48">
        <v>0</v>
      </c>
      <c r="R16" s="48" t="s">
        <v>1257</v>
      </c>
      <c r="S16" s="48" t="s">
        <v>1257</v>
      </c>
    </row>
    <row r="17" spans="2:19">
      <c r="B17" s="48" t="s">
        <v>1232</v>
      </c>
      <c r="C17" s="48">
        <v>15</v>
      </c>
      <c r="D17" s="48" t="s">
        <v>1836</v>
      </c>
      <c r="E17" s="95">
        <v>45483</v>
      </c>
      <c r="F17" s="48">
        <v>1</v>
      </c>
      <c r="G17" s="191">
        <v>1</v>
      </c>
      <c r="H17" s="183">
        <v>0</v>
      </c>
      <c r="I17" s="48" t="s">
        <v>1257</v>
      </c>
      <c r="J17" s="48" t="s">
        <v>1257</v>
      </c>
      <c r="K17" s="48" t="s">
        <v>1257</v>
      </c>
      <c r="L17" s="48" t="s">
        <v>1257</v>
      </c>
      <c r="M17" s="48" t="s">
        <v>1257</v>
      </c>
      <c r="N17" s="48" t="s">
        <v>1257</v>
      </c>
      <c r="O17" s="48" t="s">
        <v>1257</v>
      </c>
      <c r="P17" s="48" t="s">
        <v>1257</v>
      </c>
      <c r="Q17" s="48" t="s">
        <v>1257</v>
      </c>
      <c r="R17" s="48" t="s">
        <v>1257</v>
      </c>
      <c r="S17" s="48" t="s">
        <v>1257</v>
      </c>
    </row>
    <row r="18" spans="2:19">
      <c r="B18" s="48" t="s">
        <v>1234</v>
      </c>
      <c r="C18" s="48">
        <v>16</v>
      </c>
      <c r="D18" s="48" t="s">
        <v>1836</v>
      </c>
      <c r="E18" s="95">
        <v>45483</v>
      </c>
      <c r="F18" s="48">
        <v>1</v>
      </c>
      <c r="G18" s="191">
        <v>1</v>
      </c>
      <c r="H18" s="183">
        <v>0</v>
      </c>
      <c r="I18" s="48" t="s">
        <v>1257</v>
      </c>
      <c r="J18" s="48" t="s">
        <v>1257</v>
      </c>
      <c r="K18" s="48" t="s">
        <v>1257</v>
      </c>
      <c r="L18" s="48" t="s">
        <v>1257</v>
      </c>
      <c r="M18" s="48" t="s">
        <v>1257</v>
      </c>
      <c r="N18" s="48" t="s">
        <v>1257</v>
      </c>
      <c r="O18" s="48" t="s">
        <v>1257</v>
      </c>
      <c r="P18" s="48" t="s">
        <v>1257</v>
      </c>
      <c r="Q18" s="48" t="s">
        <v>1257</v>
      </c>
      <c r="R18" s="48" t="s">
        <v>1257</v>
      </c>
      <c r="S18" s="48" t="s">
        <v>1257</v>
      </c>
    </row>
    <row r="19" spans="2:19">
      <c r="B19" s="48" t="s">
        <v>1240</v>
      </c>
      <c r="C19" s="48">
        <v>19</v>
      </c>
      <c r="D19" s="48" t="s">
        <v>1837</v>
      </c>
      <c r="E19" s="95">
        <v>45483</v>
      </c>
      <c r="F19" s="48">
        <v>1</v>
      </c>
      <c r="G19" s="191" cm="1">
        <f t="array" aca="1" ref="G19" ca="1">SUMPRODUCT(--(ISNUMBER((SEARCH(I25:S25,I19:S19)))))/COUNTA(I19:S19)</f>
        <v>0.90909090909090906</v>
      </c>
      <c r="H19" s="95" t="s">
        <v>1257</v>
      </c>
      <c r="I19" s="48" t="s">
        <v>1291</v>
      </c>
      <c r="J19" s="48" t="s">
        <v>1291</v>
      </c>
      <c r="K19" s="48" t="s">
        <v>1291</v>
      </c>
      <c r="L19" s="48" t="s">
        <v>1291</v>
      </c>
      <c r="M19" s="48" t="s">
        <v>1291</v>
      </c>
      <c r="N19" s="48" t="s">
        <v>1291</v>
      </c>
      <c r="O19" s="48" t="s">
        <v>1292</v>
      </c>
      <c r="P19" s="48" t="s">
        <v>1292</v>
      </c>
      <c r="Q19" s="48" t="s">
        <v>1291</v>
      </c>
      <c r="R19" s="48" t="s">
        <v>1291</v>
      </c>
      <c r="S19" s="48" t="s">
        <v>1293</v>
      </c>
    </row>
    <row r="20" spans="2:19">
      <c r="B20" s="48" t="s">
        <v>1243</v>
      </c>
      <c r="C20" s="48">
        <v>20</v>
      </c>
      <c r="D20" s="48" t="s">
        <v>1838</v>
      </c>
      <c r="E20" s="95">
        <v>45483</v>
      </c>
      <c r="F20" s="48">
        <v>1</v>
      </c>
      <c r="G20" s="191" t="e" cm="1" vm="1">
        <f t="array" ref="G20">SUM(IF(I2:S2 = I24:S24, 1, 0))/ COUNTA(I2:S2)</f>
        <v>#VALUE!</v>
      </c>
      <c r="H20" s="191" t="s">
        <v>1257</v>
      </c>
      <c r="I20" s="191" t="s">
        <v>1257</v>
      </c>
      <c r="J20" s="191" t="s">
        <v>1257</v>
      </c>
      <c r="K20" s="191" t="s">
        <v>1257</v>
      </c>
      <c r="L20" s="191" t="s">
        <v>1257</v>
      </c>
      <c r="M20" s="191" t="s">
        <v>1257</v>
      </c>
      <c r="N20" s="191" t="s">
        <v>1257</v>
      </c>
      <c r="O20" s="191" t="s">
        <v>1257</v>
      </c>
      <c r="P20" s="191" t="s">
        <v>1257</v>
      </c>
      <c r="Q20" s="191" t="s">
        <v>1257</v>
      </c>
      <c r="R20" s="191" t="s">
        <v>1257</v>
      </c>
      <c r="S20" s="191" t="s">
        <v>1257</v>
      </c>
    </row>
    <row r="21" spans="2:19">
      <c r="B21" s="48" t="s">
        <v>1246</v>
      </c>
      <c r="C21" s="48">
        <v>21</v>
      </c>
      <c r="D21" s="48" t="s">
        <v>1838</v>
      </c>
      <c r="E21" s="95">
        <v>45483</v>
      </c>
      <c r="F21" s="48">
        <v>1</v>
      </c>
      <c r="G21" s="191" t="e" cm="1">
        <f t="array" aca="1" ref="G21" ca="1">SUM(IF(IF(G3:G20="null",1,G3:G20)=1,1,0))/COUNT(IF(G3:G20="null",1,1))</f>
        <v>#DIV/0!</v>
      </c>
      <c r="H21" s="191" t="s">
        <v>1257</v>
      </c>
      <c r="I21" s="191" t="s">
        <v>1257</v>
      </c>
      <c r="J21" s="191" t="s">
        <v>1257</v>
      </c>
      <c r="K21" s="191" t="s">
        <v>1257</v>
      </c>
      <c r="L21" s="191" t="s">
        <v>1257</v>
      </c>
      <c r="M21" s="191" t="s">
        <v>1257</v>
      </c>
      <c r="N21" s="191" t="s">
        <v>1257</v>
      </c>
      <c r="O21" s="191" t="s">
        <v>1257</v>
      </c>
      <c r="P21" s="191" t="s">
        <v>1257</v>
      </c>
      <c r="Q21" s="191" t="s">
        <v>1257</v>
      </c>
      <c r="R21" s="191" t="s">
        <v>1257</v>
      </c>
      <c r="S21" s="191" t="s">
        <v>1257</v>
      </c>
    </row>
    <row r="22" spans="2:19">
      <c r="B22" s="48"/>
      <c r="C22" s="48"/>
      <c r="D22" s="48"/>
      <c r="E22" s="95"/>
      <c r="F22" s="48"/>
      <c r="G22" s="48"/>
      <c r="H22" s="48"/>
      <c r="I22" s="48"/>
      <c r="J22" s="48"/>
      <c r="K22" s="48"/>
      <c r="L22" s="48"/>
      <c r="M22" s="48"/>
      <c r="N22" s="48"/>
      <c r="O22" s="48"/>
      <c r="P22" s="48"/>
      <c r="Q22" s="48"/>
      <c r="R22" s="48"/>
      <c r="S22" s="48"/>
    </row>
    <row r="23" spans="2:19">
      <c r="B23" s="129" t="s">
        <v>1364</v>
      </c>
    </row>
    <row r="24" spans="2:19">
      <c r="B24" s="127" t="s">
        <v>1249</v>
      </c>
      <c r="C24" s="128" t="s">
        <v>1250</v>
      </c>
      <c r="D24" s="128" t="s">
        <v>1251</v>
      </c>
      <c r="E24" s="128" t="s">
        <v>1252</v>
      </c>
      <c r="F24" s="128" t="s">
        <v>1253</v>
      </c>
      <c r="G24" s="128" t="s">
        <v>1254</v>
      </c>
      <c r="H24" s="128" t="s">
        <v>1255</v>
      </c>
      <c r="I24" s="128" t="e" cm="1" vm="2">
        <f t="array" ref="I24">TRANSPOSE(_xlfn.SORTBY(_xlfn._xlws.FILTER(Table3[NOME FÍSICO CAMPO],Table3[NOME FÍSICO TABELA]="prepaid_card"), _xlfn._xlws.FILTER(Table3[ORDEM], Table3[NOME FÍSICO TABELA]="prepaid_card"), 1))</f>
        <v>#VALUE!</v>
      </c>
      <c r="J24" s="128"/>
      <c r="K24" s="128"/>
      <c r="L24" s="128"/>
      <c r="M24" s="128"/>
      <c r="N24" s="128"/>
      <c r="O24" s="128"/>
      <c r="P24" s="128"/>
      <c r="Q24" s="128"/>
      <c r="R24" s="128"/>
      <c r="S24" s="128"/>
    </row>
    <row r="25" spans="2:19">
      <c r="B25" s="106" t="s">
        <v>1294</v>
      </c>
      <c r="C25" s="109">
        <v>21</v>
      </c>
      <c r="D25" s="103" t="s">
        <v>1295</v>
      </c>
      <c r="E25" s="102" t="s">
        <v>1296</v>
      </c>
      <c r="F25" s="102" t="s">
        <v>124</v>
      </c>
      <c r="G25" s="102" t="s">
        <v>124</v>
      </c>
      <c r="H25" s="102" t="s">
        <v>124</v>
      </c>
      <c r="I25" s="102" t="e" cm="1" vm="2">
        <f t="array" aca="1" ref="I25" ca="1">TRANSPOSE(_xlfn.SORTBY(_xlfn._xlws.FILTER(IF(Table3[FORMATO]:Table3[COMP_ CAMPO]&lt;&gt;"",Table3[FORMATO]:Table3[COMP_ CAMPO],9999999),Table3[NOME FÍSICO TABELA]="prepaid_card"), _xlfn._xlws.FILTER(Table3[ORDEM], Table3[NOME FÍSICO TABELA]="prepaid_card"), 1))</f>
        <v>#VALUE!</v>
      </c>
      <c r="J25" s="102"/>
      <c r="K25" s="102"/>
      <c r="L25" s="102"/>
      <c r="M25" s="102"/>
      <c r="N25" s="102"/>
      <c r="O25" s="102"/>
      <c r="P25" s="102"/>
      <c r="Q25" s="102"/>
      <c r="R25" s="102"/>
      <c r="S25" s="102"/>
    </row>
    <row r="26" spans="2:19">
      <c r="B26" s="106" t="s">
        <v>1297</v>
      </c>
      <c r="C26" s="109">
        <v>7</v>
      </c>
      <c r="D26" s="103" t="s">
        <v>1295</v>
      </c>
      <c r="E26" s="102" t="s">
        <v>1296</v>
      </c>
      <c r="F26" s="104" t="s">
        <v>124</v>
      </c>
      <c r="G26" s="104" t="s">
        <v>124</v>
      </c>
      <c r="H26" s="104" t="s">
        <v>124</v>
      </c>
      <c r="I26" s="150"/>
      <c r="J26" s="150"/>
      <c r="K26" s="150"/>
      <c r="L26" s="150"/>
      <c r="M26" s="150"/>
      <c r="N26" s="150"/>
      <c r="O26" s="150"/>
      <c r="P26" s="150"/>
      <c r="Q26" s="150"/>
      <c r="R26" s="150"/>
      <c r="S26" s="150"/>
    </row>
    <row r="28" spans="2:19">
      <c r="B28" s="139" t="s">
        <v>1298</v>
      </c>
    </row>
    <row r="29" spans="2:19">
      <c r="B29" s="133" t="s">
        <v>1299</v>
      </c>
      <c r="C29" s="133" t="s">
        <v>1300</v>
      </c>
      <c r="D29" s="134" t="s">
        <v>1301</v>
      </c>
      <c r="E29" s="133" t="s">
        <v>1302</v>
      </c>
      <c r="F29" s="133" t="s">
        <v>1303</v>
      </c>
    </row>
    <row r="30" spans="2:19">
      <c r="B30" s="117"/>
      <c r="C30" s="116"/>
      <c r="D30" s="122"/>
      <c r="E30" s="145"/>
      <c r="F30" s="13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S30"/>
  <sheetViews>
    <sheetView showGridLines="0" topLeftCell="A2" workbookViewId="0">
      <selection activeCell="H9" sqref="H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77" t="s">
        <v>1249</v>
      </c>
      <c r="C2" s="77" t="s">
        <v>1250</v>
      </c>
      <c r="D2" s="77" t="s">
        <v>1251</v>
      </c>
      <c r="E2" s="77" t="s">
        <v>1252</v>
      </c>
      <c r="F2" s="77" t="s">
        <v>1253</v>
      </c>
      <c r="G2" s="77" t="s">
        <v>1254</v>
      </c>
      <c r="H2" s="77" t="s">
        <v>1255</v>
      </c>
      <c r="I2" s="77" t="s">
        <v>1810</v>
      </c>
      <c r="J2" s="77" t="s">
        <v>1839</v>
      </c>
      <c r="K2" s="77" t="s">
        <v>1840</v>
      </c>
      <c r="L2" s="77" t="s">
        <v>1813</v>
      </c>
      <c r="M2" s="77" t="s">
        <v>1814</v>
      </c>
      <c r="N2" s="77" t="s">
        <v>1815</v>
      </c>
      <c r="O2" s="77" t="s">
        <v>1816</v>
      </c>
      <c r="P2" s="77" t="s">
        <v>1817</v>
      </c>
      <c r="Q2" s="77" t="s">
        <v>1818</v>
      </c>
      <c r="R2" s="77" t="s">
        <v>234</v>
      </c>
      <c r="S2" s="77" t="s">
        <v>253</v>
      </c>
    </row>
    <row r="3" spans="2:19">
      <c r="B3" s="48" t="s">
        <v>1203</v>
      </c>
      <c r="C3" s="48">
        <v>1</v>
      </c>
      <c r="D3" s="48" t="s">
        <v>1841</v>
      </c>
      <c r="E3" s="95">
        <v>45485</v>
      </c>
      <c r="F3" s="48">
        <v>1</v>
      </c>
      <c r="G3" s="191">
        <v>1</v>
      </c>
      <c r="H3" s="183">
        <v>650320</v>
      </c>
      <c r="I3" s="48" t="s">
        <v>1257</v>
      </c>
      <c r="J3" s="48" t="s">
        <v>1257</v>
      </c>
      <c r="K3" s="48" t="s">
        <v>1257</v>
      </c>
      <c r="L3" s="48" t="s">
        <v>1257</v>
      </c>
      <c r="M3" s="48" t="s">
        <v>1257</v>
      </c>
      <c r="N3" s="48" t="s">
        <v>1257</v>
      </c>
      <c r="O3" s="48" t="s">
        <v>1257</v>
      </c>
      <c r="P3" s="48" t="s">
        <v>1257</v>
      </c>
      <c r="Q3" s="48" t="s">
        <v>1257</v>
      </c>
      <c r="R3" s="48" t="s">
        <v>1257</v>
      </c>
      <c r="S3" s="48" t="s">
        <v>1257</v>
      </c>
    </row>
    <row r="4" spans="2:19">
      <c r="B4" s="48" t="s">
        <v>1205</v>
      </c>
      <c r="C4" s="48">
        <v>2</v>
      </c>
      <c r="D4" s="48" t="s">
        <v>1842</v>
      </c>
      <c r="E4" s="95">
        <v>45485</v>
      </c>
      <c r="F4" s="48">
        <v>1</v>
      </c>
      <c r="G4" s="191">
        <v>1</v>
      </c>
      <c r="H4" s="48">
        <v>0</v>
      </c>
      <c r="I4" s="48" t="s">
        <v>1257</v>
      </c>
      <c r="J4" s="48" t="s">
        <v>1257</v>
      </c>
      <c r="K4" s="48" t="s">
        <v>1257</v>
      </c>
      <c r="L4" s="48" t="s">
        <v>1257</v>
      </c>
      <c r="M4" s="48" t="s">
        <v>1257</v>
      </c>
      <c r="N4" s="48" t="s">
        <v>1257</v>
      </c>
      <c r="O4" s="48" t="s">
        <v>1257</v>
      </c>
      <c r="P4" s="48" t="s">
        <v>1257</v>
      </c>
      <c r="Q4" s="48" t="s">
        <v>1257</v>
      </c>
      <c r="R4" s="48" t="s">
        <v>1257</v>
      </c>
      <c r="S4" s="48" t="s">
        <v>1257</v>
      </c>
    </row>
    <row r="5" spans="2:19">
      <c r="B5" s="48" t="s">
        <v>1207</v>
      </c>
      <c r="C5" s="48">
        <v>3</v>
      </c>
      <c r="D5" s="48" t="s">
        <v>1843</v>
      </c>
      <c r="E5" s="95">
        <v>45485</v>
      </c>
      <c r="F5" s="48">
        <v>1</v>
      </c>
      <c r="G5" s="191">
        <v>1</v>
      </c>
      <c r="H5" s="48">
        <v>0</v>
      </c>
      <c r="I5" s="48">
        <v>0</v>
      </c>
      <c r="J5" s="48" t="s">
        <v>1257</v>
      </c>
      <c r="K5" s="48" t="s">
        <v>1257</v>
      </c>
      <c r="L5" s="48" t="s">
        <v>1257</v>
      </c>
      <c r="M5" s="48" t="s">
        <v>1257</v>
      </c>
      <c r="N5" s="48" t="s">
        <v>1257</v>
      </c>
      <c r="O5" s="48" t="s">
        <v>1257</v>
      </c>
      <c r="P5" s="48" t="s">
        <v>1257</v>
      </c>
      <c r="Q5" s="48" t="s">
        <v>1257</v>
      </c>
      <c r="R5" s="48">
        <v>0</v>
      </c>
      <c r="S5" s="48" t="s">
        <v>1257</v>
      </c>
    </row>
    <row r="6" spans="2:19">
      <c r="B6" s="97" t="s">
        <v>1209</v>
      </c>
      <c r="C6" s="48">
        <v>4</v>
      </c>
      <c r="D6" s="48" t="s">
        <v>1260</v>
      </c>
      <c r="E6" s="95" t="s">
        <v>1257</v>
      </c>
      <c r="F6" s="48">
        <v>1</v>
      </c>
      <c r="G6" s="48" t="s">
        <v>1257</v>
      </c>
      <c r="H6" s="48" t="s">
        <v>1257</v>
      </c>
      <c r="I6" s="48" t="s">
        <v>1257</v>
      </c>
      <c r="J6" s="48" t="s">
        <v>1257</v>
      </c>
      <c r="K6" s="48" t="s">
        <v>1257</v>
      </c>
      <c r="L6" s="48" t="s">
        <v>1257</v>
      </c>
      <c r="M6" s="48" t="s">
        <v>1257</v>
      </c>
      <c r="N6" s="48" t="s">
        <v>1257</v>
      </c>
      <c r="O6" s="48" t="s">
        <v>1257</v>
      </c>
      <c r="P6" s="48" t="s">
        <v>1257</v>
      </c>
      <c r="Q6" s="48" t="s">
        <v>1257</v>
      </c>
      <c r="R6" s="48" t="s">
        <v>1257</v>
      </c>
      <c r="S6" s="48" t="s">
        <v>1257</v>
      </c>
    </row>
    <row r="7" spans="2:19">
      <c r="B7" s="48" t="s">
        <v>1211</v>
      </c>
      <c r="C7" s="48">
        <v>5</v>
      </c>
      <c r="D7" s="48" t="s">
        <v>1260</v>
      </c>
      <c r="E7" s="95" t="s">
        <v>1257</v>
      </c>
      <c r="F7" s="48">
        <v>1</v>
      </c>
      <c r="G7" s="48" t="s">
        <v>1257</v>
      </c>
      <c r="H7" s="48" t="s">
        <v>1257</v>
      </c>
      <c r="I7" s="48" t="s">
        <v>1257</v>
      </c>
      <c r="J7" s="48" t="s">
        <v>1257</v>
      </c>
      <c r="K7" s="48" t="s">
        <v>1257</v>
      </c>
      <c r="L7" s="48" t="s">
        <v>1257</v>
      </c>
      <c r="M7" s="48" t="s">
        <v>1257</v>
      </c>
      <c r="N7" s="48" t="s">
        <v>1257</v>
      </c>
      <c r="O7" s="48" t="s">
        <v>1257</v>
      </c>
      <c r="P7" s="48" t="s">
        <v>1257</v>
      </c>
      <c r="Q7" s="48" t="s">
        <v>1257</v>
      </c>
      <c r="R7" s="48" t="s">
        <v>1257</v>
      </c>
      <c r="S7" s="48" t="s">
        <v>1257</v>
      </c>
    </row>
    <row r="8" spans="2:19">
      <c r="B8" s="97" t="s">
        <v>1212</v>
      </c>
      <c r="C8" s="48">
        <v>6</v>
      </c>
      <c r="D8" s="48" t="s">
        <v>1844</v>
      </c>
      <c r="E8" s="95">
        <v>45485</v>
      </c>
      <c r="F8" s="48">
        <v>1</v>
      </c>
      <c r="G8" s="191" cm="1">
        <f t="array" ref="G8">SUMPRODUCT(--(I8:S8&gt;0))/COUNTA(I8:S8)</f>
        <v>1</v>
      </c>
      <c r="H8" s="48">
        <v>0</v>
      </c>
      <c r="I8" s="48">
        <v>16</v>
      </c>
      <c r="J8" s="48">
        <v>2</v>
      </c>
      <c r="K8" s="48">
        <v>15</v>
      </c>
      <c r="L8" s="48">
        <v>1</v>
      </c>
      <c r="M8" s="48">
        <v>1</v>
      </c>
      <c r="N8" s="48">
        <v>7</v>
      </c>
      <c r="O8" s="48">
        <v>8</v>
      </c>
      <c r="P8" s="48">
        <v>8</v>
      </c>
      <c r="Q8" s="48">
        <v>3</v>
      </c>
      <c r="R8" s="48">
        <v>10</v>
      </c>
      <c r="S8" s="48">
        <v>23</v>
      </c>
    </row>
    <row r="9" spans="2:19">
      <c r="B9" s="48" t="s">
        <v>1215</v>
      </c>
      <c r="C9" s="48">
        <v>7</v>
      </c>
      <c r="D9" s="48" t="s">
        <v>1845</v>
      </c>
      <c r="E9" s="95">
        <v>45485</v>
      </c>
      <c r="F9" s="48">
        <v>1</v>
      </c>
      <c r="G9" s="191" t="e" cm="1">
        <f t="array" ref="G9">SUMPRODUCT(--(I9:S9&lt;=I26:S26))/COUNTA(I26:S26)</f>
        <v>#DIV/0!</v>
      </c>
      <c r="H9" s="48">
        <v>0</v>
      </c>
      <c r="I9" s="48">
        <v>16</v>
      </c>
      <c r="J9" s="48">
        <v>2</v>
      </c>
      <c r="K9" s="48">
        <v>15</v>
      </c>
      <c r="L9" s="48">
        <v>3</v>
      </c>
      <c r="M9" s="48">
        <v>10</v>
      </c>
      <c r="N9" s="48">
        <v>7</v>
      </c>
      <c r="O9" s="48">
        <v>13</v>
      </c>
      <c r="P9" s="48">
        <v>13</v>
      </c>
      <c r="Q9" s="48">
        <v>3</v>
      </c>
      <c r="R9" s="48">
        <v>10</v>
      </c>
      <c r="S9" s="48">
        <v>23</v>
      </c>
    </row>
    <row r="10" spans="2:19">
      <c r="B10" s="48" t="s">
        <v>1218</v>
      </c>
      <c r="C10" s="48">
        <v>8</v>
      </c>
      <c r="D10" s="48" t="s">
        <v>1846</v>
      </c>
      <c r="E10" s="95">
        <v>45485</v>
      </c>
      <c r="F10" s="48">
        <v>1</v>
      </c>
      <c r="G10" s="48" t="s">
        <v>1257</v>
      </c>
      <c r="H10" s="48">
        <v>0</v>
      </c>
      <c r="I10" s="48">
        <v>4001900051800820</v>
      </c>
      <c r="J10" s="48">
        <v>31</v>
      </c>
      <c r="K10" s="48">
        <v>1100827510011</v>
      </c>
      <c r="L10" s="48">
        <v>0</v>
      </c>
      <c r="M10" s="48">
        <v>0</v>
      </c>
      <c r="N10" s="95" t="s">
        <v>1825</v>
      </c>
      <c r="O10" s="48" t="s">
        <v>1266</v>
      </c>
      <c r="P10" s="95" t="s">
        <v>1266</v>
      </c>
      <c r="Q10" s="95" t="s">
        <v>1336</v>
      </c>
      <c r="R10" s="95">
        <v>45485</v>
      </c>
      <c r="S10" s="98" t="s">
        <v>1847</v>
      </c>
    </row>
    <row r="11" spans="2:19">
      <c r="B11" s="48" t="s">
        <v>1220</v>
      </c>
      <c r="C11" s="48">
        <v>9</v>
      </c>
      <c r="D11" s="48" t="s">
        <v>1848</v>
      </c>
      <c r="E11" s="95">
        <v>45485</v>
      </c>
      <c r="F11" s="48">
        <v>1</v>
      </c>
      <c r="G11" s="48" t="s">
        <v>1257</v>
      </c>
      <c r="H11" s="48">
        <v>0</v>
      </c>
      <c r="I11" s="48">
        <v>4001900051800820</v>
      </c>
      <c r="J11" s="48"/>
      <c r="K11" s="48">
        <v>1100827510011</v>
      </c>
      <c r="L11" s="48">
        <v>0</v>
      </c>
      <c r="M11" s="48">
        <v>0</v>
      </c>
      <c r="N11" s="95" t="s">
        <v>1825</v>
      </c>
      <c r="O11" s="48">
        <v>0</v>
      </c>
      <c r="P11" s="48">
        <v>0</v>
      </c>
      <c r="Q11" s="48">
        <v>15</v>
      </c>
      <c r="R11" s="95">
        <v>45485</v>
      </c>
      <c r="S11" s="48" t="s">
        <v>1849</v>
      </c>
    </row>
    <row r="12" spans="2:19">
      <c r="B12" s="97" t="s">
        <v>1222</v>
      </c>
      <c r="C12" s="48">
        <v>10</v>
      </c>
      <c r="D12" s="48" t="s">
        <v>1850</v>
      </c>
      <c r="E12" s="95">
        <v>45485</v>
      </c>
      <c r="F12" s="48">
        <v>1</v>
      </c>
      <c r="G12" s="48" t="s">
        <v>1257</v>
      </c>
      <c r="H12" s="48">
        <v>0</v>
      </c>
      <c r="I12" s="48">
        <v>5492260069819360</v>
      </c>
      <c r="J12" s="183">
        <v>31</v>
      </c>
      <c r="K12" s="48">
        <v>5131606960011</v>
      </c>
      <c r="L12" s="48">
        <v>99</v>
      </c>
      <c r="M12" s="95">
        <v>45488</v>
      </c>
      <c r="N12" s="95" t="s">
        <v>1851</v>
      </c>
      <c r="O12" s="98">
        <v>150000000000</v>
      </c>
      <c r="P12" s="191">
        <v>150000000000</v>
      </c>
      <c r="Q12" s="95" t="s">
        <v>1336</v>
      </c>
      <c r="R12" s="95">
        <v>45485</v>
      </c>
      <c r="S12" s="156" t="s">
        <v>1847</v>
      </c>
    </row>
    <row r="13" spans="2:19">
      <c r="B13" s="48" t="s">
        <v>1224</v>
      </c>
      <c r="C13" s="48">
        <v>11</v>
      </c>
      <c r="D13" s="48" t="s">
        <v>1852</v>
      </c>
      <c r="E13" s="95">
        <v>45485</v>
      </c>
      <c r="F13" s="48">
        <v>1</v>
      </c>
      <c r="G13" s="48" t="s">
        <v>1257</v>
      </c>
      <c r="H13" s="48">
        <v>0</v>
      </c>
      <c r="I13" s="48">
        <v>5492260069819360</v>
      </c>
      <c r="J13" s="183"/>
      <c r="K13" s="48">
        <v>5131606960011</v>
      </c>
      <c r="L13" s="48">
        <v>99</v>
      </c>
      <c r="M13" s="95">
        <v>20240715</v>
      </c>
      <c r="N13" s="95" t="s">
        <v>1851</v>
      </c>
      <c r="O13" s="48">
        <v>9000</v>
      </c>
      <c r="P13" s="48">
        <v>998</v>
      </c>
      <c r="Q13" s="48">
        <v>5</v>
      </c>
      <c r="R13" s="95">
        <v>45485</v>
      </c>
      <c r="S13" s="48" t="s">
        <v>1853</v>
      </c>
    </row>
    <row r="14" spans="2:19">
      <c r="B14" s="48" t="s">
        <v>1226</v>
      </c>
      <c r="C14" s="48">
        <v>12</v>
      </c>
      <c r="D14" s="48" t="s">
        <v>1854</v>
      </c>
      <c r="E14" s="95">
        <v>45485</v>
      </c>
      <c r="F14" s="48">
        <v>1</v>
      </c>
      <c r="G14" s="191">
        <v>1</v>
      </c>
      <c r="H14" s="48">
        <v>0</v>
      </c>
      <c r="I14" s="48">
        <v>0</v>
      </c>
      <c r="J14" s="48">
        <v>0</v>
      </c>
      <c r="K14" s="48">
        <v>0</v>
      </c>
      <c r="L14" s="48">
        <v>0</v>
      </c>
      <c r="M14" s="48">
        <v>0</v>
      </c>
      <c r="N14" s="48">
        <v>0</v>
      </c>
      <c r="O14" s="48">
        <v>0</v>
      </c>
      <c r="P14" s="48">
        <v>0</v>
      </c>
      <c r="Q14" s="48">
        <v>0</v>
      </c>
      <c r="R14" s="48">
        <v>0</v>
      </c>
      <c r="S14" s="48">
        <v>0</v>
      </c>
    </row>
    <row r="15" spans="2:19">
      <c r="B15" s="48" t="s">
        <v>1228</v>
      </c>
      <c r="C15" s="48">
        <v>13</v>
      </c>
      <c r="D15" s="48" t="s">
        <v>1855</v>
      </c>
      <c r="E15" s="95">
        <v>45485</v>
      </c>
      <c r="F15" s="48">
        <v>1</v>
      </c>
      <c r="G15" s="191">
        <v>1</v>
      </c>
      <c r="H15" s="48">
        <v>0</v>
      </c>
      <c r="I15" s="48" t="s">
        <v>1257</v>
      </c>
      <c r="J15" s="48" t="s">
        <v>1257</v>
      </c>
      <c r="K15" s="48" t="s">
        <v>1257</v>
      </c>
      <c r="L15" s="48" t="s">
        <v>1257</v>
      </c>
      <c r="M15" s="48">
        <v>0</v>
      </c>
      <c r="N15" s="48">
        <v>0</v>
      </c>
      <c r="O15" s="48" t="s">
        <v>1257</v>
      </c>
      <c r="P15" s="48" t="s">
        <v>1257</v>
      </c>
      <c r="Q15" s="48" t="s">
        <v>1257</v>
      </c>
      <c r="R15" s="48" t="s">
        <v>1257</v>
      </c>
      <c r="S15" s="48" t="s">
        <v>1257</v>
      </c>
    </row>
    <row r="16" spans="2:19">
      <c r="B16" s="48" t="s">
        <v>1230</v>
      </c>
      <c r="C16" s="48">
        <v>14</v>
      </c>
      <c r="D16" s="48" t="s">
        <v>1856</v>
      </c>
      <c r="E16" s="95">
        <v>45485</v>
      </c>
      <c r="F16" s="48">
        <v>1</v>
      </c>
      <c r="G16" s="191">
        <v>1</v>
      </c>
      <c r="H16" s="48">
        <v>0</v>
      </c>
      <c r="I16" s="48" t="s">
        <v>1257</v>
      </c>
      <c r="J16" s="48">
        <v>0</v>
      </c>
      <c r="K16" s="48">
        <v>0</v>
      </c>
      <c r="L16" s="48" t="s">
        <v>1257</v>
      </c>
      <c r="M16" s="48" t="s">
        <v>1257</v>
      </c>
      <c r="N16" s="48" t="s">
        <v>1257</v>
      </c>
      <c r="O16" s="48" t="s">
        <v>1257</v>
      </c>
      <c r="P16" s="48" t="s">
        <v>1257</v>
      </c>
      <c r="Q16" s="48">
        <v>0</v>
      </c>
      <c r="R16" s="48" t="s">
        <v>1257</v>
      </c>
      <c r="S16" s="48" t="s">
        <v>1257</v>
      </c>
    </row>
    <row r="17" spans="2:19">
      <c r="B17" s="48" t="s">
        <v>1232</v>
      </c>
      <c r="C17" s="48">
        <v>15</v>
      </c>
      <c r="D17" s="48" t="s">
        <v>1857</v>
      </c>
      <c r="E17" s="95">
        <v>45485</v>
      </c>
      <c r="F17" s="48">
        <v>1</v>
      </c>
      <c r="G17" s="191">
        <v>1</v>
      </c>
      <c r="H17" s="48">
        <v>0</v>
      </c>
      <c r="I17" s="48" t="s">
        <v>1257</v>
      </c>
      <c r="J17" s="48" t="s">
        <v>1257</v>
      </c>
      <c r="K17" s="48" t="s">
        <v>1257</v>
      </c>
      <c r="L17" s="48" t="s">
        <v>1257</v>
      </c>
      <c r="M17" s="48" t="s">
        <v>1257</v>
      </c>
      <c r="N17" s="48" t="s">
        <v>1257</v>
      </c>
      <c r="O17" s="48" t="s">
        <v>1257</v>
      </c>
      <c r="P17" s="48" t="s">
        <v>1257</v>
      </c>
      <c r="Q17" s="48" t="s">
        <v>1257</v>
      </c>
      <c r="R17" s="48" t="s">
        <v>1257</v>
      </c>
      <c r="S17" s="48" t="s">
        <v>1257</v>
      </c>
    </row>
    <row r="18" spans="2:19">
      <c r="B18" s="48" t="s">
        <v>1234</v>
      </c>
      <c r="C18" s="48">
        <v>16</v>
      </c>
      <c r="D18" s="48" t="s">
        <v>1857</v>
      </c>
      <c r="E18" s="95">
        <v>45485</v>
      </c>
      <c r="F18" s="48">
        <v>1</v>
      </c>
      <c r="G18" s="191">
        <v>1</v>
      </c>
      <c r="H18" s="48">
        <v>0</v>
      </c>
      <c r="I18" s="48" t="s">
        <v>1257</v>
      </c>
      <c r="J18" s="48" t="s">
        <v>1257</v>
      </c>
      <c r="K18" s="48" t="s">
        <v>1257</v>
      </c>
      <c r="L18" s="48" t="s">
        <v>1257</v>
      </c>
      <c r="M18" s="48" t="s">
        <v>1257</v>
      </c>
      <c r="N18" s="48" t="s">
        <v>1257</v>
      </c>
      <c r="O18" s="48" t="s">
        <v>1257</v>
      </c>
      <c r="P18" s="48" t="s">
        <v>1257</v>
      </c>
      <c r="Q18" s="48" t="s">
        <v>1257</v>
      </c>
      <c r="R18" s="48" t="s">
        <v>1257</v>
      </c>
      <c r="S18" s="48" t="s">
        <v>1257</v>
      </c>
    </row>
    <row r="19" spans="2:19">
      <c r="B19" s="48" t="s">
        <v>1240</v>
      </c>
      <c r="C19" s="48">
        <v>19</v>
      </c>
      <c r="D19" s="48" t="s">
        <v>1858</v>
      </c>
      <c r="E19" s="95">
        <v>45485</v>
      </c>
      <c r="F19" s="48">
        <v>1</v>
      </c>
      <c r="G19" s="191" cm="1">
        <f t="array" aca="1" ref="G19" ca="1">SUMPRODUCT(--(ISNUMBER((SEARCH(I25:S25,I19:S19)))))/COUNTA(I19:S19)</f>
        <v>0.90909090909090906</v>
      </c>
      <c r="H19" s="48" t="s">
        <v>1257</v>
      </c>
      <c r="I19" s="48" t="s">
        <v>1291</v>
      </c>
      <c r="J19" s="48" t="s">
        <v>1291</v>
      </c>
      <c r="K19" s="48" t="s">
        <v>1291</v>
      </c>
      <c r="L19" s="48" t="s">
        <v>1291</v>
      </c>
      <c r="M19" s="48" t="s">
        <v>1291</v>
      </c>
      <c r="N19" s="48" t="s">
        <v>1291</v>
      </c>
      <c r="O19" s="48" t="s">
        <v>1292</v>
      </c>
      <c r="P19" s="48" t="s">
        <v>1292</v>
      </c>
      <c r="Q19" s="48" t="s">
        <v>1291</v>
      </c>
      <c r="R19" s="48" t="s">
        <v>1291</v>
      </c>
      <c r="S19" s="48" t="s">
        <v>1293</v>
      </c>
    </row>
    <row r="20" spans="2:19">
      <c r="B20" s="48" t="s">
        <v>1243</v>
      </c>
      <c r="C20" s="48">
        <v>20</v>
      </c>
      <c r="D20" s="48" t="s">
        <v>1859</v>
      </c>
      <c r="E20" s="95">
        <v>45485</v>
      </c>
      <c r="F20" s="48">
        <v>1</v>
      </c>
      <c r="G20" s="191" t="e" cm="1" vm="1">
        <f t="array" ref="G20">SUM(IF(I2:S2 = I24:S24, 1, 0))/ COUNTA(I2:S2)</f>
        <v>#VALUE!</v>
      </c>
      <c r="H20" s="48" t="s">
        <v>1257</v>
      </c>
      <c r="I20" s="48"/>
      <c r="J20" s="48"/>
      <c r="K20" s="48"/>
      <c r="L20" s="48"/>
      <c r="M20" s="48"/>
      <c r="N20" s="48"/>
      <c r="O20" s="48"/>
      <c r="P20" s="48"/>
      <c r="Q20" s="48"/>
      <c r="R20" s="48"/>
      <c r="S20" s="48"/>
    </row>
    <row r="21" spans="2:19">
      <c r="B21" s="48" t="s">
        <v>1246</v>
      </c>
      <c r="C21" s="48">
        <v>21</v>
      </c>
      <c r="D21" s="48" t="s">
        <v>1859</v>
      </c>
      <c r="E21" s="95">
        <v>45485</v>
      </c>
      <c r="F21" s="48">
        <v>1</v>
      </c>
      <c r="G21" s="191" t="e" cm="1">
        <f t="array" aca="1" ref="G21" ca="1">SUM(IF(IF(G3:G20="null",1,G3:G20)=1,1,0))/COUNT(IF(G3:G20="null",1,1))</f>
        <v>#DIV/0!</v>
      </c>
      <c r="H21" s="48" t="s">
        <v>1257</v>
      </c>
      <c r="I21" s="48"/>
      <c r="J21" s="48"/>
      <c r="K21" s="48"/>
      <c r="L21" s="48"/>
      <c r="M21" s="48"/>
      <c r="N21" s="48"/>
      <c r="O21" s="48"/>
      <c r="P21" s="48"/>
      <c r="Q21" s="48"/>
      <c r="R21" s="48"/>
      <c r="S21" s="48"/>
    </row>
    <row r="22" spans="2:19">
      <c r="B22" s="48"/>
      <c r="C22" s="48"/>
      <c r="D22" s="48"/>
      <c r="E22" s="95"/>
      <c r="F22" s="48"/>
      <c r="G22" s="48"/>
      <c r="H22" s="48"/>
      <c r="I22" s="48"/>
      <c r="J22" s="48"/>
      <c r="K22" s="48"/>
      <c r="L22" s="48"/>
      <c r="M22" s="48"/>
      <c r="N22" s="48"/>
      <c r="O22" s="48"/>
      <c r="P22" s="48"/>
      <c r="Q22" s="48"/>
      <c r="R22" s="48"/>
      <c r="S22" s="48"/>
    </row>
    <row r="23" spans="2:19">
      <c r="B23" s="129" t="s">
        <v>1364</v>
      </c>
    </row>
    <row r="24" spans="2:19">
      <c r="B24" s="127" t="s">
        <v>1249</v>
      </c>
      <c r="C24" s="128" t="s">
        <v>1250</v>
      </c>
      <c r="D24" s="128" t="s">
        <v>1251</v>
      </c>
      <c r="E24" s="128" t="s">
        <v>1252</v>
      </c>
      <c r="F24" s="128" t="s">
        <v>1253</v>
      </c>
      <c r="G24" s="128" t="s">
        <v>1254</v>
      </c>
      <c r="H24" s="128" t="s">
        <v>1255</v>
      </c>
      <c r="I24" s="128" t="e" cm="1" vm="2">
        <f t="array" ref="I24">TRANSPOSE(_xlfn.SORTBY(_xlfn._xlws.FILTER(Table3[NOME FÍSICO CAMPO],Table3[NOME FÍSICO TABELA]="credit_card"), _xlfn._xlws.FILTER(Table3[ORDEM], Table3[NOME FÍSICO TABELA]="credit_card"), 1))</f>
        <v>#VALUE!</v>
      </c>
      <c r="J24" s="128"/>
      <c r="K24" s="128"/>
      <c r="L24" s="128"/>
      <c r="M24" s="128"/>
      <c r="N24" s="128"/>
      <c r="O24" s="128"/>
      <c r="P24" s="128"/>
      <c r="Q24" s="128"/>
      <c r="R24" s="128"/>
      <c r="S24" s="128"/>
    </row>
    <row r="25" spans="2:19">
      <c r="B25" s="106" t="s">
        <v>1294</v>
      </c>
      <c r="C25" s="109">
        <v>21</v>
      </c>
      <c r="D25" s="103" t="s">
        <v>1295</v>
      </c>
      <c r="E25" s="102" t="s">
        <v>1296</v>
      </c>
      <c r="F25" s="102" t="s">
        <v>124</v>
      </c>
      <c r="G25" s="102" t="s">
        <v>124</v>
      </c>
      <c r="H25" s="102" t="s">
        <v>124</v>
      </c>
      <c r="I25" s="102" t="e" cm="1" vm="2">
        <f t="array" aca="1" ref="I25" ca="1">TRANSPOSE(_xlfn.SORTBY(_xlfn._xlws.FILTER(IF(Table3[FORMATO]:Table3[COMP_ CAMPO]&lt;&gt;"",Table3[FORMATO]:Table3[COMP_ CAMPO],9999999),Table3[NOME FÍSICO TABELA]="credit_card"), _xlfn._xlws.FILTER(Table3[ORDEM], Table3[NOME FÍSICO TABELA]="credit_card"), 1))</f>
        <v>#VALUE!</v>
      </c>
      <c r="J25" s="102"/>
      <c r="K25" s="102"/>
      <c r="L25" s="102"/>
      <c r="M25" s="102"/>
      <c r="N25" s="102"/>
      <c r="O25" s="102"/>
      <c r="P25" s="102"/>
      <c r="Q25" s="102"/>
      <c r="R25" s="102"/>
      <c r="S25" s="102"/>
    </row>
    <row r="26" spans="2:19">
      <c r="B26" s="106" t="s">
        <v>1297</v>
      </c>
      <c r="C26" s="109">
        <v>7</v>
      </c>
      <c r="D26" s="103" t="s">
        <v>1295</v>
      </c>
      <c r="E26" s="102" t="s">
        <v>1296</v>
      </c>
      <c r="F26" s="104" t="s">
        <v>124</v>
      </c>
      <c r="G26" s="104" t="s">
        <v>124</v>
      </c>
      <c r="H26" s="104" t="s">
        <v>124</v>
      </c>
      <c r="I26" s="150"/>
      <c r="J26" s="150"/>
      <c r="K26" s="150"/>
      <c r="L26" s="150"/>
      <c r="M26" s="150"/>
      <c r="N26" s="150"/>
      <c r="O26" s="150"/>
      <c r="P26" s="150"/>
      <c r="Q26" s="150"/>
      <c r="R26" s="150"/>
      <c r="S26" s="150"/>
    </row>
    <row r="28" spans="2:19">
      <c r="B28" s="139" t="s">
        <v>1298</v>
      </c>
    </row>
    <row r="29" spans="2:19">
      <c r="B29" s="133" t="s">
        <v>1299</v>
      </c>
      <c r="C29" s="133" t="s">
        <v>1300</v>
      </c>
      <c r="D29" s="134" t="s">
        <v>1301</v>
      </c>
      <c r="E29" s="133" t="s">
        <v>1302</v>
      </c>
      <c r="F29" s="133" t="s">
        <v>1303</v>
      </c>
    </row>
    <row r="30" spans="2:19">
      <c r="B30" s="117"/>
      <c r="C30" s="116"/>
      <c r="D30" s="122"/>
      <c r="E30" s="145"/>
      <c r="F30" s="13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row r="2" spans="2:23">
      <c r="B2" s="77" t="s">
        <v>1249</v>
      </c>
      <c r="C2" s="77" t="s">
        <v>1250</v>
      </c>
      <c r="D2" s="77" t="s">
        <v>1251</v>
      </c>
      <c r="E2" s="77" t="s">
        <v>1252</v>
      </c>
      <c r="F2" s="77" t="s">
        <v>1253</v>
      </c>
      <c r="G2" s="77" t="s">
        <v>1254</v>
      </c>
      <c r="H2" s="77" t="s">
        <v>1255</v>
      </c>
      <c r="I2" s="128" t="s">
        <v>103</v>
      </c>
      <c r="J2" s="128" t="s">
        <v>134</v>
      </c>
      <c r="K2" s="128" t="s">
        <v>155</v>
      </c>
      <c r="L2" s="128" t="s">
        <v>162</v>
      </c>
      <c r="M2" s="128" t="s">
        <v>190</v>
      </c>
      <c r="N2" s="128" t="s">
        <v>176</v>
      </c>
      <c r="O2" s="128" t="s">
        <v>203</v>
      </c>
      <c r="P2" s="128" t="s">
        <v>289</v>
      </c>
      <c r="Q2" s="128" t="s">
        <v>299</v>
      </c>
      <c r="R2" s="128" t="s">
        <v>314</v>
      </c>
      <c r="S2" t="s">
        <v>669</v>
      </c>
      <c r="T2" t="s">
        <v>678</v>
      </c>
      <c r="U2" s="77" t="s">
        <v>214</v>
      </c>
      <c r="V2" s="77" t="s">
        <v>234</v>
      </c>
      <c r="W2" s="219" t="s">
        <v>253</v>
      </c>
    </row>
    <row r="3" spans="2:23">
      <c r="B3" s="48" t="s">
        <v>1203</v>
      </c>
      <c r="C3" s="48">
        <v>1</v>
      </c>
      <c r="D3" s="48" t="s">
        <v>1860</v>
      </c>
      <c r="E3" s="95">
        <v>45485</v>
      </c>
      <c r="F3" s="48">
        <v>2</v>
      </c>
      <c r="G3" s="207">
        <v>1</v>
      </c>
      <c r="H3" s="223">
        <v>2097675</v>
      </c>
      <c r="I3" s="48" t="s">
        <v>1257</v>
      </c>
      <c r="J3" s="48" t="s">
        <v>1257</v>
      </c>
      <c r="K3" s="48" t="s">
        <v>1257</v>
      </c>
      <c r="L3" s="48" t="s">
        <v>1257</v>
      </c>
      <c r="M3" s="48" t="s">
        <v>1257</v>
      </c>
      <c r="N3" s="48" t="s">
        <v>1257</v>
      </c>
      <c r="O3" s="48" t="s">
        <v>1257</v>
      </c>
      <c r="P3" s="48" t="s">
        <v>1257</v>
      </c>
      <c r="Q3" s="48" t="s">
        <v>1257</v>
      </c>
      <c r="R3" s="48" t="s">
        <v>1257</v>
      </c>
      <c r="S3" s="48" t="s">
        <v>1257</v>
      </c>
      <c r="T3" s="48" t="s">
        <v>1257</v>
      </c>
      <c r="U3" s="48" t="s">
        <v>1257</v>
      </c>
      <c r="V3" s="48" t="s">
        <v>1257</v>
      </c>
      <c r="W3" s="48" t="s">
        <v>1257</v>
      </c>
    </row>
    <row r="4" spans="2:23">
      <c r="B4" s="48" t="s">
        <v>1205</v>
      </c>
      <c r="C4" s="48">
        <v>2</v>
      </c>
      <c r="D4" s="48" t="s">
        <v>1861</v>
      </c>
      <c r="E4" s="95">
        <v>45485</v>
      </c>
      <c r="F4" s="48">
        <v>2</v>
      </c>
      <c r="G4" s="207">
        <v>1</v>
      </c>
      <c r="H4" s="183">
        <v>0</v>
      </c>
      <c r="I4" s="48" t="s">
        <v>1257</v>
      </c>
      <c r="J4" s="48" t="s">
        <v>1257</v>
      </c>
      <c r="K4" s="48" t="s">
        <v>1257</v>
      </c>
      <c r="L4" s="48" t="s">
        <v>1257</v>
      </c>
      <c r="M4" s="48" t="s">
        <v>1257</v>
      </c>
      <c r="N4" s="48" t="s">
        <v>1257</v>
      </c>
      <c r="O4" s="48" t="s">
        <v>1257</v>
      </c>
      <c r="P4" s="48" t="s">
        <v>1257</v>
      </c>
      <c r="Q4" s="48" t="s">
        <v>1257</v>
      </c>
      <c r="R4" s="48" t="s">
        <v>1257</v>
      </c>
      <c r="S4" s="48" t="s">
        <v>1257</v>
      </c>
      <c r="T4" s="48" t="s">
        <v>1257</v>
      </c>
      <c r="U4" s="48" t="s">
        <v>1257</v>
      </c>
      <c r="V4" s="48" t="s">
        <v>1257</v>
      </c>
      <c r="W4" s="48" t="s">
        <v>1257</v>
      </c>
    </row>
    <row r="5" spans="2:23">
      <c r="B5" s="48" t="s">
        <v>1207</v>
      </c>
      <c r="C5" s="48">
        <v>3</v>
      </c>
      <c r="D5" s="48" t="s">
        <v>1862</v>
      </c>
      <c r="E5" s="95">
        <v>45485</v>
      </c>
      <c r="F5" s="48">
        <v>2</v>
      </c>
      <c r="G5" s="207">
        <v>1</v>
      </c>
      <c r="H5" s="183">
        <v>0</v>
      </c>
      <c r="I5" s="48">
        <v>0</v>
      </c>
      <c r="J5" s="48">
        <v>0</v>
      </c>
      <c r="K5" s="48" t="s">
        <v>1257</v>
      </c>
      <c r="L5" s="48" t="s">
        <v>1257</v>
      </c>
      <c r="M5" s="48" t="s">
        <v>1257</v>
      </c>
      <c r="N5" s="48" t="s">
        <v>1257</v>
      </c>
      <c r="O5" s="48" t="s">
        <v>1257</v>
      </c>
      <c r="P5" s="48" t="s">
        <v>1257</v>
      </c>
      <c r="Q5" s="48" t="s">
        <v>1257</v>
      </c>
      <c r="R5" s="48" t="s">
        <v>1257</v>
      </c>
      <c r="S5" s="48" t="s">
        <v>1257</v>
      </c>
      <c r="T5" s="48" t="s">
        <v>1257</v>
      </c>
      <c r="U5" s="48" t="s">
        <v>1257</v>
      </c>
      <c r="V5" s="48">
        <v>0</v>
      </c>
      <c r="W5" s="48" t="s">
        <v>1257</v>
      </c>
    </row>
    <row r="6" spans="2:23">
      <c r="B6" s="97" t="s">
        <v>1209</v>
      </c>
      <c r="C6" s="48">
        <v>4</v>
      </c>
      <c r="D6" s="48" t="s">
        <v>1260</v>
      </c>
      <c r="E6" s="95" t="s">
        <v>1257</v>
      </c>
      <c r="F6" s="48">
        <v>2</v>
      </c>
      <c r="G6" s="207" t="s">
        <v>1257</v>
      </c>
      <c r="H6" s="48" t="s">
        <v>1257</v>
      </c>
      <c r="I6" s="48" t="s">
        <v>1257</v>
      </c>
      <c r="J6" s="48" t="s">
        <v>1257</v>
      </c>
      <c r="K6" s="48" t="s">
        <v>1257</v>
      </c>
      <c r="L6" s="48" t="s">
        <v>1257</v>
      </c>
      <c r="M6" s="48" t="s">
        <v>1257</v>
      </c>
      <c r="N6" s="48" t="s">
        <v>1257</v>
      </c>
      <c r="O6" s="48" t="s">
        <v>1257</v>
      </c>
      <c r="P6" s="48" t="s">
        <v>1257</v>
      </c>
      <c r="Q6" s="48" t="s">
        <v>1257</v>
      </c>
      <c r="R6" s="48" t="s">
        <v>1257</v>
      </c>
      <c r="S6" s="48" t="s">
        <v>1257</v>
      </c>
      <c r="T6" s="48" t="s">
        <v>1257</v>
      </c>
      <c r="U6" s="48" t="s">
        <v>1257</v>
      </c>
      <c r="V6" s="48" t="s">
        <v>1257</v>
      </c>
      <c r="W6" s="48" t="s">
        <v>1257</v>
      </c>
    </row>
    <row r="7" spans="2:23">
      <c r="B7" s="48" t="s">
        <v>1211</v>
      </c>
      <c r="C7" s="48">
        <v>5</v>
      </c>
      <c r="D7" s="48" t="s">
        <v>1260</v>
      </c>
      <c r="E7" s="95" t="s">
        <v>1257</v>
      </c>
      <c r="F7" s="48">
        <v>2</v>
      </c>
      <c r="G7" s="207" t="s">
        <v>1257</v>
      </c>
      <c r="H7" s="48" t="s">
        <v>1257</v>
      </c>
      <c r="I7" s="48" t="s">
        <v>1257</v>
      </c>
      <c r="J7" s="48" t="s">
        <v>1257</v>
      </c>
      <c r="K7" s="48" t="s">
        <v>1257</v>
      </c>
      <c r="L7" s="48" t="s">
        <v>1257</v>
      </c>
      <c r="M7" s="48" t="s">
        <v>1257</v>
      </c>
      <c r="N7" s="48" t="s">
        <v>1257</v>
      </c>
      <c r="O7" s="48" t="s">
        <v>1257</v>
      </c>
      <c r="P7" s="48" t="s">
        <v>1257</v>
      </c>
      <c r="Q7" s="48" t="s">
        <v>1257</v>
      </c>
      <c r="R7" s="48" t="s">
        <v>1257</v>
      </c>
      <c r="S7" s="48" t="s">
        <v>1257</v>
      </c>
      <c r="T7" s="48" t="s">
        <v>1257</v>
      </c>
      <c r="U7" s="48" t="s">
        <v>1257</v>
      </c>
      <c r="V7" s="48" t="s">
        <v>1257</v>
      </c>
      <c r="W7" s="48" t="s">
        <v>1257</v>
      </c>
    </row>
    <row r="8" spans="2:23">
      <c r="B8" s="97" t="s">
        <v>1212</v>
      </c>
      <c r="C8" s="48">
        <v>6</v>
      </c>
      <c r="D8" s="48" t="s">
        <v>1863</v>
      </c>
      <c r="E8" s="95">
        <v>45485</v>
      </c>
      <c r="F8" s="48">
        <v>2</v>
      </c>
      <c r="G8" s="207" cm="1">
        <f t="array" ref="G8">SUMPRODUCT(--(I8:V8&gt;0))/COUNTA(I8:V8)</f>
        <v>1</v>
      </c>
      <c r="H8" s="183">
        <v>0</v>
      </c>
      <c r="I8" s="48">
        <v>2</v>
      </c>
      <c r="J8" s="48">
        <v>15</v>
      </c>
      <c r="K8" s="48">
        <v>3</v>
      </c>
      <c r="L8" s="48">
        <v>3</v>
      </c>
      <c r="M8" s="48">
        <v>3</v>
      </c>
      <c r="N8" s="48">
        <v>2</v>
      </c>
      <c r="O8" s="48">
        <v>15</v>
      </c>
      <c r="P8" s="48">
        <v>10</v>
      </c>
      <c r="Q8" s="48">
        <v>10</v>
      </c>
      <c r="R8" s="48">
        <v>3</v>
      </c>
      <c r="S8" s="48">
        <v>3</v>
      </c>
      <c r="T8" s="48">
        <v>3</v>
      </c>
      <c r="U8" s="48">
        <v>2</v>
      </c>
      <c r="V8" s="48">
        <v>10</v>
      </c>
      <c r="W8" s="48">
        <v>23</v>
      </c>
    </row>
    <row r="9" spans="2:23">
      <c r="B9" s="48" t="s">
        <v>1215</v>
      </c>
      <c r="C9" s="48">
        <v>7</v>
      </c>
      <c r="D9" s="48" t="s">
        <v>1864</v>
      </c>
      <c r="E9" s="95">
        <v>45485</v>
      </c>
      <c r="F9" s="48">
        <v>2</v>
      </c>
      <c r="G9" s="207" t="e" cm="1">
        <f t="array" ref="G9">SUMPRODUCT(--(I9:W9&lt;=I26:W26))/COUNTA(I26:W26)</f>
        <v>#DIV/0!</v>
      </c>
      <c r="H9" s="183">
        <v>0</v>
      </c>
      <c r="I9" s="48">
        <v>2</v>
      </c>
      <c r="J9" s="48">
        <v>15</v>
      </c>
      <c r="K9" s="48">
        <v>3</v>
      </c>
      <c r="L9" s="48">
        <v>3</v>
      </c>
      <c r="M9" s="48">
        <v>3</v>
      </c>
      <c r="N9" s="48">
        <v>2</v>
      </c>
      <c r="O9" s="48">
        <v>15</v>
      </c>
      <c r="P9" s="48">
        <v>10</v>
      </c>
      <c r="Q9" s="48">
        <v>10</v>
      </c>
      <c r="R9" s="48">
        <v>3</v>
      </c>
      <c r="S9" s="48">
        <v>3</v>
      </c>
      <c r="T9" s="48">
        <v>3</v>
      </c>
      <c r="U9" s="48">
        <v>2</v>
      </c>
      <c r="V9" s="48">
        <v>10</v>
      </c>
      <c r="W9" s="48">
        <v>23</v>
      </c>
    </row>
    <row r="10" spans="2:23">
      <c r="B10" s="48" t="s">
        <v>1218</v>
      </c>
      <c r="C10" s="48">
        <v>8</v>
      </c>
      <c r="D10" s="48" t="s">
        <v>1865</v>
      </c>
      <c r="E10" s="95">
        <v>45485</v>
      </c>
      <c r="F10" s="48">
        <v>2</v>
      </c>
      <c r="G10" s="207" t="s">
        <v>1257</v>
      </c>
      <c r="H10" s="183">
        <v>0</v>
      </c>
      <c r="I10" s="48">
        <v>31</v>
      </c>
      <c r="J10" s="48">
        <v>1100750280010</v>
      </c>
      <c r="K10" s="48" t="s">
        <v>1336</v>
      </c>
      <c r="L10" s="48">
        <v>10</v>
      </c>
      <c r="M10" s="48">
        <v>14</v>
      </c>
      <c r="N10" s="95">
        <v>31</v>
      </c>
      <c r="O10" s="48">
        <v>20113001</v>
      </c>
      <c r="P10" s="95">
        <v>33879</v>
      </c>
      <c r="Q10" s="95">
        <v>2958465</v>
      </c>
      <c r="R10" s="95">
        <v>978</v>
      </c>
      <c r="S10" s="48" t="s">
        <v>1336</v>
      </c>
      <c r="T10" s="48" t="s">
        <v>1336</v>
      </c>
      <c r="U10" s="95" t="s">
        <v>1402</v>
      </c>
      <c r="V10" s="95">
        <v>45485</v>
      </c>
      <c r="W10" s="48" t="s">
        <v>1866</v>
      </c>
    </row>
    <row r="11" spans="2:23">
      <c r="B11" s="48" t="s">
        <v>1220</v>
      </c>
      <c r="C11" s="48">
        <v>9</v>
      </c>
      <c r="D11" s="48" t="s">
        <v>1867</v>
      </c>
      <c r="E11" s="95">
        <v>45485</v>
      </c>
      <c r="F11" s="48">
        <v>2</v>
      </c>
      <c r="G11" s="207" t="s">
        <v>1257</v>
      </c>
      <c r="H11" s="183">
        <v>0</v>
      </c>
      <c r="I11" s="48">
        <v>31</v>
      </c>
      <c r="J11" s="48">
        <v>1100750280010</v>
      </c>
      <c r="K11" s="48"/>
      <c r="L11" s="48">
        <v>10</v>
      </c>
      <c r="M11" s="48">
        <v>14</v>
      </c>
      <c r="N11" s="95">
        <v>31</v>
      </c>
      <c r="O11" s="48">
        <v>20113001</v>
      </c>
      <c r="P11" s="95">
        <v>33879</v>
      </c>
      <c r="Q11" s="95">
        <v>2958465</v>
      </c>
      <c r="R11" s="95">
        <v>978</v>
      </c>
      <c r="S11" s="48">
        <v>0</v>
      </c>
      <c r="T11" s="48" t="s">
        <v>1868</v>
      </c>
      <c r="U11" s="95" t="s">
        <v>1402</v>
      </c>
      <c r="V11" s="95">
        <v>45485</v>
      </c>
      <c r="W11" s="48" t="s">
        <v>1869</v>
      </c>
    </row>
    <row r="12" spans="2:23">
      <c r="B12" s="97" t="s">
        <v>1222</v>
      </c>
      <c r="C12" s="48">
        <v>10</v>
      </c>
      <c r="D12" s="48" t="s">
        <v>1870</v>
      </c>
      <c r="E12" s="95">
        <v>45485</v>
      </c>
      <c r="F12" s="48">
        <v>2</v>
      </c>
      <c r="G12" s="207" t="s">
        <v>1257</v>
      </c>
      <c r="H12" s="183">
        <v>0</v>
      </c>
      <c r="I12" s="48">
        <v>31</v>
      </c>
      <c r="J12" s="183">
        <v>5131606970010</v>
      </c>
      <c r="K12" s="48" t="s">
        <v>1336</v>
      </c>
      <c r="L12" s="48">
        <v>10</v>
      </c>
      <c r="M12" s="95" t="s">
        <v>1871</v>
      </c>
      <c r="N12" s="95">
        <v>31</v>
      </c>
      <c r="O12" s="98">
        <v>239702322521020</v>
      </c>
      <c r="P12" s="95">
        <v>45488</v>
      </c>
      <c r="Q12" s="95">
        <v>2958465</v>
      </c>
      <c r="R12" s="95">
        <v>978</v>
      </c>
      <c r="S12" s="48" t="s">
        <v>1336</v>
      </c>
      <c r="T12" s="48" t="s">
        <v>1336</v>
      </c>
      <c r="U12" s="95" t="s">
        <v>1402</v>
      </c>
      <c r="V12" s="95">
        <v>45485</v>
      </c>
      <c r="W12" s="48" t="s">
        <v>1866</v>
      </c>
    </row>
    <row r="13" spans="2:23">
      <c r="B13" s="48" t="s">
        <v>1224</v>
      </c>
      <c r="C13" s="48">
        <v>11</v>
      </c>
      <c r="D13" s="48" t="s">
        <v>1872</v>
      </c>
      <c r="E13" s="95">
        <v>45485</v>
      </c>
      <c r="F13" s="48">
        <v>2</v>
      </c>
      <c r="G13" s="207" t="s">
        <v>1257</v>
      </c>
      <c r="H13" s="183">
        <v>0</v>
      </c>
      <c r="I13" s="48">
        <v>31</v>
      </c>
      <c r="J13" s="183">
        <v>5131606970010</v>
      </c>
      <c r="K13" s="48"/>
      <c r="L13" s="48">
        <v>10</v>
      </c>
      <c r="M13" s="95" t="s">
        <v>1871</v>
      </c>
      <c r="N13" s="95">
        <v>31</v>
      </c>
      <c r="O13" s="48">
        <v>239702322521020</v>
      </c>
      <c r="P13" s="95">
        <v>45488</v>
      </c>
      <c r="Q13" s="95">
        <v>2958465</v>
      </c>
      <c r="R13" s="95">
        <v>978</v>
      </c>
      <c r="S13" s="48">
        <v>3</v>
      </c>
      <c r="T13" s="48" t="s">
        <v>1873</v>
      </c>
      <c r="U13" s="95" t="s">
        <v>1402</v>
      </c>
      <c r="V13" s="95">
        <v>45485</v>
      </c>
      <c r="W13" s="48" t="s">
        <v>1874</v>
      </c>
    </row>
    <row r="14" spans="2:23">
      <c r="B14" s="48" t="s">
        <v>1226</v>
      </c>
      <c r="C14" s="48">
        <v>12</v>
      </c>
      <c r="D14" s="48" t="s">
        <v>1875</v>
      </c>
      <c r="E14" s="95">
        <v>45485</v>
      </c>
      <c r="F14" s="48">
        <v>2</v>
      </c>
      <c r="G14" s="207">
        <v>0.9375</v>
      </c>
      <c r="H14" s="183">
        <v>0</v>
      </c>
      <c r="I14" s="48">
        <v>0</v>
      </c>
      <c r="J14" s="48">
        <v>0</v>
      </c>
      <c r="K14" s="48">
        <v>0</v>
      </c>
      <c r="L14" s="48">
        <v>0</v>
      </c>
      <c r="M14" s="48">
        <v>0</v>
      </c>
      <c r="N14" s="48">
        <v>0</v>
      </c>
      <c r="O14" s="48">
        <v>0</v>
      </c>
      <c r="P14" s="48">
        <v>0</v>
      </c>
      <c r="Q14" s="48">
        <v>0</v>
      </c>
      <c r="R14" s="48">
        <v>0</v>
      </c>
      <c r="S14" s="48">
        <v>0</v>
      </c>
      <c r="T14" s="48">
        <v>2097008</v>
      </c>
      <c r="U14" s="48">
        <v>0</v>
      </c>
      <c r="V14" s="95">
        <v>0</v>
      </c>
      <c r="W14" s="48">
        <v>0</v>
      </c>
    </row>
    <row r="15" spans="2:23">
      <c r="B15" s="48" t="s">
        <v>1228</v>
      </c>
      <c r="C15" s="48">
        <v>13</v>
      </c>
      <c r="D15" s="48" t="s">
        <v>1876</v>
      </c>
      <c r="E15" s="95">
        <v>45485</v>
      </c>
      <c r="F15" s="48">
        <v>2</v>
      </c>
      <c r="G15" s="207">
        <v>1</v>
      </c>
      <c r="H15" s="183">
        <v>0</v>
      </c>
      <c r="I15" s="48" t="s">
        <v>1257</v>
      </c>
      <c r="J15" s="48" t="s">
        <v>1257</v>
      </c>
      <c r="K15" s="48" t="s">
        <v>1257</v>
      </c>
      <c r="L15" s="48" t="s">
        <v>1257</v>
      </c>
      <c r="M15" s="48" t="s">
        <v>1257</v>
      </c>
      <c r="N15" s="48" t="s">
        <v>1257</v>
      </c>
      <c r="O15" s="48" t="s">
        <v>1257</v>
      </c>
      <c r="P15" s="48">
        <v>0</v>
      </c>
      <c r="Q15" s="48">
        <v>0</v>
      </c>
      <c r="R15" s="48" t="s">
        <v>1257</v>
      </c>
      <c r="S15" s="48" t="s">
        <v>1257</v>
      </c>
      <c r="T15" s="48" t="s">
        <v>1257</v>
      </c>
      <c r="U15" s="48" t="s">
        <v>1257</v>
      </c>
      <c r="V15" s="48" t="s">
        <v>1257</v>
      </c>
      <c r="W15" s="48" t="s">
        <v>1257</v>
      </c>
    </row>
    <row r="16" spans="2:23">
      <c r="B16" s="48" t="s">
        <v>1230</v>
      </c>
      <c r="C16" s="48">
        <v>14</v>
      </c>
      <c r="D16" s="48" t="s">
        <v>1877</v>
      </c>
      <c r="E16" s="95">
        <v>45485</v>
      </c>
      <c r="F16" s="48">
        <v>2</v>
      </c>
      <c r="G16" s="207">
        <v>1</v>
      </c>
      <c r="H16" s="183">
        <v>0</v>
      </c>
      <c r="I16" s="48">
        <v>0</v>
      </c>
      <c r="J16" s="48">
        <v>0</v>
      </c>
      <c r="K16" s="48">
        <v>0</v>
      </c>
      <c r="L16" s="48">
        <v>0</v>
      </c>
      <c r="M16" s="48">
        <v>0</v>
      </c>
      <c r="N16" s="48">
        <v>0</v>
      </c>
      <c r="O16" s="48">
        <v>0</v>
      </c>
      <c r="P16" s="48" t="s">
        <v>1257</v>
      </c>
      <c r="Q16" s="48" t="s">
        <v>1257</v>
      </c>
      <c r="R16" s="48">
        <v>0</v>
      </c>
      <c r="S16" s="48">
        <v>0</v>
      </c>
      <c r="T16" s="48">
        <v>0</v>
      </c>
      <c r="U16" s="48">
        <v>0</v>
      </c>
      <c r="V16" s="48" t="s">
        <v>1257</v>
      </c>
      <c r="W16" s="48" t="s">
        <v>1257</v>
      </c>
    </row>
    <row r="17" spans="2:24">
      <c r="B17" s="48" t="s">
        <v>1232</v>
      </c>
      <c r="C17" s="48">
        <v>15</v>
      </c>
      <c r="D17" s="48" t="s">
        <v>1878</v>
      </c>
      <c r="E17" s="95">
        <v>45485</v>
      </c>
      <c r="F17" s="48">
        <v>2</v>
      </c>
      <c r="G17" s="207">
        <v>1</v>
      </c>
      <c r="H17" s="183">
        <v>0</v>
      </c>
      <c r="I17" s="48" t="s">
        <v>1257</v>
      </c>
      <c r="J17" s="48" t="s">
        <v>1257</v>
      </c>
      <c r="K17" s="48" t="s">
        <v>1257</v>
      </c>
      <c r="L17" s="48" t="s">
        <v>1257</v>
      </c>
      <c r="M17" s="48" t="s">
        <v>1257</v>
      </c>
      <c r="N17" s="48" t="s">
        <v>1257</v>
      </c>
      <c r="O17" s="48" t="s">
        <v>1257</v>
      </c>
      <c r="P17" s="48" t="s">
        <v>1257</v>
      </c>
      <c r="Q17" s="48" t="s">
        <v>1257</v>
      </c>
      <c r="R17" s="48" t="s">
        <v>1257</v>
      </c>
      <c r="S17" s="48" t="s">
        <v>1257</v>
      </c>
      <c r="T17" s="48" t="s">
        <v>1257</v>
      </c>
      <c r="U17" s="48" t="s">
        <v>1257</v>
      </c>
      <c r="V17" s="48" t="s">
        <v>1257</v>
      </c>
      <c r="W17" s="48" t="s">
        <v>1257</v>
      </c>
    </row>
    <row r="18" spans="2:24">
      <c r="B18" s="48" t="s">
        <v>1234</v>
      </c>
      <c r="C18" s="48">
        <v>16</v>
      </c>
      <c r="D18" s="48" t="s">
        <v>1878</v>
      </c>
      <c r="E18" s="95">
        <v>45485</v>
      </c>
      <c r="F18" s="48">
        <v>2</v>
      </c>
      <c r="G18" s="207">
        <v>1</v>
      </c>
      <c r="H18" s="183">
        <v>0</v>
      </c>
      <c r="I18" s="48" t="s">
        <v>1257</v>
      </c>
      <c r="J18" s="48" t="s">
        <v>1257</v>
      </c>
      <c r="K18" s="48" t="s">
        <v>1257</v>
      </c>
      <c r="L18" s="48" t="s">
        <v>1257</v>
      </c>
      <c r="M18" s="48" t="s">
        <v>1257</v>
      </c>
      <c r="N18" s="48" t="s">
        <v>1257</v>
      </c>
      <c r="O18" s="48" t="s">
        <v>1257</v>
      </c>
      <c r="P18" s="48" t="s">
        <v>1257</v>
      </c>
      <c r="Q18" s="48" t="s">
        <v>1257</v>
      </c>
      <c r="R18" s="48" t="s">
        <v>1257</v>
      </c>
      <c r="S18" s="48" t="s">
        <v>1257</v>
      </c>
      <c r="T18" s="48" t="s">
        <v>1257</v>
      </c>
      <c r="U18" s="48" t="s">
        <v>1257</v>
      </c>
      <c r="V18" s="48" t="s">
        <v>1257</v>
      </c>
      <c r="W18" s="48" t="s">
        <v>1257</v>
      </c>
    </row>
    <row r="19" spans="2:24">
      <c r="B19" s="48" t="s">
        <v>1240</v>
      </c>
      <c r="C19" s="48">
        <v>19</v>
      </c>
      <c r="D19" s="48" t="s">
        <v>1879</v>
      </c>
      <c r="E19" s="95">
        <v>45485</v>
      </c>
      <c r="F19" s="48">
        <v>2</v>
      </c>
      <c r="G19" s="207" cm="1">
        <f t="array" aca="1" ref="G19" ca="1">SUMPRODUCT(--(ISNUMBER((SEARCH(I25:W25,I19:V19)))))/COUNTA(I19:V19)</f>
        <v>0.9285714285714286</v>
      </c>
      <c r="H19" s="48" t="s">
        <v>1257</v>
      </c>
      <c r="I19" s="48" t="s">
        <v>1291</v>
      </c>
      <c r="J19" s="48" t="s">
        <v>1291</v>
      </c>
      <c r="K19" s="48" t="s">
        <v>1291</v>
      </c>
      <c r="L19" s="48" t="s">
        <v>1291</v>
      </c>
      <c r="M19" s="48" t="s">
        <v>1291</v>
      </c>
      <c r="N19" s="48" t="s">
        <v>1291</v>
      </c>
      <c r="O19" s="48" t="s">
        <v>1291</v>
      </c>
      <c r="P19" s="48" t="s">
        <v>1291</v>
      </c>
      <c r="Q19" s="48" t="s">
        <v>1291</v>
      </c>
      <c r="R19" s="48" t="s">
        <v>1291</v>
      </c>
      <c r="S19" s="48" t="s">
        <v>1291</v>
      </c>
      <c r="T19" s="48" t="s">
        <v>1291</v>
      </c>
      <c r="U19" s="48" t="s">
        <v>1291</v>
      </c>
      <c r="V19" s="48" t="s">
        <v>1291</v>
      </c>
      <c r="W19" s="48" t="s">
        <v>1293</v>
      </c>
    </row>
    <row r="20" spans="2:24">
      <c r="B20" s="48" t="s">
        <v>1243</v>
      </c>
      <c r="C20" s="48">
        <v>20</v>
      </c>
      <c r="D20" s="48" t="s">
        <v>1879</v>
      </c>
      <c r="E20" s="95">
        <v>45485</v>
      </c>
      <c r="F20" s="48">
        <v>2</v>
      </c>
      <c r="G20" s="207" t="e" cm="1" vm="1">
        <f t="array" ref="G20">SUM(IF(I2:W2 = I24:W24, 1, 0))/ COUNTA(I2:W2)</f>
        <v>#VALUE!</v>
      </c>
      <c r="H20" s="48" t="s">
        <v>1257</v>
      </c>
      <c r="I20" s="48" t="s">
        <v>1291</v>
      </c>
      <c r="J20" s="48" t="s">
        <v>1291</v>
      </c>
      <c r="K20" s="48" t="s">
        <v>1291</v>
      </c>
      <c r="L20" s="48" t="s">
        <v>1291</v>
      </c>
      <c r="M20" s="48" t="s">
        <v>1291</v>
      </c>
      <c r="N20" s="48" t="s">
        <v>1291</v>
      </c>
      <c r="O20" s="48" t="s">
        <v>1291</v>
      </c>
      <c r="P20" s="48" t="s">
        <v>1291</v>
      </c>
      <c r="Q20" s="48" t="s">
        <v>1291</v>
      </c>
      <c r="R20" s="48" t="s">
        <v>1291</v>
      </c>
      <c r="S20" s="48" t="s">
        <v>1291</v>
      </c>
      <c r="T20" s="48" t="s">
        <v>1291</v>
      </c>
      <c r="U20" s="48" t="s">
        <v>1291</v>
      </c>
      <c r="V20" s="48" t="s">
        <v>1291</v>
      </c>
      <c r="W20" s="48" t="s">
        <v>1293</v>
      </c>
    </row>
    <row r="21" spans="2:24">
      <c r="B21" s="48" t="s">
        <v>1246</v>
      </c>
      <c r="C21" s="48">
        <v>21</v>
      </c>
      <c r="D21" s="48"/>
      <c r="E21" s="95"/>
      <c r="F21" s="48">
        <v>1</v>
      </c>
      <c r="G21" s="207" t="e" cm="1">
        <f t="array" aca="1" ref="G21" ca="1">SUM(IF(IF(G3:G20="null",1,G3:G20)=1,1,0))/COUNT(IF(G3:G20="null",1,1))</f>
        <v>#DIV/0!</v>
      </c>
      <c r="H21" s="48" t="s">
        <v>1257</v>
      </c>
      <c r="I21" s="48"/>
      <c r="J21" s="48"/>
      <c r="K21" s="48"/>
      <c r="L21" s="48"/>
      <c r="M21" s="48"/>
      <c r="N21" s="48"/>
      <c r="O21" s="48"/>
      <c r="P21" s="48"/>
      <c r="Q21" s="48"/>
      <c r="R21" s="48"/>
      <c r="S21" s="48"/>
      <c r="T21" s="48"/>
      <c r="U21" s="48"/>
      <c r="V21" s="48"/>
      <c r="W21" s="48"/>
    </row>
    <row r="22" spans="2:24">
      <c r="B22" s="48"/>
      <c r="C22" s="48"/>
      <c r="D22" s="48"/>
      <c r="E22" s="95"/>
      <c r="F22" s="48"/>
      <c r="G22" s="48"/>
      <c r="H22" s="48"/>
      <c r="I22" s="48"/>
      <c r="J22" s="48"/>
      <c r="K22" s="48"/>
      <c r="L22" s="48"/>
      <c r="M22" s="48"/>
      <c r="N22" s="48"/>
      <c r="O22" s="48"/>
      <c r="P22" s="48"/>
      <c r="Q22" s="48"/>
      <c r="R22" s="48"/>
      <c r="S22" s="48"/>
    </row>
    <row r="23" spans="2:24">
      <c r="B23" s="129" t="s">
        <v>1364</v>
      </c>
    </row>
    <row r="24" spans="2:24">
      <c r="B24" s="127" t="s">
        <v>1249</v>
      </c>
      <c r="C24" s="128" t="s">
        <v>1250</v>
      </c>
      <c r="D24" s="128" t="s">
        <v>1251</v>
      </c>
      <c r="E24" s="128" t="s">
        <v>1252</v>
      </c>
      <c r="F24" s="128" t="s">
        <v>1253</v>
      </c>
      <c r="G24" s="128" t="s">
        <v>1254</v>
      </c>
      <c r="H24" s="128" t="s">
        <v>1255</v>
      </c>
      <c r="I24" s="128" t="e" cm="1" vm="2">
        <f t="array" ref="I24">TRANSPOSE(_xlfn.SORTBY(_xlfn._xlws.FILTER(Table3[NOME FÍSICO CAMPO],Table3[NOME FÍSICO TABELA]="debit_card_account"), _xlfn._xlws.FILTER(Table3[ORDEM], Table3[NOME FÍSICO TABELA]="debit_card_account"), 1))</f>
        <v>#VALUE!</v>
      </c>
      <c r="J24" s="128"/>
      <c r="K24" s="128"/>
      <c r="L24" s="128"/>
      <c r="M24" s="128"/>
      <c r="N24" s="128"/>
      <c r="O24" s="128"/>
      <c r="P24" s="128"/>
      <c r="Q24" s="128"/>
      <c r="R24" s="128"/>
      <c r="S24" s="128"/>
      <c r="T24" s="218"/>
      <c r="U24" s="218"/>
      <c r="V24" s="218"/>
      <c r="W24" s="222"/>
      <c r="X24" s="221"/>
    </row>
    <row r="25" spans="2:24">
      <c r="B25" s="106" t="s">
        <v>1294</v>
      </c>
      <c r="C25" s="109">
        <v>21</v>
      </c>
      <c r="D25" s="103" t="s">
        <v>1295</v>
      </c>
      <c r="E25" s="102" t="s">
        <v>1296</v>
      </c>
      <c r="F25" s="102" t="s">
        <v>124</v>
      </c>
      <c r="G25" s="102" t="s">
        <v>124</v>
      </c>
      <c r="H25" s="102" t="s">
        <v>124</v>
      </c>
      <c r="I25" s="102" t="e" cm="1" vm="2">
        <f t="array" aca="1" ref="I25" ca="1">TRANSPOSE(_xlfn.SORTBY(_xlfn._xlws.FILTER(IF(Table3[FORMATO]:Table3[COMP_ CAMPO]&lt;&gt;"",Table3[FORMATO]:Table3[COMP_ CAMPO],9999999),Table3[NOME FÍSICO TABELA]="debit_card_account"), _xlfn._xlws.FILTER(Table3[ORDEM], Table3[NOME FÍSICO TABELA]="debit_card_account"), 1))</f>
        <v>#VALUE!</v>
      </c>
      <c r="J25" s="102"/>
      <c r="K25" s="102"/>
      <c r="L25" s="102"/>
      <c r="M25" s="102"/>
      <c r="N25" s="102"/>
      <c r="O25" s="102"/>
      <c r="P25" s="102"/>
      <c r="Q25" s="102"/>
      <c r="R25" s="102"/>
      <c r="S25" s="102"/>
      <c r="T25" s="102"/>
      <c r="U25" s="102"/>
      <c r="V25" s="102"/>
      <c r="W25" s="108"/>
    </row>
    <row r="26" spans="2:24">
      <c r="B26" s="106" t="s">
        <v>1297</v>
      </c>
      <c r="C26" s="109">
        <v>7</v>
      </c>
      <c r="D26" s="103" t="s">
        <v>1295</v>
      </c>
      <c r="E26" s="102" t="s">
        <v>1296</v>
      </c>
      <c r="F26" s="104" t="s">
        <v>124</v>
      </c>
      <c r="G26" s="104" t="s">
        <v>124</v>
      </c>
      <c r="H26" s="104" t="s">
        <v>124</v>
      </c>
      <c r="I26" s="150"/>
      <c r="J26" s="150"/>
      <c r="K26" s="150"/>
      <c r="L26" s="150"/>
      <c r="M26" s="150"/>
      <c r="N26" s="150"/>
      <c r="O26" s="150"/>
      <c r="P26" s="150"/>
      <c r="Q26" s="150"/>
      <c r="R26" s="150"/>
      <c r="S26" s="150"/>
      <c r="T26" s="150"/>
      <c r="U26" s="150"/>
      <c r="V26" s="150"/>
      <c r="W26" s="151"/>
      <c r="X26" s="94"/>
    </row>
    <row r="28" spans="2:24">
      <c r="B28" s="139" t="s">
        <v>1298</v>
      </c>
    </row>
    <row r="29" spans="2:24">
      <c r="B29" s="133" t="s">
        <v>1299</v>
      </c>
      <c r="C29" s="133" t="s">
        <v>1300</v>
      </c>
      <c r="D29" s="134" t="s">
        <v>1301</v>
      </c>
      <c r="E29" s="133" t="s">
        <v>1302</v>
      </c>
      <c r="F29" s="133" t="s">
        <v>1303</v>
      </c>
    </row>
    <row r="30" spans="2:24" ht="43.5">
      <c r="B30" s="117" t="s">
        <v>1304</v>
      </c>
      <c r="C30" s="116" t="s">
        <v>678</v>
      </c>
      <c r="D30" s="122" t="s">
        <v>1880</v>
      </c>
      <c r="E30" s="145" t="s">
        <v>1881</v>
      </c>
      <c r="F30" s="135" t="s">
        <v>1310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S30"/>
  <sheetViews>
    <sheetView showGridLines="0" topLeftCell="B28" workbookViewId="0">
      <selection activeCell="N36" sqref="N36"/>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77" t="s">
        <v>1249</v>
      </c>
      <c r="C2" s="77" t="s">
        <v>1250</v>
      </c>
      <c r="D2" s="77" t="s">
        <v>1251</v>
      </c>
      <c r="E2" s="77" t="s">
        <v>1252</v>
      </c>
      <c r="F2" s="77" t="s">
        <v>1253</v>
      </c>
      <c r="G2" s="77" t="s">
        <v>1254</v>
      </c>
      <c r="H2" s="77" t="s">
        <v>1255</v>
      </c>
      <c r="I2" s="77" t="s">
        <v>1810</v>
      </c>
      <c r="J2" s="77" t="s">
        <v>1811</v>
      </c>
      <c r="K2" s="77" t="s">
        <v>1812</v>
      </c>
      <c r="L2" s="77" t="s">
        <v>1813</v>
      </c>
      <c r="M2" s="77" t="s">
        <v>1814</v>
      </c>
      <c r="N2" s="77" t="s">
        <v>1815</v>
      </c>
      <c r="O2" s="77" t="s">
        <v>1816</v>
      </c>
      <c r="P2" s="77" t="s">
        <v>1817</v>
      </c>
      <c r="Q2" s="77" t="s">
        <v>1818</v>
      </c>
      <c r="R2" s="77" t="s">
        <v>234</v>
      </c>
      <c r="S2" s="77" t="s">
        <v>253</v>
      </c>
    </row>
    <row r="3" spans="2:19">
      <c r="B3" s="48" t="s">
        <v>1203</v>
      </c>
      <c r="C3" s="48">
        <v>1</v>
      </c>
      <c r="D3" s="48" t="s">
        <v>1882</v>
      </c>
      <c r="E3" s="95">
        <v>45483</v>
      </c>
      <c r="F3" s="48">
        <v>1</v>
      </c>
      <c r="G3" s="98">
        <v>1</v>
      </c>
      <c r="H3" s="183">
        <v>1722768</v>
      </c>
      <c r="I3" s="48" t="s">
        <v>1257</v>
      </c>
      <c r="J3" s="48" t="s">
        <v>1257</v>
      </c>
      <c r="K3" s="48" t="s">
        <v>1257</v>
      </c>
      <c r="L3" s="48" t="s">
        <v>1257</v>
      </c>
      <c r="M3" s="48" t="s">
        <v>1257</v>
      </c>
      <c r="N3" s="48" t="s">
        <v>1257</v>
      </c>
      <c r="O3" s="48" t="s">
        <v>1257</v>
      </c>
      <c r="P3" s="48" t="s">
        <v>1257</v>
      </c>
      <c r="Q3" s="48" t="s">
        <v>1257</v>
      </c>
      <c r="R3" s="48" t="s">
        <v>1257</v>
      </c>
      <c r="S3" s="48" t="s">
        <v>1257</v>
      </c>
    </row>
    <row r="4" spans="2:19">
      <c r="B4" s="48" t="s">
        <v>1205</v>
      </c>
      <c r="C4" s="48">
        <v>2</v>
      </c>
      <c r="D4" s="48" t="s">
        <v>1883</v>
      </c>
      <c r="E4" s="95">
        <v>45483</v>
      </c>
      <c r="F4" s="48">
        <v>1</v>
      </c>
      <c r="G4" s="98">
        <v>1</v>
      </c>
      <c r="H4" s="48">
        <v>0</v>
      </c>
      <c r="I4" s="48" t="s">
        <v>1257</v>
      </c>
      <c r="J4" s="48" t="s">
        <v>1257</v>
      </c>
      <c r="K4" s="48" t="s">
        <v>1257</v>
      </c>
      <c r="L4" s="48" t="s">
        <v>1257</v>
      </c>
      <c r="M4" s="48" t="s">
        <v>1257</v>
      </c>
      <c r="N4" s="48" t="s">
        <v>1257</v>
      </c>
      <c r="O4" s="48" t="s">
        <v>1257</v>
      </c>
      <c r="P4" s="48" t="s">
        <v>1257</v>
      </c>
      <c r="Q4" s="48" t="s">
        <v>1257</v>
      </c>
      <c r="R4" s="48" t="s">
        <v>1257</v>
      </c>
      <c r="S4" s="48" t="s">
        <v>1257</v>
      </c>
    </row>
    <row r="5" spans="2:19">
      <c r="B5" s="48" t="s">
        <v>1207</v>
      </c>
      <c r="C5" s="48">
        <v>3</v>
      </c>
      <c r="D5" s="48" t="s">
        <v>1884</v>
      </c>
      <c r="E5" s="95">
        <v>45483</v>
      </c>
      <c r="F5" s="48">
        <v>1</v>
      </c>
      <c r="G5" s="98">
        <v>1</v>
      </c>
      <c r="H5" s="48">
        <v>0</v>
      </c>
      <c r="I5" s="48">
        <v>0</v>
      </c>
      <c r="J5" s="48" t="s">
        <v>1257</v>
      </c>
      <c r="K5" s="48" t="s">
        <v>1257</v>
      </c>
      <c r="L5" s="48" t="s">
        <v>1257</v>
      </c>
      <c r="M5" s="48" t="s">
        <v>1257</v>
      </c>
      <c r="N5" s="48" t="s">
        <v>1257</v>
      </c>
      <c r="O5" s="48" t="s">
        <v>1257</v>
      </c>
      <c r="P5" s="48" t="s">
        <v>1257</v>
      </c>
      <c r="Q5" s="48" t="s">
        <v>1257</v>
      </c>
      <c r="R5" s="48">
        <v>0</v>
      </c>
      <c r="S5" s="48" t="s">
        <v>1257</v>
      </c>
    </row>
    <row r="6" spans="2:19">
      <c r="B6" s="97" t="s">
        <v>1209</v>
      </c>
      <c r="C6" s="48">
        <v>4</v>
      </c>
      <c r="D6" s="48" t="s">
        <v>1260</v>
      </c>
      <c r="E6" s="95" t="s">
        <v>1257</v>
      </c>
      <c r="F6" s="48">
        <v>1</v>
      </c>
      <c r="G6" s="48" t="s">
        <v>1257</v>
      </c>
      <c r="H6" s="48" t="s">
        <v>1257</v>
      </c>
      <c r="I6" s="48" t="s">
        <v>1257</v>
      </c>
      <c r="J6" s="48" t="s">
        <v>1257</v>
      </c>
      <c r="K6" s="48" t="s">
        <v>1257</v>
      </c>
      <c r="L6" s="48" t="s">
        <v>1257</v>
      </c>
      <c r="M6" s="48" t="s">
        <v>1257</v>
      </c>
      <c r="N6" s="48" t="s">
        <v>1257</v>
      </c>
      <c r="O6" s="48" t="s">
        <v>1257</v>
      </c>
      <c r="P6" s="48" t="s">
        <v>1257</v>
      </c>
      <c r="Q6" s="48" t="s">
        <v>1257</v>
      </c>
      <c r="R6" s="48" t="s">
        <v>1257</v>
      </c>
      <c r="S6" s="48" t="s">
        <v>1257</v>
      </c>
    </row>
    <row r="7" spans="2:19">
      <c r="B7" s="48" t="s">
        <v>1211</v>
      </c>
      <c r="C7" s="48">
        <v>5</v>
      </c>
      <c r="D7" s="48" t="s">
        <v>1260</v>
      </c>
      <c r="E7" s="95" t="s">
        <v>1257</v>
      </c>
      <c r="F7" s="48">
        <v>1</v>
      </c>
      <c r="G7" s="48" t="s">
        <v>1257</v>
      </c>
      <c r="H7" s="48" t="s">
        <v>1257</v>
      </c>
      <c r="I7" s="48" t="s">
        <v>1257</v>
      </c>
      <c r="J7" s="48" t="s">
        <v>1257</v>
      </c>
      <c r="K7" s="48" t="s">
        <v>1257</v>
      </c>
      <c r="L7" s="48" t="s">
        <v>1257</v>
      </c>
      <c r="M7" s="48" t="s">
        <v>1257</v>
      </c>
      <c r="N7" s="48" t="s">
        <v>1257</v>
      </c>
      <c r="O7" s="48" t="s">
        <v>1257</v>
      </c>
      <c r="P7" s="48" t="s">
        <v>1257</v>
      </c>
      <c r="Q7" s="48" t="s">
        <v>1257</v>
      </c>
      <c r="R7" s="48" t="s">
        <v>1257</v>
      </c>
      <c r="S7" s="48" t="s">
        <v>1257</v>
      </c>
    </row>
    <row r="8" spans="2:19">
      <c r="B8" s="97" t="s">
        <v>1212</v>
      </c>
      <c r="C8" s="48">
        <v>6</v>
      </c>
      <c r="D8" s="48" t="s">
        <v>1885</v>
      </c>
      <c r="E8" s="95">
        <v>45483</v>
      </c>
      <c r="F8" s="48">
        <v>1</v>
      </c>
      <c r="G8" s="191" cm="1">
        <f t="array" ref="G8">SUMPRODUCT(--(I8:S8&gt;0))/COUNTA(I8:S8)</f>
        <v>1</v>
      </c>
      <c r="H8" s="183">
        <v>0</v>
      </c>
      <c r="I8" s="48">
        <v>16</v>
      </c>
      <c r="J8" s="48">
        <v>2</v>
      </c>
      <c r="K8" s="48">
        <v>15</v>
      </c>
      <c r="L8" s="48">
        <v>1</v>
      </c>
      <c r="M8" s="48">
        <v>1</v>
      </c>
      <c r="N8" s="48">
        <v>7</v>
      </c>
      <c r="O8" s="48">
        <v>8</v>
      </c>
      <c r="P8" s="48">
        <v>8</v>
      </c>
      <c r="Q8" s="48">
        <v>3</v>
      </c>
      <c r="R8" s="48">
        <v>10</v>
      </c>
      <c r="S8" s="48">
        <v>23</v>
      </c>
    </row>
    <row r="9" spans="2:19">
      <c r="B9" s="48" t="s">
        <v>1215</v>
      </c>
      <c r="C9" s="48">
        <v>7</v>
      </c>
      <c r="D9" s="48" t="s">
        <v>1886</v>
      </c>
      <c r="E9" s="95">
        <v>45483</v>
      </c>
      <c r="F9" s="48">
        <v>1</v>
      </c>
      <c r="G9" s="191" t="e" cm="1">
        <f t="array" ref="G9">SUMPRODUCT(--(I9:S9&lt;=I26:S26))/COUNTA(I26:S26)</f>
        <v>#DIV/0!</v>
      </c>
      <c r="H9" s="183">
        <v>0</v>
      </c>
      <c r="I9" s="48">
        <v>16</v>
      </c>
      <c r="J9" s="48">
        <v>2</v>
      </c>
      <c r="K9" s="48">
        <v>15</v>
      </c>
      <c r="L9" s="48">
        <v>3</v>
      </c>
      <c r="M9" s="48">
        <v>10</v>
      </c>
      <c r="N9" s="48">
        <v>7</v>
      </c>
      <c r="O9" s="48">
        <v>16</v>
      </c>
      <c r="P9" s="48">
        <v>16</v>
      </c>
      <c r="Q9" s="48">
        <v>3</v>
      </c>
      <c r="R9" s="48">
        <v>10</v>
      </c>
      <c r="S9" s="48">
        <v>23</v>
      </c>
    </row>
    <row r="10" spans="2:19">
      <c r="B10" s="48" t="s">
        <v>1218</v>
      </c>
      <c r="C10" s="48">
        <v>8</v>
      </c>
      <c r="D10" s="48" t="s">
        <v>1887</v>
      </c>
      <c r="E10" s="95">
        <v>45483</v>
      </c>
      <c r="F10" s="48">
        <v>1</v>
      </c>
      <c r="G10" s="48" t="s">
        <v>1257</v>
      </c>
      <c r="H10" s="183">
        <v>0</v>
      </c>
      <c r="I10" s="48">
        <v>4008110051813620</v>
      </c>
      <c r="J10" s="48">
        <v>31</v>
      </c>
      <c r="K10" s="48">
        <v>1100751730010</v>
      </c>
      <c r="L10" s="48">
        <v>0</v>
      </c>
      <c r="M10" s="48">
        <v>0</v>
      </c>
      <c r="N10" s="95" t="s">
        <v>1825</v>
      </c>
      <c r="O10" s="48" t="s">
        <v>1266</v>
      </c>
      <c r="P10" s="95" t="s">
        <v>1266</v>
      </c>
      <c r="Q10" s="95" t="s">
        <v>1336</v>
      </c>
      <c r="R10" s="95">
        <v>45483</v>
      </c>
      <c r="S10" s="98" t="s">
        <v>1888</v>
      </c>
    </row>
    <row r="11" spans="2:19">
      <c r="B11" s="48" t="s">
        <v>1220</v>
      </c>
      <c r="C11" s="48">
        <v>9</v>
      </c>
      <c r="D11" s="48" t="s">
        <v>1889</v>
      </c>
      <c r="E11" s="95">
        <v>45483</v>
      </c>
      <c r="F11" s="48">
        <v>1</v>
      </c>
      <c r="G11" s="48" t="s">
        <v>1257</v>
      </c>
      <c r="H11" s="183">
        <v>0</v>
      </c>
      <c r="I11" s="48">
        <v>4008110051813620</v>
      </c>
      <c r="J11" s="48">
        <v>31</v>
      </c>
      <c r="K11" s="48">
        <v>1100751730010</v>
      </c>
      <c r="L11" s="48">
        <v>0</v>
      </c>
      <c r="M11" s="48">
        <v>0</v>
      </c>
      <c r="N11" s="95" t="s">
        <v>1825</v>
      </c>
      <c r="O11" s="48" t="s">
        <v>1266</v>
      </c>
      <c r="P11" s="48" t="s">
        <v>1266</v>
      </c>
      <c r="Q11" s="48">
        <v>15</v>
      </c>
      <c r="R11" s="95">
        <v>45483</v>
      </c>
      <c r="S11" s="48" t="s">
        <v>1890</v>
      </c>
    </row>
    <row r="12" spans="2:19">
      <c r="B12" s="97" t="s">
        <v>1222</v>
      </c>
      <c r="C12" s="48">
        <v>10</v>
      </c>
      <c r="D12" s="48" t="s">
        <v>1891</v>
      </c>
      <c r="E12" s="95">
        <v>45483</v>
      </c>
      <c r="F12" s="48">
        <v>1</v>
      </c>
      <c r="G12" s="48" t="s">
        <v>1257</v>
      </c>
      <c r="H12" s="183">
        <v>0</v>
      </c>
      <c r="I12" s="48">
        <v>5890770069838630</v>
      </c>
      <c r="J12" s="183">
        <v>31</v>
      </c>
      <c r="K12" s="48">
        <v>5131570010010</v>
      </c>
      <c r="L12" s="48">
        <v>97</v>
      </c>
      <c r="M12" s="95">
        <v>45484</v>
      </c>
      <c r="N12" s="95" t="s">
        <v>1892</v>
      </c>
      <c r="O12" s="98">
        <v>999999999000000</v>
      </c>
      <c r="P12" s="191">
        <v>999999999000000</v>
      </c>
      <c r="Q12" s="95" t="s">
        <v>1336</v>
      </c>
      <c r="R12" s="95">
        <v>45483</v>
      </c>
      <c r="S12" s="156" t="s">
        <v>1888</v>
      </c>
    </row>
    <row r="13" spans="2:19">
      <c r="B13" s="48" t="s">
        <v>1224</v>
      </c>
      <c r="C13" s="48">
        <v>11</v>
      </c>
      <c r="D13" s="48" t="s">
        <v>1893</v>
      </c>
      <c r="E13" s="95">
        <v>45483</v>
      </c>
      <c r="F13" s="48">
        <v>1</v>
      </c>
      <c r="G13" s="48" t="s">
        <v>1257</v>
      </c>
      <c r="H13" s="183">
        <v>0</v>
      </c>
      <c r="I13" s="48">
        <v>5890770069838630</v>
      </c>
      <c r="J13" s="183">
        <v>31</v>
      </c>
      <c r="K13" s="48">
        <v>5131570010010</v>
      </c>
      <c r="L13" s="48">
        <v>97</v>
      </c>
      <c r="M13" s="95">
        <v>20240711</v>
      </c>
      <c r="N13" s="95" t="s">
        <v>1892</v>
      </c>
      <c r="O13" s="98">
        <v>999999999000000</v>
      </c>
      <c r="P13" s="95">
        <v>999999999000000</v>
      </c>
      <c r="Q13" s="48">
        <v>5</v>
      </c>
      <c r="R13" s="95">
        <v>45483</v>
      </c>
      <c r="S13" s="48" t="s">
        <v>1894</v>
      </c>
    </row>
    <row r="14" spans="2:19">
      <c r="B14" s="48" t="s">
        <v>1226</v>
      </c>
      <c r="C14" s="48">
        <v>12</v>
      </c>
      <c r="D14" s="48" t="s">
        <v>1895</v>
      </c>
      <c r="E14" s="95">
        <v>45483</v>
      </c>
      <c r="F14" s="48">
        <v>1</v>
      </c>
      <c r="G14" s="191">
        <v>1</v>
      </c>
      <c r="H14" s="183">
        <v>0</v>
      </c>
      <c r="I14" s="48">
        <v>0</v>
      </c>
      <c r="J14" s="48">
        <v>0</v>
      </c>
      <c r="K14" s="48">
        <v>0</v>
      </c>
      <c r="L14" s="48">
        <v>0</v>
      </c>
      <c r="M14" s="48">
        <v>0</v>
      </c>
      <c r="N14" s="48">
        <v>0</v>
      </c>
      <c r="O14" s="48">
        <v>0</v>
      </c>
      <c r="P14" s="48">
        <v>0</v>
      </c>
      <c r="Q14" s="48">
        <v>0</v>
      </c>
      <c r="R14" s="48">
        <v>0</v>
      </c>
      <c r="S14" s="48">
        <v>0</v>
      </c>
    </row>
    <row r="15" spans="2:19">
      <c r="B15" s="48" t="s">
        <v>1228</v>
      </c>
      <c r="C15" s="48">
        <v>13</v>
      </c>
      <c r="D15" s="48" t="s">
        <v>1896</v>
      </c>
      <c r="E15" s="95">
        <v>45483</v>
      </c>
      <c r="F15" s="48">
        <v>1</v>
      </c>
      <c r="G15" s="191">
        <v>1</v>
      </c>
      <c r="H15" s="183">
        <v>0</v>
      </c>
      <c r="I15" s="48" t="s">
        <v>1257</v>
      </c>
      <c r="J15" s="48" t="s">
        <v>1257</v>
      </c>
      <c r="K15" s="48" t="s">
        <v>1257</v>
      </c>
      <c r="L15" s="48" t="s">
        <v>1257</v>
      </c>
      <c r="M15" s="48">
        <v>0</v>
      </c>
      <c r="N15" s="48">
        <v>0</v>
      </c>
      <c r="O15" s="48" t="s">
        <v>1257</v>
      </c>
      <c r="P15" s="48" t="s">
        <v>1257</v>
      </c>
      <c r="Q15" s="48" t="s">
        <v>1257</v>
      </c>
      <c r="R15" s="48" t="s">
        <v>1257</v>
      </c>
      <c r="S15" s="48" t="s">
        <v>1257</v>
      </c>
    </row>
    <row r="16" spans="2:19">
      <c r="B16" s="48" t="s">
        <v>1230</v>
      </c>
      <c r="C16" s="48">
        <v>14</v>
      </c>
      <c r="D16" s="48" t="s">
        <v>1897</v>
      </c>
      <c r="E16" s="95">
        <v>45483</v>
      </c>
      <c r="F16" s="48">
        <v>1</v>
      </c>
      <c r="G16" s="191">
        <v>1</v>
      </c>
      <c r="H16" s="183">
        <v>0</v>
      </c>
      <c r="I16" s="48">
        <v>0</v>
      </c>
      <c r="J16" s="48">
        <v>0</v>
      </c>
      <c r="K16" s="48">
        <v>0</v>
      </c>
      <c r="L16" s="48">
        <v>0</v>
      </c>
      <c r="M16" s="48" t="s">
        <v>1257</v>
      </c>
      <c r="N16" s="48" t="s">
        <v>1257</v>
      </c>
      <c r="O16" s="48" t="s">
        <v>1257</v>
      </c>
      <c r="P16" s="48" t="s">
        <v>1257</v>
      </c>
      <c r="Q16" s="48">
        <v>0</v>
      </c>
      <c r="R16" s="48" t="s">
        <v>1257</v>
      </c>
      <c r="S16" s="48" t="s">
        <v>1257</v>
      </c>
    </row>
    <row r="17" spans="2:19">
      <c r="B17" s="48" t="s">
        <v>1232</v>
      </c>
      <c r="C17" s="48">
        <v>15</v>
      </c>
      <c r="D17" s="48" t="s">
        <v>1898</v>
      </c>
      <c r="E17" s="95">
        <v>45483</v>
      </c>
      <c r="F17" s="48">
        <v>1</v>
      </c>
      <c r="G17" s="191">
        <v>1</v>
      </c>
      <c r="H17" s="183">
        <v>0</v>
      </c>
      <c r="I17" s="48" t="s">
        <v>1257</v>
      </c>
      <c r="J17" s="48" t="s">
        <v>1257</v>
      </c>
      <c r="K17" s="48" t="s">
        <v>1257</v>
      </c>
      <c r="L17" s="48" t="s">
        <v>1257</v>
      </c>
      <c r="M17" s="48" t="s">
        <v>1257</v>
      </c>
      <c r="N17" s="48" t="s">
        <v>1257</v>
      </c>
      <c r="O17" s="48" t="s">
        <v>1257</v>
      </c>
      <c r="P17" s="48" t="s">
        <v>1257</v>
      </c>
      <c r="Q17" s="48" t="s">
        <v>1257</v>
      </c>
      <c r="R17" s="48" t="s">
        <v>1257</v>
      </c>
      <c r="S17" s="48" t="s">
        <v>1257</v>
      </c>
    </row>
    <row r="18" spans="2:19">
      <c r="B18" s="48" t="s">
        <v>1234</v>
      </c>
      <c r="C18" s="48">
        <v>16</v>
      </c>
      <c r="D18" s="48" t="s">
        <v>1898</v>
      </c>
      <c r="E18" s="95">
        <v>45483</v>
      </c>
      <c r="F18" s="48">
        <v>1</v>
      </c>
      <c r="G18" s="191">
        <v>1</v>
      </c>
      <c r="H18" s="183">
        <v>0</v>
      </c>
      <c r="I18" s="48" t="s">
        <v>1257</v>
      </c>
      <c r="J18" s="48" t="s">
        <v>1257</v>
      </c>
      <c r="K18" s="48" t="s">
        <v>1257</v>
      </c>
      <c r="L18" s="48" t="s">
        <v>1257</v>
      </c>
      <c r="M18" s="48" t="s">
        <v>1257</v>
      </c>
      <c r="N18" s="48" t="s">
        <v>1257</v>
      </c>
      <c r="O18" s="48" t="s">
        <v>1257</v>
      </c>
      <c r="P18" s="48" t="s">
        <v>1257</v>
      </c>
      <c r="Q18" s="48" t="s">
        <v>1257</v>
      </c>
      <c r="R18" s="48" t="s">
        <v>1257</v>
      </c>
      <c r="S18" s="48" t="s">
        <v>1257</v>
      </c>
    </row>
    <row r="19" spans="2:19">
      <c r="B19" s="48" t="s">
        <v>1240</v>
      </c>
      <c r="C19" s="48">
        <v>19</v>
      </c>
      <c r="D19" s="48" t="s">
        <v>1899</v>
      </c>
      <c r="E19" s="95">
        <v>45483</v>
      </c>
      <c r="F19" s="48">
        <v>1</v>
      </c>
      <c r="G19" s="191" cm="1">
        <f t="array" aca="1" ref="G19" ca="1">SUMPRODUCT(--(ISNUMBER((SEARCH(I25:S25,I19:S19)))))/COUNTA(I19:S19)</f>
        <v>0.90909090909090906</v>
      </c>
      <c r="H19" s="48" t="s">
        <v>1257</v>
      </c>
      <c r="I19" s="48" t="s">
        <v>1291</v>
      </c>
      <c r="J19" s="48" t="s">
        <v>1291</v>
      </c>
      <c r="K19" s="48" t="s">
        <v>1291</v>
      </c>
      <c r="L19" s="48" t="s">
        <v>1291</v>
      </c>
      <c r="M19" s="48" t="s">
        <v>1291</v>
      </c>
      <c r="N19" s="48" t="s">
        <v>1291</v>
      </c>
      <c r="O19" s="48" t="s">
        <v>1292</v>
      </c>
      <c r="P19" s="48" t="s">
        <v>1292</v>
      </c>
      <c r="Q19" s="48" t="s">
        <v>1291</v>
      </c>
      <c r="R19" s="48" t="s">
        <v>1291</v>
      </c>
      <c r="S19" s="48" t="s">
        <v>1293</v>
      </c>
    </row>
    <row r="20" spans="2:19">
      <c r="B20" s="48" t="s">
        <v>1243</v>
      </c>
      <c r="C20" s="48">
        <v>20</v>
      </c>
      <c r="D20" s="48" t="s">
        <v>1900</v>
      </c>
      <c r="E20" s="95">
        <v>45483</v>
      </c>
      <c r="F20" s="48">
        <v>1</v>
      </c>
      <c r="G20" s="191" t="e" cm="1" vm="1">
        <f t="array" ref="G20">SUM(IF(I2:S2 = I24:S24, 1, 0))/ COUNTA(I2:S2)</f>
        <v>#VALUE!</v>
      </c>
      <c r="H20" s="48" t="s">
        <v>1257</v>
      </c>
      <c r="I20" s="48"/>
      <c r="J20" s="48"/>
      <c r="K20" s="48"/>
      <c r="L20" s="48"/>
      <c r="M20" s="48"/>
      <c r="N20" s="48"/>
      <c r="O20" s="48"/>
      <c r="P20" s="48"/>
      <c r="Q20" s="48"/>
      <c r="R20" s="48"/>
      <c r="S20" s="48"/>
    </row>
    <row r="21" spans="2:19">
      <c r="B21" s="48" t="s">
        <v>1246</v>
      </c>
      <c r="C21" s="48">
        <v>21</v>
      </c>
      <c r="D21" s="48" t="s">
        <v>1900</v>
      </c>
      <c r="E21" s="95">
        <v>45483</v>
      </c>
      <c r="F21" s="48">
        <v>1</v>
      </c>
      <c r="G21" s="191" t="e" cm="1">
        <f t="array" aca="1" ref="G21" ca="1">SUM(IF(IF(G3:G20="null",1,G3:G20)=1,1,0))/COUNT(IF(G3:G20="null",1,1))</f>
        <v>#DIV/0!</v>
      </c>
      <c r="H21" s="48" t="s">
        <v>1257</v>
      </c>
      <c r="I21" s="48"/>
      <c r="J21" s="48"/>
      <c r="K21" s="48"/>
      <c r="L21" s="48"/>
      <c r="M21" s="48"/>
      <c r="N21" s="48"/>
      <c r="O21" s="48"/>
      <c r="P21" s="48"/>
      <c r="Q21" s="48"/>
      <c r="R21" s="48"/>
      <c r="S21" s="48"/>
    </row>
    <row r="22" spans="2:19">
      <c r="B22" s="48"/>
      <c r="C22" s="48"/>
      <c r="D22" s="48"/>
      <c r="E22" s="95"/>
      <c r="F22" s="48"/>
      <c r="G22" s="48"/>
      <c r="H22" s="48"/>
      <c r="I22" s="48"/>
      <c r="J22" s="48"/>
      <c r="K22" s="48"/>
      <c r="L22" s="48"/>
      <c r="M22" s="48"/>
      <c r="N22" s="48"/>
      <c r="O22" s="48"/>
      <c r="P22" s="48"/>
      <c r="Q22" s="48"/>
      <c r="R22" s="48"/>
      <c r="S22" s="48"/>
    </row>
    <row r="23" spans="2:19">
      <c r="B23" s="129" t="s">
        <v>1364</v>
      </c>
    </row>
    <row r="24" spans="2:19">
      <c r="B24" s="127" t="s">
        <v>1249</v>
      </c>
      <c r="C24" s="128" t="s">
        <v>1250</v>
      </c>
      <c r="D24" s="128" t="s">
        <v>1251</v>
      </c>
      <c r="E24" s="128" t="s">
        <v>1252</v>
      </c>
      <c r="F24" s="128" t="s">
        <v>1253</v>
      </c>
      <c r="G24" s="128" t="s">
        <v>1254</v>
      </c>
      <c r="H24" s="128" t="s">
        <v>1255</v>
      </c>
      <c r="I24" s="128" t="e" cm="1" vm="2">
        <f t="array" ref="I24">TRANSPOSE(_xlfn.SORTBY(_xlfn._xlws.FILTER(Table3[NOME FÍSICO CAMPO],Table3[NOME FÍSICO TABELA]="debit_card"), _xlfn._xlws.FILTER(Table3[ORDEM], Table3[NOME FÍSICO TABELA]="debit_card"), 1))</f>
        <v>#VALUE!</v>
      </c>
      <c r="J24" s="128"/>
      <c r="K24" s="128"/>
      <c r="L24" s="128"/>
      <c r="M24" s="128"/>
      <c r="N24" s="128"/>
      <c r="O24" s="128"/>
      <c r="P24" s="128"/>
      <c r="Q24" s="128"/>
      <c r="R24" s="128"/>
      <c r="S24" s="128"/>
    </row>
    <row r="25" spans="2:19">
      <c r="B25" s="106" t="s">
        <v>1294</v>
      </c>
      <c r="C25" s="109">
        <v>21</v>
      </c>
      <c r="D25" s="103" t="s">
        <v>1295</v>
      </c>
      <c r="E25" s="102" t="s">
        <v>1296</v>
      </c>
      <c r="F25" s="102" t="s">
        <v>124</v>
      </c>
      <c r="G25" s="102" t="s">
        <v>124</v>
      </c>
      <c r="H25" s="102" t="s">
        <v>124</v>
      </c>
      <c r="I25" s="102" t="e" cm="1" vm="2">
        <f t="array" aca="1" ref="I25" ca="1">TRANSPOSE(_xlfn.SORTBY(_xlfn._xlws.FILTER(IF(Table3[FORMATO]:Table3[COMP_ CAMPO]&lt;&gt;"",Table3[FORMATO]:Table3[COMP_ CAMPO],9999999),Table3[NOME FÍSICO TABELA]="debit_card"), _xlfn._xlws.FILTER(Table3[ORDEM], Table3[NOME FÍSICO TABELA]="debit_card"), 1))</f>
        <v>#VALUE!</v>
      </c>
      <c r="J25" s="102"/>
      <c r="K25" s="102"/>
      <c r="L25" s="102"/>
      <c r="M25" s="102"/>
      <c r="N25" s="102"/>
      <c r="O25" s="102"/>
      <c r="P25" s="102"/>
      <c r="Q25" s="102"/>
      <c r="R25" s="102"/>
      <c r="S25" s="102"/>
    </row>
    <row r="26" spans="2:19">
      <c r="B26" s="106" t="s">
        <v>1297</v>
      </c>
      <c r="C26" s="109">
        <v>7</v>
      </c>
      <c r="D26" s="103" t="s">
        <v>1295</v>
      </c>
      <c r="E26" s="102" t="s">
        <v>1296</v>
      </c>
      <c r="F26" s="104" t="s">
        <v>124</v>
      </c>
      <c r="G26" s="104" t="s">
        <v>124</v>
      </c>
      <c r="H26" s="104" t="s">
        <v>124</v>
      </c>
      <c r="I26" s="150"/>
      <c r="J26" s="150"/>
      <c r="K26" s="150"/>
      <c r="L26" s="150"/>
      <c r="M26" s="150"/>
      <c r="N26" s="150"/>
      <c r="O26" s="150"/>
      <c r="P26" s="150"/>
      <c r="Q26" s="150"/>
      <c r="R26" s="150"/>
      <c r="S26" s="150"/>
    </row>
    <row r="28" spans="2:19">
      <c r="B28" s="139" t="s">
        <v>1298</v>
      </c>
    </row>
    <row r="29" spans="2:19">
      <c r="B29" s="133" t="s">
        <v>1299</v>
      </c>
      <c r="C29" s="133" t="s">
        <v>1300</v>
      </c>
      <c r="D29" s="134" t="s">
        <v>1301</v>
      </c>
      <c r="E29" s="133" t="s">
        <v>1302</v>
      </c>
      <c r="F29" s="133" t="s">
        <v>1303</v>
      </c>
    </row>
    <row r="30" spans="2:19">
      <c r="B30" s="117"/>
      <c r="C30" s="116"/>
      <c r="D30" s="122"/>
      <c r="E30" s="145"/>
      <c r="F30" s="13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row r="2" spans="2:21">
      <c r="B2" s="77" t="s">
        <v>1249</v>
      </c>
      <c r="C2" s="77" t="s">
        <v>1250</v>
      </c>
      <c r="D2" s="77" t="s">
        <v>1251</v>
      </c>
      <c r="E2" s="77" t="s">
        <v>1252</v>
      </c>
      <c r="F2" s="77" t="s">
        <v>1253</v>
      </c>
      <c r="G2" s="77" t="s">
        <v>1254</v>
      </c>
      <c r="H2" s="77" t="s">
        <v>1255</v>
      </c>
      <c r="I2" s="128" t="s">
        <v>103</v>
      </c>
      <c r="J2" s="128" t="s">
        <v>1901</v>
      </c>
      <c r="K2" s="128" t="s">
        <v>155</v>
      </c>
      <c r="L2" s="128" t="s">
        <v>162</v>
      </c>
      <c r="M2" s="128" t="s">
        <v>190</v>
      </c>
      <c r="N2" s="128" t="s">
        <v>176</v>
      </c>
      <c r="O2" s="128" t="s">
        <v>203</v>
      </c>
      <c r="P2" s="128" t="s">
        <v>289</v>
      </c>
      <c r="Q2" s="128" t="s">
        <v>299</v>
      </c>
      <c r="R2" s="128" t="s">
        <v>314</v>
      </c>
      <c r="S2" s="128" t="s">
        <v>1902</v>
      </c>
      <c r="T2" t="s">
        <v>234</v>
      </c>
      <c r="U2" t="s">
        <v>253</v>
      </c>
    </row>
    <row r="3" spans="2:21">
      <c r="B3" s="48" t="s">
        <v>1203</v>
      </c>
      <c r="C3" s="48">
        <v>1</v>
      </c>
      <c r="D3" s="48" t="s">
        <v>1903</v>
      </c>
      <c r="E3" s="95">
        <v>45490</v>
      </c>
      <c r="F3" s="48">
        <v>1</v>
      </c>
      <c r="G3" s="191">
        <v>1</v>
      </c>
      <c r="H3" s="223">
        <v>759069</v>
      </c>
      <c r="I3" s="48" t="s">
        <v>1257</v>
      </c>
      <c r="J3" s="48" t="s">
        <v>1257</v>
      </c>
      <c r="K3" s="48" t="s">
        <v>1257</v>
      </c>
      <c r="L3" s="48" t="s">
        <v>1257</v>
      </c>
      <c r="M3" s="48" t="s">
        <v>1257</v>
      </c>
      <c r="N3" s="48" t="s">
        <v>1257</v>
      </c>
      <c r="O3" s="48" t="s">
        <v>1257</v>
      </c>
      <c r="P3" s="48" t="s">
        <v>1257</v>
      </c>
      <c r="Q3" s="48" t="s">
        <v>1257</v>
      </c>
      <c r="R3" s="48" t="s">
        <v>1257</v>
      </c>
      <c r="S3" s="48" t="s">
        <v>1257</v>
      </c>
      <c r="T3" s="48" t="s">
        <v>1257</v>
      </c>
      <c r="U3" s="48" t="s">
        <v>1257</v>
      </c>
    </row>
    <row r="4" spans="2:21">
      <c r="B4" s="48" t="s">
        <v>1205</v>
      </c>
      <c r="C4" s="48">
        <v>2</v>
      </c>
      <c r="D4" s="48" t="s">
        <v>1904</v>
      </c>
      <c r="E4" s="95">
        <v>45490</v>
      </c>
      <c r="F4" s="48">
        <v>1</v>
      </c>
      <c r="G4" s="191">
        <v>1</v>
      </c>
      <c r="H4" s="183">
        <v>0</v>
      </c>
      <c r="I4" s="48" t="s">
        <v>1257</v>
      </c>
      <c r="J4" s="48" t="s">
        <v>1257</v>
      </c>
      <c r="K4" s="48" t="s">
        <v>1257</v>
      </c>
      <c r="L4" s="48" t="s">
        <v>1257</v>
      </c>
      <c r="M4" s="48" t="s">
        <v>1257</v>
      </c>
      <c r="N4" s="48" t="s">
        <v>1257</v>
      </c>
      <c r="O4" s="48" t="s">
        <v>1257</v>
      </c>
      <c r="P4" s="48" t="s">
        <v>1257</v>
      </c>
      <c r="Q4" s="48" t="s">
        <v>1257</v>
      </c>
      <c r="R4" s="48" t="s">
        <v>1257</v>
      </c>
      <c r="S4" s="48" t="s">
        <v>1257</v>
      </c>
      <c r="T4" s="48" t="s">
        <v>1257</v>
      </c>
      <c r="U4" s="48" t="s">
        <v>1257</v>
      </c>
    </row>
    <row r="5" spans="2:21">
      <c r="B5" s="48" t="s">
        <v>1207</v>
      </c>
      <c r="C5" s="48">
        <v>3</v>
      </c>
      <c r="D5" s="48" t="s">
        <v>1905</v>
      </c>
      <c r="E5" s="95">
        <v>45490</v>
      </c>
      <c r="F5" s="48">
        <v>1</v>
      </c>
      <c r="G5" s="191">
        <v>1</v>
      </c>
      <c r="H5" s="183">
        <v>0</v>
      </c>
      <c r="I5" s="48">
        <v>0</v>
      </c>
      <c r="J5" s="48">
        <v>0</v>
      </c>
      <c r="K5" s="48" t="s">
        <v>1257</v>
      </c>
      <c r="L5" s="48" t="s">
        <v>1257</v>
      </c>
      <c r="M5" s="48" t="s">
        <v>1257</v>
      </c>
      <c r="N5" s="48" t="s">
        <v>1257</v>
      </c>
      <c r="O5" s="48" t="s">
        <v>1257</v>
      </c>
      <c r="P5" s="48" t="s">
        <v>1257</v>
      </c>
      <c r="Q5" s="48" t="s">
        <v>1257</v>
      </c>
      <c r="R5" s="48" t="s">
        <v>1257</v>
      </c>
      <c r="S5" s="48" t="s">
        <v>1257</v>
      </c>
      <c r="T5" s="48">
        <v>0</v>
      </c>
      <c r="U5" s="48" t="s">
        <v>1257</v>
      </c>
    </row>
    <row r="6" spans="2:21">
      <c r="B6" s="97" t="s">
        <v>1209</v>
      </c>
      <c r="C6" s="48">
        <v>4</v>
      </c>
      <c r="D6" s="48" t="s">
        <v>1260</v>
      </c>
      <c r="E6" s="95" t="s">
        <v>1257</v>
      </c>
      <c r="F6" s="48">
        <v>1</v>
      </c>
      <c r="G6" s="95" t="s">
        <v>1257</v>
      </c>
      <c r="H6" s="183" t="s">
        <v>1257</v>
      </c>
      <c r="I6" s="48" t="s">
        <v>1257</v>
      </c>
      <c r="J6" s="48" t="s">
        <v>1257</v>
      </c>
      <c r="K6" s="48" t="s">
        <v>1257</v>
      </c>
      <c r="L6" s="48" t="s">
        <v>1257</v>
      </c>
      <c r="M6" s="48" t="s">
        <v>1257</v>
      </c>
      <c r="N6" s="48" t="s">
        <v>1257</v>
      </c>
      <c r="O6" s="48" t="s">
        <v>1257</v>
      </c>
      <c r="P6" s="48" t="s">
        <v>1257</v>
      </c>
      <c r="Q6" s="48" t="s">
        <v>1257</v>
      </c>
      <c r="R6" s="48" t="s">
        <v>1257</v>
      </c>
      <c r="S6" s="48" t="s">
        <v>1257</v>
      </c>
      <c r="T6" s="48" t="s">
        <v>1257</v>
      </c>
      <c r="U6" s="48" t="s">
        <v>1257</v>
      </c>
    </row>
    <row r="7" spans="2:21">
      <c r="B7" s="48" t="s">
        <v>1211</v>
      </c>
      <c r="C7" s="48">
        <v>5</v>
      </c>
      <c r="D7" s="48" t="s">
        <v>1260</v>
      </c>
      <c r="E7" s="95" t="s">
        <v>1257</v>
      </c>
      <c r="F7" s="48">
        <v>1</v>
      </c>
      <c r="G7" s="95" t="s">
        <v>1257</v>
      </c>
      <c r="H7" s="183" t="s">
        <v>1257</v>
      </c>
      <c r="I7" s="48" t="s">
        <v>1257</v>
      </c>
      <c r="J7" s="48" t="s">
        <v>1257</v>
      </c>
      <c r="K7" s="48" t="s">
        <v>1257</v>
      </c>
      <c r="L7" s="48" t="s">
        <v>1257</v>
      </c>
      <c r="M7" s="48" t="s">
        <v>1257</v>
      </c>
      <c r="N7" s="48" t="s">
        <v>1257</v>
      </c>
      <c r="O7" s="48" t="s">
        <v>1257</v>
      </c>
      <c r="P7" s="48" t="s">
        <v>1257</v>
      </c>
      <c r="Q7" s="48" t="s">
        <v>1257</v>
      </c>
      <c r="R7" s="48" t="s">
        <v>1257</v>
      </c>
      <c r="S7" s="48" t="s">
        <v>1257</v>
      </c>
      <c r="T7" s="48" t="s">
        <v>1257</v>
      </c>
      <c r="U7" s="48" t="s">
        <v>1257</v>
      </c>
    </row>
    <row r="8" spans="2:21">
      <c r="B8" s="97" t="s">
        <v>1212</v>
      </c>
      <c r="C8" s="48">
        <v>6</v>
      </c>
      <c r="D8" s="48" t="s">
        <v>1906</v>
      </c>
      <c r="E8" s="95">
        <v>45490</v>
      </c>
      <c r="F8" s="48">
        <v>1</v>
      </c>
      <c r="G8" s="191" cm="1">
        <f t="array" ref="G8">SUMPRODUCT(--(I8:U8&gt;0))/COUNTA(I8:U8)</f>
        <v>1</v>
      </c>
      <c r="H8" s="183">
        <v>0</v>
      </c>
      <c r="I8" s="48">
        <v>2</v>
      </c>
      <c r="J8" s="48">
        <v>15</v>
      </c>
      <c r="K8" s="48">
        <v>3</v>
      </c>
      <c r="L8" s="48">
        <v>3</v>
      </c>
      <c r="M8" s="48">
        <v>3</v>
      </c>
      <c r="N8" s="48">
        <v>2</v>
      </c>
      <c r="O8" s="48">
        <v>30</v>
      </c>
      <c r="P8" s="48">
        <v>10</v>
      </c>
      <c r="Q8" s="48">
        <v>10</v>
      </c>
      <c r="R8" s="48">
        <v>3</v>
      </c>
      <c r="S8" s="48">
        <v>3</v>
      </c>
      <c r="T8" s="48">
        <v>10</v>
      </c>
      <c r="U8" s="48">
        <v>23</v>
      </c>
    </row>
    <row r="9" spans="2:21">
      <c r="B9" s="48" t="s">
        <v>1215</v>
      </c>
      <c r="C9" s="48">
        <v>7</v>
      </c>
      <c r="D9" s="48" t="s">
        <v>1907</v>
      </c>
      <c r="E9" s="95">
        <v>45490</v>
      </c>
      <c r="F9" s="48">
        <v>1</v>
      </c>
      <c r="G9" s="191" t="e" cm="1">
        <f t="array" ref="G9">SUMPRODUCT(--(I9:U9&lt;=I26:U26))/COUNTA(I26:U26)</f>
        <v>#DIV/0!</v>
      </c>
      <c r="H9" s="183">
        <v>0</v>
      </c>
      <c r="I9" s="48">
        <v>2</v>
      </c>
      <c r="J9" s="48">
        <v>15</v>
      </c>
      <c r="K9" s="48">
        <v>3</v>
      </c>
      <c r="L9" s="48">
        <v>3</v>
      </c>
      <c r="M9" s="48">
        <v>3</v>
      </c>
      <c r="N9" s="48">
        <v>2</v>
      </c>
      <c r="O9" s="48">
        <v>30</v>
      </c>
      <c r="P9" s="48">
        <v>10</v>
      </c>
      <c r="Q9" s="48">
        <v>10</v>
      </c>
      <c r="R9" s="48">
        <v>3</v>
      </c>
      <c r="S9" s="48">
        <v>3</v>
      </c>
      <c r="T9" s="48">
        <v>10</v>
      </c>
      <c r="U9" s="48">
        <v>23</v>
      </c>
    </row>
    <row r="10" spans="2:21">
      <c r="B10" s="48" t="s">
        <v>1218</v>
      </c>
      <c r="C10" s="48">
        <v>8</v>
      </c>
      <c r="D10" s="48" t="s">
        <v>1908</v>
      </c>
      <c r="E10" s="95">
        <v>45490</v>
      </c>
      <c r="F10" s="48">
        <v>1</v>
      </c>
      <c r="G10" s="95" t="s">
        <v>1257</v>
      </c>
      <c r="H10" s="183">
        <v>0</v>
      </c>
      <c r="I10" s="48">
        <v>31</v>
      </c>
      <c r="J10" s="48">
        <v>1100827510011</v>
      </c>
      <c r="K10" s="48" t="s">
        <v>1336</v>
      </c>
      <c r="L10" s="48">
        <v>11</v>
      </c>
      <c r="M10" s="48" t="s">
        <v>1909</v>
      </c>
      <c r="N10" s="48">
        <v>31</v>
      </c>
      <c r="O10" s="48">
        <v>2.079771E+21</v>
      </c>
      <c r="P10" s="95">
        <v>35711</v>
      </c>
      <c r="Q10" s="95">
        <v>2958465</v>
      </c>
      <c r="R10" s="95">
        <v>978</v>
      </c>
      <c r="S10" s="98" t="s">
        <v>1336</v>
      </c>
      <c r="T10" s="95">
        <v>45490</v>
      </c>
      <c r="U10" s="48" t="s">
        <v>1910</v>
      </c>
    </row>
    <row r="11" spans="2:21">
      <c r="B11" s="48" t="s">
        <v>1220</v>
      </c>
      <c r="C11" s="48">
        <v>9</v>
      </c>
      <c r="D11" s="48" t="s">
        <v>1911</v>
      </c>
      <c r="E11" s="95">
        <v>45490</v>
      </c>
      <c r="F11" s="48">
        <v>1</v>
      </c>
      <c r="G11" s="95" t="s">
        <v>1257</v>
      </c>
      <c r="H11" s="183">
        <v>0</v>
      </c>
      <c r="I11" s="48">
        <v>31</v>
      </c>
      <c r="J11" s="48">
        <v>1100827510011</v>
      </c>
      <c r="K11" s="48">
        <v>31</v>
      </c>
      <c r="L11" s="48">
        <v>11</v>
      </c>
      <c r="M11" s="48" t="s">
        <v>1909</v>
      </c>
      <c r="N11" s="95">
        <v>31</v>
      </c>
      <c r="O11" s="48">
        <v>2.079771E+21</v>
      </c>
      <c r="P11" s="95">
        <v>35711</v>
      </c>
      <c r="Q11" s="95">
        <v>2958465</v>
      </c>
      <c r="R11" s="95">
        <v>978</v>
      </c>
      <c r="S11" s="48">
        <v>0</v>
      </c>
      <c r="T11" s="95">
        <v>45490</v>
      </c>
      <c r="U11" s="48" t="s">
        <v>1912</v>
      </c>
    </row>
    <row r="12" spans="2:21">
      <c r="B12" s="97" t="s">
        <v>1222</v>
      </c>
      <c r="C12" s="48">
        <v>10</v>
      </c>
      <c r="D12" s="48" t="s">
        <v>1913</v>
      </c>
      <c r="E12" s="95">
        <v>45490</v>
      </c>
      <c r="F12" s="48">
        <v>1</v>
      </c>
      <c r="G12" s="95" t="s">
        <v>1257</v>
      </c>
      <c r="H12" s="183">
        <v>0</v>
      </c>
      <c r="I12" s="48">
        <v>31</v>
      </c>
      <c r="J12" s="183">
        <v>5131651710011</v>
      </c>
      <c r="K12" s="48" t="s">
        <v>1336</v>
      </c>
      <c r="L12" s="48">
        <v>11</v>
      </c>
      <c r="M12" s="95" t="s">
        <v>1914</v>
      </c>
      <c r="N12" s="48">
        <v>31</v>
      </c>
      <c r="O12" s="98">
        <v>9.9999999999999903E+29</v>
      </c>
      <c r="P12" s="191">
        <v>45491</v>
      </c>
      <c r="Q12" s="95">
        <v>2958465</v>
      </c>
      <c r="R12" s="95">
        <v>978</v>
      </c>
      <c r="S12" s="156" t="s">
        <v>1336</v>
      </c>
      <c r="T12" s="95">
        <v>45490</v>
      </c>
      <c r="U12" s="48" t="s">
        <v>1910</v>
      </c>
    </row>
    <row r="13" spans="2:21">
      <c r="B13" s="48" t="s">
        <v>1224</v>
      </c>
      <c r="C13" s="48">
        <v>11</v>
      </c>
      <c r="D13" s="48" t="s">
        <v>1915</v>
      </c>
      <c r="E13" s="95">
        <v>45490</v>
      </c>
      <c r="F13" s="48">
        <v>1</v>
      </c>
      <c r="G13" s="95" t="s">
        <v>1257</v>
      </c>
      <c r="H13" s="183">
        <v>0</v>
      </c>
      <c r="I13" s="48">
        <v>31</v>
      </c>
      <c r="J13" s="183">
        <v>5131651710011</v>
      </c>
      <c r="K13" s="48">
        <v>31</v>
      </c>
      <c r="L13" s="48">
        <v>11</v>
      </c>
      <c r="M13" s="95" t="s">
        <v>1914</v>
      </c>
      <c r="N13" s="95">
        <v>31</v>
      </c>
      <c r="O13" s="48">
        <v>9.9999999999999903E+29</v>
      </c>
      <c r="P13" s="95">
        <v>45491</v>
      </c>
      <c r="Q13" s="95">
        <v>2958465</v>
      </c>
      <c r="R13" s="95">
        <v>978</v>
      </c>
      <c r="S13" s="48">
        <v>4</v>
      </c>
      <c r="T13" s="95">
        <v>45490</v>
      </c>
      <c r="U13" s="48" t="s">
        <v>1916</v>
      </c>
    </row>
    <row r="14" spans="2:21">
      <c r="B14" s="48" t="s">
        <v>1226</v>
      </c>
      <c r="C14" s="48">
        <v>12</v>
      </c>
      <c r="D14" s="48" t="s">
        <v>1917</v>
      </c>
      <c r="E14" s="95">
        <v>45490</v>
      </c>
      <c r="F14" s="48">
        <v>1</v>
      </c>
      <c r="G14" s="191">
        <v>1</v>
      </c>
      <c r="H14" s="183">
        <v>0</v>
      </c>
      <c r="I14" s="48">
        <v>0</v>
      </c>
      <c r="J14" s="48">
        <v>0</v>
      </c>
      <c r="K14" s="48">
        <v>0</v>
      </c>
      <c r="L14" s="48">
        <v>0</v>
      </c>
      <c r="M14" s="48">
        <v>0</v>
      </c>
      <c r="N14" s="48">
        <v>0</v>
      </c>
      <c r="O14" s="48">
        <v>0</v>
      </c>
      <c r="P14" s="48">
        <v>0</v>
      </c>
      <c r="Q14" s="48">
        <v>0</v>
      </c>
      <c r="R14" s="48">
        <v>0</v>
      </c>
      <c r="S14" s="48">
        <v>0</v>
      </c>
      <c r="T14" s="48">
        <v>0</v>
      </c>
      <c r="U14" s="48">
        <v>0</v>
      </c>
    </row>
    <row r="15" spans="2:21">
      <c r="B15" s="48" t="s">
        <v>1228</v>
      </c>
      <c r="C15" s="48">
        <v>13</v>
      </c>
      <c r="D15" s="48" t="s">
        <v>1918</v>
      </c>
      <c r="E15" s="95">
        <v>45490</v>
      </c>
      <c r="F15" s="48">
        <v>1</v>
      </c>
      <c r="G15" s="191">
        <v>1</v>
      </c>
      <c r="H15" s="183">
        <v>0</v>
      </c>
      <c r="I15" s="48" t="s">
        <v>1257</v>
      </c>
      <c r="J15" s="48" t="s">
        <v>1257</v>
      </c>
      <c r="K15" s="48" t="s">
        <v>1257</v>
      </c>
      <c r="L15" s="48" t="s">
        <v>1257</v>
      </c>
      <c r="M15" s="48" t="s">
        <v>1257</v>
      </c>
      <c r="N15" s="48" t="s">
        <v>1257</v>
      </c>
      <c r="O15" s="48" t="s">
        <v>1257</v>
      </c>
      <c r="P15" s="48">
        <v>0</v>
      </c>
      <c r="Q15" s="48">
        <v>0</v>
      </c>
      <c r="R15" s="48" t="s">
        <v>1257</v>
      </c>
      <c r="S15" s="48" t="s">
        <v>1257</v>
      </c>
      <c r="T15" s="48" t="s">
        <v>1257</v>
      </c>
      <c r="U15" s="48" t="s">
        <v>1257</v>
      </c>
    </row>
    <row r="16" spans="2:21">
      <c r="B16" s="48" t="s">
        <v>1230</v>
      </c>
      <c r="C16" s="48">
        <v>14</v>
      </c>
      <c r="D16" s="48" t="s">
        <v>1919</v>
      </c>
      <c r="E16" s="95">
        <v>45490</v>
      </c>
      <c r="F16" s="48">
        <v>1</v>
      </c>
      <c r="G16" s="191">
        <v>1</v>
      </c>
      <c r="H16" s="183">
        <v>0</v>
      </c>
      <c r="I16" s="48">
        <v>0</v>
      </c>
      <c r="J16" s="48">
        <v>0</v>
      </c>
      <c r="K16" s="48">
        <v>0</v>
      </c>
      <c r="L16" s="48">
        <v>0</v>
      </c>
      <c r="M16" s="48">
        <v>0</v>
      </c>
      <c r="N16" s="48">
        <v>0</v>
      </c>
      <c r="O16" s="48">
        <v>0</v>
      </c>
      <c r="P16" s="48" t="s">
        <v>1257</v>
      </c>
      <c r="Q16" s="48" t="s">
        <v>1257</v>
      </c>
      <c r="R16" s="48">
        <v>0</v>
      </c>
      <c r="S16" s="48">
        <v>0</v>
      </c>
      <c r="T16" s="48" t="s">
        <v>1257</v>
      </c>
      <c r="U16" s="48" t="s">
        <v>1257</v>
      </c>
    </row>
    <row r="17" spans="2:21">
      <c r="B17" s="48" t="s">
        <v>1232</v>
      </c>
      <c r="C17" s="48">
        <v>15</v>
      </c>
      <c r="D17" s="48" t="s">
        <v>1920</v>
      </c>
      <c r="E17" s="95">
        <v>45490</v>
      </c>
      <c r="F17" s="48">
        <v>1</v>
      </c>
      <c r="G17" s="191">
        <v>1</v>
      </c>
      <c r="H17" s="183">
        <v>0</v>
      </c>
      <c r="I17" s="48" t="s">
        <v>1257</v>
      </c>
      <c r="J17" s="48" t="s">
        <v>1257</v>
      </c>
      <c r="K17" s="48" t="s">
        <v>1257</v>
      </c>
      <c r="L17" s="48" t="s">
        <v>1257</v>
      </c>
      <c r="M17" s="48" t="s">
        <v>1257</v>
      </c>
      <c r="N17" s="48" t="s">
        <v>1257</v>
      </c>
      <c r="O17" s="48" t="s">
        <v>1257</v>
      </c>
      <c r="P17" s="48" t="s">
        <v>1257</v>
      </c>
      <c r="Q17" s="48" t="s">
        <v>1257</v>
      </c>
      <c r="R17" s="48" t="s">
        <v>1257</v>
      </c>
      <c r="S17" s="48" t="s">
        <v>1257</v>
      </c>
      <c r="T17" s="48" t="s">
        <v>1257</v>
      </c>
      <c r="U17" s="48" t="s">
        <v>1257</v>
      </c>
    </row>
    <row r="18" spans="2:21">
      <c r="B18" s="48" t="s">
        <v>1234</v>
      </c>
      <c r="C18" s="48">
        <v>16</v>
      </c>
      <c r="D18" s="48" t="s">
        <v>1920</v>
      </c>
      <c r="E18" s="95">
        <v>45490</v>
      </c>
      <c r="F18" s="48">
        <v>1</v>
      </c>
      <c r="G18" s="191">
        <v>1</v>
      </c>
      <c r="H18" s="183">
        <v>0</v>
      </c>
      <c r="I18" s="48" t="s">
        <v>1257</v>
      </c>
      <c r="J18" s="48" t="s">
        <v>1257</v>
      </c>
      <c r="K18" s="48" t="s">
        <v>1257</v>
      </c>
      <c r="L18" s="48" t="s">
        <v>1257</v>
      </c>
      <c r="M18" s="48" t="s">
        <v>1257</v>
      </c>
      <c r="N18" s="48" t="s">
        <v>1257</v>
      </c>
      <c r="O18" s="48" t="s">
        <v>1257</v>
      </c>
      <c r="P18" s="48" t="s">
        <v>1257</v>
      </c>
      <c r="Q18" s="48" t="s">
        <v>1257</v>
      </c>
      <c r="R18" s="48" t="s">
        <v>1257</v>
      </c>
      <c r="S18" s="48" t="s">
        <v>1257</v>
      </c>
      <c r="T18" s="48" t="s">
        <v>1257</v>
      </c>
      <c r="U18" s="48" t="s">
        <v>1257</v>
      </c>
    </row>
    <row r="19" spans="2:21">
      <c r="B19" s="48" t="s">
        <v>1240</v>
      </c>
      <c r="C19" s="48">
        <v>19</v>
      </c>
      <c r="D19" s="48" t="s">
        <v>1921</v>
      </c>
      <c r="E19" s="95">
        <v>45490</v>
      </c>
      <c r="F19" s="48">
        <v>1</v>
      </c>
      <c r="G19" s="191" cm="1">
        <f t="array" aca="1" ref="G19" ca="1">SUMPRODUCT(--(ISNUMBER((SEARCH(I25:U25,I19:U19)))))/COUNTA(I19:U19)</f>
        <v>0.92307692307692313</v>
      </c>
      <c r="H19" s="183">
        <v>0</v>
      </c>
      <c r="I19" s="48" t="s">
        <v>1291</v>
      </c>
      <c r="J19" s="48" t="s">
        <v>1291</v>
      </c>
      <c r="K19" s="48" t="s">
        <v>1291</v>
      </c>
      <c r="L19" s="48" t="s">
        <v>1291</v>
      </c>
      <c r="M19" s="48" t="s">
        <v>1291</v>
      </c>
      <c r="N19" s="48" t="s">
        <v>1291</v>
      </c>
      <c r="O19" s="48" t="s">
        <v>1291</v>
      </c>
      <c r="P19" s="48" t="s">
        <v>1291</v>
      </c>
      <c r="Q19" s="48" t="s">
        <v>1291</v>
      </c>
      <c r="R19" s="48" t="s">
        <v>1291</v>
      </c>
      <c r="S19" s="48" t="s">
        <v>1291</v>
      </c>
      <c r="T19" s="48" t="s">
        <v>1291</v>
      </c>
      <c r="U19" s="48" t="s">
        <v>1293</v>
      </c>
    </row>
    <row r="20" spans="2:21">
      <c r="B20" s="48" t="s">
        <v>1243</v>
      </c>
      <c r="C20" s="48">
        <v>20</v>
      </c>
      <c r="D20" s="48" t="s">
        <v>1921</v>
      </c>
      <c r="E20" s="95">
        <v>45490</v>
      </c>
      <c r="F20" s="48">
        <v>1</v>
      </c>
      <c r="G20" s="191" t="e" cm="1" vm="1">
        <f t="array" ref="G20">SUM(IF(I2:S2 = I24:S24, 1, 0))/ COUNTA(I2:S2)</f>
        <v>#VALUE!</v>
      </c>
      <c r="H20" s="48" t="s">
        <v>1257</v>
      </c>
      <c r="I20" s="48"/>
      <c r="J20" s="48"/>
      <c r="K20" s="48"/>
      <c r="L20" s="48"/>
      <c r="M20" s="48"/>
      <c r="N20" s="48"/>
      <c r="O20" s="48"/>
      <c r="P20" s="48"/>
      <c r="Q20" s="48"/>
      <c r="R20" s="48"/>
      <c r="S20" s="48"/>
      <c r="T20" s="48"/>
      <c r="U20" s="48"/>
    </row>
    <row r="21" spans="2:21">
      <c r="B21" s="48" t="s">
        <v>1246</v>
      </c>
      <c r="C21" s="48">
        <v>21</v>
      </c>
      <c r="D21" s="48" t="s">
        <v>1921</v>
      </c>
      <c r="E21" s="95">
        <v>45490</v>
      </c>
      <c r="F21" s="48">
        <v>1</v>
      </c>
      <c r="G21" s="191" t="e" cm="1">
        <f t="array" aca="1" ref="G21" ca="1">SUM(IF(IF(G3:G20="null",1,G3:G20)=1,1,0))/COUNT(IF(G3:G20="null",1,1))</f>
        <v>#DIV/0!</v>
      </c>
      <c r="H21" s="48" t="s">
        <v>1257</v>
      </c>
      <c r="I21" s="48"/>
      <c r="J21" s="48"/>
      <c r="K21" s="48"/>
      <c r="L21" s="48"/>
      <c r="M21" s="48"/>
      <c r="N21" s="48"/>
      <c r="O21" s="48"/>
      <c r="P21" s="48"/>
      <c r="Q21" s="48"/>
      <c r="R21" s="48"/>
      <c r="S21" s="48"/>
      <c r="T21" s="48"/>
      <c r="U21" s="48"/>
    </row>
    <row r="22" spans="2:21">
      <c r="B22" s="48"/>
      <c r="C22" s="48"/>
      <c r="D22" s="48"/>
      <c r="E22" s="95"/>
      <c r="F22" s="48"/>
      <c r="G22" s="48"/>
      <c r="H22" s="48"/>
      <c r="I22" s="48"/>
      <c r="J22" s="48"/>
      <c r="K22" s="48"/>
      <c r="L22" s="48"/>
      <c r="M22" s="48"/>
      <c r="N22" s="48"/>
      <c r="O22" s="48"/>
      <c r="P22" s="48"/>
      <c r="Q22" s="48"/>
      <c r="R22" s="48"/>
      <c r="S22" s="48"/>
    </row>
    <row r="23" spans="2:21">
      <c r="B23" s="129" t="s">
        <v>1364</v>
      </c>
    </row>
    <row r="24" spans="2:21">
      <c r="B24" s="127" t="s">
        <v>1249</v>
      </c>
      <c r="C24" s="128" t="s">
        <v>1250</v>
      </c>
      <c r="D24" s="128" t="s">
        <v>1251</v>
      </c>
      <c r="E24" s="128" t="s">
        <v>1252</v>
      </c>
      <c r="F24" s="128" t="s">
        <v>1253</v>
      </c>
      <c r="G24" s="128" t="s">
        <v>1254</v>
      </c>
      <c r="H24" s="128" t="s">
        <v>1255</v>
      </c>
      <c r="I24" s="128" t="e" cm="1" vm="2">
        <f t="array" ref="I24">TRANSPOSE(_xlfn.SORTBY(_xlfn._xlws.FILTER(Table3[NOME FÍSICO CAMPO],Table3[NOME FÍSICO TABELA]="credit_card_account"), _xlfn._xlws.FILTER(Table3[ORDEM], Table3[NOME FÍSICO TABELA]="credit_card_account"), 1))</f>
        <v>#VALUE!</v>
      </c>
      <c r="J24" s="128"/>
      <c r="K24" s="128"/>
      <c r="L24" s="128"/>
      <c r="M24" s="128"/>
      <c r="N24" s="128"/>
      <c r="O24" s="128"/>
      <c r="P24" s="128"/>
      <c r="Q24" s="128"/>
      <c r="R24" s="128"/>
      <c r="S24" s="128"/>
      <c r="T24" s="128"/>
      <c r="U24" s="128"/>
    </row>
    <row r="25" spans="2:21">
      <c r="B25" s="106" t="s">
        <v>1294</v>
      </c>
      <c r="C25" s="109">
        <v>21</v>
      </c>
      <c r="D25" s="103" t="s">
        <v>1295</v>
      </c>
      <c r="E25" s="102" t="s">
        <v>1296</v>
      </c>
      <c r="F25" s="102" t="s">
        <v>124</v>
      </c>
      <c r="G25" s="102" t="s">
        <v>124</v>
      </c>
      <c r="H25" s="102" t="s">
        <v>124</v>
      </c>
      <c r="I25" s="102" t="e" cm="1" vm="2">
        <f t="array" aca="1" ref="I25" ca="1">TRANSPOSE(_xlfn.SORTBY(_xlfn._xlws.FILTER(IF(Table3[FORMATO]:Table3[COMP_ CAMPO]&lt;&gt;"",Table3[FORMATO]:Table3[COMP_ CAMPO],9999999),Table3[NOME FÍSICO TABELA]="credit_card_account"), _xlfn._xlws.FILTER(Table3[ORDEM], Table3[NOME FÍSICO TABELA]="credit_card_account"), 1))</f>
        <v>#VALUE!</v>
      </c>
      <c r="J25" s="102"/>
      <c r="K25" s="102"/>
      <c r="L25" s="102"/>
      <c r="M25" s="102"/>
      <c r="N25" s="102"/>
      <c r="O25" s="102"/>
      <c r="P25" s="102"/>
      <c r="Q25" s="102"/>
      <c r="R25" s="102"/>
      <c r="S25" s="102"/>
      <c r="T25" s="102"/>
      <c r="U25" s="102"/>
    </row>
    <row r="26" spans="2:21">
      <c r="B26" s="106" t="s">
        <v>1297</v>
      </c>
      <c r="C26" s="109">
        <v>7</v>
      </c>
      <c r="D26" s="103" t="s">
        <v>1295</v>
      </c>
      <c r="E26" s="102" t="s">
        <v>1296</v>
      </c>
      <c r="F26" s="104" t="s">
        <v>124</v>
      </c>
      <c r="G26" s="104" t="s">
        <v>124</v>
      </c>
      <c r="H26" s="104" t="s">
        <v>124</v>
      </c>
      <c r="I26" s="150"/>
      <c r="J26" s="150"/>
      <c r="K26" s="150"/>
      <c r="L26" s="150"/>
      <c r="M26" s="150"/>
      <c r="N26" s="150"/>
      <c r="O26" s="150"/>
      <c r="P26" s="150"/>
      <c r="Q26" s="150"/>
      <c r="R26" s="150"/>
      <c r="S26" s="150"/>
      <c r="T26" s="150"/>
      <c r="U26" s="150"/>
    </row>
    <row r="28" spans="2:21">
      <c r="B28" s="139" t="s">
        <v>1298</v>
      </c>
    </row>
    <row r="29" spans="2:21">
      <c r="B29" s="133" t="s">
        <v>1299</v>
      </c>
      <c r="C29" s="133" t="s">
        <v>1300</v>
      </c>
      <c r="D29" s="134" t="s">
        <v>1301</v>
      </c>
      <c r="E29" s="133" t="s">
        <v>1302</v>
      </c>
      <c r="F29" s="133" t="s">
        <v>1303</v>
      </c>
    </row>
    <row r="30" spans="2:21">
      <c r="B30" s="117"/>
      <c r="C30" s="116"/>
      <c r="D30" s="122"/>
      <c r="E30" s="145"/>
      <c r="F30" s="13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row r="2" spans="2:23">
      <c r="B2" s="77" t="s">
        <v>1249</v>
      </c>
      <c r="C2" s="77" t="s">
        <v>1250</v>
      </c>
      <c r="D2" s="77" t="s">
        <v>1251</v>
      </c>
      <c r="E2" s="77" t="s">
        <v>1252</v>
      </c>
      <c r="F2" s="77" t="s">
        <v>1253</v>
      </c>
      <c r="G2" s="77" t="s">
        <v>1254</v>
      </c>
      <c r="H2" s="77" t="s">
        <v>1255</v>
      </c>
      <c r="I2" s="128" t="s">
        <v>103</v>
      </c>
      <c r="J2" s="128" t="s">
        <v>134</v>
      </c>
      <c r="K2" s="128" t="s">
        <v>155</v>
      </c>
      <c r="L2" s="128" t="s">
        <v>162</v>
      </c>
      <c r="M2" s="128" t="s">
        <v>190</v>
      </c>
      <c r="N2" s="128" t="s">
        <v>176</v>
      </c>
      <c r="O2" s="128" t="s">
        <v>203</v>
      </c>
      <c r="P2" s="128" t="s">
        <v>289</v>
      </c>
      <c r="Q2" s="128" t="s">
        <v>299</v>
      </c>
      <c r="R2" s="128" t="s">
        <v>314</v>
      </c>
      <c r="S2" t="s">
        <v>669</v>
      </c>
      <c r="T2" t="s">
        <v>678</v>
      </c>
      <c r="U2" s="77" t="s">
        <v>214</v>
      </c>
      <c r="V2" s="77" t="s">
        <v>234</v>
      </c>
      <c r="W2" s="77" t="s">
        <v>253</v>
      </c>
    </row>
    <row r="3" spans="2:23">
      <c r="B3" s="48" t="s">
        <v>1203</v>
      </c>
      <c r="C3" s="48">
        <v>1</v>
      </c>
      <c r="D3" s="48" t="s">
        <v>1922</v>
      </c>
      <c r="E3" s="95">
        <v>45492</v>
      </c>
      <c r="F3" s="48">
        <v>1</v>
      </c>
      <c r="G3" s="191">
        <v>1</v>
      </c>
      <c r="H3" s="189">
        <v>2843480</v>
      </c>
      <c r="I3" s="48" t="s">
        <v>1257</v>
      </c>
      <c r="J3" s="48" t="s">
        <v>1257</v>
      </c>
      <c r="K3" s="48" t="s">
        <v>1257</v>
      </c>
      <c r="L3" s="48" t="s">
        <v>1257</v>
      </c>
      <c r="M3" s="48" t="s">
        <v>1257</v>
      </c>
      <c r="N3" s="48" t="s">
        <v>1257</v>
      </c>
      <c r="O3" s="48" t="s">
        <v>1257</v>
      </c>
      <c r="P3" s="48" t="s">
        <v>1257</v>
      </c>
      <c r="Q3" s="48" t="s">
        <v>1257</v>
      </c>
      <c r="R3" s="48" t="s">
        <v>1257</v>
      </c>
      <c r="S3" s="48" t="s">
        <v>1257</v>
      </c>
      <c r="T3" s="48" t="s">
        <v>1257</v>
      </c>
      <c r="U3" s="48" t="s">
        <v>1257</v>
      </c>
      <c r="V3" s="48" t="s">
        <v>1257</v>
      </c>
      <c r="W3" s="48" t="s">
        <v>1257</v>
      </c>
    </row>
    <row r="4" spans="2:23">
      <c r="B4" s="48" t="s">
        <v>1205</v>
      </c>
      <c r="C4" s="48">
        <v>2</v>
      </c>
      <c r="D4" s="48" t="s">
        <v>1923</v>
      </c>
      <c r="E4" s="95">
        <v>45492</v>
      </c>
      <c r="F4" s="48">
        <v>1</v>
      </c>
      <c r="G4" s="191">
        <v>1</v>
      </c>
      <c r="H4" s="48">
        <v>0</v>
      </c>
      <c r="I4" s="48" t="s">
        <v>1257</v>
      </c>
      <c r="J4" s="48" t="s">
        <v>1257</v>
      </c>
      <c r="K4" s="48" t="s">
        <v>1257</v>
      </c>
      <c r="L4" s="48" t="s">
        <v>1257</v>
      </c>
      <c r="M4" s="48" t="s">
        <v>1257</v>
      </c>
      <c r="N4" s="48" t="s">
        <v>1257</v>
      </c>
      <c r="O4" s="48" t="s">
        <v>1257</v>
      </c>
      <c r="P4" s="48" t="s">
        <v>1257</v>
      </c>
      <c r="Q4" s="48" t="s">
        <v>1257</v>
      </c>
      <c r="R4" s="48" t="s">
        <v>1257</v>
      </c>
      <c r="S4" s="48" t="s">
        <v>1257</v>
      </c>
      <c r="T4" s="48" t="s">
        <v>1257</v>
      </c>
      <c r="U4" s="48" t="s">
        <v>1257</v>
      </c>
      <c r="V4" s="48" t="s">
        <v>1257</v>
      </c>
      <c r="W4" s="48" t="s">
        <v>1257</v>
      </c>
    </row>
    <row r="5" spans="2:23">
      <c r="B5" s="48" t="s">
        <v>1207</v>
      </c>
      <c r="C5" s="48">
        <v>3</v>
      </c>
      <c r="D5" s="48" t="s">
        <v>1924</v>
      </c>
      <c r="E5" s="95">
        <v>45492</v>
      </c>
      <c r="F5" s="48">
        <v>1</v>
      </c>
      <c r="G5" s="191">
        <v>1</v>
      </c>
      <c r="H5" s="48">
        <v>0</v>
      </c>
      <c r="I5" s="48">
        <v>0</v>
      </c>
      <c r="J5" s="48">
        <v>0</v>
      </c>
      <c r="K5" s="48" t="s">
        <v>1257</v>
      </c>
      <c r="L5" s="48" t="s">
        <v>1257</v>
      </c>
      <c r="M5" s="48" t="s">
        <v>1257</v>
      </c>
      <c r="N5" s="48" t="s">
        <v>1257</v>
      </c>
      <c r="O5" s="48" t="s">
        <v>1257</v>
      </c>
      <c r="P5" s="48" t="s">
        <v>1257</v>
      </c>
      <c r="Q5" s="48" t="s">
        <v>1257</v>
      </c>
      <c r="R5" s="48" t="s">
        <v>1257</v>
      </c>
      <c r="S5" s="48" t="s">
        <v>1257</v>
      </c>
      <c r="T5" s="48" t="s">
        <v>1257</v>
      </c>
      <c r="U5" s="48" t="s">
        <v>1257</v>
      </c>
      <c r="V5" s="48">
        <v>0</v>
      </c>
      <c r="W5" s="48" t="s">
        <v>1257</v>
      </c>
    </row>
    <row r="6" spans="2:23">
      <c r="B6" s="97" t="s">
        <v>1209</v>
      </c>
      <c r="C6" s="48">
        <v>4</v>
      </c>
      <c r="D6" s="48" t="s">
        <v>1260</v>
      </c>
      <c r="E6" s="95" t="s">
        <v>1257</v>
      </c>
      <c r="F6" s="48">
        <v>1</v>
      </c>
      <c r="G6" s="48" t="s">
        <v>1257</v>
      </c>
      <c r="H6" s="48" t="s">
        <v>1257</v>
      </c>
      <c r="I6" s="48" t="s">
        <v>1257</v>
      </c>
      <c r="J6" s="48" t="s">
        <v>1257</v>
      </c>
      <c r="K6" s="48" t="s">
        <v>1257</v>
      </c>
      <c r="L6" s="48" t="s">
        <v>1257</v>
      </c>
      <c r="M6" s="48" t="s">
        <v>1257</v>
      </c>
      <c r="N6" s="48" t="s">
        <v>1257</v>
      </c>
      <c r="O6" s="48" t="s">
        <v>1257</v>
      </c>
      <c r="P6" s="48" t="s">
        <v>1257</v>
      </c>
      <c r="Q6" s="48" t="s">
        <v>1257</v>
      </c>
      <c r="R6" s="48" t="s">
        <v>1257</v>
      </c>
      <c r="S6" s="48" t="s">
        <v>1257</v>
      </c>
      <c r="T6" s="48" t="s">
        <v>1257</v>
      </c>
      <c r="U6" s="48" t="s">
        <v>1257</v>
      </c>
      <c r="V6" s="48" t="s">
        <v>1257</v>
      </c>
      <c r="W6" s="48" t="s">
        <v>1257</v>
      </c>
    </row>
    <row r="7" spans="2:23">
      <c r="B7" s="48" t="s">
        <v>1211</v>
      </c>
      <c r="C7" s="48">
        <v>5</v>
      </c>
      <c r="D7" s="48" t="s">
        <v>1260</v>
      </c>
      <c r="E7" s="95" t="s">
        <v>1257</v>
      </c>
      <c r="F7" s="48">
        <v>1</v>
      </c>
      <c r="G7" s="48" t="s">
        <v>1257</v>
      </c>
      <c r="H7" s="48" t="s">
        <v>1257</v>
      </c>
      <c r="I7" s="48" t="s">
        <v>1257</v>
      </c>
      <c r="J7" s="48" t="s">
        <v>1257</v>
      </c>
      <c r="K7" s="48" t="s">
        <v>1257</v>
      </c>
      <c r="L7" s="48" t="s">
        <v>1257</v>
      </c>
      <c r="M7" s="48" t="s">
        <v>1257</v>
      </c>
      <c r="N7" s="48" t="s">
        <v>1257</v>
      </c>
      <c r="O7" s="48" t="s">
        <v>1257</v>
      </c>
      <c r="P7" s="48" t="s">
        <v>1257</v>
      </c>
      <c r="Q7" s="48" t="s">
        <v>1257</v>
      </c>
      <c r="R7" s="48" t="s">
        <v>1257</v>
      </c>
      <c r="S7" s="48" t="s">
        <v>1257</v>
      </c>
      <c r="T7" s="48" t="s">
        <v>1257</v>
      </c>
      <c r="U7" s="48" t="s">
        <v>1257</v>
      </c>
      <c r="V7" s="48" t="s">
        <v>1257</v>
      </c>
      <c r="W7" s="48" t="s">
        <v>1257</v>
      </c>
    </row>
    <row r="8" spans="2:23">
      <c r="B8" s="97" t="s">
        <v>1212</v>
      </c>
      <c r="C8" s="48">
        <v>6</v>
      </c>
      <c r="D8" s="48" t="s">
        <v>1925</v>
      </c>
      <c r="E8" s="95">
        <v>45492</v>
      </c>
      <c r="F8" s="48">
        <v>1</v>
      </c>
      <c r="G8" s="191" cm="1">
        <f t="array" ref="G8">SUMPRODUCT(--(I8:U8&gt;0))/COUNTA(I8:U8)</f>
        <v>1</v>
      </c>
      <c r="H8" s="48">
        <v>0</v>
      </c>
      <c r="I8" s="48">
        <v>2</v>
      </c>
      <c r="J8" s="48">
        <v>15</v>
      </c>
      <c r="K8" s="48">
        <v>3</v>
      </c>
      <c r="L8" s="48">
        <v>3</v>
      </c>
      <c r="M8" s="48">
        <v>3</v>
      </c>
      <c r="N8" s="48">
        <v>2</v>
      </c>
      <c r="O8" s="48">
        <v>15</v>
      </c>
      <c r="P8" s="48">
        <v>10</v>
      </c>
      <c r="Q8" s="48">
        <v>10</v>
      </c>
      <c r="R8" s="48">
        <v>3</v>
      </c>
      <c r="S8" s="48">
        <v>3</v>
      </c>
      <c r="T8" s="48">
        <v>3</v>
      </c>
      <c r="U8" s="48">
        <v>2</v>
      </c>
      <c r="V8" s="48">
        <v>10</v>
      </c>
      <c r="W8" s="48">
        <v>23</v>
      </c>
    </row>
    <row r="9" spans="2:23">
      <c r="B9" s="48" t="s">
        <v>1215</v>
      </c>
      <c r="C9" s="48">
        <v>7</v>
      </c>
      <c r="D9" s="48" t="s">
        <v>1926</v>
      </c>
      <c r="E9" s="95">
        <v>45492</v>
      </c>
      <c r="F9" s="48">
        <v>1</v>
      </c>
      <c r="G9" s="191" t="e" cm="1">
        <f t="array" ref="G9">SUMPRODUCT(--(I9:W9&lt;=I26:W26))/COUNTA(I26:W26)</f>
        <v>#DIV/0!</v>
      </c>
      <c r="H9" s="48">
        <v>0</v>
      </c>
      <c r="I9" s="48">
        <v>2</v>
      </c>
      <c r="J9" s="48">
        <v>15</v>
      </c>
      <c r="K9" s="48">
        <v>3</v>
      </c>
      <c r="L9" s="48">
        <v>3</v>
      </c>
      <c r="M9" s="48">
        <v>3</v>
      </c>
      <c r="N9" s="48">
        <v>2</v>
      </c>
      <c r="O9" s="48">
        <v>15</v>
      </c>
      <c r="P9" s="48">
        <v>10</v>
      </c>
      <c r="Q9" s="48">
        <v>10</v>
      </c>
      <c r="R9" s="48">
        <v>3</v>
      </c>
      <c r="S9" s="48">
        <v>3</v>
      </c>
      <c r="T9" s="48">
        <v>3</v>
      </c>
      <c r="U9" s="48">
        <v>2</v>
      </c>
      <c r="V9" s="48">
        <v>10</v>
      </c>
      <c r="W9" s="48">
        <v>23</v>
      </c>
    </row>
    <row r="10" spans="2:23">
      <c r="B10" s="48" t="s">
        <v>1218</v>
      </c>
      <c r="C10" s="48">
        <v>8</v>
      </c>
      <c r="D10" s="48" t="s">
        <v>1927</v>
      </c>
      <c r="E10" s="95">
        <v>45492</v>
      </c>
      <c r="F10" s="48">
        <v>1</v>
      </c>
      <c r="G10" s="48" t="s">
        <v>1257</v>
      </c>
      <c r="H10" s="48">
        <v>0</v>
      </c>
      <c r="I10" s="48">
        <v>31</v>
      </c>
      <c r="J10" s="48">
        <v>1104388490010</v>
      </c>
      <c r="K10" s="48" t="s">
        <v>1336</v>
      </c>
      <c r="L10" s="48">
        <v>10</v>
      </c>
      <c r="M10" s="48">
        <v>10</v>
      </c>
      <c r="N10" s="48">
        <v>31</v>
      </c>
      <c r="O10" s="48">
        <v>0</v>
      </c>
      <c r="P10" s="95">
        <v>37403</v>
      </c>
      <c r="Q10" s="95">
        <v>2958465</v>
      </c>
      <c r="R10" s="95">
        <v>978</v>
      </c>
      <c r="S10" s="48" t="s">
        <v>1336</v>
      </c>
      <c r="T10" s="48" t="s">
        <v>1336</v>
      </c>
      <c r="U10" s="95" t="s">
        <v>1402</v>
      </c>
      <c r="V10" s="95">
        <v>45492</v>
      </c>
      <c r="W10" s="48" t="s">
        <v>1928</v>
      </c>
    </row>
    <row r="11" spans="2:23">
      <c r="B11" s="48" t="s">
        <v>1220</v>
      </c>
      <c r="C11" s="48">
        <v>9</v>
      </c>
      <c r="D11" s="48" t="s">
        <v>1929</v>
      </c>
      <c r="E11" s="95">
        <v>45492</v>
      </c>
      <c r="F11" s="48">
        <v>1</v>
      </c>
      <c r="G11" s="48" t="s">
        <v>1257</v>
      </c>
      <c r="H11" s="48">
        <v>0</v>
      </c>
      <c r="I11" s="48">
        <v>31</v>
      </c>
      <c r="J11" s="48">
        <v>1104388490010</v>
      </c>
      <c r="K11" s="48">
        <v>31</v>
      </c>
      <c r="L11" s="48">
        <v>10</v>
      </c>
      <c r="M11" s="48">
        <v>10</v>
      </c>
      <c r="N11" s="95">
        <v>31</v>
      </c>
      <c r="O11" s="48">
        <v>0</v>
      </c>
      <c r="P11" s="95">
        <v>37403</v>
      </c>
      <c r="Q11" s="95">
        <v>2958465</v>
      </c>
      <c r="R11" s="95">
        <v>978</v>
      </c>
      <c r="S11" s="48">
        <v>0</v>
      </c>
      <c r="T11" s="48" t="s">
        <v>1930</v>
      </c>
      <c r="U11" s="95" t="s">
        <v>1402</v>
      </c>
      <c r="V11" s="95">
        <v>45492</v>
      </c>
      <c r="W11" s="48" t="s">
        <v>1931</v>
      </c>
    </row>
    <row r="12" spans="2:23">
      <c r="B12" s="97" t="s">
        <v>1222</v>
      </c>
      <c r="C12" s="48">
        <v>10</v>
      </c>
      <c r="D12" s="48" t="s">
        <v>1932</v>
      </c>
      <c r="E12" s="95">
        <v>45492</v>
      </c>
      <c r="F12" s="48">
        <v>1</v>
      </c>
      <c r="G12" s="48" t="s">
        <v>1257</v>
      </c>
      <c r="H12" s="48">
        <v>0</v>
      </c>
      <c r="I12" s="48">
        <v>31</v>
      </c>
      <c r="J12" s="183">
        <v>5131680060010</v>
      </c>
      <c r="K12" s="48" t="s">
        <v>1336</v>
      </c>
      <c r="L12" s="48">
        <v>11</v>
      </c>
      <c r="M12" s="95" t="s">
        <v>1933</v>
      </c>
      <c r="N12" s="48">
        <v>31</v>
      </c>
      <c r="O12" s="98">
        <v>999999999999999</v>
      </c>
      <c r="P12" s="191">
        <v>45495</v>
      </c>
      <c r="Q12" s="95">
        <v>2958465</v>
      </c>
      <c r="R12" s="95">
        <v>978</v>
      </c>
      <c r="S12" s="48" t="s">
        <v>1336</v>
      </c>
      <c r="T12" s="48" t="s">
        <v>1336</v>
      </c>
      <c r="U12" s="95" t="s">
        <v>1402</v>
      </c>
      <c r="V12" s="95">
        <v>45492</v>
      </c>
      <c r="W12" s="48" t="s">
        <v>1928</v>
      </c>
    </row>
    <row r="13" spans="2:23">
      <c r="B13" s="48" t="s">
        <v>1224</v>
      </c>
      <c r="C13" s="48">
        <v>11</v>
      </c>
      <c r="D13" s="48" t="s">
        <v>1934</v>
      </c>
      <c r="E13" s="95">
        <v>45492</v>
      </c>
      <c r="F13" s="48">
        <v>1</v>
      </c>
      <c r="G13" s="48" t="s">
        <v>1257</v>
      </c>
      <c r="H13" s="48">
        <v>0</v>
      </c>
      <c r="I13" s="48">
        <v>31</v>
      </c>
      <c r="J13" s="183">
        <v>5131680060010</v>
      </c>
      <c r="K13" s="48">
        <v>31</v>
      </c>
      <c r="L13" s="48">
        <v>11</v>
      </c>
      <c r="M13" s="95" t="s">
        <v>1933</v>
      </c>
      <c r="N13" s="95">
        <v>31</v>
      </c>
      <c r="O13" s="48">
        <v>999999999999999</v>
      </c>
      <c r="P13" s="95">
        <v>45495</v>
      </c>
      <c r="Q13" s="95">
        <v>2958465</v>
      </c>
      <c r="R13" s="95">
        <v>978</v>
      </c>
      <c r="S13" s="48">
        <v>0</v>
      </c>
      <c r="T13" s="48" t="s">
        <v>1935</v>
      </c>
      <c r="U13" s="95" t="s">
        <v>1402</v>
      </c>
      <c r="V13" s="95">
        <v>45492</v>
      </c>
      <c r="W13" s="48" t="s">
        <v>1936</v>
      </c>
    </row>
    <row r="14" spans="2:23">
      <c r="B14" s="48" t="s">
        <v>1226</v>
      </c>
      <c r="C14" s="48">
        <v>12</v>
      </c>
      <c r="D14" s="48" t="s">
        <v>1937</v>
      </c>
      <c r="E14" s="95">
        <v>45492</v>
      </c>
      <c r="F14" s="48">
        <v>1</v>
      </c>
      <c r="G14" s="191">
        <v>0.9375</v>
      </c>
      <c r="H14" s="48">
        <v>0</v>
      </c>
      <c r="I14" s="48">
        <v>0</v>
      </c>
      <c r="J14" s="48">
        <v>0</v>
      </c>
      <c r="K14" s="48">
        <v>0</v>
      </c>
      <c r="L14" s="48">
        <v>0</v>
      </c>
      <c r="M14" s="48">
        <v>0</v>
      </c>
      <c r="N14" s="48">
        <v>0</v>
      </c>
      <c r="O14" s="48">
        <v>0</v>
      </c>
      <c r="P14" s="48">
        <v>0</v>
      </c>
      <c r="Q14" s="48">
        <v>0</v>
      </c>
      <c r="R14" s="48">
        <v>0</v>
      </c>
      <c r="S14" s="48">
        <v>0</v>
      </c>
      <c r="T14" s="48">
        <v>2843450</v>
      </c>
      <c r="U14" s="48">
        <v>0</v>
      </c>
      <c r="V14" s="48">
        <v>0</v>
      </c>
      <c r="W14" s="48">
        <v>0</v>
      </c>
    </row>
    <row r="15" spans="2:23">
      <c r="B15" s="48" t="s">
        <v>1228</v>
      </c>
      <c r="C15" s="48">
        <v>13</v>
      </c>
      <c r="D15" s="48" t="s">
        <v>1938</v>
      </c>
      <c r="E15" s="95">
        <v>45492</v>
      </c>
      <c r="F15" s="48">
        <v>1</v>
      </c>
      <c r="G15" s="191">
        <v>1</v>
      </c>
      <c r="H15" s="48">
        <v>0</v>
      </c>
      <c r="I15" s="48" t="s">
        <v>1257</v>
      </c>
      <c r="J15" s="48" t="s">
        <v>1257</v>
      </c>
      <c r="K15" s="48" t="s">
        <v>1257</v>
      </c>
      <c r="L15" s="48" t="s">
        <v>1257</v>
      </c>
      <c r="M15" s="48" t="s">
        <v>1257</v>
      </c>
      <c r="N15" s="48" t="s">
        <v>1257</v>
      </c>
      <c r="O15" s="48" t="s">
        <v>1257</v>
      </c>
      <c r="P15" s="48">
        <v>0</v>
      </c>
      <c r="Q15" s="48">
        <v>0</v>
      </c>
      <c r="R15" s="48" t="s">
        <v>1257</v>
      </c>
      <c r="S15" s="48" t="s">
        <v>1257</v>
      </c>
      <c r="T15" s="48" t="s">
        <v>1257</v>
      </c>
      <c r="U15" s="48" t="s">
        <v>1257</v>
      </c>
      <c r="V15" s="48" t="s">
        <v>1257</v>
      </c>
      <c r="W15" s="48" t="s">
        <v>1257</v>
      </c>
    </row>
    <row r="16" spans="2:23">
      <c r="B16" s="48" t="s">
        <v>1230</v>
      </c>
      <c r="C16" s="48">
        <v>14</v>
      </c>
      <c r="D16" s="48" t="s">
        <v>1939</v>
      </c>
      <c r="E16" s="95">
        <v>45492</v>
      </c>
      <c r="F16" s="48">
        <v>1</v>
      </c>
      <c r="G16" s="191">
        <v>1</v>
      </c>
      <c r="H16" s="48">
        <v>0</v>
      </c>
      <c r="I16" s="48">
        <v>0</v>
      </c>
      <c r="J16" s="48">
        <v>0</v>
      </c>
      <c r="K16" s="48">
        <v>0</v>
      </c>
      <c r="L16" s="48">
        <v>0</v>
      </c>
      <c r="M16" s="48">
        <v>0</v>
      </c>
      <c r="N16" s="48">
        <v>0</v>
      </c>
      <c r="O16" s="48">
        <v>0</v>
      </c>
      <c r="P16" s="48" t="s">
        <v>1257</v>
      </c>
      <c r="Q16" s="48" t="s">
        <v>1257</v>
      </c>
      <c r="R16" s="48">
        <v>0</v>
      </c>
      <c r="S16" s="48">
        <v>0</v>
      </c>
      <c r="T16" s="48">
        <v>0</v>
      </c>
      <c r="U16" s="48">
        <v>0</v>
      </c>
      <c r="V16" s="48" t="s">
        <v>1257</v>
      </c>
      <c r="W16" s="48" t="s">
        <v>1257</v>
      </c>
    </row>
    <row r="17" spans="2:24">
      <c r="B17" s="48" t="s">
        <v>1232</v>
      </c>
      <c r="C17" s="48">
        <v>15</v>
      </c>
      <c r="D17" s="48" t="s">
        <v>1940</v>
      </c>
      <c r="E17" s="95">
        <v>45492</v>
      </c>
      <c r="F17" s="48">
        <v>1</v>
      </c>
      <c r="G17" s="191">
        <v>1</v>
      </c>
      <c r="H17" s="48">
        <v>0</v>
      </c>
      <c r="I17" s="48" t="s">
        <v>1257</v>
      </c>
      <c r="J17" s="48" t="s">
        <v>1257</v>
      </c>
      <c r="K17" s="48" t="s">
        <v>1257</v>
      </c>
      <c r="L17" s="48" t="s">
        <v>1257</v>
      </c>
      <c r="M17" s="48" t="s">
        <v>1257</v>
      </c>
      <c r="N17" s="48" t="s">
        <v>1257</v>
      </c>
      <c r="O17" s="48" t="s">
        <v>1257</v>
      </c>
      <c r="P17" s="48" t="s">
        <v>1257</v>
      </c>
      <c r="Q17" s="48" t="s">
        <v>1257</v>
      </c>
      <c r="R17" s="48" t="s">
        <v>1257</v>
      </c>
      <c r="S17" s="48" t="s">
        <v>1257</v>
      </c>
      <c r="T17" s="48" t="s">
        <v>1257</v>
      </c>
      <c r="U17" s="48" t="s">
        <v>1257</v>
      </c>
      <c r="V17" s="48" t="s">
        <v>1257</v>
      </c>
      <c r="W17" s="48" t="s">
        <v>1257</v>
      </c>
    </row>
    <row r="18" spans="2:24">
      <c r="B18" s="48" t="s">
        <v>1234</v>
      </c>
      <c r="C18" s="48">
        <v>16</v>
      </c>
      <c r="D18" s="48" t="s">
        <v>1940</v>
      </c>
      <c r="E18" s="95">
        <v>45492</v>
      </c>
      <c r="F18" s="48">
        <v>1</v>
      </c>
      <c r="G18" s="191">
        <v>1</v>
      </c>
      <c r="H18" s="48">
        <v>0</v>
      </c>
      <c r="I18" s="48" t="s">
        <v>1257</v>
      </c>
      <c r="J18" s="48" t="s">
        <v>1257</v>
      </c>
      <c r="K18" s="48" t="s">
        <v>1257</v>
      </c>
      <c r="L18" s="48" t="s">
        <v>1257</v>
      </c>
      <c r="M18" s="48" t="s">
        <v>1257</v>
      </c>
      <c r="N18" s="48" t="s">
        <v>1257</v>
      </c>
      <c r="O18" s="48" t="s">
        <v>1257</v>
      </c>
      <c r="P18" s="48" t="s">
        <v>1257</v>
      </c>
      <c r="Q18" s="48" t="s">
        <v>1257</v>
      </c>
      <c r="R18" s="48" t="s">
        <v>1257</v>
      </c>
      <c r="S18" s="48" t="s">
        <v>1257</v>
      </c>
      <c r="T18" s="48" t="s">
        <v>1257</v>
      </c>
      <c r="U18" s="48" t="s">
        <v>1257</v>
      </c>
      <c r="V18" s="48" t="s">
        <v>1257</v>
      </c>
      <c r="W18" s="48" t="s">
        <v>1257</v>
      </c>
    </row>
    <row r="19" spans="2:24">
      <c r="B19" s="48" t="s">
        <v>1240</v>
      </c>
      <c r="C19" s="48">
        <v>19</v>
      </c>
      <c r="D19" s="48" t="s">
        <v>1941</v>
      </c>
      <c r="E19" s="95">
        <v>45492</v>
      </c>
      <c r="F19" s="48">
        <v>1</v>
      </c>
      <c r="G19" s="191" t="e" cm="1" vm="1">
        <f t="array" ref="G19">SUM(IF(I2:V2 = I24:V24, 1, 0))/ COUNTA(I2:V2)</f>
        <v>#VALUE!</v>
      </c>
      <c r="H19" s="48" t="s">
        <v>1257</v>
      </c>
      <c r="I19" s="48" t="s">
        <v>1291</v>
      </c>
      <c r="J19" s="48" t="s">
        <v>1291</v>
      </c>
      <c r="K19" s="48" t="s">
        <v>1291</v>
      </c>
      <c r="L19" s="48" t="s">
        <v>1291</v>
      </c>
      <c r="M19" s="48" t="s">
        <v>1291</v>
      </c>
      <c r="N19" s="48" t="s">
        <v>1291</v>
      </c>
      <c r="O19" s="48" t="s">
        <v>1291</v>
      </c>
      <c r="P19" s="48" t="s">
        <v>1291</v>
      </c>
      <c r="Q19" s="48" t="s">
        <v>1291</v>
      </c>
      <c r="R19" s="48" t="s">
        <v>1291</v>
      </c>
      <c r="S19" s="48" t="s">
        <v>1291</v>
      </c>
      <c r="T19" s="48" t="s">
        <v>1291</v>
      </c>
      <c r="U19" s="48" t="s">
        <v>1291</v>
      </c>
      <c r="V19" s="48" t="s">
        <v>1291</v>
      </c>
      <c r="W19" s="48" t="s">
        <v>1293</v>
      </c>
    </row>
    <row r="20" spans="2:24">
      <c r="B20" s="48" t="s">
        <v>1243</v>
      </c>
      <c r="C20" s="48">
        <v>20</v>
      </c>
      <c r="D20" s="48" t="s">
        <v>1942</v>
      </c>
      <c r="E20" s="95">
        <v>45492</v>
      </c>
      <c r="F20" s="48">
        <v>1</v>
      </c>
      <c r="G20" s="191" t="e" cm="1" vm="1">
        <f t="array" ref="G20">SUM(IF(I2:W2 = I24:W24, 1, 0))/ COUNTA(I2:W2)</f>
        <v>#VALUE!</v>
      </c>
      <c r="H20" s="48" t="s">
        <v>1257</v>
      </c>
      <c r="I20" s="48"/>
      <c r="J20" s="48"/>
      <c r="K20" s="48"/>
      <c r="L20" s="48"/>
      <c r="M20" s="48"/>
      <c r="N20" s="48"/>
      <c r="O20" s="48"/>
      <c r="P20" s="48"/>
      <c r="Q20" s="48"/>
      <c r="R20" s="48"/>
      <c r="S20" s="48"/>
      <c r="T20" s="48"/>
      <c r="U20" s="48"/>
      <c r="V20" s="48"/>
      <c r="W20" s="48"/>
    </row>
    <row r="21" spans="2:24">
      <c r="B21" s="48" t="s">
        <v>1246</v>
      </c>
      <c r="C21" s="48">
        <v>21</v>
      </c>
      <c r="D21" s="48" t="s">
        <v>1943</v>
      </c>
      <c r="E21" s="95">
        <v>45492</v>
      </c>
      <c r="F21" s="48">
        <v>1</v>
      </c>
      <c r="G21" s="191" t="e" cm="1">
        <f t="array" ref="G21">SUM(IF(IF(G3:G20="null",1,G3:G20)=1,1,0))/COUNT(IF(G3:G20="null",1,1))</f>
        <v>#DIV/0!</v>
      </c>
      <c r="H21" s="48" t="s">
        <v>1257</v>
      </c>
      <c r="I21" s="48"/>
      <c r="J21" s="48"/>
      <c r="K21" s="48"/>
      <c r="L21" s="48"/>
      <c r="M21" s="48"/>
      <c r="N21" s="48"/>
      <c r="O21" s="48"/>
      <c r="P21" s="48"/>
      <c r="Q21" s="48"/>
      <c r="R21" s="48"/>
      <c r="S21" s="48"/>
      <c r="T21" s="48"/>
      <c r="U21" s="48"/>
      <c r="V21" s="48"/>
      <c r="W21" s="48"/>
    </row>
    <row r="22" spans="2:24">
      <c r="B22" s="48"/>
      <c r="C22" s="48"/>
      <c r="D22" s="48"/>
      <c r="E22" s="95"/>
      <c r="F22" s="48"/>
      <c r="G22" s="48"/>
      <c r="H22" s="48"/>
      <c r="I22" s="48"/>
      <c r="J22" s="48"/>
      <c r="K22" s="48"/>
      <c r="L22" s="48"/>
      <c r="M22" s="48"/>
      <c r="N22" s="48"/>
      <c r="O22" s="48"/>
      <c r="P22" s="48"/>
      <c r="Q22" s="48"/>
      <c r="R22" s="48"/>
      <c r="S22" s="48"/>
    </row>
    <row r="23" spans="2:24">
      <c r="B23" s="129" t="s">
        <v>1364</v>
      </c>
    </row>
    <row r="24" spans="2:24">
      <c r="B24" s="127" t="s">
        <v>1249</v>
      </c>
      <c r="C24" s="128" t="s">
        <v>1250</v>
      </c>
      <c r="D24" s="128" t="s">
        <v>1251</v>
      </c>
      <c r="E24" s="128" t="s">
        <v>1252</v>
      </c>
      <c r="F24" s="128" t="s">
        <v>1253</v>
      </c>
      <c r="G24" s="128" t="s">
        <v>1254</v>
      </c>
      <c r="H24" s="128" t="s">
        <v>1255</v>
      </c>
      <c r="I24" s="128" t="e" cm="1" vm="2">
        <f t="array" ref="I24">TRANSPOSE(_xlfn.SORTBY(_xlfn._xlws.FILTER(Table3[NOME FÍSICO CAMPO],Table3[NOME FÍSICO TABELA]="prepaid_card_account"), _xlfn._xlws.FILTER(Table3[ORDEM], Table3[NOME FÍSICO TABELA]="prepaid_card_account"), 1))</f>
        <v>#VALUE!</v>
      </c>
      <c r="J24" s="128"/>
      <c r="K24" s="128"/>
      <c r="L24" s="128"/>
      <c r="M24" s="128"/>
      <c r="N24" s="128"/>
      <c r="O24" s="128"/>
      <c r="P24" s="128"/>
      <c r="Q24" s="128"/>
      <c r="R24" s="128"/>
      <c r="S24" s="128"/>
      <c r="T24" s="128"/>
      <c r="U24" s="128"/>
      <c r="V24" s="128"/>
      <c r="W24" s="125"/>
      <c r="X24" s="215"/>
    </row>
    <row r="25" spans="2:24">
      <c r="B25" s="106" t="s">
        <v>1294</v>
      </c>
      <c r="C25" s="109">
        <v>21</v>
      </c>
      <c r="D25" s="103" t="s">
        <v>1295</v>
      </c>
      <c r="E25" s="102" t="s">
        <v>1296</v>
      </c>
      <c r="F25" s="102" t="s">
        <v>124</v>
      </c>
      <c r="G25" s="102" t="s">
        <v>124</v>
      </c>
      <c r="H25" s="102" t="s">
        <v>124</v>
      </c>
      <c r="I25" s="102" t="e" cm="1" vm="2">
        <f t="array" aca="1" ref="I25" ca="1">TRANSPOSE(_xlfn.SORTBY(_xlfn._xlws.FILTER(IF(Table3[FORMATO]:Table3[COMP_ CAMPO]&lt;&gt;"",Table3[FORMATO]:Table3[COMP_ CAMPO],9999999),Table3[NOME FÍSICO TABELA]="prepaid_card_account"), _xlfn._xlws.FILTER(Table3[ORDEM], Table3[NOME FÍSICO TABELA]="prepaid_card_account"), 1))</f>
        <v>#VALUE!</v>
      </c>
      <c r="J25" s="102"/>
      <c r="K25" s="102"/>
      <c r="L25" s="102"/>
      <c r="M25" s="102"/>
      <c r="N25" s="102"/>
      <c r="O25" s="102"/>
      <c r="P25" s="102"/>
      <c r="Q25" s="102"/>
      <c r="R25" s="102"/>
      <c r="S25" s="102"/>
      <c r="T25" s="102"/>
      <c r="U25" s="102"/>
      <c r="V25" s="102"/>
      <c r="W25" s="108"/>
    </row>
    <row r="26" spans="2:24">
      <c r="B26" s="106" t="s">
        <v>1297</v>
      </c>
      <c r="C26" s="109">
        <v>7</v>
      </c>
      <c r="D26" s="103" t="s">
        <v>1295</v>
      </c>
      <c r="E26" s="102" t="s">
        <v>1296</v>
      </c>
      <c r="F26" s="104" t="s">
        <v>124</v>
      </c>
      <c r="G26" s="104" t="s">
        <v>124</v>
      </c>
      <c r="H26" s="104" t="s">
        <v>124</v>
      </c>
      <c r="I26" s="150"/>
      <c r="J26" s="150"/>
      <c r="K26" s="150"/>
      <c r="L26" s="150"/>
      <c r="M26" s="150"/>
      <c r="N26" s="150"/>
      <c r="O26" s="150"/>
      <c r="P26" s="150"/>
      <c r="Q26" s="150"/>
      <c r="R26" s="150"/>
      <c r="S26" s="150"/>
      <c r="T26" s="150"/>
      <c r="U26" s="150"/>
      <c r="V26" s="150"/>
      <c r="W26" s="151"/>
      <c r="X26" s="94"/>
    </row>
    <row r="28" spans="2:24">
      <c r="B28" s="139" t="s">
        <v>1298</v>
      </c>
    </row>
    <row r="29" spans="2:24">
      <c r="B29" s="133" t="s">
        <v>1299</v>
      </c>
      <c r="C29" s="133" t="s">
        <v>1300</v>
      </c>
      <c r="D29" s="134" t="s">
        <v>1301</v>
      </c>
      <c r="E29" s="133" t="s">
        <v>1302</v>
      </c>
      <c r="F29" s="133" t="s">
        <v>1303</v>
      </c>
    </row>
    <row r="30" spans="2:24" ht="43.5">
      <c r="B30" s="117" t="s">
        <v>1304</v>
      </c>
      <c r="C30" s="116" t="s">
        <v>678</v>
      </c>
      <c r="D30" s="122" t="s">
        <v>1944</v>
      </c>
      <c r="E30" s="145" t="s">
        <v>1945</v>
      </c>
      <c r="F30" s="135" t="s">
        <v>1310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4.45"/>
  <cols>
    <col min="2" max="2" width="30.7109375" bestFit="1" customWidth="1"/>
    <col min="3" max="3" width="35"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0" width="32.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31.42578125" bestFit="1"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row r="2" spans="2:51">
      <c r="B2" s="77" t="s">
        <v>1249</v>
      </c>
      <c r="C2" s="77" t="s">
        <v>1250</v>
      </c>
      <c r="D2" s="77" t="s">
        <v>1251</v>
      </c>
      <c r="E2" s="77" t="s">
        <v>1252</v>
      </c>
      <c r="F2" s="77" t="s">
        <v>1253</v>
      </c>
      <c r="G2" s="77" t="s">
        <v>1254</v>
      </c>
      <c r="H2" s="77" t="s">
        <v>1255</v>
      </c>
      <c r="I2" s="77" t="s">
        <v>103</v>
      </c>
      <c r="J2" s="77" t="s">
        <v>134</v>
      </c>
      <c r="K2" s="77" t="s">
        <v>155</v>
      </c>
      <c r="L2" s="77" t="s">
        <v>162</v>
      </c>
      <c r="M2" s="77" t="s">
        <v>190</v>
      </c>
      <c r="N2" s="77" t="s">
        <v>176</v>
      </c>
      <c r="O2" s="77" t="s">
        <v>203</v>
      </c>
      <c r="P2" s="77" t="s">
        <v>1839</v>
      </c>
      <c r="Q2" s="77" t="s">
        <v>1840</v>
      </c>
      <c r="R2" s="77" t="s">
        <v>289</v>
      </c>
      <c r="S2" s="77" t="s">
        <v>299</v>
      </c>
      <c r="T2" s="77" t="s">
        <v>314</v>
      </c>
      <c r="U2" s="77" t="s">
        <v>389</v>
      </c>
      <c r="V2" s="77" t="s">
        <v>1946</v>
      </c>
      <c r="W2" s="77" t="s">
        <v>1947</v>
      </c>
      <c r="X2" s="77" t="s">
        <v>1948</v>
      </c>
      <c r="Y2" s="77" t="s">
        <v>1949</v>
      </c>
      <c r="Z2" s="77" t="s">
        <v>331</v>
      </c>
      <c r="AA2" s="77" t="s">
        <v>349</v>
      </c>
      <c r="AB2" s="77" t="s">
        <v>429</v>
      </c>
      <c r="AC2" s="77" t="s">
        <v>1950</v>
      </c>
      <c r="AD2" s="77" t="s">
        <v>453</v>
      </c>
      <c r="AE2" s="77" t="s">
        <v>468</v>
      </c>
      <c r="AF2" s="77" t="s">
        <v>482</v>
      </c>
      <c r="AG2" s="77" t="s">
        <v>512</v>
      </c>
      <c r="AH2" s="77" t="s">
        <v>1951</v>
      </c>
      <c r="AI2" s="77" t="s">
        <v>1952</v>
      </c>
      <c r="AJ2" s="77" t="s">
        <v>1953</v>
      </c>
      <c r="AK2" s="77" t="s">
        <v>1954</v>
      </c>
      <c r="AL2" s="77" t="s">
        <v>1955</v>
      </c>
      <c r="AM2" s="77" t="s">
        <v>521</v>
      </c>
      <c r="AN2" s="77" t="s">
        <v>1956</v>
      </c>
      <c r="AO2" s="77" t="s">
        <v>1957</v>
      </c>
      <c r="AP2" s="77" t="s">
        <v>1958</v>
      </c>
      <c r="AQ2" s="77" t="s">
        <v>608</v>
      </c>
      <c r="AR2" s="77" t="s">
        <v>617</v>
      </c>
      <c r="AS2" s="77" t="s">
        <v>652</v>
      </c>
      <c r="AT2" s="77" t="s">
        <v>1959</v>
      </c>
      <c r="AU2" s="77" t="s">
        <v>669</v>
      </c>
      <c r="AV2" s="77" t="s">
        <v>678</v>
      </c>
      <c r="AW2" s="77" t="s">
        <v>214</v>
      </c>
      <c r="AX2" s="77" t="s">
        <v>234</v>
      </c>
      <c r="AY2" s="77" t="s">
        <v>253</v>
      </c>
    </row>
    <row r="3" spans="2:51">
      <c r="B3" s="48" t="s">
        <v>1203</v>
      </c>
      <c r="C3" s="48">
        <v>1</v>
      </c>
      <c r="D3" s="48" t="s">
        <v>1960</v>
      </c>
      <c r="E3" s="95">
        <v>45485</v>
      </c>
      <c r="F3" s="48">
        <v>2</v>
      </c>
      <c r="G3" s="207" t="s">
        <v>1961</v>
      </c>
      <c r="H3" s="180" t="s">
        <v>1962</v>
      </c>
      <c r="I3" s="48" t="s">
        <v>1257</v>
      </c>
      <c r="J3" s="48" t="s">
        <v>1257</v>
      </c>
      <c r="K3" s="48" t="s">
        <v>1257</v>
      </c>
      <c r="L3" s="48" t="s">
        <v>1257</v>
      </c>
      <c r="M3" s="48" t="s">
        <v>1257</v>
      </c>
      <c r="N3" s="48" t="s">
        <v>1257</v>
      </c>
      <c r="O3" s="48" t="s">
        <v>1257</v>
      </c>
      <c r="P3" s="48" t="s">
        <v>1257</v>
      </c>
      <c r="Q3" s="48" t="s">
        <v>1257</v>
      </c>
      <c r="R3" s="48" t="s">
        <v>1257</v>
      </c>
      <c r="S3" s="48" t="s">
        <v>1257</v>
      </c>
      <c r="T3" s="48" t="s">
        <v>1257</v>
      </c>
      <c r="U3" s="48" t="s">
        <v>1257</v>
      </c>
      <c r="V3" s="48" t="s">
        <v>1257</v>
      </c>
      <c r="W3" s="48" t="s">
        <v>1257</v>
      </c>
      <c r="X3" s="48" t="s">
        <v>1257</v>
      </c>
      <c r="Y3" s="48" t="s">
        <v>1257</v>
      </c>
      <c r="Z3" s="48" t="s">
        <v>1257</v>
      </c>
      <c r="AA3" s="48" t="s">
        <v>1257</v>
      </c>
      <c r="AB3" s="48" t="s">
        <v>1257</v>
      </c>
      <c r="AC3" s="48" t="s">
        <v>1257</v>
      </c>
      <c r="AD3" s="48" t="s">
        <v>1257</v>
      </c>
      <c r="AE3" s="48" t="s">
        <v>1257</v>
      </c>
      <c r="AF3" s="48" t="s">
        <v>1257</v>
      </c>
      <c r="AG3" s="48" t="s">
        <v>1257</v>
      </c>
      <c r="AH3" s="48" t="s">
        <v>1257</v>
      </c>
      <c r="AI3" s="48" t="s">
        <v>1257</v>
      </c>
      <c r="AJ3" s="48" t="s">
        <v>1257</v>
      </c>
      <c r="AK3" s="48" t="s">
        <v>1257</v>
      </c>
      <c r="AL3" s="48" t="s">
        <v>1257</v>
      </c>
      <c r="AM3" s="48" t="s">
        <v>1257</v>
      </c>
      <c r="AN3" s="48" t="s">
        <v>1257</v>
      </c>
      <c r="AO3" s="48" t="s">
        <v>1257</v>
      </c>
      <c r="AP3" s="48" t="s">
        <v>1257</v>
      </c>
      <c r="AQ3" s="48" t="s">
        <v>1257</v>
      </c>
      <c r="AR3" s="48" t="s">
        <v>1257</v>
      </c>
      <c r="AS3" s="48" t="s">
        <v>1257</v>
      </c>
      <c r="AT3" s="48" t="s">
        <v>1257</v>
      </c>
      <c r="AU3" s="48" t="s">
        <v>1257</v>
      </c>
      <c r="AV3" s="48" t="s">
        <v>1257</v>
      </c>
      <c r="AW3" s="48" t="s">
        <v>1257</v>
      </c>
      <c r="AX3" s="48" t="s">
        <v>1257</v>
      </c>
      <c r="AY3" s="48" t="s">
        <v>1257</v>
      </c>
    </row>
    <row r="4" spans="2:51">
      <c r="B4" s="48" t="s">
        <v>1205</v>
      </c>
      <c r="C4" s="48">
        <v>2</v>
      </c>
      <c r="D4" s="48" t="s">
        <v>1963</v>
      </c>
      <c r="E4" s="95">
        <v>45485</v>
      </c>
      <c r="F4" s="48">
        <v>2</v>
      </c>
      <c r="G4" s="207">
        <v>1</v>
      </c>
      <c r="H4" s="48" t="s">
        <v>1266</v>
      </c>
      <c r="I4" s="48" t="s">
        <v>1257</v>
      </c>
      <c r="J4" s="48" t="s">
        <v>1257</v>
      </c>
      <c r="K4" s="48" t="s">
        <v>1257</v>
      </c>
      <c r="L4" s="48" t="s">
        <v>1257</v>
      </c>
      <c r="M4" s="48" t="s">
        <v>1257</v>
      </c>
      <c r="N4" s="48" t="s">
        <v>1257</v>
      </c>
      <c r="O4" s="48" t="s">
        <v>1257</v>
      </c>
      <c r="P4" s="48" t="s">
        <v>1257</v>
      </c>
      <c r="Q4" s="48" t="s">
        <v>1257</v>
      </c>
      <c r="R4" s="48" t="s">
        <v>1257</v>
      </c>
      <c r="S4" s="48" t="s">
        <v>1257</v>
      </c>
      <c r="T4" s="48" t="s">
        <v>1257</v>
      </c>
      <c r="U4" s="48" t="s">
        <v>1257</v>
      </c>
      <c r="V4" s="48" t="s">
        <v>1257</v>
      </c>
      <c r="W4" s="48" t="s">
        <v>1257</v>
      </c>
      <c r="X4" s="48" t="s">
        <v>1257</v>
      </c>
      <c r="Y4" s="48" t="s">
        <v>1257</v>
      </c>
      <c r="Z4" s="48" t="s">
        <v>1257</v>
      </c>
      <c r="AA4" s="48" t="s">
        <v>1257</v>
      </c>
      <c r="AB4" s="48" t="s">
        <v>1257</v>
      </c>
      <c r="AC4" s="48" t="s">
        <v>1257</v>
      </c>
      <c r="AD4" s="48" t="s">
        <v>1257</v>
      </c>
      <c r="AE4" s="48" t="s">
        <v>1257</v>
      </c>
      <c r="AF4" s="48" t="s">
        <v>1257</v>
      </c>
      <c r="AG4" s="48" t="s">
        <v>1257</v>
      </c>
      <c r="AH4" s="48" t="s">
        <v>1257</v>
      </c>
      <c r="AI4" s="48" t="s">
        <v>1257</v>
      </c>
      <c r="AJ4" s="48" t="s">
        <v>1257</v>
      </c>
      <c r="AK4" s="48" t="s">
        <v>1257</v>
      </c>
      <c r="AL4" s="48" t="s">
        <v>1257</v>
      </c>
      <c r="AM4" s="48" t="s">
        <v>1257</v>
      </c>
      <c r="AN4" s="48" t="s">
        <v>1257</v>
      </c>
      <c r="AO4" s="48" t="s">
        <v>1257</v>
      </c>
      <c r="AP4" s="48" t="s">
        <v>1257</v>
      </c>
      <c r="AQ4" s="48" t="s">
        <v>1257</v>
      </c>
      <c r="AR4" s="48" t="s">
        <v>1257</v>
      </c>
      <c r="AS4" s="48" t="s">
        <v>1257</v>
      </c>
      <c r="AT4" s="48" t="s">
        <v>1257</v>
      </c>
      <c r="AU4" s="48" t="s">
        <v>1257</v>
      </c>
      <c r="AV4" s="48" t="s">
        <v>1257</v>
      </c>
      <c r="AW4" s="48" t="s">
        <v>1257</v>
      </c>
      <c r="AX4" s="48" t="s">
        <v>1257</v>
      </c>
      <c r="AY4" s="48" t="s">
        <v>1257</v>
      </c>
    </row>
    <row r="5" spans="2:51">
      <c r="B5" s="48" t="s">
        <v>1207</v>
      </c>
      <c r="C5" s="48">
        <v>3</v>
      </c>
      <c r="D5" s="48" t="s">
        <v>1964</v>
      </c>
      <c r="E5" s="95">
        <v>45485</v>
      </c>
      <c r="F5" s="48">
        <v>2</v>
      </c>
      <c r="G5" s="207">
        <v>1</v>
      </c>
      <c r="H5" s="48" t="s">
        <v>1266</v>
      </c>
      <c r="I5" s="48">
        <v>0</v>
      </c>
      <c r="J5" s="48">
        <v>0</v>
      </c>
      <c r="K5" s="48" t="s">
        <v>1257</v>
      </c>
      <c r="L5" s="48" t="s">
        <v>1257</v>
      </c>
      <c r="M5" s="48" t="s">
        <v>1257</v>
      </c>
      <c r="N5" s="48" t="s">
        <v>1257</v>
      </c>
      <c r="O5" s="48" t="s">
        <v>1257</v>
      </c>
      <c r="P5" s="48" t="s">
        <v>1257</v>
      </c>
      <c r="Q5" s="48" t="s">
        <v>1257</v>
      </c>
      <c r="R5" s="48" t="s">
        <v>1257</v>
      </c>
      <c r="S5" s="48" t="s">
        <v>1257</v>
      </c>
      <c r="T5" s="48" t="s">
        <v>1257</v>
      </c>
      <c r="U5" s="48" t="s">
        <v>1257</v>
      </c>
      <c r="V5" s="48" t="s">
        <v>1257</v>
      </c>
      <c r="W5" s="48" t="s">
        <v>1257</v>
      </c>
      <c r="X5" s="48" t="s">
        <v>1257</v>
      </c>
      <c r="Y5" s="48" t="s">
        <v>1257</v>
      </c>
      <c r="Z5" s="48" t="s">
        <v>1257</v>
      </c>
      <c r="AA5" s="48" t="s">
        <v>1257</v>
      </c>
      <c r="AB5" s="48" t="s">
        <v>1257</v>
      </c>
      <c r="AC5" s="48" t="s">
        <v>1257</v>
      </c>
      <c r="AD5" s="48" t="s">
        <v>1257</v>
      </c>
      <c r="AE5" s="48" t="s">
        <v>1257</v>
      </c>
      <c r="AF5" s="48" t="s">
        <v>1257</v>
      </c>
      <c r="AG5" s="48" t="s">
        <v>1257</v>
      </c>
      <c r="AH5" s="48" t="s">
        <v>1257</v>
      </c>
      <c r="AI5" s="48" t="s">
        <v>1257</v>
      </c>
      <c r="AJ5" s="48" t="s">
        <v>1257</v>
      </c>
      <c r="AK5" s="48" t="s">
        <v>1257</v>
      </c>
      <c r="AL5" s="48" t="s">
        <v>1257</v>
      </c>
      <c r="AM5" s="48" t="s">
        <v>1257</v>
      </c>
      <c r="AN5" s="48" t="s">
        <v>1257</v>
      </c>
      <c r="AO5" s="48" t="s">
        <v>1257</v>
      </c>
      <c r="AP5" s="48" t="s">
        <v>1257</v>
      </c>
      <c r="AQ5" s="48" t="s">
        <v>1257</v>
      </c>
      <c r="AR5" s="48" t="s">
        <v>1257</v>
      </c>
      <c r="AS5" s="48" t="s">
        <v>1257</v>
      </c>
      <c r="AT5" s="48" t="s">
        <v>1257</v>
      </c>
      <c r="AU5" s="48" t="s">
        <v>1257</v>
      </c>
      <c r="AV5" s="48" t="s">
        <v>1257</v>
      </c>
      <c r="AW5" s="48" t="s">
        <v>1257</v>
      </c>
      <c r="AX5" s="48">
        <v>0</v>
      </c>
      <c r="AY5" s="48" t="s">
        <v>1257</v>
      </c>
    </row>
    <row r="6" spans="2:51">
      <c r="B6" s="97" t="s">
        <v>1209</v>
      </c>
      <c r="C6" s="48">
        <v>4</v>
      </c>
      <c r="D6" s="48" t="s">
        <v>1260</v>
      </c>
      <c r="E6" s="95" t="s">
        <v>1257</v>
      </c>
      <c r="F6" s="48">
        <v>2</v>
      </c>
      <c r="G6" s="95" t="s">
        <v>1257</v>
      </c>
      <c r="H6" s="48"/>
      <c r="I6" s="48" t="s">
        <v>1257</v>
      </c>
      <c r="J6" s="48" t="s">
        <v>1257</v>
      </c>
      <c r="K6" s="48" t="s">
        <v>1257</v>
      </c>
      <c r="L6" s="48" t="s">
        <v>1257</v>
      </c>
      <c r="M6" s="48" t="s">
        <v>1257</v>
      </c>
      <c r="N6" s="48" t="s">
        <v>1257</v>
      </c>
      <c r="O6" s="48" t="s">
        <v>1257</v>
      </c>
      <c r="P6" s="48" t="s">
        <v>1257</v>
      </c>
      <c r="Q6" s="48" t="s">
        <v>1257</v>
      </c>
      <c r="R6" s="48" t="s">
        <v>1257</v>
      </c>
      <c r="S6" s="48" t="s">
        <v>1257</v>
      </c>
      <c r="T6" s="48" t="s">
        <v>1257</v>
      </c>
      <c r="U6" s="48" t="s">
        <v>1257</v>
      </c>
      <c r="V6" s="48" t="s">
        <v>1257</v>
      </c>
      <c r="W6" s="48" t="s">
        <v>1257</v>
      </c>
      <c r="X6" s="48" t="s">
        <v>1257</v>
      </c>
      <c r="Y6" s="48" t="s">
        <v>1257</v>
      </c>
      <c r="Z6" s="48" t="s">
        <v>1257</v>
      </c>
      <c r="AA6" s="48" t="s">
        <v>1257</v>
      </c>
      <c r="AB6" s="48" t="s">
        <v>1257</v>
      </c>
      <c r="AC6" s="48" t="s">
        <v>1257</v>
      </c>
      <c r="AD6" s="48" t="s">
        <v>1257</v>
      </c>
      <c r="AE6" s="48" t="s">
        <v>1257</v>
      </c>
      <c r="AF6" s="48" t="s">
        <v>1257</v>
      </c>
      <c r="AG6" s="48" t="s">
        <v>1257</v>
      </c>
      <c r="AH6" s="48" t="s">
        <v>1257</v>
      </c>
      <c r="AI6" s="48" t="s">
        <v>1257</v>
      </c>
      <c r="AJ6" s="48" t="s">
        <v>1257</v>
      </c>
      <c r="AK6" s="48" t="s">
        <v>1257</v>
      </c>
      <c r="AL6" s="48" t="s">
        <v>1257</v>
      </c>
      <c r="AM6" s="48" t="s">
        <v>1257</v>
      </c>
      <c r="AN6" s="48" t="s">
        <v>1257</v>
      </c>
      <c r="AO6" s="48" t="s">
        <v>1257</v>
      </c>
      <c r="AP6" s="48" t="s">
        <v>1257</v>
      </c>
      <c r="AQ6" s="48" t="s">
        <v>1257</v>
      </c>
      <c r="AR6" s="48" t="s">
        <v>1257</v>
      </c>
      <c r="AS6" s="48" t="s">
        <v>1257</v>
      </c>
      <c r="AT6" s="48" t="s">
        <v>1257</v>
      </c>
      <c r="AU6" s="48" t="s">
        <v>1257</v>
      </c>
      <c r="AV6" s="48" t="s">
        <v>1257</v>
      </c>
      <c r="AW6" s="48" t="s">
        <v>1257</v>
      </c>
      <c r="AX6" s="48" t="s">
        <v>1257</v>
      </c>
      <c r="AY6" s="48" t="s">
        <v>1257</v>
      </c>
    </row>
    <row r="7" spans="2:51">
      <c r="B7" s="48" t="s">
        <v>1211</v>
      </c>
      <c r="C7" s="48">
        <v>5</v>
      </c>
      <c r="D7" s="48" t="s">
        <v>1260</v>
      </c>
      <c r="E7" s="95" t="s">
        <v>1257</v>
      </c>
      <c r="F7" s="48">
        <v>2</v>
      </c>
      <c r="G7" s="95" t="s">
        <v>1257</v>
      </c>
      <c r="H7" s="48"/>
      <c r="I7" s="48" t="s">
        <v>1257</v>
      </c>
      <c r="J7" s="48" t="s">
        <v>1257</v>
      </c>
      <c r="K7" s="48" t="s">
        <v>1257</v>
      </c>
      <c r="L7" s="48" t="s">
        <v>1257</v>
      </c>
      <c r="M7" s="48" t="s">
        <v>1257</v>
      </c>
      <c r="N7" s="48" t="s">
        <v>1257</v>
      </c>
      <c r="O7" s="48" t="s">
        <v>1257</v>
      </c>
      <c r="P7" s="48" t="s">
        <v>1257</v>
      </c>
      <c r="Q7" s="48" t="s">
        <v>1257</v>
      </c>
      <c r="R7" s="48" t="s">
        <v>1257</v>
      </c>
      <c r="S7" s="48" t="s">
        <v>1257</v>
      </c>
      <c r="T7" s="48" t="s">
        <v>1257</v>
      </c>
      <c r="U7" s="48" t="s">
        <v>1257</v>
      </c>
      <c r="V7" s="48" t="s">
        <v>1257</v>
      </c>
      <c r="W7" s="48" t="s">
        <v>1257</v>
      </c>
      <c r="X7" s="48" t="s">
        <v>1257</v>
      </c>
      <c r="Y7" s="48" t="s">
        <v>1257</v>
      </c>
      <c r="Z7" s="48" t="s">
        <v>1257</v>
      </c>
      <c r="AA7" s="48" t="s">
        <v>1257</v>
      </c>
      <c r="AB7" s="48" t="s">
        <v>1257</v>
      </c>
      <c r="AC7" s="48" t="s">
        <v>1257</v>
      </c>
      <c r="AD7" s="48" t="s">
        <v>1257</v>
      </c>
      <c r="AE7" s="48" t="s">
        <v>1257</v>
      </c>
      <c r="AF7" s="48" t="s">
        <v>1257</v>
      </c>
      <c r="AG7" s="48" t="s">
        <v>1257</v>
      </c>
      <c r="AH7" s="48" t="s">
        <v>1257</v>
      </c>
      <c r="AI7" s="48" t="s">
        <v>1257</v>
      </c>
      <c r="AJ7" s="48" t="s">
        <v>1257</v>
      </c>
      <c r="AK7" s="48" t="s">
        <v>1257</v>
      </c>
      <c r="AL7" s="48" t="s">
        <v>1257</v>
      </c>
      <c r="AM7" s="48" t="s">
        <v>1257</v>
      </c>
      <c r="AN7" s="48" t="s">
        <v>1257</v>
      </c>
      <c r="AO7" s="48" t="s">
        <v>1257</v>
      </c>
      <c r="AP7" s="48" t="s">
        <v>1257</v>
      </c>
      <c r="AQ7" s="48" t="s">
        <v>1257</v>
      </c>
      <c r="AR7" s="48" t="s">
        <v>1257</v>
      </c>
      <c r="AS7" s="48" t="s">
        <v>1257</v>
      </c>
      <c r="AT7" s="48" t="s">
        <v>1257</v>
      </c>
      <c r="AU7" s="48" t="s">
        <v>1257</v>
      </c>
      <c r="AV7" s="48" t="s">
        <v>1257</v>
      </c>
      <c r="AW7" s="48" t="s">
        <v>1257</v>
      </c>
      <c r="AX7" s="48" t="s">
        <v>1257</v>
      </c>
      <c r="AY7" s="48" t="s">
        <v>1257</v>
      </c>
    </row>
    <row r="8" spans="2:51">
      <c r="B8" s="97" t="s">
        <v>1212</v>
      </c>
      <c r="C8" s="48">
        <v>6</v>
      </c>
      <c r="D8" s="48" t="s">
        <v>1965</v>
      </c>
      <c r="E8" s="95">
        <v>45485</v>
      </c>
      <c r="F8" s="48">
        <v>2</v>
      </c>
      <c r="G8" s="207" cm="1">
        <f t="array" ref="G8">SUMPRODUCT(--(I8:AY8&gt;0))/COUNTA(I8:AY8)</f>
        <v>1</v>
      </c>
      <c r="H8" s="48" t="s">
        <v>1266</v>
      </c>
      <c r="I8" s="48">
        <v>2</v>
      </c>
      <c r="J8" s="48">
        <v>30</v>
      </c>
      <c r="K8" s="48">
        <v>3</v>
      </c>
      <c r="L8" s="48">
        <v>3</v>
      </c>
      <c r="M8" s="48">
        <v>3</v>
      </c>
      <c r="N8" s="48">
        <v>2</v>
      </c>
      <c r="O8" s="48">
        <v>4</v>
      </c>
      <c r="P8" s="48">
        <v>2</v>
      </c>
      <c r="Q8" s="48">
        <v>4</v>
      </c>
      <c r="R8" s="48">
        <v>10</v>
      </c>
      <c r="S8" s="48">
        <v>10</v>
      </c>
      <c r="T8" s="48">
        <v>3</v>
      </c>
      <c r="U8" s="48">
        <v>1</v>
      </c>
      <c r="V8" s="48">
        <v>1</v>
      </c>
      <c r="W8" s="48">
        <v>4</v>
      </c>
      <c r="X8" s="48">
        <v>4</v>
      </c>
      <c r="Y8" s="48">
        <v>1</v>
      </c>
      <c r="Z8" s="48">
        <v>8</v>
      </c>
      <c r="AA8" s="48">
        <v>8</v>
      </c>
      <c r="AB8" s="48">
        <v>8</v>
      </c>
      <c r="AC8" s="48">
        <v>8</v>
      </c>
      <c r="AD8" s="48">
        <v>8</v>
      </c>
      <c r="AE8" s="48">
        <v>8</v>
      </c>
      <c r="AF8" s="48">
        <v>8</v>
      </c>
      <c r="AG8" s="48">
        <v>4</v>
      </c>
      <c r="AH8" s="48">
        <v>4</v>
      </c>
      <c r="AI8" s="48">
        <v>4</v>
      </c>
      <c r="AJ8" s="48">
        <v>4</v>
      </c>
      <c r="AK8" s="48">
        <v>4</v>
      </c>
      <c r="AL8" s="48">
        <v>4</v>
      </c>
      <c r="AM8" s="48">
        <v>4</v>
      </c>
      <c r="AN8" s="48">
        <v>4</v>
      </c>
      <c r="AO8" s="48">
        <v>1</v>
      </c>
      <c r="AP8" s="48">
        <v>3</v>
      </c>
      <c r="AQ8" s="48">
        <v>8</v>
      </c>
      <c r="AR8" s="48">
        <v>3</v>
      </c>
      <c r="AS8" s="48">
        <v>8</v>
      </c>
      <c r="AT8" s="48">
        <v>1</v>
      </c>
      <c r="AU8" s="48">
        <v>3</v>
      </c>
      <c r="AV8" s="48">
        <v>3</v>
      </c>
      <c r="AW8" s="48">
        <v>2</v>
      </c>
      <c r="AX8" s="48">
        <v>10</v>
      </c>
      <c r="AY8" s="48">
        <v>23</v>
      </c>
    </row>
    <row r="9" spans="2:51">
      <c r="B9" s="48" t="s">
        <v>1215</v>
      </c>
      <c r="C9" s="48">
        <v>7</v>
      </c>
      <c r="D9" s="48" t="s">
        <v>1966</v>
      </c>
      <c r="E9" s="95">
        <v>45485</v>
      </c>
      <c r="F9" s="48">
        <v>2</v>
      </c>
      <c r="G9" s="207" t="e" cm="1">
        <f t="array" ref="G9">SUMPRODUCT(--(I9:AY9&lt;=I26:AY26))/COUNTA(I26:AY26)</f>
        <v>#DIV/0!</v>
      </c>
      <c r="H9" s="48" t="s">
        <v>1266</v>
      </c>
      <c r="I9" s="48">
        <v>2</v>
      </c>
      <c r="J9" s="48">
        <v>30</v>
      </c>
      <c r="K9" s="48">
        <v>3</v>
      </c>
      <c r="L9" s="48">
        <v>3</v>
      </c>
      <c r="M9" s="48">
        <v>3</v>
      </c>
      <c r="N9" s="48">
        <v>4</v>
      </c>
      <c r="O9" s="48">
        <v>30</v>
      </c>
      <c r="P9" s="48">
        <v>4</v>
      </c>
      <c r="Q9" s="48">
        <v>15</v>
      </c>
      <c r="R9" s="48">
        <v>10</v>
      </c>
      <c r="S9" s="48">
        <v>10</v>
      </c>
      <c r="T9" s="48">
        <v>3</v>
      </c>
      <c r="U9" s="48">
        <v>1</v>
      </c>
      <c r="V9" s="48">
        <v>4</v>
      </c>
      <c r="W9" s="48">
        <v>11</v>
      </c>
      <c r="X9" s="48">
        <v>10</v>
      </c>
      <c r="Y9" s="48">
        <v>4</v>
      </c>
      <c r="Z9" s="48">
        <v>13</v>
      </c>
      <c r="AA9" s="48">
        <v>13</v>
      </c>
      <c r="AB9" s="48">
        <v>13</v>
      </c>
      <c r="AC9" s="48">
        <v>12</v>
      </c>
      <c r="AD9" s="48">
        <v>11</v>
      </c>
      <c r="AE9" s="48">
        <v>12</v>
      </c>
      <c r="AF9" s="48">
        <v>12</v>
      </c>
      <c r="AG9" s="48">
        <v>4</v>
      </c>
      <c r="AH9" s="48">
        <v>11</v>
      </c>
      <c r="AI9" s="48">
        <v>10</v>
      </c>
      <c r="AJ9" s="48">
        <v>11</v>
      </c>
      <c r="AK9" s="48">
        <v>10</v>
      </c>
      <c r="AL9" s="48">
        <v>12</v>
      </c>
      <c r="AM9" s="48">
        <v>10</v>
      </c>
      <c r="AN9" s="48">
        <v>12</v>
      </c>
      <c r="AO9" s="48">
        <v>4</v>
      </c>
      <c r="AP9" s="48">
        <v>3</v>
      </c>
      <c r="AQ9" s="48">
        <v>9</v>
      </c>
      <c r="AR9" s="48">
        <v>3</v>
      </c>
      <c r="AS9" s="48">
        <v>9</v>
      </c>
      <c r="AT9" s="48">
        <v>1</v>
      </c>
      <c r="AU9" s="48">
        <v>3</v>
      </c>
      <c r="AV9" s="48">
        <v>3</v>
      </c>
      <c r="AW9" s="48">
        <v>2</v>
      </c>
      <c r="AX9" s="48">
        <v>10</v>
      </c>
      <c r="AY9" s="48">
        <v>23</v>
      </c>
    </row>
    <row r="10" spans="2:51">
      <c r="B10" s="48" t="s">
        <v>1218</v>
      </c>
      <c r="C10" s="48">
        <v>8</v>
      </c>
      <c r="D10" s="48" t="s">
        <v>1967</v>
      </c>
      <c r="E10" s="95">
        <v>45485</v>
      </c>
      <c r="F10" s="48">
        <v>2</v>
      </c>
      <c r="G10" s="95" t="s">
        <v>1257</v>
      </c>
      <c r="H10" s="48" t="s">
        <v>1266</v>
      </c>
      <c r="I10" s="48">
        <v>31</v>
      </c>
      <c r="J10" s="48">
        <v>3.1101216902910999E+26</v>
      </c>
      <c r="K10" s="48" t="s">
        <v>1968</v>
      </c>
      <c r="L10" s="48">
        <v>11</v>
      </c>
      <c r="M10" s="48" t="s">
        <v>1909</v>
      </c>
      <c r="N10" s="95" t="e">
        <v>#N/A</v>
      </c>
      <c r="O10" s="48" t="e">
        <v>#N/A</v>
      </c>
      <c r="P10" s="95" t="e">
        <v>#N/A</v>
      </c>
      <c r="Q10" s="95" t="e">
        <v>#N/A</v>
      </c>
      <c r="R10" s="95">
        <v>35711</v>
      </c>
      <c r="S10" s="98">
        <v>39366</v>
      </c>
      <c r="T10" s="48">
        <v>978</v>
      </c>
      <c r="U10" s="48">
        <v>0</v>
      </c>
      <c r="V10" s="48" t="e">
        <v>#N/A</v>
      </c>
      <c r="W10" s="48" t="e">
        <v>#N/A</v>
      </c>
      <c r="X10" s="48" t="e">
        <v>#N/A</v>
      </c>
      <c r="Y10" s="48" t="e">
        <v>#N/A</v>
      </c>
      <c r="Z10" s="48" t="s">
        <v>1266</v>
      </c>
      <c r="AA10" s="48" t="s">
        <v>1266</v>
      </c>
      <c r="AB10" s="48" t="s">
        <v>1266</v>
      </c>
      <c r="AC10" s="98">
        <v>-8696880000</v>
      </c>
      <c r="AD10" s="48" t="s">
        <v>1266</v>
      </c>
      <c r="AE10" s="98">
        <v>-199340000</v>
      </c>
      <c r="AF10" s="48" t="s">
        <v>1266</v>
      </c>
      <c r="AG10" s="48" t="e">
        <v>#N/A</v>
      </c>
      <c r="AH10" s="48" t="e">
        <v>#N/A</v>
      </c>
      <c r="AI10" s="48" t="e">
        <v>#N/A</v>
      </c>
      <c r="AJ10" s="98" t="e">
        <v>#N/A</v>
      </c>
      <c r="AK10" s="48" t="e">
        <v>#N/A</v>
      </c>
      <c r="AL10" s="48" t="e">
        <v>#N/A</v>
      </c>
      <c r="AM10" s="48" t="e">
        <v>#N/A</v>
      </c>
      <c r="AN10" s="48" t="e">
        <v>#N/A</v>
      </c>
      <c r="AO10" s="48" t="e">
        <v>#N/A</v>
      </c>
      <c r="AP10" s="48" t="s">
        <v>1969</v>
      </c>
      <c r="AQ10" s="48" t="s">
        <v>1266</v>
      </c>
      <c r="AR10" s="48" t="s">
        <v>1969</v>
      </c>
      <c r="AS10" s="48" t="s">
        <v>1266</v>
      </c>
      <c r="AT10" s="48">
        <v>0</v>
      </c>
      <c r="AU10" s="48" t="s">
        <v>1267</v>
      </c>
      <c r="AV10" s="48" t="s">
        <v>1970</v>
      </c>
      <c r="AW10" s="48" t="s">
        <v>1402</v>
      </c>
      <c r="AX10" s="95">
        <v>45503</v>
      </c>
      <c r="AY10" s="48" t="s">
        <v>1971</v>
      </c>
    </row>
    <row r="11" spans="2:51">
      <c r="B11" s="48" t="s">
        <v>1220</v>
      </c>
      <c r="C11" s="48">
        <v>9</v>
      </c>
      <c r="D11" s="48" t="s">
        <v>1972</v>
      </c>
      <c r="E11" s="95">
        <v>45485</v>
      </c>
      <c r="F11" s="48">
        <v>2</v>
      </c>
      <c r="G11" s="95" t="s">
        <v>1257</v>
      </c>
      <c r="H11" s="48" t="s">
        <v>1266</v>
      </c>
      <c r="I11" s="48">
        <v>31</v>
      </c>
      <c r="J11" s="48">
        <v>3.1101216902910999E+26</v>
      </c>
      <c r="K11" s="48"/>
      <c r="L11" s="48">
        <v>11</v>
      </c>
      <c r="M11" s="48" t="s">
        <v>1909</v>
      </c>
      <c r="N11" s="95"/>
      <c r="O11" s="48" t="e">
        <v>#N/A</v>
      </c>
      <c r="P11" s="48"/>
      <c r="Q11" s="48" t="e">
        <v>#N/A</v>
      </c>
      <c r="R11" s="95">
        <v>35711</v>
      </c>
      <c r="S11" s="95">
        <v>39366</v>
      </c>
      <c r="T11" s="48">
        <v>978</v>
      </c>
      <c r="U11" s="48">
        <v>0</v>
      </c>
      <c r="V11" s="48" t="e">
        <v>#N/A</v>
      </c>
      <c r="W11" s="48">
        <v>0</v>
      </c>
      <c r="X11" s="48" t="s">
        <v>1973</v>
      </c>
      <c r="Y11" s="48">
        <v>3</v>
      </c>
      <c r="Z11" s="48">
        <v>0</v>
      </c>
      <c r="AA11" s="48">
        <v>0</v>
      </c>
      <c r="AB11" s="98" t="s">
        <v>1266</v>
      </c>
      <c r="AC11" s="48" t="s">
        <v>1974</v>
      </c>
      <c r="AD11" s="98" t="s">
        <v>1266</v>
      </c>
      <c r="AE11" s="98">
        <v>-199340000</v>
      </c>
      <c r="AF11" s="48" t="s">
        <v>1266</v>
      </c>
      <c r="AG11" s="48" t="e">
        <v>#N/A</v>
      </c>
      <c r="AH11" s="48" t="s">
        <v>1266</v>
      </c>
      <c r="AI11" s="48" t="e">
        <v>#N/A</v>
      </c>
      <c r="AJ11" s="98">
        <v>5300000</v>
      </c>
      <c r="AK11" s="48" t="e">
        <v>#N/A</v>
      </c>
      <c r="AL11" s="48" t="s">
        <v>1266</v>
      </c>
      <c r="AM11" s="48" t="e">
        <v>#N/A</v>
      </c>
      <c r="AN11" s="48" t="s">
        <v>1266</v>
      </c>
      <c r="AO11" s="48">
        <v>1</v>
      </c>
      <c r="AP11" s="48" t="e">
        <v>#N/A</v>
      </c>
      <c r="AQ11" s="48" t="s">
        <v>1973</v>
      </c>
      <c r="AR11" s="48" t="e">
        <v>#N/A</v>
      </c>
      <c r="AS11" s="48" t="s">
        <v>1973</v>
      </c>
      <c r="AT11" s="48">
        <v>0</v>
      </c>
      <c r="AU11" s="48">
        <v>0</v>
      </c>
      <c r="AV11" s="48" t="s">
        <v>1272</v>
      </c>
      <c r="AW11" s="48" t="s">
        <v>1402</v>
      </c>
      <c r="AX11" s="95">
        <v>45503</v>
      </c>
      <c r="AY11" s="48" t="s">
        <v>1975</v>
      </c>
    </row>
    <row r="12" spans="2:51">
      <c r="B12" s="97" t="s">
        <v>1222</v>
      </c>
      <c r="C12" s="48">
        <v>10</v>
      </c>
      <c r="D12" s="48" t="s">
        <v>1976</v>
      </c>
      <c r="E12" s="95">
        <v>45485</v>
      </c>
      <c r="F12" s="48">
        <v>2</v>
      </c>
      <c r="G12" s="95" t="s">
        <v>1257</v>
      </c>
      <c r="H12" s="48" t="s">
        <v>1266</v>
      </c>
      <c r="I12" s="48">
        <v>31</v>
      </c>
      <c r="J12" s="183">
        <v>5.1317900200110001E+27</v>
      </c>
      <c r="K12" s="48" t="s">
        <v>1968</v>
      </c>
      <c r="L12" s="48">
        <v>29</v>
      </c>
      <c r="M12" s="95" t="s">
        <v>1914</v>
      </c>
      <c r="N12" s="95">
        <v>31</v>
      </c>
      <c r="O12" s="98">
        <v>9.9999999999999903E+29</v>
      </c>
      <c r="P12" s="191">
        <v>31</v>
      </c>
      <c r="Q12" s="95">
        <v>5131790020011</v>
      </c>
      <c r="R12" s="95">
        <v>45504</v>
      </c>
      <c r="S12" s="156" t="s">
        <v>1977</v>
      </c>
      <c r="T12" s="48">
        <v>978</v>
      </c>
      <c r="U12" s="48">
        <v>1</v>
      </c>
      <c r="V12" s="48">
        <v>3</v>
      </c>
      <c r="W12" s="98">
        <v>93000000</v>
      </c>
      <c r="X12" s="98">
        <v>95000000</v>
      </c>
      <c r="Y12" s="48">
        <v>9</v>
      </c>
      <c r="Z12" s="95">
        <v>500000000000</v>
      </c>
      <c r="AA12" s="95">
        <v>500000000000</v>
      </c>
      <c r="AB12" s="98">
        <v>494947820000</v>
      </c>
      <c r="AC12" s="98">
        <v>69623160000</v>
      </c>
      <c r="AD12" s="98">
        <v>9727520000</v>
      </c>
      <c r="AE12" s="98">
        <v>67544900000</v>
      </c>
      <c r="AF12" s="98">
        <v>20457260000</v>
      </c>
      <c r="AG12" s="95" t="e">
        <v>#N/A</v>
      </c>
      <c r="AH12" s="98">
        <v>998700000</v>
      </c>
      <c r="AI12" s="95">
        <v>45504</v>
      </c>
      <c r="AJ12" s="98">
        <v>998700000</v>
      </c>
      <c r="AK12" s="95">
        <v>45504</v>
      </c>
      <c r="AL12" s="98">
        <v>9998590000</v>
      </c>
      <c r="AM12" s="95">
        <v>45504</v>
      </c>
      <c r="AN12" s="98">
        <v>9999300000</v>
      </c>
      <c r="AO12" s="48">
        <v>9</v>
      </c>
      <c r="AP12" s="48" t="s">
        <v>1969</v>
      </c>
      <c r="AQ12" s="98">
        <v>28000000</v>
      </c>
      <c r="AR12" s="48" t="s">
        <v>1969</v>
      </c>
      <c r="AS12" s="98">
        <v>28000000</v>
      </c>
      <c r="AT12" s="48">
        <v>1</v>
      </c>
      <c r="AU12" s="48" t="s">
        <v>1276</v>
      </c>
      <c r="AV12" s="48" t="s">
        <v>1978</v>
      </c>
      <c r="AW12" s="48" t="s">
        <v>1277</v>
      </c>
      <c r="AX12" s="95">
        <v>45503</v>
      </c>
      <c r="AY12" s="48" t="s">
        <v>1971</v>
      </c>
    </row>
    <row r="13" spans="2:51">
      <c r="B13" s="48" t="s">
        <v>1224</v>
      </c>
      <c r="C13" s="48">
        <v>11</v>
      </c>
      <c r="D13" s="48" t="s">
        <v>1979</v>
      </c>
      <c r="E13" s="95">
        <v>45485</v>
      </c>
      <c r="F13" s="48">
        <v>2</v>
      </c>
      <c r="G13" s="95" t="s">
        <v>1257</v>
      </c>
      <c r="H13" s="48" t="s">
        <v>1266</v>
      </c>
      <c r="I13" s="48">
        <v>31</v>
      </c>
      <c r="J13" s="183">
        <v>5.1317900200110001E+27</v>
      </c>
      <c r="K13" s="48"/>
      <c r="L13" s="48">
        <v>29</v>
      </c>
      <c r="M13" s="95" t="s">
        <v>1914</v>
      </c>
      <c r="N13" s="95">
        <v>31</v>
      </c>
      <c r="O13" s="98">
        <v>9.9999999999999903E+29</v>
      </c>
      <c r="P13" s="95">
        <v>31</v>
      </c>
      <c r="Q13" s="48">
        <v>5131790020011</v>
      </c>
      <c r="R13" s="95">
        <v>45504</v>
      </c>
      <c r="S13" s="95">
        <v>2958465</v>
      </c>
      <c r="T13" s="48" t="s">
        <v>1275</v>
      </c>
      <c r="U13" s="48">
        <v>1</v>
      </c>
      <c r="V13" s="48">
        <v>3</v>
      </c>
      <c r="W13" s="48">
        <v>93</v>
      </c>
      <c r="X13" s="48" t="s">
        <v>1980</v>
      </c>
      <c r="Y13" s="98">
        <v>36</v>
      </c>
      <c r="Z13" s="95" t="s">
        <v>1981</v>
      </c>
      <c r="AA13" s="95" t="s">
        <v>1981</v>
      </c>
      <c r="AB13" s="98">
        <v>494947820000</v>
      </c>
      <c r="AC13" s="48" t="s">
        <v>1982</v>
      </c>
      <c r="AD13" s="98">
        <v>9727520000</v>
      </c>
      <c r="AE13" s="98">
        <v>67544900000</v>
      </c>
      <c r="AF13" s="98">
        <v>20457260000</v>
      </c>
      <c r="AG13" s="95" t="e">
        <v>#N/A</v>
      </c>
      <c r="AH13" s="98">
        <v>2096690000</v>
      </c>
      <c r="AI13" s="98">
        <v>45488</v>
      </c>
      <c r="AJ13" s="98">
        <v>2093980000</v>
      </c>
      <c r="AK13" s="48" t="e">
        <v>#N/A</v>
      </c>
      <c r="AL13" s="98" t="s">
        <v>1266</v>
      </c>
      <c r="AM13" s="95">
        <v>45504</v>
      </c>
      <c r="AN13" s="98">
        <v>2093980000</v>
      </c>
      <c r="AO13" s="98">
        <v>36</v>
      </c>
      <c r="AP13" s="48" t="s">
        <v>1969</v>
      </c>
      <c r="AQ13" s="48" t="s">
        <v>1983</v>
      </c>
      <c r="AR13" s="48" t="s">
        <v>1969</v>
      </c>
      <c r="AS13" s="48" t="s">
        <v>1983</v>
      </c>
      <c r="AT13" s="48">
        <v>1</v>
      </c>
      <c r="AU13" s="48" t="s">
        <v>1984</v>
      </c>
      <c r="AV13" s="48" t="s">
        <v>1272</v>
      </c>
      <c r="AW13" s="48" t="s">
        <v>1277</v>
      </c>
      <c r="AX13" s="95">
        <v>45503</v>
      </c>
      <c r="AY13" s="48" t="s">
        <v>1985</v>
      </c>
    </row>
    <row r="14" spans="2:51">
      <c r="B14" s="48" t="s">
        <v>1226</v>
      </c>
      <c r="C14" s="48">
        <v>12</v>
      </c>
      <c r="D14" s="48" t="s">
        <v>1986</v>
      </c>
      <c r="E14" s="95">
        <v>45485</v>
      </c>
      <c r="F14" s="48">
        <v>2</v>
      </c>
      <c r="G14" s="207" t="s">
        <v>1987</v>
      </c>
      <c r="H14" s="48" t="s">
        <v>1266</v>
      </c>
      <c r="I14" s="48">
        <v>0</v>
      </c>
      <c r="J14" s="48">
        <v>0</v>
      </c>
      <c r="K14" s="48">
        <v>0</v>
      </c>
      <c r="L14" s="48">
        <v>0</v>
      </c>
      <c r="M14" s="48">
        <v>0</v>
      </c>
      <c r="N14" s="48">
        <v>0</v>
      </c>
      <c r="O14" s="48">
        <v>0</v>
      </c>
      <c r="P14" s="48">
        <v>0</v>
      </c>
      <c r="Q14" s="48">
        <v>0</v>
      </c>
      <c r="R14" s="48">
        <v>0</v>
      </c>
      <c r="S14" s="48">
        <v>0</v>
      </c>
      <c r="T14" s="48">
        <v>0</v>
      </c>
      <c r="U14" s="48">
        <v>0</v>
      </c>
      <c r="V14" s="48">
        <v>0</v>
      </c>
      <c r="W14" s="48">
        <v>0</v>
      </c>
      <c r="X14" s="48">
        <v>0</v>
      </c>
      <c r="Y14" s="48">
        <v>0</v>
      </c>
      <c r="Z14" s="48">
        <v>0</v>
      </c>
      <c r="AA14" s="48">
        <v>0</v>
      </c>
      <c r="AB14" s="48">
        <v>168835</v>
      </c>
      <c r="AC14" s="48">
        <v>0</v>
      </c>
      <c r="AD14" s="48">
        <v>760260</v>
      </c>
      <c r="AE14" s="48">
        <v>0</v>
      </c>
      <c r="AF14" s="48">
        <v>0</v>
      </c>
      <c r="AG14" s="48">
        <v>789515</v>
      </c>
      <c r="AH14" s="48">
        <v>0</v>
      </c>
      <c r="AI14" s="48">
        <v>98683</v>
      </c>
      <c r="AJ14" s="48">
        <v>772125</v>
      </c>
      <c r="AK14" s="48">
        <v>599336</v>
      </c>
      <c r="AL14" s="48">
        <v>599336</v>
      </c>
      <c r="AM14" s="48">
        <v>384042</v>
      </c>
      <c r="AN14" s="48">
        <v>384042</v>
      </c>
      <c r="AO14" s="48">
        <v>3404</v>
      </c>
      <c r="AP14" s="48">
        <v>504</v>
      </c>
      <c r="AQ14" s="48">
        <v>504</v>
      </c>
      <c r="AR14" s="48">
        <v>504</v>
      </c>
      <c r="AS14" s="48">
        <v>504</v>
      </c>
      <c r="AT14" s="48">
        <v>0</v>
      </c>
      <c r="AU14" s="48">
        <v>20794</v>
      </c>
      <c r="AV14" s="48">
        <v>242895</v>
      </c>
      <c r="AW14" s="48">
        <v>0</v>
      </c>
      <c r="AX14" s="48">
        <v>0</v>
      </c>
      <c r="AY14" s="48">
        <v>0</v>
      </c>
    </row>
    <row r="15" spans="2:51">
      <c r="B15" s="48" t="s">
        <v>1228</v>
      </c>
      <c r="C15" s="48">
        <v>13</v>
      </c>
      <c r="D15" s="48" t="s">
        <v>1988</v>
      </c>
      <c r="E15" s="95">
        <v>45485</v>
      </c>
      <c r="F15" s="48">
        <v>2</v>
      </c>
      <c r="G15" s="207">
        <v>1</v>
      </c>
      <c r="H15" s="48" t="s">
        <v>1266</v>
      </c>
      <c r="I15" s="48" t="s">
        <v>1257</v>
      </c>
      <c r="J15" s="48" t="s">
        <v>1257</v>
      </c>
      <c r="K15" s="48" t="s">
        <v>1257</v>
      </c>
      <c r="L15" s="48" t="s">
        <v>1257</v>
      </c>
      <c r="M15" s="48" t="s">
        <v>1257</v>
      </c>
      <c r="N15" s="48" t="s">
        <v>1257</v>
      </c>
      <c r="O15" s="48" t="s">
        <v>1257</v>
      </c>
      <c r="P15" s="48" t="s">
        <v>1257</v>
      </c>
      <c r="Q15" s="48" t="s">
        <v>1257</v>
      </c>
      <c r="R15" s="48">
        <v>0</v>
      </c>
      <c r="S15" s="48">
        <v>0</v>
      </c>
      <c r="T15" s="48" t="s">
        <v>1257</v>
      </c>
      <c r="U15" s="48" t="s">
        <v>1257</v>
      </c>
      <c r="V15" s="48" t="s">
        <v>1257</v>
      </c>
      <c r="W15" s="48" t="s">
        <v>1257</v>
      </c>
      <c r="X15" s="48" t="s">
        <v>1257</v>
      </c>
      <c r="Y15" s="48" t="s">
        <v>1257</v>
      </c>
      <c r="Z15" s="48" t="s">
        <v>1257</v>
      </c>
      <c r="AA15" s="48" t="s">
        <v>1257</v>
      </c>
      <c r="AB15" s="48" t="s">
        <v>1257</v>
      </c>
      <c r="AC15" s="48" t="s">
        <v>1257</v>
      </c>
      <c r="AD15" s="48" t="s">
        <v>1257</v>
      </c>
      <c r="AE15" s="48" t="s">
        <v>1257</v>
      </c>
      <c r="AF15" s="48" t="s">
        <v>1257</v>
      </c>
      <c r="AG15" s="48">
        <v>0</v>
      </c>
      <c r="AH15" s="48" t="s">
        <v>1257</v>
      </c>
      <c r="AI15" s="48">
        <v>0</v>
      </c>
      <c r="AJ15" s="48" t="s">
        <v>1257</v>
      </c>
      <c r="AK15" s="48">
        <v>0</v>
      </c>
      <c r="AL15" s="48" t="s">
        <v>1257</v>
      </c>
      <c r="AM15" s="48">
        <v>0</v>
      </c>
      <c r="AN15" s="48" t="s">
        <v>1257</v>
      </c>
      <c r="AO15" s="48" t="s">
        <v>1257</v>
      </c>
      <c r="AP15" s="48" t="s">
        <v>1257</v>
      </c>
      <c r="AQ15" s="48" t="s">
        <v>1257</v>
      </c>
      <c r="AR15" s="48" t="s">
        <v>1257</v>
      </c>
      <c r="AS15" s="48" t="s">
        <v>1257</v>
      </c>
      <c r="AT15" s="48" t="s">
        <v>1257</v>
      </c>
      <c r="AU15" s="48" t="s">
        <v>1257</v>
      </c>
      <c r="AV15" s="48" t="s">
        <v>1257</v>
      </c>
      <c r="AW15" s="48" t="s">
        <v>1257</v>
      </c>
      <c r="AX15" s="48">
        <v>0</v>
      </c>
      <c r="AY15" s="48" t="s">
        <v>1257</v>
      </c>
    </row>
    <row r="16" spans="2:51">
      <c r="B16" s="48" t="s">
        <v>1230</v>
      </c>
      <c r="C16" s="48">
        <v>14</v>
      </c>
      <c r="D16" s="48" t="s">
        <v>1989</v>
      </c>
      <c r="E16" s="95">
        <v>45485</v>
      </c>
      <c r="F16" s="48">
        <v>2</v>
      </c>
      <c r="G16" s="207">
        <v>1</v>
      </c>
      <c r="H16" s="48" t="s">
        <v>1266</v>
      </c>
      <c r="I16" s="48" t="s">
        <v>1257</v>
      </c>
      <c r="J16" s="48" t="s">
        <v>1257</v>
      </c>
      <c r="K16" s="48">
        <v>0</v>
      </c>
      <c r="L16" s="48">
        <v>0</v>
      </c>
      <c r="M16" s="48">
        <v>0</v>
      </c>
      <c r="N16" s="48">
        <v>0</v>
      </c>
      <c r="O16" s="48">
        <v>0</v>
      </c>
      <c r="P16" s="48">
        <v>0</v>
      </c>
      <c r="Q16" s="48">
        <v>0</v>
      </c>
      <c r="R16" s="48">
        <v>0</v>
      </c>
      <c r="S16" s="48">
        <v>0</v>
      </c>
      <c r="T16" s="48">
        <v>0</v>
      </c>
      <c r="U16" s="48" t="s">
        <v>1257</v>
      </c>
      <c r="V16" s="48">
        <v>0</v>
      </c>
      <c r="W16" s="48" t="s">
        <v>1257</v>
      </c>
      <c r="X16" s="48" t="s">
        <v>1257</v>
      </c>
      <c r="Y16" s="48" t="s">
        <v>1257</v>
      </c>
      <c r="Z16" s="48" t="s">
        <v>1257</v>
      </c>
      <c r="AA16" s="48" t="s">
        <v>1257</v>
      </c>
      <c r="AB16" s="48" t="s">
        <v>1257</v>
      </c>
      <c r="AC16" s="48" t="s">
        <v>1257</v>
      </c>
      <c r="AD16" s="48" t="s">
        <v>1257</v>
      </c>
      <c r="AE16" s="48" t="s">
        <v>1257</v>
      </c>
      <c r="AF16" s="48" t="s">
        <v>1257</v>
      </c>
      <c r="AG16" s="48">
        <v>0</v>
      </c>
      <c r="AH16" s="48" t="s">
        <v>1257</v>
      </c>
      <c r="AI16" s="48">
        <v>0</v>
      </c>
      <c r="AJ16" s="48" t="s">
        <v>1257</v>
      </c>
      <c r="AK16" s="48">
        <v>0</v>
      </c>
      <c r="AL16" s="48" t="s">
        <v>1257</v>
      </c>
      <c r="AM16" s="48">
        <v>0</v>
      </c>
      <c r="AN16" s="48" t="s">
        <v>1257</v>
      </c>
      <c r="AO16" s="48" t="s">
        <v>1257</v>
      </c>
      <c r="AP16" s="48">
        <v>0</v>
      </c>
      <c r="AQ16" s="48" t="s">
        <v>1257</v>
      </c>
      <c r="AR16" s="48">
        <v>0</v>
      </c>
      <c r="AS16" s="48" t="s">
        <v>1257</v>
      </c>
      <c r="AT16" s="48" t="s">
        <v>1257</v>
      </c>
      <c r="AU16" s="48">
        <v>0</v>
      </c>
      <c r="AV16" s="48">
        <v>0</v>
      </c>
      <c r="AW16" s="48">
        <v>0</v>
      </c>
      <c r="AX16" s="48" t="s">
        <v>1257</v>
      </c>
      <c r="AY16" s="48" t="s">
        <v>1257</v>
      </c>
    </row>
    <row r="17" spans="2:51">
      <c r="B17" s="48" t="s">
        <v>1232</v>
      </c>
      <c r="C17" s="48">
        <v>15</v>
      </c>
      <c r="D17" s="48" t="s">
        <v>1990</v>
      </c>
      <c r="E17" s="95">
        <v>45485</v>
      </c>
      <c r="F17" s="48">
        <v>2</v>
      </c>
      <c r="G17" s="207" t="s">
        <v>1961</v>
      </c>
      <c r="H17" s="180" t="s">
        <v>1991</v>
      </c>
      <c r="I17" s="48" t="s">
        <v>1257</v>
      </c>
      <c r="J17" s="48" t="s">
        <v>1257</v>
      </c>
      <c r="K17" s="48" t="s">
        <v>1257</v>
      </c>
      <c r="L17" s="48" t="s">
        <v>1257</v>
      </c>
      <c r="M17" s="48" t="s">
        <v>1257</v>
      </c>
      <c r="N17" s="48" t="s">
        <v>1257</v>
      </c>
      <c r="O17" s="48" t="s">
        <v>1257</v>
      </c>
      <c r="P17" s="48" t="s">
        <v>1257</v>
      </c>
      <c r="Q17" s="48" t="s">
        <v>1257</v>
      </c>
      <c r="R17" s="48" t="s">
        <v>1257</v>
      </c>
      <c r="S17" s="48" t="s">
        <v>1257</v>
      </c>
      <c r="T17" s="48" t="s">
        <v>1257</v>
      </c>
      <c r="U17" s="48" t="s">
        <v>1257</v>
      </c>
      <c r="V17" s="48" t="s">
        <v>1257</v>
      </c>
      <c r="W17" s="48" t="s">
        <v>1257</v>
      </c>
      <c r="X17" s="48" t="s">
        <v>1257</v>
      </c>
      <c r="Y17" s="48" t="s">
        <v>1257</v>
      </c>
      <c r="Z17" s="48" t="s">
        <v>1257</v>
      </c>
      <c r="AA17" s="48" t="s">
        <v>1257</v>
      </c>
      <c r="AB17" s="48" t="s">
        <v>1257</v>
      </c>
      <c r="AC17" s="48" t="s">
        <v>1257</v>
      </c>
      <c r="AD17" s="48" t="s">
        <v>1257</v>
      </c>
      <c r="AE17" s="48" t="s">
        <v>1257</v>
      </c>
      <c r="AF17" s="48" t="s">
        <v>1257</v>
      </c>
      <c r="AG17" s="48" t="s">
        <v>1257</v>
      </c>
      <c r="AH17" s="48" t="s">
        <v>1257</v>
      </c>
      <c r="AI17" s="48" t="s">
        <v>1257</v>
      </c>
      <c r="AJ17" s="48" t="s">
        <v>1257</v>
      </c>
      <c r="AK17" s="48" t="s">
        <v>1257</v>
      </c>
      <c r="AL17" s="48" t="s">
        <v>1257</v>
      </c>
      <c r="AM17" s="48" t="s">
        <v>1257</v>
      </c>
      <c r="AN17" s="48" t="s">
        <v>1257</v>
      </c>
      <c r="AO17" s="48" t="s">
        <v>1257</v>
      </c>
      <c r="AP17" s="48" t="s">
        <v>1257</v>
      </c>
      <c r="AQ17" s="48" t="s">
        <v>1257</v>
      </c>
      <c r="AR17" s="48" t="s">
        <v>1257</v>
      </c>
      <c r="AS17" s="48" t="s">
        <v>1257</v>
      </c>
      <c r="AT17" s="48" t="s">
        <v>1257</v>
      </c>
      <c r="AU17" s="48" t="s">
        <v>1257</v>
      </c>
      <c r="AV17" s="48" t="s">
        <v>1257</v>
      </c>
      <c r="AW17" s="48" t="s">
        <v>1257</v>
      </c>
      <c r="AX17" s="48" t="s">
        <v>1257</v>
      </c>
      <c r="AY17" s="48" t="s">
        <v>1257</v>
      </c>
    </row>
    <row r="18" spans="2:51">
      <c r="B18" s="48" t="s">
        <v>1234</v>
      </c>
      <c r="C18" s="48">
        <v>16</v>
      </c>
      <c r="D18" s="48" t="s">
        <v>1990</v>
      </c>
      <c r="E18" s="95">
        <v>45485</v>
      </c>
      <c r="F18" s="48">
        <v>2</v>
      </c>
      <c r="G18" s="207">
        <v>1</v>
      </c>
      <c r="H18" s="48" t="s">
        <v>1266</v>
      </c>
      <c r="I18" s="48" t="s">
        <v>1257</v>
      </c>
      <c r="J18" s="48" t="s">
        <v>1257</v>
      </c>
      <c r="K18" s="48" t="s">
        <v>1257</v>
      </c>
      <c r="L18" s="48" t="s">
        <v>1257</v>
      </c>
      <c r="M18" s="48" t="s">
        <v>1257</v>
      </c>
      <c r="N18" s="48" t="s">
        <v>1257</v>
      </c>
      <c r="O18" s="48" t="s">
        <v>1257</v>
      </c>
      <c r="P18" s="48" t="s">
        <v>1257</v>
      </c>
      <c r="Q18" s="48" t="s">
        <v>1257</v>
      </c>
      <c r="R18" s="48" t="s">
        <v>1257</v>
      </c>
      <c r="S18" s="48" t="s">
        <v>1257</v>
      </c>
      <c r="T18" s="48" t="s">
        <v>1257</v>
      </c>
      <c r="U18" s="48" t="s">
        <v>1257</v>
      </c>
      <c r="V18" s="48" t="s">
        <v>1257</v>
      </c>
      <c r="W18" s="48" t="s">
        <v>1257</v>
      </c>
      <c r="X18" s="48" t="s">
        <v>1257</v>
      </c>
      <c r="Y18" s="48" t="s">
        <v>1257</v>
      </c>
      <c r="Z18" s="48" t="s">
        <v>1257</v>
      </c>
      <c r="AA18" s="48" t="s">
        <v>1257</v>
      </c>
      <c r="AB18" s="48" t="s">
        <v>1257</v>
      </c>
      <c r="AC18" s="48" t="s">
        <v>1257</v>
      </c>
      <c r="AD18" s="48" t="s">
        <v>1257</v>
      </c>
      <c r="AE18" s="48" t="s">
        <v>1257</v>
      </c>
      <c r="AF18" s="48" t="s">
        <v>1257</v>
      </c>
      <c r="AG18" s="48" t="s">
        <v>1257</v>
      </c>
      <c r="AH18" s="48" t="s">
        <v>1257</v>
      </c>
      <c r="AI18" s="48" t="s">
        <v>1257</v>
      </c>
      <c r="AJ18" s="48" t="s">
        <v>1257</v>
      </c>
      <c r="AK18" s="48" t="s">
        <v>1257</v>
      </c>
      <c r="AL18" s="48" t="s">
        <v>1257</v>
      </c>
      <c r="AM18" s="48" t="s">
        <v>1257</v>
      </c>
      <c r="AN18" s="48" t="s">
        <v>1257</v>
      </c>
      <c r="AO18" s="48" t="s">
        <v>1257</v>
      </c>
      <c r="AP18" s="48" t="s">
        <v>1257</v>
      </c>
      <c r="AQ18" s="48" t="s">
        <v>1257</v>
      </c>
      <c r="AR18" s="48" t="s">
        <v>1257</v>
      </c>
      <c r="AS18" s="48" t="s">
        <v>1257</v>
      </c>
      <c r="AT18" s="48" t="s">
        <v>1257</v>
      </c>
      <c r="AU18" s="48" t="s">
        <v>1257</v>
      </c>
      <c r="AV18" s="48" t="s">
        <v>1257</v>
      </c>
      <c r="AW18" s="48" t="s">
        <v>1257</v>
      </c>
      <c r="AX18" s="48" t="s">
        <v>1257</v>
      </c>
      <c r="AY18" s="48" t="s">
        <v>1257</v>
      </c>
    </row>
    <row r="19" spans="2:51">
      <c r="B19" s="211" t="s">
        <v>1992</v>
      </c>
      <c r="C19" s="48">
        <v>19</v>
      </c>
      <c r="D19" s="48" t="s">
        <v>1993</v>
      </c>
      <c r="E19" s="95">
        <v>45485</v>
      </c>
      <c r="F19" s="48">
        <v>2</v>
      </c>
      <c r="G19" s="207" t="e" cm="1" vm="1">
        <f t="array" ref="G19">SUM(IF(I2:AY2 = I24:AY24, 1, 0))/ COUNTA(I2:AY2)</f>
        <v>#VALUE!</v>
      </c>
      <c r="H19" s="48" t="s">
        <v>1266</v>
      </c>
      <c r="I19" s="48" t="s">
        <v>1291</v>
      </c>
      <c r="J19" s="48" t="s">
        <v>1291</v>
      </c>
      <c r="K19" s="48" t="s">
        <v>1291</v>
      </c>
      <c r="L19" s="48" t="s">
        <v>1291</v>
      </c>
      <c r="M19" s="48" t="s">
        <v>1291</v>
      </c>
      <c r="N19" s="48" t="s">
        <v>1291</v>
      </c>
      <c r="O19" s="48" t="s">
        <v>1291</v>
      </c>
      <c r="P19" s="48" t="s">
        <v>1291</v>
      </c>
      <c r="Q19" s="48" t="s">
        <v>1291</v>
      </c>
      <c r="R19" s="48" t="s">
        <v>1291</v>
      </c>
      <c r="S19" s="48" t="s">
        <v>1291</v>
      </c>
      <c r="T19" s="48" t="s">
        <v>1291</v>
      </c>
      <c r="U19" s="48" t="s">
        <v>1291</v>
      </c>
      <c r="V19" s="48" t="s">
        <v>1291</v>
      </c>
      <c r="W19" s="48" t="s">
        <v>1291</v>
      </c>
      <c r="X19" s="48" t="s">
        <v>1291</v>
      </c>
      <c r="Y19" s="48" t="s">
        <v>1291</v>
      </c>
      <c r="Z19" s="48" t="s">
        <v>1292</v>
      </c>
      <c r="AA19" s="48" t="s">
        <v>1292</v>
      </c>
      <c r="AB19" s="48" t="s">
        <v>1292</v>
      </c>
      <c r="AC19" s="48" t="s">
        <v>1292</v>
      </c>
      <c r="AD19" s="48" t="s">
        <v>1292</v>
      </c>
      <c r="AE19" s="48" t="s">
        <v>1292</v>
      </c>
      <c r="AF19" s="48" t="s">
        <v>1292</v>
      </c>
      <c r="AG19" s="48" t="s">
        <v>1291</v>
      </c>
      <c r="AH19" s="48" t="s">
        <v>1291</v>
      </c>
      <c r="AI19" s="48" t="s">
        <v>1291</v>
      </c>
      <c r="AJ19" s="48" t="s">
        <v>1291</v>
      </c>
      <c r="AK19" s="48" t="s">
        <v>1291</v>
      </c>
      <c r="AL19" s="48" t="s">
        <v>1291</v>
      </c>
      <c r="AM19" s="48" t="s">
        <v>1291</v>
      </c>
      <c r="AN19" s="48" t="s">
        <v>1291</v>
      </c>
      <c r="AO19" s="48" t="s">
        <v>1291</v>
      </c>
      <c r="AP19" s="48" t="s">
        <v>1291</v>
      </c>
      <c r="AQ19" s="48" t="s">
        <v>1292</v>
      </c>
      <c r="AR19" s="48" t="s">
        <v>1291</v>
      </c>
      <c r="AS19" s="48" t="s">
        <v>1292</v>
      </c>
      <c r="AT19" s="48" t="s">
        <v>1291</v>
      </c>
      <c r="AU19" s="48" t="s">
        <v>1291</v>
      </c>
      <c r="AV19" s="48" t="s">
        <v>1291</v>
      </c>
      <c r="AW19" s="48" t="s">
        <v>1291</v>
      </c>
      <c r="AX19" s="48" t="s">
        <v>1291</v>
      </c>
      <c r="AY19" s="48" t="s">
        <v>1293</v>
      </c>
    </row>
    <row r="20" spans="2:51">
      <c r="B20" s="48" t="s">
        <v>1243</v>
      </c>
      <c r="C20" s="48">
        <v>20</v>
      </c>
      <c r="D20" s="48" t="s">
        <v>1994</v>
      </c>
      <c r="E20" s="95">
        <v>45503</v>
      </c>
      <c r="F20" s="48">
        <v>2</v>
      </c>
      <c r="G20" s="191" t="e" cm="1" vm="1">
        <f t="array" ref="G20">SUM(IF(I2:AY2 = I24:AY24, 1, 0))/ COUNTA(I2:AY2)</f>
        <v>#VALUE!</v>
      </c>
      <c r="H20" s="48" t="s">
        <v>1257</v>
      </c>
      <c r="I20" s="48" t="s">
        <v>1257</v>
      </c>
      <c r="J20" s="48" t="s">
        <v>1257</v>
      </c>
      <c r="K20" s="48" t="s">
        <v>1257</v>
      </c>
      <c r="L20" s="48" t="s">
        <v>1257</v>
      </c>
      <c r="M20" s="48" t="s">
        <v>1257</v>
      </c>
      <c r="N20" s="48" t="s">
        <v>1257</v>
      </c>
      <c r="O20" s="48" t="s">
        <v>1257</v>
      </c>
      <c r="P20" s="48" t="s">
        <v>1257</v>
      </c>
      <c r="Q20" s="48" t="s">
        <v>1257</v>
      </c>
      <c r="R20" s="48" t="s">
        <v>1257</v>
      </c>
      <c r="S20" s="48" t="s">
        <v>1257</v>
      </c>
      <c r="T20" s="48" t="s">
        <v>1257</v>
      </c>
      <c r="U20" s="48" t="s">
        <v>1257</v>
      </c>
      <c r="V20" s="48" t="s">
        <v>1257</v>
      </c>
      <c r="W20" s="48" t="s">
        <v>1257</v>
      </c>
      <c r="X20" s="48" t="s">
        <v>1257</v>
      </c>
      <c r="Y20" s="48" t="s">
        <v>1257</v>
      </c>
      <c r="Z20" s="48" t="s">
        <v>1257</v>
      </c>
      <c r="AA20" s="48" t="s">
        <v>1257</v>
      </c>
      <c r="AB20" s="48" t="s">
        <v>1257</v>
      </c>
      <c r="AC20" s="48" t="s">
        <v>1257</v>
      </c>
      <c r="AD20" s="48" t="s">
        <v>1257</v>
      </c>
      <c r="AE20" s="48" t="s">
        <v>1257</v>
      </c>
      <c r="AF20" s="48" t="s">
        <v>1257</v>
      </c>
      <c r="AG20" s="48" t="s">
        <v>1257</v>
      </c>
      <c r="AH20" s="48" t="s">
        <v>1257</v>
      </c>
      <c r="AI20" s="48" t="s">
        <v>1257</v>
      </c>
      <c r="AJ20" s="48" t="s">
        <v>1257</v>
      </c>
      <c r="AK20" s="48" t="s">
        <v>1257</v>
      </c>
      <c r="AL20" s="48" t="s">
        <v>1257</v>
      </c>
      <c r="AM20" s="48" t="s">
        <v>1257</v>
      </c>
      <c r="AN20" s="48" t="s">
        <v>1257</v>
      </c>
      <c r="AO20" s="48" t="s">
        <v>1257</v>
      </c>
      <c r="AP20" s="48" t="s">
        <v>1257</v>
      </c>
      <c r="AQ20" s="48" t="s">
        <v>1257</v>
      </c>
      <c r="AR20" s="48" t="s">
        <v>1257</v>
      </c>
      <c r="AS20" s="48" t="s">
        <v>1257</v>
      </c>
      <c r="AT20" s="48" t="s">
        <v>1257</v>
      </c>
      <c r="AU20" s="48" t="s">
        <v>1257</v>
      </c>
      <c r="AV20" s="48" t="s">
        <v>1257</v>
      </c>
      <c r="AW20" s="48" t="s">
        <v>1257</v>
      </c>
      <c r="AX20" s="48" t="s">
        <v>1257</v>
      </c>
      <c r="AY20" s="48" t="s">
        <v>1257</v>
      </c>
    </row>
    <row r="21" spans="2:51">
      <c r="B21" s="48" t="s">
        <v>1246</v>
      </c>
      <c r="C21" s="48">
        <v>21</v>
      </c>
      <c r="D21" s="48" t="s">
        <v>1994</v>
      </c>
      <c r="E21" s="95">
        <v>45503</v>
      </c>
      <c r="F21" s="48">
        <v>2</v>
      </c>
      <c r="G21" s="191" t="e" cm="1">
        <f t="array" ref="G21">SUM(IF(IF(G3:G20="null",1,G3:G20)=1,1,0))/COUNT(IF(G3:G20="null",1,1))</f>
        <v>#DIV/0!</v>
      </c>
      <c r="H21" s="48" t="s">
        <v>1257</v>
      </c>
      <c r="I21" s="48" t="s">
        <v>1257</v>
      </c>
      <c r="J21" s="48" t="s">
        <v>1257</v>
      </c>
      <c r="K21" s="48" t="s">
        <v>1257</v>
      </c>
      <c r="L21" s="48" t="s">
        <v>1257</v>
      </c>
      <c r="M21" s="48" t="s">
        <v>1257</v>
      </c>
      <c r="N21" s="48" t="s">
        <v>1257</v>
      </c>
      <c r="O21" s="48" t="s">
        <v>1257</v>
      </c>
      <c r="P21" s="48" t="s">
        <v>1257</v>
      </c>
      <c r="Q21" s="48" t="s">
        <v>1257</v>
      </c>
      <c r="R21" s="48" t="s">
        <v>1257</v>
      </c>
      <c r="S21" s="48" t="s">
        <v>1257</v>
      </c>
      <c r="T21" s="48" t="s">
        <v>1257</v>
      </c>
      <c r="U21" s="48" t="s">
        <v>1257</v>
      </c>
      <c r="V21" s="48" t="s">
        <v>1257</v>
      </c>
      <c r="W21" s="48" t="s">
        <v>1257</v>
      </c>
      <c r="X21" s="48" t="s">
        <v>1257</v>
      </c>
      <c r="Y21" s="48" t="s">
        <v>1257</v>
      </c>
      <c r="Z21" s="48" t="s">
        <v>1257</v>
      </c>
      <c r="AA21" s="48" t="s">
        <v>1257</v>
      </c>
      <c r="AB21" s="48" t="s">
        <v>1257</v>
      </c>
      <c r="AC21" s="48" t="s">
        <v>1257</v>
      </c>
      <c r="AD21" s="48" t="s">
        <v>1257</v>
      </c>
      <c r="AE21" s="48" t="s">
        <v>1257</v>
      </c>
      <c r="AF21" s="48" t="s">
        <v>1257</v>
      </c>
      <c r="AG21" s="48" t="s">
        <v>1257</v>
      </c>
      <c r="AH21" s="48" t="s">
        <v>1257</v>
      </c>
      <c r="AI21" s="48" t="s">
        <v>1257</v>
      </c>
      <c r="AJ21" s="48" t="s">
        <v>1257</v>
      </c>
      <c r="AK21" s="48" t="s">
        <v>1257</v>
      </c>
      <c r="AL21" s="48" t="s">
        <v>1257</v>
      </c>
      <c r="AM21" s="48" t="s">
        <v>1257</v>
      </c>
      <c r="AN21" s="48" t="s">
        <v>1257</v>
      </c>
      <c r="AO21" s="48" t="s">
        <v>1257</v>
      </c>
      <c r="AP21" s="48" t="s">
        <v>1257</v>
      </c>
      <c r="AQ21" s="48" t="s">
        <v>1257</v>
      </c>
      <c r="AR21" s="48" t="s">
        <v>1257</v>
      </c>
      <c r="AS21" s="48" t="s">
        <v>1257</v>
      </c>
      <c r="AT21" s="48" t="s">
        <v>1257</v>
      </c>
      <c r="AU21" s="48" t="s">
        <v>1257</v>
      </c>
      <c r="AV21" s="48" t="s">
        <v>1257</v>
      </c>
      <c r="AW21" s="48" t="s">
        <v>1257</v>
      </c>
      <c r="AX21" s="48" t="s">
        <v>1257</v>
      </c>
      <c r="AY21" s="48" t="s">
        <v>1257</v>
      </c>
    </row>
    <row r="22" spans="2:51">
      <c r="B22" s="48"/>
      <c r="C22" s="48"/>
      <c r="D22" s="48"/>
      <c r="E22" s="95"/>
      <c r="F22" s="48"/>
      <c r="G22" s="48"/>
      <c r="H22" s="48"/>
      <c r="I22" s="48"/>
      <c r="J22" s="48"/>
      <c r="K22" s="48"/>
      <c r="L22" s="48"/>
      <c r="M22" s="48"/>
      <c r="N22" s="48"/>
      <c r="O22" s="48"/>
      <c r="P22" s="48"/>
      <c r="Q22" s="48"/>
      <c r="R22" s="48"/>
      <c r="S22" s="48"/>
    </row>
    <row r="23" spans="2:51">
      <c r="B23" s="129" t="s">
        <v>1364</v>
      </c>
    </row>
    <row r="24" spans="2:51">
      <c r="B24" s="127" t="s">
        <v>1249</v>
      </c>
      <c r="C24" s="128" t="s">
        <v>1250</v>
      </c>
      <c r="D24" s="128" t="s">
        <v>1251</v>
      </c>
      <c r="E24" s="128" t="s">
        <v>1252</v>
      </c>
      <c r="F24" s="128" t="s">
        <v>1253</v>
      </c>
      <c r="G24" s="128" t="s">
        <v>1254</v>
      </c>
      <c r="H24" s="128" t="s">
        <v>1255</v>
      </c>
      <c r="I24" s="128" t="e" cm="1" vm="2">
        <f t="array" ref="I24">TRANSPOSE(_xlfn.SORTBY(_xlfn._xlws.FILTER(Table3[NOME FÍSICO CAMPO],Table3[NOME FÍSICO TABELA]="credit_card_account_plan"), _xlfn._xlws.FILTER(Table3[ORDEM], Table3[NOME FÍSICO TABELA]="credit_card_account_plan"), 1))</f>
        <v>#VALUE!</v>
      </c>
      <c r="J24" s="128"/>
      <c r="K24" s="128"/>
      <c r="L24" s="128"/>
      <c r="M24" s="128"/>
      <c r="N24" s="128"/>
      <c r="O24" s="128"/>
      <c r="P24" s="128"/>
      <c r="Q24" s="128"/>
      <c r="R24" s="128"/>
      <c r="S24" s="128"/>
      <c r="T24" s="128"/>
      <c r="U24" s="128"/>
      <c r="V24" s="128"/>
      <c r="W24" s="128"/>
      <c r="X24" s="128"/>
      <c r="Y24" s="128"/>
      <c r="Z24" s="128"/>
      <c r="AA24" s="128"/>
      <c r="AB24" s="128"/>
      <c r="AC24" s="128"/>
      <c r="AD24" s="128"/>
      <c r="AE24" s="128"/>
      <c r="AF24" s="128"/>
      <c r="AG24" s="128"/>
      <c r="AH24" s="128"/>
      <c r="AI24" s="128"/>
      <c r="AJ24" s="128"/>
      <c r="AK24" s="128"/>
      <c r="AL24" s="128"/>
      <c r="AM24" s="128"/>
      <c r="AN24" s="128"/>
      <c r="AO24" s="128"/>
      <c r="AP24" s="128"/>
      <c r="AQ24" s="128"/>
      <c r="AR24" s="128"/>
      <c r="AS24" s="128"/>
      <c r="AT24" s="128"/>
      <c r="AU24" s="128"/>
      <c r="AV24" s="128"/>
      <c r="AW24" s="128"/>
      <c r="AX24" s="128"/>
      <c r="AY24" s="125"/>
    </row>
    <row r="25" spans="2:51">
      <c r="B25" s="106" t="s">
        <v>1294</v>
      </c>
      <c r="C25" s="109">
        <v>21</v>
      </c>
      <c r="D25" s="103" t="s">
        <v>1295</v>
      </c>
      <c r="E25" s="102" t="s">
        <v>1296</v>
      </c>
      <c r="F25" s="102" t="s">
        <v>124</v>
      </c>
      <c r="G25" s="102" t="s">
        <v>124</v>
      </c>
      <c r="H25" s="102" t="s">
        <v>124</v>
      </c>
      <c r="I25" s="102" t="e" cm="1" vm="2">
        <f t="array" aca="1" ref="I25" ca="1">TRANSPOSE(_xlfn.SORTBY(_xlfn._xlws.FILTER(IF(Table3[FORMATO]:Table3[COMP_ CAMPO]&lt;&gt;"",Table3[FORMATO]:Table3[COMP_ CAMPO],9999999),Table3[NOME FÍSICO TABELA]="credit_card_account_plan"), _xlfn._xlws.FILTER(Table3[ORDEM], Table3[NOME FÍSICO TABELA]="credit_card_account_plan"), 1))</f>
        <v>#VALUE!</v>
      </c>
      <c r="J25" s="102"/>
      <c r="K25" s="102"/>
      <c r="L25" s="102"/>
      <c r="M25" s="102"/>
      <c r="N25" s="102"/>
      <c r="O25" s="102"/>
      <c r="P25" s="102"/>
      <c r="Q25" s="102"/>
      <c r="R25" s="102"/>
      <c r="S25" s="102"/>
      <c r="T25" s="102"/>
      <c r="U25" s="102"/>
      <c r="V25" s="102"/>
      <c r="W25" s="102"/>
      <c r="X25" s="102"/>
      <c r="Y25" s="102"/>
      <c r="Z25" s="102"/>
      <c r="AA25" s="102"/>
      <c r="AB25" s="102"/>
      <c r="AC25" s="102"/>
      <c r="AD25" s="102"/>
      <c r="AE25" s="102"/>
      <c r="AF25" s="102"/>
      <c r="AG25" s="225"/>
      <c r="AH25" s="225"/>
      <c r="AI25" s="102"/>
      <c r="AJ25" s="102"/>
      <c r="AK25" s="102"/>
      <c r="AL25" s="102"/>
      <c r="AM25" s="102"/>
      <c r="AN25" s="102"/>
      <c r="AO25" s="102"/>
      <c r="AP25" s="102"/>
      <c r="AQ25" s="102"/>
      <c r="AR25" s="102"/>
      <c r="AS25" s="102"/>
      <c r="AT25" s="102"/>
      <c r="AU25" s="102"/>
      <c r="AV25" s="102"/>
      <c r="AW25" s="102"/>
      <c r="AX25" s="102"/>
      <c r="AY25" s="108"/>
    </row>
    <row r="26" spans="2:51">
      <c r="B26" s="106" t="s">
        <v>1297</v>
      </c>
      <c r="C26" s="109">
        <v>7</v>
      </c>
      <c r="D26" s="103" t="s">
        <v>1295</v>
      </c>
      <c r="E26" s="102" t="s">
        <v>1296</v>
      </c>
      <c r="F26" s="104" t="s">
        <v>124</v>
      </c>
      <c r="G26" s="104" t="s">
        <v>124</v>
      </c>
      <c r="H26" s="104" t="s">
        <v>124</v>
      </c>
      <c r="I26" s="150"/>
      <c r="J26" s="150"/>
      <c r="K26" s="150"/>
      <c r="L26" s="150"/>
      <c r="M26" s="150"/>
      <c r="N26" s="150"/>
      <c r="O26" s="150"/>
      <c r="P26" s="150"/>
      <c r="Q26" s="150"/>
      <c r="R26" s="150"/>
      <c r="S26" s="150"/>
      <c r="T26" s="150"/>
      <c r="U26" s="150"/>
      <c r="V26" s="150"/>
      <c r="W26" s="150"/>
      <c r="X26" s="150"/>
      <c r="Y26" s="150"/>
      <c r="Z26" s="150"/>
      <c r="AA26" s="150"/>
      <c r="AB26" s="150"/>
      <c r="AC26" s="150"/>
      <c r="AD26" s="150"/>
      <c r="AE26" s="150"/>
      <c r="AF26" s="150"/>
      <c r="AG26" s="150"/>
      <c r="AH26" s="150"/>
      <c r="AI26" s="150"/>
      <c r="AJ26" s="150"/>
      <c r="AK26" s="150"/>
      <c r="AL26" s="150"/>
      <c r="AM26" s="150"/>
      <c r="AN26" s="150"/>
      <c r="AO26" s="150"/>
      <c r="AP26" s="150"/>
      <c r="AQ26" s="150"/>
      <c r="AR26" s="150"/>
      <c r="AS26" s="150"/>
      <c r="AT26" s="150"/>
      <c r="AU26" s="150"/>
      <c r="AV26" s="150"/>
      <c r="AW26" s="150"/>
      <c r="AX26" s="150"/>
      <c r="AY26" s="151"/>
    </row>
    <row r="28" spans="2:51">
      <c r="B28" s="139" t="s">
        <v>1298</v>
      </c>
    </row>
    <row r="29" spans="2:51">
      <c r="B29" s="133" t="s">
        <v>1299</v>
      </c>
      <c r="C29" s="133" t="s">
        <v>1300</v>
      </c>
      <c r="D29" s="134" t="s">
        <v>1301</v>
      </c>
      <c r="E29" s="133" t="s">
        <v>1302</v>
      </c>
      <c r="F29" s="133" t="s">
        <v>1303</v>
      </c>
    </row>
    <row r="30" spans="2:51" ht="43.5">
      <c r="B30" s="136" t="s">
        <v>1304</v>
      </c>
      <c r="C30" s="137" t="s">
        <v>1995</v>
      </c>
      <c r="D30" s="228" t="s">
        <v>1996</v>
      </c>
      <c r="E30" s="229" t="s">
        <v>1997</v>
      </c>
      <c r="F30" s="187" t="s">
        <v>1313</v>
      </c>
      <c r="H30" s="226"/>
      <c r="J30" t="s">
        <v>1998</v>
      </c>
      <c r="K30">
        <v>20748</v>
      </c>
    </row>
    <row r="31" spans="2:51" ht="43.5">
      <c r="B31" s="136" t="s">
        <v>1304</v>
      </c>
      <c r="C31" s="137" t="s">
        <v>453</v>
      </c>
      <c r="D31" s="228" t="s">
        <v>1999</v>
      </c>
      <c r="E31" s="229" t="s">
        <v>2000</v>
      </c>
      <c r="F31" s="187" t="s">
        <v>1310</v>
      </c>
      <c r="H31" s="227"/>
      <c r="J31" t="s">
        <v>2001</v>
      </c>
      <c r="K31">
        <v>760260</v>
      </c>
      <c r="L31">
        <f>K31+K30</f>
        <v>781008</v>
      </c>
    </row>
    <row r="32" spans="2:51" ht="29.1">
      <c r="B32" s="136" t="s">
        <v>1304</v>
      </c>
      <c r="C32" s="114" t="s">
        <v>512</v>
      </c>
      <c r="D32" s="230" t="s">
        <v>2002</v>
      </c>
      <c r="E32" s="145" t="s">
        <v>2003</v>
      </c>
      <c r="F32" s="135" t="s">
        <v>1310</v>
      </c>
      <c r="J32" t="s">
        <v>2004</v>
      </c>
      <c r="K32">
        <v>8461</v>
      </c>
      <c r="L32">
        <f>K31+K32</f>
        <v>768721</v>
      </c>
      <c r="M32">
        <f>L31+K32</f>
        <v>789469</v>
      </c>
    </row>
    <row r="33" spans="2:12" ht="72.599999999999994">
      <c r="B33" s="136" t="s">
        <v>1304</v>
      </c>
      <c r="C33" s="114" t="s">
        <v>1952</v>
      </c>
      <c r="D33" s="230" t="s">
        <v>2005</v>
      </c>
      <c r="E33" s="145" t="s">
        <v>2006</v>
      </c>
      <c r="F33" s="187" t="s">
        <v>1307</v>
      </c>
      <c r="J33" t="s">
        <v>2007</v>
      </c>
      <c r="K33">
        <v>26</v>
      </c>
    </row>
    <row r="34" spans="2:12" ht="101.45">
      <c r="B34" s="136" t="s">
        <v>1304</v>
      </c>
      <c r="C34" s="114" t="s">
        <v>1953</v>
      </c>
      <c r="D34" s="230" t="s">
        <v>2008</v>
      </c>
      <c r="E34" s="145" t="s">
        <v>2009</v>
      </c>
      <c r="F34" s="135" t="s">
        <v>1307</v>
      </c>
      <c r="J34" t="s">
        <v>2010</v>
      </c>
      <c r="K34">
        <v>478</v>
      </c>
      <c r="L34">
        <f>K32+K34</f>
        <v>8939</v>
      </c>
    </row>
    <row r="35" spans="2:12" ht="72.599999999999994">
      <c r="B35" s="110" t="s">
        <v>1304</v>
      </c>
      <c r="C35" s="114" t="s">
        <v>1954</v>
      </c>
      <c r="D35" s="230" t="s">
        <v>2011</v>
      </c>
      <c r="E35" s="145" t="s">
        <v>2012</v>
      </c>
      <c r="F35" s="135" t="s">
        <v>1501</v>
      </c>
      <c r="K35">
        <f>SUM(K30:K34)</f>
        <v>789973</v>
      </c>
    </row>
    <row r="36" spans="2:12" ht="72.599999999999994">
      <c r="B36" s="110" t="s">
        <v>1304</v>
      </c>
      <c r="C36" s="114" t="s">
        <v>1955</v>
      </c>
      <c r="D36" s="230" t="s">
        <v>2011</v>
      </c>
      <c r="E36" s="145" t="s">
        <v>2013</v>
      </c>
      <c r="F36" s="135" t="s">
        <v>1501</v>
      </c>
    </row>
    <row r="37" spans="2:12" ht="116.1">
      <c r="B37" s="110" t="s">
        <v>1304</v>
      </c>
      <c r="C37" s="114" t="s">
        <v>521</v>
      </c>
      <c r="D37" s="230" t="s">
        <v>2014</v>
      </c>
      <c r="E37" s="145" t="s">
        <v>2015</v>
      </c>
      <c r="F37" s="135" t="s">
        <v>1307</v>
      </c>
    </row>
    <row r="38" spans="2:12" ht="116.1">
      <c r="B38" s="110" t="s">
        <v>1304</v>
      </c>
      <c r="C38" s="114" t="s">
        <v>1956</v>
      </c>
      <c r="D38" s="230" t="s">
        <v>2014</v>
      </c>
      <c r="E38" s="145" t="s">
        <v>2015</v>
      </c>
      <c r="F38" s="135" t="s">
        <v>2016</v>
      </c>
    </row>
    <row r="39" spans="2:12" ht="43.5">
      <c r="B39" s="117" t="s">
        <v>1304</v>
      </c>
      <c r="C39" s="116" t="s">
        <v>1957</v>
      </c>
      <c r="D39" s="230" t="s">
        <v>2017</v>
      </c>
      <c r="E39" s="145" t="s">
        <v>2018</v>
      </c>
      <c r="F39" s="135" t="s">
        <v>1310</v>
      </c>
    </row>
    <row r="40" spans="2:12" ht="87">
      <c r="B40" s="110" t="s">
        <v>1304</v>
      </c>
      <c r="C40" s="114" t="s">
        <v>1958</v>
      </c>
      <c r="D40" s="230" t="s">
        <v>2019</v>
      </c>
      <c r="E40" s="145" t="s">
        <v>2020</v>
      </c>
      <c r="F40" s="187" t="s">
        <v>1307</v>
      </c>
    </row>
    <row r="41" spans="2:12" ht="87">
      <c r="B41" s="110" t="s">
        <v>1304</v>
      </c>
      <c r="C41" s="114" t="s">
        <v>608</v>
      </c>
      <c r="D41" s="230" t="s">
        <v>2021</v>
      </c>
      <c r="E41" s="145" t="s">
        <v>2020</v>
      </c>
      <c r="F41" s="187" t="s">
        <v>1307</v>
      </c>
    </row>
    <row r="42" spans="2:12" ht="87">
      <c r="B42" s="110" t="s">
        <v>1304</v>
      </c>
      <c r="C42" s="114" t="s">
        <v>617</v>
      </c>
      <c r="D42" s="230" t="s">
        <v>2022</v>
      </c>
      <c r="E42" s="145" t="s">
        <v>2020</v>
      </c>
      <c r="F42" s="187" t="s">
        <v>1307</v>
      </c>
    </row>
    <row r="43" spans="2:12" ht="87">
      <c r="B43" s="110" t="s">
        <v>1304</v>
      </c>
      <c r="C43" s="114" t="s">
        <v>652</v>
      </c>
      <c r="D43" s="230" t="s">
        <v>2023</v>
      </c>
      <c r="E43" s="145" t="s">
        <v>2020</v>
      </c>
      <c r="F43" s="187" t="s">
        <v>1307</v>
      </c>
    </row>
    <row r="44" spans="2:12" ht="101.45">
      <c r="B44" s="136" t="s">
        <v>1304</v>
      </c>
      <c r="C44" s="137" t="s">
        <v>678</v>
      </c>
      <c r="D44" s="231" t="s">
        <v>2024</v>
      </c>
      <c r="E44" s="146" t="s">
        <v>2025</v>
      </c>
      <c r="F44" s="187" t="s">
        <v>1313</v>
      </c>
    </row>
    <row r="45" spans="2:12" ht="29.1">
      <c r="B45" s="110" t="s">
        <v>1314</v>
      </c>
      <c r="C45" s="114" t="s">
        <v>1562</v>
      </c>
      <c r="D45" s="122" t="s">
        <v>2026</v>
      </c>
      <c r="E45" s="145" t="s">
        <v>2027</v>
      </c>
      <c r="F45" s="187" t="s">
        <v>1313</v>
      </c>
    </row>
    <row r="46" spans="2:12" ht="72.599999999999994">
      <c r="B46" s="136" t="s">
        <v>1373</v>
      </c>
      <c r="C46" s="114" t="s">
        <v>1562</v>
      </c>
      <c r="D46" s="231" t="s">
        <v>2028</v>
      </c>
      <c r="E46" s="146" t="s">
        <v>2029</v>
      </c>
      <c r="F46" s="187" t="s">
        <v>2030</v>
      </c>
    </row>
    <row r="49" spans="11:11">
      <c r="K49" s="47"/>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4.45"/>
  <cols>
    <col min="2" max="2" width="30.7109375" bestFit="1" customWidth="1"/>
    <col min="3" max="3" width="35" customWidth="1"/>
    <col min="4" max="4" width="48.42578125" customWidth="1"/>
    <col min="5" max="5" width="35.7109375" customWidth="1"/>
    <col min="6" max="6" width="20.28515625" customWidth="1"/>
    <col min="7" max="7" width="16.140625" customWidth="1"/>
    <col min="8" max="8" width="16.42578125" bestFit="1" customWidth="1"/>
    <col min="9" max="9" width="18.42578125" bestFit="1" customWidth="1"/>
    <col min="10" max="11" width="30.7109375" bestFit="1" customWidth="1"/>
    <col min="12" max="12" width="34"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 min="54" max="54" width="19.28515625" customWidth="1"/>
  </cols>
  <sheetData>
    <row r="1" spans="2:54" ht="26.25" customHeight="1"/>
    <row r="2" spans="2:54">
      <c r="B2" s="77" t="s">
        <v>1249</v>
      </c>
      <c r="C2" s="77" t="s">
        <v>1250</v>
      </c>
      <c r="D2" s="77" t="s">
        <v>1251</v>
      </c>
      <c r="E2" s="77" t="s">
        <v>2031</v>
      </c>
      <c r="F2" s="77" t="s">
        <v>1253</v>
      </c>
      <c r="G2" s="77" t="s">
        <v>1254</v>
      </c>
      <c r="H2" s="77" t="s">
        <v>1255</v>
      </c>
      <c r="I2" s="77" t="s">
        <v>103</v>
      </c>
      <c r="J2" s="77" t="s">
        <v>134</v>
      </c>
      <c r="K2" s="77" t="s">
        <v>155</v>
      </c>
      <c r="L2" s="77" t="s">
        <v>162</v>
      </c>
      <c r="M2" s="77" t="s">
        <v>190</v>
      </c>
      <c r="N2" s="77" t="s">
        <v>176</v>
      </c>
      <c r="O2" s="77" t="s">
        <v>203</v>
      </c>
      <c r="P2" s="77" t="s">
        <v>289</v>
      </c>
      <c r="Q2" s="77" t="s">
        <v>299</v>
      </c>
      <c r="R2" s="77" t="s">
        <v>314</v>
      </c>
      <c r="S2" s="77" t="s">
        <v>389</v>
      </c>
      <c r="T2" s="77" t="s">
        <v>2032</v>
      </c>
      <c r="U2" s="77" t="s">
        <v>2033</v>
      </c>
      <c r="V2" s="77" t="s">
        <v>349</v>
      </c>
      <c r="W2" s="77" t="s">
        <v>558</v>
      </c>
      <c r="X2" s="77" t="s">
        <v>453</v>
      </c>
      <c r="Y2" s="77" t="s">
        <v>468</v>
      </c>
      <c r="Z2" s="77" t="s">
        <v>482</v>
      </c>
      <c r="AA2" s="77" t="s">
        <v>512</v>
      </c>
      <c r="AB2" s="77" t="s">
        <v>1951</v>
      </c>
      <c r="AC2" s="77" t="s">
        <v>2034</v>
      </c>
      <c r="AD2" s="77" t="s">
        <v>1952</v>
      </c>
      <c r="AE2" s="77" t="s">
        <v>1953</v>
      </c>
      <c r="AF2" s="77" t="s">
        <v>1954</v>
      </c>
      <c r="AG2" s="77" t="s">
        <v>1955</v>
      </c>
      <c r="AH2" s="77" t="s">
        <v>521</v>
      </c>
      <c r="AI2" s="77" t="s">
        <v>1956</v>
      </c>
      <c r="AJ2" s="77" t="s">
        <v>1957</v>
      </c>
      <c r="AK2" s="77" t="s">
        <v>2035</v>
      </c>
      <c r="AL2" s="77" t="s">
        <v>567</v>
      </c>
      <c r="AM2" s="77" t="s">
        <v>577</v>
      </c>
      <c r="AN2" s="77" t="s">
        <v>589</v>
      </c>
      <c r="AO2" s="77" t="s">
        <v>600</v>
      </c>
      <c r="AP2" s="77" t="s">
        <v>608</v>
      </c>
      <c r="AQ2" s="77" t="s">
        <v>2036</v>
      </c>
      <c r="AR2" s="77" t="s">
        <v>617</v>
      </c>
      <c r="AS2" s="77" t="s">
        <v>626</v>
      </c>
      <c r="AT2" s="77" t="s">
        <v>636</v>
      </c>
      <c r="AU2" s="77" t="s">
        <v>644</v>
      </c>
      <c r="AV2" s="77" t="s">
        <v>652</v>
      </c>
      <c r="AW2" s="77" t="s">
        <v>2037</v>
      </c>
      <c r="AX2" s="77" t="s">
        <v>669</v>
      </c>
      <c r="AY2" s="77" t="s">
        <v>678</v>
      </c>
      <c r="AZ2" s="77" t="s">
        <v>214</v>
      </c>
      <c r="BA2" s="77" t="s">
        <v>234</v>
      </c>
      <c r="BB2" s="77" t="s">
        <v>253</v>
      </c>
    </row>
    <row r="3" spans="2:54">
      <c r="B3" s="48" t="s">
        <v>1203</v>
      </c>
      <c r="C3" s="48">
        <v>1</v>
      </c>
      <c r="D3" s="48" t="s">
        <v>2038</v>
      </c>
      <c r="E3" s="95">
        <v>45492</v>
      </c>
      <c r="F3" s="48">
        <v>6</v>
      </c>
      <c r="G3" s="207">
        <v>1</v>
      </c>
      <c r="H3" s="98">
        <v>994692</v>
      </c>
      <c r="I3" s="48" t="s">
        <v>1257</v>
      </c>
      <c r="J3" s="48" t="s">
        <v>1257</v>
      </c>
      <c r="K3" s="48" t="s">
        <v>1257</v>
      </c>
      <c r="L3" s="48" t="s">
        <v>1257</v>
      </c>
      <c r="M3" s="48" t="s">
        <v>1257</v>
      </c>
      <c r="N3" s="48" t="s">
        <v>1257</v>
      </c>
      <c r="O3" s="48" t="s">
        <v>1257</v>
      </c>
      <c r="P3" s="48" t="s">
        <v>1257</v>
      </c>
      <c r="Q3" s="48" t="s">
        <v>1257</v>
      </c>
      <c r="R3" s="48" t="s">
        <v>1257</v>
      </c>
      <c r="S3" s="48" t="s">
        <v>1257</v>
      </c>
      <c r="T3" s="48" t="s">
        <v>1257</v>
      </c>
      <c r="U3" s="48" t="s">
        <v>1257</v>
      </c>
      <c r="V3" s="48" t="s">
        <v>1257</v>
      </c>
      <c r="W3" s="48" t="s">
        <v>1257</v>
      </c>
      <c r="X3" s="48" t="s">
        <v>1257</v>
      </c>
      <c r="Y3" s="48" t="s">
        <v>1257</v>
      </c>
      <c r="Z3" s="48" t="s">
        <v>1257</v>
      </c>
      <c r="AA3" s="48" t="s">
        <v>1257</v>
      </c>
      <c r="AB3" s="48" t="s">
        <v>1257</v>
      </c>
      <c r="AC3" s="48" t="s">
        <v>1257</v>
      </c>
      <c r="AD3" s="48" t="s">
        <v>1257</v>
      </c>
      <c r="AE3" s="48" t="s">
        <v>1257</v>
      </c>
      <c r="AF3" s="48" t="s">
        <v>1257</v>
      </c>
      <c r="AG3" s="48" t="s">
        <v>1257</v>
      </c>
      <c r="AH3" s="48" t="s">
        <v>1257</v>
      </c>
      <c r="AI3" s="48" t="s">
        <v>1257</v>
      </c>
      <c r="AJ3" s="48" t="s">
        <v>1257</v>
      </c>
      <c r="AK3" s="48" t="s">
        <v>1257</v>
      </c>
      <c r="AL3" s="48" t="s">
        <v>1257</v>
      </c>
      <c r="AM3" s="48" t="s">
        <v>1257</v>
      </c>
      <c r="AN3" s="48" t="s">
        <v>1257</v>
      </c>
      <c r="AO3" s="48" t="s">
        <v>1257</v>
      </c>
      <c r="AP3" s="48" t="s">
        <v>1257</v>
      </c>
      <c r="AQ3" s="48" t="s">
        <v>1257</v>
      </c>
      <c r="AR3" s="48" t="s">
        <v>1257</v>
      </c>
      <c r="AS3" s="48" t="s">
        <v>1257</v>
      </c>
      <c r="AT3" s="48" t="s">
        <v>1257</v>
      </c>
      <c r="AU3" s="48" t="s">
        <v>1257</v>
      </c>
      <c r="AV3" s="48" t="s">
        <v>1257</v>
      </c>
      <c r="AW3" s="48" t="s">
        <v>1257</v>
      </c>
      <c r="AX3" s="48" t="s">
        <v>1257</v>
      </c>
      <c r="AY3" s="48" t="s">
        <v>1257</v>
      </c>
      <c r="AZ3" s="48" t="s">
        <v>1257</v>
      </c>
      <c r="BA3" s="48" t="s">
        <v>1257</v>
      </c>
      <c r="BB3" s="48" t="s">
        <v>1257</v>
      </c>
    </row>
    <row r="4" spans="2:54">
      <c r="B4" s="48" t="s">
        <v>1205</v>
      </c>
      <c r="C4" s="48">
        <v>2</v>
      </c>
      <c r="D4" s="48" t="s">
        <v>2039</v>
      </c>
      <c r="E4" s="95">
        <v>45492</v>
      </c>
      <c r="F4" s="48">
        <v>6</v>
      </c>
      <c r="G4" s="207">
        <v>1</v>
      </c>
      <c r="H4" s="48">
        <v>0</v>
      </c>
      <c r="I4" s="48" t="s">
        <v>1257</v>
      </c>
      <c r="J4" s="48" t="s">
        <v>1257</v>
      </c>
      <c r="K4" s="48" t="s">
        <v>1257</v>
      </c>
      <c r="L4" s="48" t="s">
        <v>1257</v>
      </c>
      <c r="M4" s="48" t="s">
        <v>1257</v>
      </c>
      <c r="N4" s="48" t="s">
        <v>1257</v>
      </c>
      <c r="O4" s="48" t="s">
        <v>1257</v>
      </c>
      <c r="P4" s="48" t="s">
        <v>1257</v>
      </c>
      <c r="Q4" s="48" t="s">
        <v>1257</v>
      </c>
      <c r="R4" s="48" t="s">
        <v>1257</v>
      </c>
      <c r="S4" s="48" t="s">
        <v>1257</v>
      </c>
      <c r="T4" s="48" t="s">
        <v>1257</v>
      </c>
      <c r="U4" s="48" t="s">
        <v>1257</v>
      </c>
      <c r="V4" s="48" t="s">
        <v>1257</v>
      </c>
      <c r="W4" s="48" t="s">
        <v>1257</v>
      </c>
      <c r="X4" s="48" t="s">
        <v>1257</v>
      </c>
      <c r="Y4" s="48" t="s">
        <v>1257</v>
      </c>
      <c r="Z4" s="48" t="s">
        <v>1257</v>
      </c>
      <c r="AA4" s="48" t="s">
        <v>1257</v>
      </c>
      <c r="AB4" s="48" t="s">
        <v>1257</v>
      </c>
      <c r="AC4" s="48" t="s">
        <v>1257</v>
      </c>
      <c r="AD4" s="48" t="s">
        <v>1257</v>
      </c>
      <c r="AE4" s="48" t="s">
        <v>1257</v>
      </c>
      <c r="AF4" s="48" t="s">
        <v>1257</v>
      </c>
      <c r="AG4" s="48" t="s">
        <v>1257</v>
      </c>
      <c r="AH4" s="48" t="s">
        <v>1257</v>
      </c>
      <c r="AI4" s="48" t="s">
        <v>1257</v>
      </c>
      <c r="AJ4" s="48" t="s">
        <v>1257</v>
      </c>
      <c r="AK4" s="48" t="s">
        <v>1257</v>
      </c>
      <c r="AL4" s="48" t="s">
        <v>1257</v>
      </c>
      <c r="AM4" s="48" t="s">
        <v>1257</v>
      </c>
      <c r="AN4" s="48" t="s">
        <v>1257</v>
      </c>
      <c r="AO4" s="48" t="s">
        <v>1257</v>
      </c>
      <c r="AP4" s="48" t="s">
        <v>1257</v>
      </c>
      <c r="AQ4" s="48" t="s">
        <v>1257</v>
      </c>
      <c r="AR4" s="48" t="s">
        <v>1257</v>
      </c>
      <c r="AS4" s="48" t="s">
        <v>1257</v>
      </c>
      <c r="AT4" s="48" t="s">
        <v>1257</v>
      </c>
      <c r="AU4" s="48" t="s">
        <v>1257</v>
      </c>
      <c r="AV4" s="48" t="s">
        <v>1257</v>
      </c>
      <c r="AW4" s="48" t="s">
        <v>1257</v>
      </c>
      <c r="AX4" s="48" t="s">
        <v>1257</v>
      </c>
      <c r="AY4" s="48" t="s">
        <v>1257</v>
      </c>
      <c r="AZ4" s="48" t="s">
        <v>1257</v>
      </c>
      <c r="BA4" s="48" t="s">
        <v>1257</v>
      </c>
      <c r="BB4" s="48" t="s">
        <v>1257</v>
      </c>
    </row>
    <row r="5" spans="2:54">
      <c r="B5" s="48" t="s">
        <v>1207</v>
      </c>
      <c r="C5" s="48">
        <v>3</v>
      </c>
      <c r="D5" s="48" t="s">
        <v>2040</v>
      </c>
      <c r="E5" s="95">
        <v>45492</v>
      </c>
      <c r="F5" s="48">
        <v>6</v>
      </c>
      <c r="G5" s="207">
        <v>1</v>
      </c>
      <c r="H5" s="48">
        <v>0</v>
      </c>
      <c r="I5" s="48">
        <v>0</v>
      </c>
      <c r="J5" s="48">
        <v>0</v>
      </c>
      <c r="K5" s="48" t="s">
        <v>1257</v>
      </c>
      <c r="L5" s="48" t="s">
        <v>1257</v>
      </c>
      <c r="M5" s="48" t="s">
        <v>1257</v>
      </c>
      <c r="N5" s="48" t="s">
        <v>1257</v>
      </c>
      <c r="O5" s="48" t="s">
        <v>1257</v>
      </c>
      <c r="P5" s="48" t="s">
        <v>1257</v>
      </c>
      <c r="Q5" s="48" t="s">
        <v>1257</v>
      </c>
      <c r="R5" s="48" t="s">
        <v>1257</v>
      </c>
      <c r="S5" s="48" t="s">
        <v>1257</v>
      </c>
      <c r="T5" s="48" t="s">
        <v>1257</v>
      </c>
      <c r="U5" s="48" t="s">
        <v>1257</v>
      </c>
      <c r="V5" s="48" t="s">
        <v>1257</v>
      </c>
      <c r="W5" s="48" t="s">
        <v>1257</v>
      </c>
      <c r="X5" s="48" t="s">
        <v>1257</v>
      </c>
      <c r="Y5" s="48" t="s">
        <v>1257</v>
      </c>
      <c r="Z5" s="48" t="s">
        <v>1257</v>
      </c>
      <c r="AA5" s="48" t="s">
        <v>1257</v>
      </c>
      <c r="AB5" s="48" t="s">
        <v>1257</v>
      </c>
      <c r="AC5" s="48" t="s">
        <v>1257</v>
      </c>
      <c r="AD5" s="48" t="s">
        <v>1257</v>
      </c>
      <c r="AE5" s="48" t="s">
        <v>1257</v>
      </c>
      <c r="AF5" s="48" t="s">
        <v>1257</v>
      </c>
      <c r="AG5" s="48" t="s">
        <v>1257</v>
      </c>
      <c r="AH5" s="48" t="s">
        <v>1257</v>
      </c>
      <c r="AI5" s="48" t="s">
        <v>1257</v>
      </c>
      <c r="AJ5" s="48" t="s">
        <v>1257</v>
      </c>
      <c r="AK5" s="48" t="s">
        <v>1257</v>
      </c>
      <c r="AL5" s="48" t="s">
        <v>1257</v>
      </c>
      <c r="AM5" s="48" t="s">
        <v>1257</v>
      </c>
      <c r="AN5" s="48" t="s">
        <v>1257</v>
      </c>
      <c r="AO5" s="48" t="s">
        <v>1257</v>
      </c>
      <c r="AP5" s="48" t="s">
        <v>1257</v>
      </c>
      <c r="AQ5" s="48" t="s">
        <v>1257</v>
      </c>
      <c r="AR5" s="48" t="s">
        <v>1257</v>
      </c>
      <c r="AS5" s="48" t="s">
        <v>1257</v>
      </c>
      <c r="AT5" s="48" t="s">
        <v>1257</v>
      </c>
      <c r="AU5" s="48" t="s">
        <v>1257</v>
      </c>
      <c r="AV5" s="48" t="s">
        <v>1257</v>
      </c>
      <c r="AW5" s="48" t="s">
        <v>1257</v>
      </c>
      <c r="AX5" s="48" t="s">
        <v>1257</v>
      </c>
      <c r="AY5" s="48" t="s">
        <v>1257</v>
      </c>
      <c r="AZ5" s="48" t="s">
        <v>1257</v>
      </c>
      <c r="BA5" s="48">
        <v>0</v>
      </c>
      <c r="BB5" s="48" t="s">
        <v>1257</v>
      </c>
    </row>
    <row r="6" spans="2:54">
      <c r="B6" s="97" t="s">
        <v>1209</v>
      </c>
      <c r="C6" s="48">
        <v>4</v>
      </c>
      <c r="D6" s="48" t="s">
        <v>1260</v>
      </c>
      <c r="E6" s="95" t="s">
        <v>1257</v>
      </c>
      <c r="F6" s="48">
        <v>6</v>
      </c>
      <c r="G6" s="48" t="s">
        <v>1257</v>
      </c>
      <c r="H6" s="48" t="s">
        <v>1257</v>
      </c>
      <c r="I6" s="48" t="s">
        <v>1257</v>
      </c>
      <c r="J6" s="48" t="s">
        <v>1257</v>
      </c>
      <c r="K6" s="48" t="s">
        <v>1257</v>
      </c>
      <c r="L6" s="48" t="s">
        <v>1257</v>
      </c>
      <c r="M6" s="48" t="s">
        <v>1257</v>
      </c>
      <c r="N6" s="48" t="s">
        <v>1257</v>
      </c>
      <c r="O6" s="48" t="s">
        <v>1257</v>
      </c>
      <c r="P6" s="48" t="s">
        <v>1257</v>
      </c>
      <c r="Q6" s="48" t="s">
        <v>1257</v>
      </c>
      <c r="R6" s="48" t="s">
        <v>1257</v>
      </c>
      <c r="S6" s="48" t="s">
        <v>1257</v>
      </c>
      <c r="T6" s="48" t="s">
        <v>1257</v>
      </c>
      <c r="U6" s="48" t="s">
        <v>1257</v>
      </c>
      <c r="V6" s="48" t="s">
        <v>1257</v>
      </c>
      <c r="W6" s="48" t="s">
        <v>1257</v>
      </c>
      <c r="X6" s="48" t="s">
        <v>1257</v>
      </c>
      <c r="Y6" s="48" t="s">
        <v>1257</v>
      </c>
      <c r="Z6" s="48" t="s">
        <v>1257</v>
      </c>
      <c r="AA6" s="48" t="s">
        <v>1257</v>
      </c>
      <c r="AB6" s="48" t="s">
        <v>1257</v>
      </c>
      <c r="AC6" s="48" t="s">
        <v>1257</v>
      </c>
      <c r="AD6" s="48" t="s">
        <v>1257</v>
      </c>
      <c r="AE6" s="48" t="s">
        <v>1257</v>
      </c>
      <c r="AF6" s="48" t="s">
        <v>1257</v>
      </c>
      <c r="AG6" s="48" t="s">
        <v>1257</v>
      </c>
      <c r="AH6" s="48" t="s">
        <v>1257</v>
      </c>
      <c r="AI6" s="48" t="s">
        <v>1257</v>
      </c>
      <c r="AJ6" s="48" t="s">
        <v>1257</v>
      </c>
      <c r="AK6" s="48" t="s">
        <v>1257</v>
      </c>
      <c r="AL6" s="48" t="s">
        <v>1257</v>
      </c>
      <c r="AM6" s="48" t="s">
        <v>1257</v>
      </c>
      <c r="AN6" s="48" t="s">
        <v>1257</v>
      </c>
      <c r="AO6" s="48" t="s">
        <v>1257</v>
      </c>
      <c r="AP6" s="48" t="s">
        <v>1257</v>
      </c>
      <c r="AQ6" s="48" t="s">
        <v>1257</v>
      </c>
      <c r="AR6" s="48" t="s">
        <v>1257</v>
      </c>
      <c r="AS6" s="48" t="s">
        <v>1257</v>
      </c>
      <c r="AT6" s="48" t="s">
        <v>1257</v>
      </c>
      <c r="AU6" s="48" t="s">
        <v>1257</v>
      </c>
      <c r="AV6" s="48" t="s">
        <v>1257</v>
      </c>
      <c r="AW6" s="48" t="s">
        <v>1257</v>
      </c>
      <c r="AX6" s="48" t="s">
        <v>1257</v>
      </c>
      <c r="AY6" s="48" t="s">
        <v>1257</v>
      </c>
      <c r="AZ6" s="48" t="s">
        <v>1257</v>
      </c>
      <c r="BA6" s="48" t="s">
        <v>1257</v>
      </c>
      <c r="BB6" s="48" t="s">
        <v>1257</v>
      </c>
    </row>
    <row r="7" spans="2:54">
      <c r="B7" s="48" t="s">
        <v>1211</v>
      </c>
      <c r="C7" s="48">
        <v>5</v>
      </c>
      <c r="D7" s="48" t="s">
        <v>1260</v>
      </c>
      <c r="E7" s="95" t="s">
        <v>1257</v>
      </c>
      <c r="F7" s="48">
        <v>6</v>
      </c>
      <c r="G7" s="48" t="s">
        <v>1257</v>
      </c>
      <c r="H7" s="48" t="s">
        <v>1257</v>
      </c>
      <c r="I7" s="48" t="s">
        <v>1257</v>
      </c>
      <c r="J7" s="48" t="s">
        <v>1257</v>
      </c>
      <c r="K7" s="48" t="s">
        <v>1257</v>
      </c>
      <c r="L7" s="48" t="s">
        <v>1257</v>
      </c>
      <c r="M7" s="48" t="s">
        <v>1257</v>
      </c>
      <c r="N7" s="48" t="s">
        <v>1257</v>
      </c>
      <c r="O7" s="48" t="s">
        <v>1257</v>
      </c>
      <c r="P7" s="48" t="s">
        <v>1257</v>
      </c>
      <c r="Q7" s="48" t="s">
        <v>1257</v>
      </c>
      <c r="R7" s="48" t="s">
        <v>1257</v>
      </c>
      <c r="S7" s="48" t="s">
        <v>1257</v>
      </c>
      <c r="T7" s="48" t="s">
        <v>1257</v>
      </c>
      <c r="U7" s="48" t="s">
        <v>1257</v>
      </c>
      <c r="V7" s="48" t="s">
        <v>1257</v>
      </c>
      <c r="W7" s="48" t="s">
        <v>1257</v>
      </c>
      <c r="X7" s="48" t="s">
        <v>1257</v>
      </c>
      <c r="Y7" s="48" t="s">
        <v>1257</v>
      </c>
      <c r="Z7" s="48" t="s">
        <v>1257</v>
      </c>
      <c r="AA7" s="48" t="s">
        <v>1257</v>
      </c>
      <c r="AB7" s="48" t="s">
        <v>1257</v>
      </c>
      <c r="AC7" s="48" t="s">
        <v>1257</v>
      </c>
      <c r="AD7" s="48" t="s">
        <v>1257</v>
      </c>
      <c r="AE7" s="48" t="s">
        <v>1257</v>
      </c>
      <c r="AF7" s="48" t="s">
        <v>1257</v>
      </c>
      <c r="AG7" s="48" t="s">
        <v>1257</v>
      </c>
      <c r="AH7" s="48" t="s">
        <v>1257</v>
      </c>
      <c r="AI7" s="48" t="s">
        <v>1257</v>
      </c>
      <c r="AJ7" s="48" t="s">
        <v>1257</v>
      </c>
      <c r="AK7" s="48" t="s">
        <v>1257</v>
      </c>
      <c r="AL7" s="48" t="s">
        <v>1257</v>
      </c>
      <c r="AM7" s="48" t="s">
        <v>1257</v>
      </c>
      <c r="AN7" s="48" t="s">
        <v>1257</v>
      </c>
      <c r="AO7" s="48" t="s">
        <v>1257</v>
      </c>
      <c r="AP7" s="48" t="s">
        <v>1257</v>
      </c>
      <c r="AQ7" s="48" t="s">
        <v>1257</v>
      </c>
      <c r="AR7" s="48" t="s">
        <v>1257</v>
      </c>
      <c r="AS7" s="48" t="s">
        <v>1257</v>
      </c>
      <c r="AT7" s="48" t="s">
        <v>1257</v>
      </c>
      <c r="AU7" s="48" t="s">
        <v>1257</v>
      </c>
      <c r="AV7" s="48" t="s">
        <v>1257</v>
      </c>
      <c r="AW7" s="48" t="s">
        <v>1257</v>
      </c>
      <c r="AX7" s="48" t="s">
        <v>1257</v>
      </c>
      <c r="AY7" s="48" t="s">
        <v>1257</v>
      </c>
      <c r="AZ7" s="48" t="s">
        <v>1257</v>
      </c>
      <c r="BA7" s="48" t="s">
        <v>1257</v>
      </c>
      <c r="BB7" s="48" t="s">
        <v>1257</v>
      </c>
    </row>
    <row r="8" spans="2:54">
      <c r="B8" s="97" t="s">
        <v>1212</v>
      </c>
      <c r="C8" s="48">
        <v>6</v>
      </c>
      <c r="D8" s="48" t="s">
        <v>2041</v>
      </c>
      <c r="E8" s="95">
        <v>45492</v>
      </c>
      <c r="F8" s="48">
        <v>6</v>
      </c>
      <c r="G8" s="207" cm="1">
        <f t="array" ref="G8">SUMPRODUCT(--(I8:BB8&gt;0))/COUNTA(I8:BB8)</f>
        <v>1</v>
      </c>
      <c r="H8" s="48">
        <v>0</v>
      </c>
      <c r="I8" s="48">
        <v>2</v>
      </c>
      <c r="J8" s="48">
        <v>30</v>
      </c>
      <c r="K8" s="48">
        <v>3</v>
      </c>
      <c r="L8" s="48">
        <v>3</v>
      </c>
      <c r="M8" s="48">
        <v>3</v>
      </c>
      <c r="N8" s="48">
        <v>2</v>
      </c>
      <c r="O8" s="48">
        <v>30</v>
      </c>
      <c r="P8" s="48">
        <v>10</v>
      </c>
      <c r="Q8" s="48">
        <v>10</v>
      </c>
      <c r="R8" s="48">
        <v>3</v>
      </c>
      <c r="S8" s="48">
        <v>1</v>
      </c>
      <c r="T8" s="48">
        <v>1</v>
      </c>
      <c r="U8" s="48">
        <v>8</v>
      </c>
      <c r="V8" s="48">
        <v>8</v>
      </c>
      <c r="W8" s="48">
        <v>8</v>
      </c>
      <c r="X8" s="48">
        <v>8</v>
      </c>
      <c r="Y8" s="48">
        <v>8</v>
      </c>
      <c r="Z8" s="48">
        <v>8</v>
      </c>
      <c r="AA8" s="48">
        <v>10</v>
      </c>
      <c r="AB8" s="48">
        <v>8</v>
      </c>
      <c r="AC8" s="48">
        <v>8</v>
      </c>
      <c r="AD8" s="48">
        <v>10</v>
      </c>
      <c r="AE8" s="48">
        <v>8</v>
      </c>
      <c r="AF8" s="48">
        <v>10</v>
      </c>
      <c r="AG8" s="48">
        <v>8</v>
      </c>
      <c r="AH8" s="48">
        <v>10</v>
      </c>
      <c r="AI8" s="48">
        <v>8</v>
      </c>
      <c r="AJ8" s="48">
        <v>1</v>
      </c>
      <c r="AK8" s="48">
        <v>1</v>
      </c>
      <c r="AL8" s="48">
        <v>3</v>
      </c>
      <c r="AM8" s="48">
        <v>2</v>
      </c>
      <c r="AN8" s="48">
        <v>8</v>
      </c>
      <c r="AO8" s="48">
        <v>8</v>
      </c>
      <c r="AP8" s="48">
        <v>8</v>
      </c>
      <c r="AQ8" s="48">
        <v>8</v>
      </c>
      <c r="AR8" s="48">
        <v>3</v>
      </c>
      <c r="AS8" s="48">
        <v>2</v>
      </c>
      <c r="AT8" s="48">
        <v>8</v>
      </c>
      <c r="AU8" s="48">
        <v>8</v>
      </c>
      <c r="AV8" s="48">
        <v>8</v>
      </c>
      <c r="AW8" s="48">
        <v>8</v>
      </c>
      <c r="AX8" s="48">
        <v>3</v>
      </c>
      <c r="AY8" s="48">
        <v>3</v>
      </c>
      <c r="AZ8" s="48">
        <v>2</v>
      </c>
      <c r="BA8" s="48">
        <v>10</v>
      </c>
      <c r="BB8" s="48">
        <v>23</v>
      </c>
    </row>
    <row r="9" spans="2:54">
      <c r="B9" s="48" t="s">
        <v>1215</v>
      </c>
      <c r="C9" s="48">
        <v>7</v>
      </c>
      <c r="D9" s="48" t="s">
        <v>2042</v>
      </c>
      <c r="E9" s="95">
        <v>45492</v>
      </c>
      <c r="F9" s="48">
        <v>6</v>
      </c>
      <c r="G9" s="207" t="e" cm="1">
        <f t="array" ref="G9">SUMPRODUCT(--(I9:BB9 &lt;= I28:BB28))/COUNTA(I28:BB28)</f>
        <v>#DIV/0!</v>
      </c>
      <c r="H9" s="48">
        <v>0</v>
      </c>
      <c r="I9" s="48">
        <v>2</v>
      </c>
      <c r="J9" s="48">
        <v>30</v>
      </c>
      <c r="K9" s="48">
        <v>3</v>
      </c>
      <c r="L9" s="48">
        <v>3</v>
      </c>
      <c r="M9" s="48">
        <v>3</v>
      </c>
      <c r="N9" s="48">
        <v>2</v>
      </c>
      <c r="O9" s="48">
        <v>30</v>
      </c>
      <c r="P9" s="48">
        <v>10</v>
      </c>
      <c r="Q9" s="48">
        <v>10</v>
      </c>
      <c r="R9" s="48">
        <v>3</v>
      </c>
      <c r="S9" s="48">
        <v>1</v>
      </c>
      <c r="T9" s="48">
        <v>4</v>
      </c>
      <c r="U9" s="48">
        <v>17</v>
      </c>
      <c r="V9" s="48">
        <v>17</v>
      </c>
      <c r="W9" s="48">
        <v>17</v>
      </c>
      <c r="X9" s="48">
        <v>17</v>
      </c>
      <c r="Y9" s="48">
        <v>14</v>
      </c>
      <c r="Z9" s="48">
        <v>15</v>
      </c>
      <c r="AA9" s="48">
        <v>10</v>
      </c>
      <c r="AB9" s="48">
        <v>15</v>
      </c>
      <c r="AC9" s="48">
        <v>13</v>
      </c>
      <c r="AD9" s="48">
        <v>10</v>
      </c>
      <c r="AE9" s="48">
        <v>15</v>
      </c>
      <c r="AF9" s="48">
        <v>10</v>
      </c>
      <c r="AG9" s="48">
        <v>14</v>
      </c>
      <c r="AH9" s="48">
        <v>10</v>
      </c>
      <c r="AI9" s="48">
        <v>15</v>
      </c>
      <c r="AJ9" s="48">
        <v>4</v>
      </c>
      <c r="AK9" s="48">
        <v>1</v>
      </c>
      <c r="AL9" s="48">
        <v>3</v>
      </c>
      <c r="AM9" s="48">
        <v>4</v>
      </c>
      <c r="AN9" s="48">
        <v>11</v>
      </c>
      <c r="AO9" s="48">
        <v>10</v>
      </c>
      <c r="AP9" s="48">
        <v>9</v>
      </c>
      <c r="AQ9" s="48">
        <v>9</v>
      </c>
      <c r="AR9" s="48">
        <v>3</v>
      </c>
      <c r="AS9" s="48">
        <v>4</v>
      </c>
      <c r="AT9" s="48">
        <v>11</v>
      </c>
      <c r="AU9" s="48">
        <v>10</v>
      </c>
      <c r="AV9" s="48">
        <v>9</v>
      </c>
      <c r="AW9" s="48">
        <v>9</v>
      </c>
      <c r="AX9" s="48">
        <v>3</v>
      </c>
      <c r="AY9" s="48">
        <v>3</v>
      </c>
      <c r="AZ9" s="48">
        <v>2</v>
      </c>
      <c r="BA9" s="48">
        <v>10</v>
      </c>
      <c r="BB9" s="48">
        <v>23</v>
      </c>
    </row>
    <row r="10" spans="2:54">
      <c r="B10" s="48" t="s">
        <v>1218</v>
      </c>
      <c r="C10" s="48">
        <v>8</v>
      </c>
      <c r="D10" s="48" t="s">
        <v>2043</v>
      </c>
      <c r="E10" s="95">
        <v>45492</v>
      </c>
      <c r="F10" s="48">
        <v>6</v>
      </c>
      <c r="G10" s="48" t="s">
        <v>1257</v>
      </c>
      <c r="H10" s="48" t="s">
        <v>1257</v>
      </c>
      <c r="I10" s="48">
        <v>31</v>
      </c>
      <c r="J10" s="48">
        <v>2.317541E+21</v>
      </c>
      <c r="K10" s="48" t="s">
        <v>2044</v>
      </c>
      <c r="L10" s="48">
        <v>96</v>
      </c>
      <c r="M10" s="48">
        <v>1</v>
      </c>
      <c r="N10" s="95">
        <v>31</v>
      </c>
      <c r="O10" s="48">
        <v>1.3033148999999999E+22</v>
      </c>
      <c r="P10" s="95" t="s">
        <v>1265</v>
      </c>
      <c r="Q10" s="95" t="s">
        <v>1265</v>
      </c>
      <c r="R10" s="95">
        <v>578</v>
      </c>
      <c r="S10" s="98">
        <v>0</v>
      </c>
      <c r="T10" s="48">
        <v>0</v>
      </c>
      <c r="U10" s="48" t="s">
        <v>1266</v>
      </c>
      <c r="V10" s="48" t="s">
        <v>1266</v>
      </c>
      <c r="W10" s="48" t="s">
        <v>1266</v>
      </c>
      <c r="X10" s="48" t="s">
        <v>1266</v>
      </c>
      <c r="Y10" s="48" t="s">
        <v>1266</v>
      </c>
      <c r="Z10" s="48" t="s">
        <v>1266</v>
      </c>
      <c r="AA10" s="95" t="s">
        <v>1265</v>
      </c>
      <c r="AB10" s="98">
        <v>-28990000</v>
      </c>
      <c r="AC10" s="98" t="s">
        <v>1266</v>
      </c>
      <c r="AD10" s="95">
        <v>35480</v>
      </c>
      <c r="AE10" s="98">
        <v>-81710000</v>
      </c>
      <c r="AF10" s="95">
        <v>36984</v>
      </c>
      <c r="AG10" s="48" t="s">
        <v>1266</v>
      </c>
      <c r="AH10" s="95">
        <v>38499</v>
      </c>
      <c r="AI10" s="48" t="s">
        <v>2045</v>
      </c>
      <c r="AJ10" s="98">
        <v>1</v>
      </c>
      <c r="AK10" s="48"/>
      <c r="AL10" s="48" t="s">
        <v>1969</v>
      </c>
      <c r="AM10" s="48" t="e">
        <v>#N/A</v>
      </c>
      <c r="AN10" s="98">
        <v>-10000000</v>
      </c>
      <c r="AO10" s="48" t="s">
        <v>1266</v>
      </c>
      <c r="AP10" s="48" t="s">
        <v>1266</v>
      </c>
      <c r="AQ10" s="48" t="s">
        <v>1266</v>
      </c>
      <c r="AR10" s="48" t="s">
        <v>1969</v>
      </c>
      <c r="AS10" s="48" t="e">
        <v>#N/A</v>
      </c>
      <c r="AT10" s="98">
        <v>-11000000</v>
      </c>
      <c r="AU10" s="48" t="s">
        <v>2046</v>
      </c>
      <c r="AV10" s="48" t="s">
        <v>2047</v>
      </c>
      <c r="AW10" s="48" t="s">
        <v>1266</v>
      </c>
      <c r="AX10" s="95" t="s">
        <v>1267</v>
      </c>
      <c r="AY10" s="48" t="s">
        <v>1970</v>
      </c>
      <c r="AZ10" s="48" t="s">
        <v>2048</v>
      </c>
      <c r="BA10" s="95">
        <v>45491</v>
      </c>
      <c r="BB10" s="48" t="s">
        <v>2049</v>
      </c>
    </row>
    <row r="11" spans="2:54">
      <c r="B11" s="48" t="s">
        <v>1220</v>
      </c>
      <c r="C11" s="48">
        <v>9</v>
      </c>
      <c r="D11" s="48" t="s">
        <v>2050</v>
      </c>
      <c r="E11" s="95">
        <v>45492</v>
      </c>
      <c r="F11" s="48">
        <v>6</v>
      </c>
      <c r="G11" s="48" t="s">
        <v>1257</v>
      </c>
      <c r="H11" s="48" t="s">
        <v>1257</v>
      </c>
      <c r="I11" s="48">
        <v>31</v>
      </c>
      <c r="J11" s="48">
        <v>2.317541E+21</v>
      </c>
      <c r="K11" s="48"/>
      <c r="L11" s="48">
        <v>96</v>
      </c>
      <c r="M11" s="48">
        <v>1</v>
      </c>
      <c r="N11" s="95"/>
      <c r="O11" s="48">
        <v>1.3033148999999999E+22</v>
      </c>
      <c r="P11" s="95" t="s">
        <v>1265</v>
      </c>
      <c r="Q11" s="95" t="s">
        <v>1265</v>
      </c>
      <c r="R11" s="95">
        <v>578</v>
      </c>
      <c r="S11" s="95">
        <v>0</v>
      </c>
      <c r="T11" s="48">
        <v>0</v>
      </c>
      <c r="U11" s="48" t="s">
        <v>1266</v>
      </c>
      <c r="V11" s="48" t="s">
        <v>1266</v>
      </c>
      <c r="W11" s="48" t="s">
        <v>1266</v>
      </c>
      <c r="X11" s="48" t="s">
        <v>1266</v>
      </c>
      <c r="Y11" s="48" t="s">
        <v>1266</v>
      </c>
      <c r="Z11" s="48" t="s">
        <v>1266</v>
      </c>
      <c r="AA11" s="95" t="s">
        <v>1265</v>
      </c>
      <c r="AB11" s="98">
        <v>-28990000</v>
      </c>
      <c r="AC11" s="48" t="s">
        <v>1266</v>
      </c>
      <c r="AD11" s="98">
        <v>35480</v>
      </c>
      <c r="AE11" s="98">
        <v>-81710000</v>
      </c>
      <c r="AF11" s="95">
        <v>36984</v>
      </c>
      <c r="AG11" s="48" t="s">
        <v>1266</v>
      </c>
      <c r="AH11" s="95">
        <v>38499</v>
      </c>
      <c r="AI11" s="48" t="s">
        <v>2045</v>
      </c>
      <c r="AJ11" s="98">
        <v>1</v>
      </c>
      <c r="AK11" s="48"/>
      <c r="AL11" s="48" t="s">
        <v>1969</v>
      </c>
      <c r="AM11" s="48" t="e">
        <v>#N/A</v>
      </c>
      <c r="AN11" s="98">
        <v>-10000000</v>
      </c>
      <c r="AO11" s="48" t="s">
        <v>1266</v>
      </c>
      <c r="AP11" s="48" t="s">
        <v>1266</v>
      </c>
      <c r="AQ11" s="48" t="s">
        <v>1266</v>
      </c>
      <c r="AR11" s="48" t="s">
        <v>1969</v>
      </c>
      <c r="AS11" s="48" t="e">
        <v>#N/A</v>
      </c>
      <c r="AT11" s="98">
        <v>-11000000</v>
      </c>
      <c r="AU11" s="48" t="s">
        <v>2046</v>
      </c>
      <c r="AV11" s="48" t="s">
        <v>2047</v>
      </c>
      <c r="AW11" s="48" t="s">
        <v>1266</v>
      </c>
      <c r="AX11" s="95">
        <v>0</v>
      </c>
      <c r="AY11" s="48" t="s">
        <v>1394</v>
      </c>
      <c r="AZ11" s="48" t="s">
        <v>2048</v>
      </c>
      <c r="BA11" s="95">
        <v>45491</v>
      </c>
      <c r="BB11" s="48" t="s">
        <v>2051</v>
      </c>
    </row>
    <row r="12" spans="2:54">
      <c r="B12" s="97" t="s">
        <v>1222</v>
      </c>
      <c r="C12" s="48">
        <v>10</v>
      </c>
      <c r="D12" s="48" t="s">
        <v>2052</v>
      </c>
      <c r="E12" s="95">
        <v>45492</v>
      </c>
      <c r="F12" s="48">
        <v>6</v>
      </c>
      <c r="G12" s="48" t="s">
        <v>1257</v>
      </c>
      <c r="H12" s="48" t="s">
        <v>1257</v>
      </c>
      <c r="I12" s="48">
        <v>31</v>
      </c>
      <c r="J12" s="183">
        <v>6.8350096000050594E+29</v>
      </c>
      <c r="K12" s="48" t="s">
        <v>2044</v>
      </c>
      <c r="L12" s="48">
        <v>96</v>
      </c>
      <c r="M12" s="95" t="s">
        <v>2053</v>
      </c>
      <c r="N12" s="95">
        <v>31</v>
      </c>
      <c r="O12" s="98">
        <v>2.3950569509102E+29</v>
      </c>
      <c r="P12" s="191">
        <v>110541</v>
      </c>
      <c r="Q12" s="95">
        <v>100616</v>
      </c>
      <c r="R12" s="95">
        <v>978</v>
      </c>
      <c r="S12" s="156" t="s">
        <v>2054</v>
      </c>
      <c r="T12" s="48">
        <v>1122</v>
      </c>
      <c r="U12" s="98">
        <v>2300000000000000</v>
      </c>
      <c r="V12" s="98">
        <v>2300000000000000</v>
      </c>
      <c r="W12" s="98">
        <v>2300000000000000</v>
      </c>
      <c r="X12" s="98">
        <v>2300000000000000</v>
      </c>
      <c r="Y12" s="98">
        <v>1642170000000</v>
      </c>
      <c r="Z12" s="95">
        <v>12775341410000</v>
      </c>
      <c r="AA12" s="95">
        <v>2958465</v>
      </c>
      <c r="AB12" s="98">
        <v>320000000000</v>
      </c>
      <c r="AC12" s="98">
        <v>500000000000</v>
      </c>
      <c r="AD12" s="98">
        <v>45493</v>
      </c>
      <c r="AE12" s="98">
        <v>84490862880000</v>
      </c>
      <c r="AF12" s="98">
        <v>45491</v>
      </c>
      <c r="AG12" s="95">
        <v>2026000000000</v>
      </c>
      <c r="AH12" s="98">
        <v>45492</v>
      </c>
      <c r="AI12" s="95">
        <v>10900000000000</v>
      </c>
      <c r="AJ12" s="98">
        <v>1001</v>
      </c>
      <c r="AK12" s="95" t="s">
        <v>1536</v>
      </c>
      <c r="AL12" s="98" t="s">
        <v>1337</v>
      </c>
      <c r="AM12" s="95" t="s">
        <v>2055</v>
      </c>
      <c r="AN12" s="98">
        <v>2480712000</v>
      </c>
      <c r="AO12" s="98">
        <v>126000000</v>
      </c>
      <c r="AP12" s="98">
        <v>99999999</v>
      </c>
      <c r="AQ12" s="98">
        <v>13241605</v>
      </c>
      <c r="AR12" s="48" t="s">
        <v>1337</v>
      </c>
      <c r="AS12" s="98" t="s">
        <v>2055</v>
      </c>
      <c r="AT12" s="98">
        <v>2431200000</v>
      </c>
      <c r="AU12" s="98">
        <v>120000000</v>
      </c>
      <c r="AV12" s="98">
        <v>20722600</v>
      </c>
      <c r="AW12" s="98">
        <v>13241605</v>
      </c>
      <c r="AX12" s="95" t="s">
        <v>1527</v>
      </c>
      <c r="AY12" s="48" t="s">
        <v>1978</v>
      </c>
      <c r="AZ12" s="48" t="s">
        <v>1277</v>
      </c>
      <c r="BA12" s="95">
        <v>45492</v>
      </c>
      <c r="BB12" s="48" t="s">
        <v>2049</v>
      </c>
    </row>
    <row r="13" spans="2:54">
      <c r="B13" s="48" t="s">
        <v>1224</v>
      </c>
      <c r="C13" s="48">
        <v>11</v>
      </c>
      <c r="D13" s="48" t="s">
        <v>2056</v>
      </c>
      <c r="E13" s="95">
        <v>45492</v>
      </c>
      <c r="F13" s="48">
        <v>6</v>
      </c>
      <c r="G13" s="48" t="s">
        <v>1257</v>
      </c>
      <c r="H13" s="48" t="s">
        <v>1257</v>
      </c>
      <c r="I13" s="48">
        <v>31</v>
      </c>
      <c r="J13" s="183">
        <v>6.8350096000050594E+29</v>
      </c>
      <c r="K13" s="48"/>
      <c r="L13" s="48">
        <v>96</v>
      </c>
      <c r="M13" s="95" t="s">
        <v>2053</v>
      </c>
      <c r="N13" s="95"/>
      <c r="O13" s="98">
        <v>2.3950569509102E+29</v>
      </c>
      <c r="P13" s="95">
        <v>110541</v>
      </c>
      <c r="Q13" s="95">
        <v>100616</v>
      </c>
      <c r="R13" s="95">
        <v>978</v>
      </c>
      <c r="S13" s="95">
        <v>1</v>
      </c>
      <c r="T13" s="48">
        <v>1122</v>
      </c>
      <c r="U13" s="98">
        <v>2300000000000000</v>
      </c>
      <c r="V13" s="98">
        <v>2300000000000000</v>
      </c>
      <c r="W13" s="98">
        <v>2300000000000000</v>
      </c>
      <c r="X13" s="98">
        <v>2300000000000000</v>
      </c>
      <c r="Y13" s="98">
        <v>1642170000000</v>
      </c>
      <c r="Z13" s="95">
        <v>12775341410000</v>
      </c>
      <c r="AA13" s="95">
        <v>2958465</v>
      </c>
      <c r="AB13" s="98">
        <v>320000000000</v>
      </c>
      <c r="AC13" s="98">
        <v>500000000000</v>
      </c>
      <c r="AD13" s="98">
        <v>45493</v>
      </c>
      <c r="AE13" s="98">
        <v>84490862880000</v>
      </c>
      <c r="AF13" s="98">
        <v>45491</v>
      </c>
      <c r="AG13" s="95">
        <v>2026000000000</v>
      </c>
      <c r="AH13" s="98">
        <v>45492</v>
      </c>
      <c r="AI13" s="98">
        <v>10900000000000</v>
      </c>
      <c r="AJ13" s="98">
        <v>99</v>
      </c>
      <c r="AK13" s="48" t="s">
        <v>1536</v>
      </c>
      <c r="AL13" s="98" t="s">
        <v>1337</v>
      </c>
      <c r="AM13" s="95" t="s">
        <v>2055</v>
      </c>
      <c r="AN13" s="98">
        <v>2480712000</v>
      </c>
      <c r="AO13" s="98">
        <v>126000000</v>
      </c>
      <c r="AP13" s="98">
        <v>99999999</v>
      </c>
      <c r="AQ13" s="98">
        <v>13241605</v>
      </c>
      <c r="AR13" s="48" t="s">
        <v>1337</v>
      </c>
      <c r="AS13" s="48" t="s">
        <v>2055</v>
      </c>
      <c r="AT13" s="98">
        <v>2431200000</v>
      </c>
      <c r="AU13" s="98">
        <v>120000000</v>
      </c>
      <c r="AV13" s="98">
        <v>20722600</v>
      </c>
      <c r="AW13" s="98">
        <v>13241605</v>
      </c>
      <c r="AX13" s="95" t="s">
        <v>2057</v>
      </c>
      <c r="AY13" s="48" t="s">
        <v>1394</v>
      </c>
      <c r="AZ13" s="48" t="s">
        <v>1277</v>
      </c>
      <c r="BA13" s="95">
        <v>45492</v>
      </c>
      <c r="BB13" s="48" t="s">
        <v>2058</v>
      </c>
    </row>
    <row r="14" spans="2:54">
      <c r="B14" s="48" t="s">
        <v>1226</v>
      </c>
      <c r="C14" s="48">
        <v>12</v>
      </c>
      <c r="D14" s="48" t="s">
        <v>2059</v>
      </c>
      <c r="E14" s="95">
        <v>45492</v>
      </c>
      <c r="F14" s="48">
        <v>6</v>
      </c>
      <c r="G14" s="207">
        <v>0.47826099999999999</v>
      </c>
      <c r="H14" s="48">
        <v>0</v>
      </c>
      <c r="I14" s="48">
        <v>0</v>
      </c>
      <c r="J14" s="48">
        <v>0</v>
      </c>
      <c r="K14" s="48">
        <v>0</v>
      </c>
      <c r="L14" s="48">
        <v>0</v>
      </c>
      <c r="M14" s="48">
        <v>0</v>
      </c>
      <c r="N14" s="48">
        <v>0</v>
      </c>
      <c r="O14" s="48">
        <v>125</v>
      </c>
      <c r="P14" s="48">
        <v>0</v>
      </c>
      <c r="Q14" s="48">
        <v>0</v>
      </c>
      <c r="R14" s="48">
        <v>0</v>
      </c>
      <c r="S14" s="48">
        <v>0</v>
      </c>
      <c r="T14" s="48">
        <v>32</v>
      </c>
      <c r="U14" s="48">
        <v>0</v>
      </c>
      <c r="V14" s="48">
        <v>0</v>
      </c>
      <c r="W14" s="48">
        <v>0</v>
      </c>
      <c r="X14" s="48">
        <v>18</v>
      </c>
      <c r="Y14" s="48">
        <v>0</v>
      </c>
      <c r="Z14" s="48">
        <v>3</v>
      </c>
      <c r="AA14" s="48">
        <v>0</v>
      </c>
      <c r="AB14" s="48">
        <v>914346</v>
      </c>
      <c r="AC14" s="48">
        <v>25</v>
      </c>
      <c r="AD14" s="48">
        <v>210140</v>
      </c>
      <c r="AE14" s="48">
        <v>210140</v>
      </c>
      <c r="AF14" s="48">
        <v>928764</v>
      </c>
      <c r="AG14" s="48">
        <v>962101</v>
      </c>
      <c r="AH14" s="48">
        <v>288913</v>
      </c>
      <c r="AI14" s="48">
        <v>865663</v>
      </c>
      <c r="AJ14" s="48">
        <v>776653</v>
      </c>
      <c r="AK14" s="48">
        <v>366326</v>
      </c>
      <c r="AL14" s="48">
        <v>0</v>
      </c>
      <c r="AM14" s="48">
        <v>0</v>
      </c>
      <c r="AN14" s="48">
        <v>287066</v>
      </c>
      <c r="AO14" s="48">
        <v>664129</v>
      </c>
      <c r="AP14" s="48">
        <v>540317</v>
      </c>
      <c r="AQ14" s="48">
        <v>8700</v>
      </c>
      <c r="AR14" s="48">
        <v>0</v>
      </c>
      <c r="AS14" s="48">
        <v>0</v>
      </c>
      <c r="AT14" s="48">
        <v>297063</v>
      </c>
      <c r="AU14" s="48">
        <v>641484</v>
      </c>
      <c r="AV14" s="48">
        <v>522387</v>
      </c>
      <c r="AW14" s="48">
        <v>25</v>
      </c>
      <c r="AX14" s="48">
        <v>87567</v>
      </c>
      <c r="AY14" s="48">
        <v>565350</v>
      </c>
      <c r="AZ14" s="48">
        <v>0</v>
      </c>
      <c r="BA14" s="48">
        <v>0</v>
      </c>
      <c r="BB14" s="48">
        <v>0</v>
      </c>
    </row>
    <row r="15" spans="2:54">
      <c r="B15" s="48" t="s">
        <v>1228</v>
      </c>
      <c r="C15" s="48">
        <v>13</v>
      </c>
      <c r="D15" s="48" t="s">
        <v>2060</v>
      </c>
      <c r="E15" s="95">
        <v>45492</v>
      </c>
      <c r="F15" s="48">
        <v>6</v>
      </c>
      <c r="G15" s="207">
        <v>1</v>
      </c>
      <c r="H15" s="48">
        <v>0</v>
      </c>
      <c r="I15" s="48" t="s">
        <v>1257</v>
      </c>
      <c r="J15" s="48" t="s">
        <v>1257</v>
      </c>
      <c r="K15" s="48" t="s">
        <v>1257</v>
      </c>
      <c r="L15" s="48" t="s">
        <v>1257</v>
      </c>
      <c r="M15" s="48" t="s">
        <v>1257</v>
      </c>
      <c r="N15" s="48" t="s">
        <v>1257</v>
      </c>
      <c r="O15" s="48" t="s">
        <v>1257</v>
      </c>
      <c r="P15" s="48">
        <v>0</v>
      </c>
      <c r="Q15" s="48">
        <v>0</v>
      </c>
      <c r="R15" s="48" t="s">
        <v>1257</v>
      </c>
      <c r="S15" s="48" t="s">
        <v>1257</v>
      </c>
      <c r="T15" s="48" t="s">
        <v>1257</v>
      </c>
      <c r="U15" s="48" t="s">
        <v>1257</v>
      </c>
      <c r="V15" s="48" t="s">
        <v>1257</v>
      </c>
      <c r="W15" s="48" t="s">
        <v>1257</v>
      </c>
      <c r="X15" s="48" t="s">
        <v>1257</v>
      </c>
      <c r="Y15" s="48" t="s">
        <v>1257</v>
      </c>
      <c r="Z15" s="48" t="s">
        <v>1257</v>
      </c>
      <c r="AA15" s="48">
        <v>0</v>
      </c>
      <c r="AB15" s="48" t="s">
        <v>1257</v>
      </c>
      <c r="AC15" s="48" t="s">
        <v>1257</v>
      </c>
      <c r="AD15" s="48">
        <v>0</v>
      </c>
      <c r="AE15" s="48" t="s">
        <v>1257</v>
      </c>
      <c r="AF15" s="48">
        <v>0</v>
      </c>
      <c r="AG15" s="48" t="s">
        <v>1257</v>
      </c>
      <c r="AH15" s="48">
        <v>0</v>
      </c>
      <c r="AI15" s="48" t="s">
        <v>1257</v>
      </c>
      <c r="AJ15" s="48" t="s">
        <v>1257</v>
      </c>
      <c r="AK15" s="48" t="s">
        <v>1257</v>
      </c>
      <c r="AL15" s="48" t="s">
        <v>1257</v>
      </c>
      <c r="AM15" s="48" t="s">
        <v>1257</v>
      </c>
      <c r="AN15" s="48" t="s">
        <v>1257</v>
      </c>
      <c r="AO15" s="48" t="s">
        <v>1257</v>
      </c>
      <c r="AP15" s="48" t="s">
        <v>1257</v>
      </c>
      <c r="AQ15" s="48" t="s">
        <v>1257</v>
      </c>
      <c r="AR15" s="48" t="s">
        <v>1257</v>
      </c>
      <c r="AS15" s="48" t="s">
        <v>1257</v>
      </c>
      <c r="AT15" s="48" t="s">
        <v>1257</v>
      </c>
      <c r="AU15" s="48" t="s">
        <v>1257</v>
      </c>
      <c r="AV15" s="48" t="s">
        <v>1257</v>
      </c>
      <c r="AW15" s="48" t="s">
        <v>1257</v>
      </c>
      <c r="AX15" s="48" t="s">
        <v>1257</v>
      </c>
      <c r="AY15" s="48" t="s">
        <v>1257</v>
      </c>
      <c r="AZ15" s="48" t="s">
        <v>1257</v>
      </c>
      <c r="BA15" s="48" t="s">
        <v>1257</v>
      </c>
      <c r="BB15" s="48" t="s">
        <v>1257</v>
      </c>
    </row>
    <row r="16" spans="2:54">
      <c r="B16" s="48" t="s">
        <v>1230</v>
      </c>
      <c r="C16" s="48">
        <v>14</v>
      </c>
      <c r="D16" s="48" t="s">
        <v>2061</v>
      </c>
      <c r="E16" s="95">
        <v>45492</v>
      </c>
      <c r="F16" s="48">
        <v>6</v>
      </c>
      <c r="G16" s="207">
        <v>1</v>
      </c>
      <c r="H16" s="48">
        <v>0</v>
      </c>
      <c r="I16" s="48" t="s">
        <v>1257</v>
      </c>
      <c r="J16" s="48" t="s">
        <v>1257</v>
      </c>
      <c r="K16" s="48">
        <v>0</v>
      </c>
      <c r="L16" s="48">
        <v>0</v>
      </c>
      <c r="M16" s="48">
        <v>0</v>
      </c>
      <c r="N16" s="48" t="s">
        <v>1257</v>
      </c>
      <c r="O16" s="48" t="s">
        <v>1257</v>
      </c>
      <c r="P16" s="48" t="s">
        <v>1257</v>
      </c>
      <c r="Q16" s="48" t="s">
        <v>1257</v>
      </c>
      <c r="R16" s="48">
        <v>0</v>
      </c>
      <c r="S16" s="48" t="s">
        <v>1257</v>
      </c>
      <c r="T16" s="48" t="s">
        <v>1257</v>
      </c>
      <c r="U16" s="48" t="s">
        <v>1257</v>
      </c>
      <c r="V16" s="48" t="s">
        <v>1257</v>
      </c>
      <c r="W16" s="48" t="s">
        <v>1257</v>
      </c>
      <c r="X16" s="48" t="s">
        <v>1257</v>
      </c>
      <c r="Y16" s="48" t="s">
        <v>1257</v>
      </c>
      <c r="Z16" s="48" t="s">
        <v>1257</v>
      </c>
      <c r="AA16" s="48" t="s">
        <v>1257</v>
      </c>
      <c r="AB16" s="48" t="s">
        <v>1257</v>
      </c>
      <c r="AC16" s="48" t="s">
        <v>1257</v>
      </c>
      <c r="AD16" s="48" t="s">
        <v>1257</v>
      </c>
      <c r="AE16" s="48" t="s">
        <v>1257</v>
      </c>
      <c r="AF16" s="48" t="s">
        <v>1257</v>
      </c>
      <c r="AG16" s="48" t="s">
        <v>1257</v>
      </c>
      <c r="AH16" s="48" t="s">
        <v>1257</v>
      </c>
      <c r="AI16" s="48" t="s">
        <v>1257</v>
      </c>
      <c r="AJ16" s="48" t="s">
        <v>1257</v>
      </c>
      <c r="AK16" s="48" t="s">
        <v>1257</v>
      </c>
      <c r="AL16" s="48" t="s">
        <v>1257</v>
      </c>
      <c r="AM16" s="48">
        <v>0</v>
      </c>
      <c r="AN16" s="48" t="s">
        <v>1257</v>
      </c>
      <c r="AO16" s="48" t="s">
        <v>1257</v>
      </c>
      <c r="AP16" s="48" t="s">
        <v>1257</v>
      </c>
      <c r="AQ16" s="48" t="s">
        <v>1257</v>
      </c>
      <c r="AR16" s="48">
        <v>0</v>
      </c>
      <c r="AS16" s="48">
        <v>0</v>
      </c>
      <c r="AT16" s="48" t="s">
        <v>1257</v>
      </c>
      <c r="AU16" s="48" t="s">
        <v>1257</v>
      </c>
      <c r="AV16" s="48" t="s">
        <v>1257</v>
      </c>
      <c r="AW16" s="48" t="s">
        <v>1257</v>
      </c>
      <c r="AX16" s="48">
        <v>0</v>
      </c>
      <c r="AY16" s="48">
        <v>0</v>
      </c>
      <c r="AZ16" s="48">
        <v>0</v>
      </c>
      <c r="BA16" s="48">
        <v>0</v>
      </c>
      <c r="BB16" s="48" t="s">
        <v>1257</v>
      </c>
    </row>
    <row r="17" spans="2:54">
      <c r="B17" s="48" t="s">
        <v>1232</v>
      </c>
      <c r="C17" s="48">
        <v>15</v>
      </c>
      <c r="D17" s="48" t="s">
        <v>2062</v>
      </c>
      <c r="E17" s="95">
        <v>45492</v>
      </c>
      <c r="F17" s="48">
        <v>6</v>
      </c>
      <c r="G17" s="207">
        <v>1</v>
      </c>
      <c r="H17" s="48">
        <v>0</v>
      </c>
      <c r="I17" s="48" t="s">
        <v>1257</v>
      </c>
      <c r="J17" s="48" t="s">
        <v>1257</v>
      </c>
      <c r="K17" s="48" t="s">
        <v>1257</v>
      </c>
      <c r="L17" s="48" t="s">
        <v>1257</v>
      </c>
      <c r="M17" s="48" t="s">
        <v>1257</v>
      </c>
      <c r="N17" s="48" t="s">
        <v>1257</v>
      </c>
      <c r="O17" s="48" t="s">
        <v>1257</v>
      </c>
      <c r="P17" s="48" t="s">
        <v>1257</v>
      </c>
      <c r="Q17" s="48" t="s">
        <v>1257</v>
      </c>
      <c r="R17" s="48" t="s">
        <v>1257</v>
      </c>
      <c r="S17" s="48" t="s">
        <v>1257</v>
      </c>
      <c r="T17" s="48" t="s">
        <v>1257</v>
      </c>
      <c r="U17" s="48" t="s">
        <v>1257</v>
      </c>
      <c r="V17" s="48" t="s">
        <v>1257</v>
      </c>
      <c r="W17" s="48" t="s">
        <v>1257</v>
      </c>
      <c r="X17" s="48" t="s">
        <v>1257</v>
      </c>
      <c r="Y17" s="48" t="s">
        <v>1257</v>
      </c>
      <c r="Z17" s="48" t="s">
        <v>1257</v>
      </c>
      <c r="AA17" s="48" t="s">
        <v>1257</v>
      </c>
      <c r="AB17" s="48" t="s">
        <v>1257</v>
      </c>
      <c r="AC17" s="48" t="s">
        <v>1257</v>
      </c>
      <c r="AD17" s="48" t="s">
        <v>1257</v>
      </c>
      <c r="AE17" s="48" t="s">
        <v>1257</v>
      </c>
      <c r="AF17" s="48" t="s">
        <v>1257</v>
      </c>
      <c r="AG17" s="48" t="s">
        <v>1257</v>
      </c>
      <c r="AH17" s="48" t="s">
        <v>1257</v>
      </c>
      <c r="AI17" s="48" t="s">
        <v>1257</v>
      </c>
      <c r="AJ17" s="48" t="s">
        <v>1257</v>
      </c>
      <c r="AK17" s="48" t="s">
        <v>1257</v>
      </c>
      <c r="AL17" s="48" t="s">
        <v>1257</v>
      </c>
      <c r="AM17" s="48" t="s">
        <v>1257</v>
      </c>
      <c r="AN17" s="48" t="s">
        <v>1257</v>
      </c>
      <c r="AO17" s="48" t="s">
        <v>1257</v>
      </c>
      <c r="AP17" s="48" t="s">
        <v>1257</v>
      </c>
      <c r="AQ17" s="48" t="s">
        <v>1257</v>
      </c>
      <c r="AR17" s="48" t="s">
        <v>1257</v>
      </c>
      <c r="AS17" s="48" t="s">
        <v>1257</v>
      </c>
      <c r="AT17" s="48" t="s">
        <v>1257</v>
      </c>
      <c r="AU17" s="48" t="s">
        <v>1257</v>
      </c>
      <c r="AV17" s="48" t="s">
        <v>1257</v>
      </c>
      <c r="AW17" s="48" t="s">
        <v>1257</v>
      </c>
      <c r="AX17" s="48" t="s">
        <v>1257</v>
      </c>
      <c r="AY17" s="48" t="s">
        <v>1257</v>
      </c>
      <c r="AZ17" s="48" t="s">
        <v>1257</v>
      </c>
      <c r="BA17" s="48" t="s">
        <v>1257</v>
      </c>
      <c r="BB17" s="48" t="s">
        <v>1257</v>
      </c>
    </row>
    <row r="18" spans="2:54">
      <c r="B18" s="48" t="s">
        <v>1234</v>
      </c>
      <c r="C18" s="48">
        <v>16</v>
      </c>
      <c r="D18" s="48" t="s">
        <v>2062</v>
      </c>
      <c r="E18" s="95">
        <v>45492</v>
      </c>
      <c r="F18" s="48">
        <v>6</v>
      </c>
      <c r="G18" s="207">
        <v>1</v>
      </c>
      <c r="H18" s="48">
        <v>0</v>
      </c>
      <c r="I18" s="48" t="s">
        <v>1257</v>
      </c>
      <c r="J18" s="48" t="s">
        <v>1257</v>
      </c>
      <c r="K18" s="48" t="s">
        <v>1257</v>
      </c>
      <c r="L18" s="48" t="s">
        <v>1257</v>
      </c>
      <c r="M18" s="48" t="s">
        <v>1257</v>
      </c>
      <c r="N18" s="48" t="s">
        <v>1257</v>
      </c>
      <c r="O18" s="48" t="s">
        <v>1257</v>
      </c>
      <c r="P18" s="48" t="s">
        <v>1257</v>
      </c>
      <c r="Q18" s="48" t="s">
        <v>1257</v>
      </c>
      <c r="R18" s="48" t="s">
        <v>1257</v>
      </c>
      <c r="S18" s="48" t="s">
        <v>1257</v>
      </c>
      <c r="T18" s="48" t="s">
        <v>1257</v>
      </c>
      <c r="U18" s="48" t="s">
        <v>1257</v>
      </c>
      <c r="V18" s="48" t="s">
        <v>1257</v>
      </c>
      <c r="W18" s="48" t="s">
        <v>1257</v>
      </c>
      <c r="X18" s="48" t="s">
        <v>1257</v>
      </c>
      <c r="Y18" s="48" t="s">
        <v>1257</v>
      </c>
      <c r="Z18" s="48" t="s">
        <v>1257</v>
      </c>
      <c r="AA18" s="48" t="s">
        <v>1257</v>
      </c>
      <c r="AB18" s="48" t="s">
        <v>1257</v>
      </c>
      <c r="AC18" s="48" t="s">
        <v>1257</v>
      </c>
      <c r="AD18" s="48" t="s">
        <v>1257</v>
      </c>
      <c r="AE18" s="48" t="s">
        <v>1257</v>
      </c>
      <c r="AF18" s="48" t="s">
        <v>1257</v>
      </c>
      <c r="AG18" s="48" t="s">
        <v>1257</v>
      </c>
      <c r="AH18" s="48" t="s">
        <v>1257</v>
      </c>
      <c r="AI18" s="48" t="s">
        <v>1257</v>
      </c>
      <c r="AJ18" s="48" t="s">
        <v>1257</v>
      </c>
      <c r="AK18" s="48" t="s">
        <v>1257</v>
      </c>
      <c r="AL18" s="48" t="s">
        <v>1257</v>
      </c>
      <c r="AM18" s="48" t="s">
        <v>1257</v>
      </c>
      <c r="AN18" s="48" t="s">
        <v>1257</v>
      </c>
      <c r="AO18" s="48" t="s">
        <v>1257</v>
      </c>
      <c r="AP18" s="48" t="s">
        <v>1257</v>
      </c>
      <c r="AQ18" s="48" t="s">
        <v>1257</v>
      </c>
      <c r="AR18" s="48" t="s">
        <v>1257</v>
      </c>
      <c r="AS18" s="48" t="s">
        <v>1257</v>
      </c>
      <c r="AT18" s="48" t="s">
        <v>1257</v>
      </c>
      <c r="AU18" s="48" t="s">
        <v>1257</v>
      </c>
      <c r="AV18" s="48" t="s">
        <v>1257</v>
      </c>
      <c r="AW18" s="48" t="s">
        <v>1257</v>
      </c>
      <c r="AX18" s="48" t="s">
        <v>1257</v>
      </c>
      <c r="AY18" s="48" t="s">
        <v>1257</v>
      </c>
      <c r="AZ18" s="48" t="s">
        <v>1257</v>
      </c>
      <c r="BA18" s="48" t="s">
        <v>1257</v>
      </c>
      <c r="BB18" s="48" t="s">
        <v>1257</v>
      </c>
    </row>
    <row r="19" spans="2:54">
      <c r="B19" s="48" t="s">
        <v>1236</v>
      </c>
      <c r="C19" s="48">
        <v>17</v>
      </c>
      <c r="D19" s="48" t="s">
        <v>2063</v>
      </c>
      <c r="E19" s="95">
        <v>45492</v>
      </c>
      <c r="F19" s="48">
        <v>6</v>
      </c>
      <c r="G19" s="191">
        <v>0.72939600000000004</v>
      </c>
      <c r="H19" s="183">
        <v>269168</v>
      </c>
      <c r="I19" s="48" t="s">
        <v>1257</v>
      </c>
      <c r="J19" s="48" t="s">
        <v>1257</v>
      </c>
      <c r="K19" s="48" t="s">
        <v>1257</v>
      </c>
      <c r="L19" s="48" t="s">
        <v>1257</v>
      </c>
      <c r="M19" s="48" t="s">
        <v>1257</v>
      </c>
      <c r="N19" s="48" t="s">
        <v>1257</v>
      </c>
      <c r="O19" s="48" t="s">
        <v>1257</v>
      </c>
      <c r="P19" s="48" t="s">
        <v>1257</v>
      </c>
      <c r="Q19" s="48" t="s">
        <v>1257</v>
      </c>
      <c r="R19" s="48" t="s">
        <v>1257</v>
      </c>
      <c r="S19" s="48" t="s">
        <v>1257</v>
      </c>
      <c r="T19" s="48" t="s">
        <v>1257</v>
      </c>
      <c r="U19" s="48" t="s">
        <v>1257</v>
      </c>
      <c r="V19" s="48" t="s">
        <v>1257</v>
      </c>
      <c r="W19" s="48" t="s">
        <v>1257</v>
      </c>
      <c r="X19" s="48" t="s">
        <v>1257</v>
      </c>
      <c r="Y19" s="48" t="s">
        <v>1257</v>
      </c>
      <c r="Z19" s="48" t="s">
        <v>1257</v>
      </c>
      <c r="AA19" s="48" t="s">
        <v>1257</v>
      </c>
      <c r="AB19" s="48" t="s">
        <v>1257</v>
      </c>
      <c r="AC19" s="48" t="s">
        <v>1257</v>
      </c>
      <c r="AD19" s="48" t="s">
        <v>1257</v>
      </c>
      <c r="AE19" s="48" t="s">
        <v>1257</v>
      </c>
      <c r="AF19" s="48" t="s">
        <v>1257</v>
      </c>
      <c r="AG19" s="48" t="s">
        <v>1257</v>
      </c>
      <c r="AH19" s="48" t="s">
        <v>1257</v>
      </c>
      <c r="AI19" s="48" t="s">
        <v>1257</v>
      </c>
      <c r="AJ19" s="48" t="s">
        <v>1257</v>
      </c>
      <c r="AK19" s="48" t="s">
        <v>1257</v>
      </c>
      <c r="AL19" s="48" t="s">
        <v>1257</v>
      </c>
      <c r="AM19" s="48" t="s">
        <v>1257</v>
      </c>
      <c r="AN19" s="48" t="s">
        <v>1257</v>
      </c>
      <c r="AO19" s="48" t="s">
        <v>1257</v>
      </c>
      <c r="AP19" s="48" t="s">
        <v>1257</v>
      </c>
      <c r="AQ19" s="48" t="s">
        <v>1257</v>
      </c>
      <c r="AR19" s="48" t="s">
        <v>1257</v>
      </c>
      <c r="AS19" s="48" t="s">
        <v>1257</v>
      </c>
      <c r="AT19" s="48" t="s">
        <v>1257</v>
      </c>
      <c r="AU19" s="48" t="s">
        <v>1257</v>
      </c>
      <c r="AV19" s="48" t="s">
        <v>1257</v>
      </c>
      <c r="AW19" s="48" t="s">
        <v>1257</v>
      </c>
      <c r="AX19" s="48" t="s">
        <v>1257</v>
      </c>
      <c r="AY19" s="48" t="s">
        <v>1257</v>
      </c>
      <c r="AZ19" s="48" t="s">
        <v>1257</v>
      </c>
      <c r="BA19" s="48" t="s">
        <v>1257</v>
      </c>
      <c r="BB19" s="48" t="s">
        <v>1257</v>
      </c>
    </row>
    <row r="20" spans="2:54">
      <c r="B20" s="48" t="s">
        <v>1238</v>
      </c>
      <c r="C20" s="97">
        <v>18</v>
      </c>
      <c r="D20" s="48" t="s">
        <v>2063</v>
      </c>
      <c r="E20" s="95">
        <v>45492</v>
      </c>
      <c r="F20" s="48">
        <v>6</v>
      </c>
      <c r="G20" s="191">
        <v>0.99998100000000001</v>
      </c>
      <c r="H20" s="98">
        <v>27</v>
      </c>
      <c r="I20" s="48" t="s">
        <v>1257</v>
      </c>
      <c r="J20" s="48" t="s">
        <v>1257</v>
      </c>
      <c r="K20" s="48" t="s">
        <v>1257</v>
      </c>
      <c r="L20" s="48" t="s">
        <v>1257</v>
      </c>
      <c r="M20" s="48" t="s">
        <v>1257</v>
      </c>
      <c r="N20" s="48" t="s">
        <v>1257</v>
      </c>
      <c r="O20" s="48" t="s">
        <v>1257</v>
      </c>
      <c r="P20" s="48" t="s">
        <v>1257</v>
      </c>
      <c r="Q20" s="48" t="s">
        <v>1257</v>
      </c>
      <c r="R20" s="48" t="s">
        <v>1257</v>
      </c>
      <c r="S20" s="48" t="s">
        <v>1257</v>
      </c>
      <c r="T20" s="48" t="s">
        <v>1257</v>
      </c>
      <c r="U20" s="48" t="s">
        <v>1257</v>
      </c>
      <c r="V20" s="48" t="s">
        <v>1257</v>
      </c>
      <c r="W20" s="48" t="s">
        <v>1257</v>
      </c>
      <c r="X20" s="48" t="s">
        <v>1257</v>
      </c>
      <c r="Y20" s="48" t="s">
        <v>1257</v>
      </c>
      <c r="Z20" s="48" t="s">
        <v>1257</v>
      </c>
      <c r="AA20" s="48" t="s">
        <v>1257</v>
      </c>
      <c r="AB20" s="48" t="s">
        <v>1257</v>
      </c>
      <c r="AC20" s="48" t="s">
        <v>1257</v>
      </c>
      <c r="AD20" s="48" t="s">
        <v>1257</v>
      </c>
      <c r="AE20" s="48" t="s">
        <v>1257</v>
      </c>
      <c r="AF20" s="48" t="s">
        <v>1257</v>
      </c>
      <c r="AG20" s="48" t="s">
        <v>1257</v>
      </c>
      <c r="AH20" s="48" t="s">
        <v>1257</v>
      </c>
      <c r="AI20" s="48" t="s">
        <v>1257</v>
      </c>
      <c r="AJ20" s="48" t="s">
        <v>1257</v>
      </c>
      <c r="AK20" s="48" t="s">
        <v>1257</v>
      </c>
      <c r="AL20" s="48" t="s">
        <v>1257</v>
      </c>
      <c r="AM20" s="48" t="s">
        <v>1257</v>
      </c>
      <c r="AN20" s="48" t="s">
        <v>1257</v>
      </c>
      <c r="AO20" s="48" t="s">
        <v>1257</v>
      </c>
      <c r="AP20" s="48" t="s">
        <v>1257</v>
      </c>
      <c r="AQ20" s="48" t="s">
        <v>1257</v>
      </c>
      <c r="AR20" s="48" t="s">
        <v>1257</v>
      </c>
      <c r="AS20" s="48" t="s">
        <v>1257</v>
      </c>
      <c r="AT20" s="48" t="s">
        <v>1257</v>
      </c>
      <c r="AU20" s="48" t="s">
        <v>1257</v>
      </c>
      <c r="AV20" s="48" t="s">
        <v>1257</v>
      </c>
      <c r="AW20" s="48" t="s">
        <v>1257</v>
      </c>
      <c r="AX20" s="48" t="s">
        <v>1257</v>
      </c>
      <c r="AY20" s="48" t="s">
        <v>1257</v>
      </c>
      <c r="AZ20" s="48" t="s">
        <v>1257</v>
      </c>
      <c r="BA20" s="48" t="s">
        <v>1257</v>
      </c>
      <c r="BB20" s="48" t="s">
        <v>1257</v>
      </c>
    </row>
    <row r="21" spans="2:54">
      <c r="B21" s="211" t="s">
        <v>1992</v>
      </c>
      <c r="C21" s="48">
        <v>19</v>
      </c>
      <c r="D21" s="48" t="s">
        <v>2063</v>
      </c>
      <c r="E21" s="95">
        <v>45492</v>
      </c>
      <c r="F21" s="48">
        <v>6</v>
      </c>
      <c r="G21" s="207" cm="1">
        <f t="array" aca="1" ref="G21" ca="1">SUMPRODUCT(--(ISNUMBER((SEARCH(I27:BB27,I21:BB21)))))/COUNTA(I21:BB21)</f>
        <v>0.97826086956521741</v>
      </c>
      <c r="H21" s="48">
        <v>0</v>
      </c>
      <c r="I21" s="48" t="s">
        <v>1291</v>
      </c>
      <c r="J21" s="48" t="s">
        <v>1291</v>
      </c>
      <c r="K21" s="48" t="s">
        <v>1291</v>
      </c>
      <c r="L21" s="48" t="s">
        <v>1291</v>
      </c>
      <c r="M21" s="48" t="s">
        <v>1291</v>
      </c>
      <c r="N21" s="48" t="s">
        <v>1291</v>
      </c>
      <c r="O21" s="48" t="s">
        <v>1291</v>
      </c>
      <c r="P21" s="48" t="s">
        <v>1291</v>
      </c>
      <c r="Q21" s="48" t="s">
        <v>1291</v>
      </c>
      <c r="R21" s="48" t="s">
        <v>1291</v>
      </c>
      <c r="S21" s="48" t="s">
        <v>1291</v>
      </c>
      <c r="T21" s="48" t="s">
        <v>1717</v>
      </c>
      <c r="U21" s="48" t="s">
        <v>1292</v>
      </c>
      <c r="V21" s="48" t="s">
        <v>1292</v>
      </c>
      <c r="W21" s="48" t="s">
        <v>1292</v>
      </c>
      <c r="X21" s="48" t="s">
        <v>1292</v>
      </c>
      <c r="Y21" s="48" t="s">
        <v>1292</v>
      </c>
      <c r="Z21" s="48" t="s">
        <v>1292</v>
      </c>
      <c r="AA21" s="48" t="s">
        <v>1291</v>
      </c>
      <c r="AB21" s="48" t="s">
        <v>1292</v>
      </c>
      <c r="AC21" s="48" t="s">
        <v>1292</v>
      </c>
      <c r="AD21" s="48" t="s">
        <v>1291</v>
      </c>
      <c r="AE21" s="48" t="s">
        <v>1292</v>
      </c>
      <c r="AF21" s="48" t="s">
        <v>1291</v>
      </c>
      <c r="AG21" s="48" t="s">
        <v>1292</v>
      </c>
      <c r="AH21" s="48" t="s">
        <v>1291</v>
      </c>
      <c r="AI21" s="48" t="s">
        <v>1292</v>
      </c>
      <c r="AJ21" s="48" t="s">
        <v>1717</v>
      </c>
      <c r="AK21" s="48" t="s">
        <v>1291</v>
      </c>
      <c r="AL21" s="48" t="s">
        <v>1291</v>
      </c>
      <c r="AM21" s="48" t="s">
        <v>1291</v>
      </c>
      <c r="AN21" s="48" t="s">
        <v>1292</v>
      </c>
      <c r="AO21" s="48" t="s">
        <v>1292</v>
      </c>
      <c r="AP21" s="48" t="s">
        <v>1292</v>
      </c>
      <c r="AQ21" s="48" t="s">
        <v>1292</v>
      </c>
      <c r="AR21" s="48" t="s">
        <v>1291</v>
      </c>
      <c r="AS21" s="48" t="s">
        <v>1291</v>
      </c>
      <c r="AT21" s="48" t="s">
        <v>1292</v>
      </c>
      <c r="AU21" s="48" t="s">
        <v>1292</v>
      </c>
      <c r="AV21" s="48" t="s">
        <v>1292</v>
      </c>
      <c r="AW21" s="48" t="s">
        <v>1292</v>
      </c>
      <c r="AX21" s="48" t="s">
        <v>1291</v>
      </c>
      <c r="AY21" s="48" t="s">
        <v>1291</v>
      </c>
      <c r="AZ21" s="48" t="s">
        <v>1291</v>
      </c>
      <c r="BA21" s="48" t="s">
        <v>1291</v>
      </c>
      <c r="BB21" s="48" t="s">
        <v>1293</v>
      </c>
    </row>
    <row r="22" spans="2:54">
      <c r="B22" s="48" t="s">
        <v>1243</v>
      </c>
      <c r="C22" s="48">
        <v>20</v>
      </c>
      <c r="D22" s="48" t="s">
        <v>2063</v>
      </c>
      <c r="E22" s="95">
        <v>45492</v>
      </c>
      <c r="F22" s="48">
        <v>6</v>
      </c>
      <c r="G22" s="191" t="e" cm="1" vm="1">
        <f t="array" ref="G22">SUM(IF(I2:BB2 = I26:BB26, 1, 0))/ COUNTA(I2:BB2)</f>
        <v>#VALUE!</v>
      </c>
      <c r="H22" s="48" t="s">
        <v>1257</v>
      </c>
      <c r="I22" s="48" t="s">
        <v>1257</v>
      </c>
      <c r="J22" s="48" t="s">
        <v>1257</v>
      </c>
      <c r="K22" s="48" t="s">
        <v>1257</v>
      </c>
      <c r="L22" s="48" t="s">
        <v>1257</v>
      </c>
      <c r="M22" s="48" t="s">
        <v>1257</v>
      </c>
      <c r="N22" s="48" t="s">
        <v>1257</v>
      </c>
      <c r="O22" s="48" t="s">
        <v>1257</v>
      </c>
      <c r="P22" s="48" t="s">
        <v>1257</v>
      </c>
      <c r="Q22" s="48" t="s">
        <v>1257</v>
      </c>
      <c r="R22" s="48" t="s">
        <v>1257</v>
      </c>
      <c r="S22" s="48" t="s">
        <v>1257</v>
      </c>
      <c r="T22" s="48" t="s">
        <v>1257</v>
      </c>
      <c r="U22" s="48" t="s">
        <v>1257</v>
      </c>
      <c r="V22" s="48" t="s">
        <v>1257</v>
      </c>
      <c r="W22" s="48" t="s">
        <v>1257</v>
      </c>
      <c r="X22" s="48" t="s">
        <v>1257</v>
      </c>
      <c r="Y22" s="48" t="s">
        <v>1257</v>
      </c>
      <c r="Z22" s="48" t="s">
        <v>1257</v>
      </c>
      <c r="AA22" s="48" t="s">
        <v>1257</v>
      </c>
      <c r="AB22" s="48" t="s">
        <v>1257</v>
      </c>
      <c r="AC22" s="48" t="s">
        <v>1257</v>
      </c>
      <c r="AD22" s="48" t="s">
        <v>1257</v>
      </c>
      <c r="AE22" s="48" t="s">
        <v>1257</v>
      </c>
      <c r="AF22" s="48" t="s">
        <v>1257</v>
      </c>
      <c r="AG22" s="48" t="s">
        <v>1257</v>
      </c>
      <c r="AH22" s="48" t="s">
        <v>1257</v>
      </c>
      <c r="AI22" s="48" t="s">
        <v>1257</v>
      </c>
      <c r="AJ22" s="48" t="s">
        <v>1257</v>
      </c>
      <c r="AK22" s="48" t="s">
        <v>1257</v>
      </c>
      <c r="AL22" s="48" t="s">
        <v>1257</v>
      </c>
      <c r="AM22" s="48" t="s">
        <v>1257</v>
      </c>
      <c r="AN22" s="48" t="s">
        <v>1257</v>
      </c>
      <c r="AO22" s="48" t="s">
        <v>1257</v>
      </c>
      <c r="AP22" s="48" t="s">
        <v>1257</v>
      </c>
      <c r="AQ22" s="48" t="s">
        <v>1257</v>
      </c>
      <c r="AR22" s="48" t="s">
        <v>1257</v>
      </c>
      <c r="AS22" s="48" t="s">
        <v>1257</v>
      </c>
      <c r="AT22" s="48" t="s">
        <v>1257</v>
      </c>
      <c r="AU22" s="48" t="s">
        <v>1257</v>
      </c>
      <c r="AV22" s="48" t="s">
        <v>1257</v>
      </c>
      <c r="AW22" s="48" t="s">
        <v>1257</v>
      </c>
      <c r="AX22" s="48" t="s">
        <v>1257</v>
      </c>
      <c r="AY22" s="48" t="s">
        <v>1257</v>
      </c>
      <c r="AZ22" s="48" t="s">
        <v>1257</v>
      </c>
      <c r="BA22" s="48" t="s">
        <v>1257</v>
      </c>
      <c r="BB22" s="48" t="s">
        <v>1257</v>
      </c>
    </row>
    <row r="23" spans="2:54">
      <c r="B23" s="48" t="s">
        <v>1246</v>
      </c>
      <c r="C23" s="48">
        <v>21</v>
      </c>
      <c r="D23" s="48" t="s">
        <v>2063</v>
      </c>
      <c r="E23" s="95">
        <v>45492</v>
      </c>
      <c r="F23" s="48">
        <v>6</v>
      </c>
      <c r="G23" s="191" t="e" cm="1">
        <f t="array" aca="1" ref="G23" ca="1">SUM(IF(IF(G3:G22="null",1,G3:G22)=1,1,0))/COUNT(IF(G3:G22="null",1,1))</f>
        <v>#DIV/0!</v>
      </c>
      <c r="H23" s="48" t="s">
        <v>1257</v>
      </c>
      <c r="I23" s="48" t="s">
        <v>1257</v>
      </c>
      <c r="J23" s="48" t="s">
        <v>1257</v>
      </c>
      <c r="K23" s="48" t="s">
        <v>1257</v>
      </c>
      <c r="L23" s="48" t="s">
        <v>1257</v>
      </c>
      <c r="M23" s="48" t="s">
        <v>1257</v>
      </c>
      <c r="N23" s="48" t="s">
        <v>1257</v>
      </c>
      <c r="O23" s="48" t="s">
        <v>1257</v>
      </c>
      <c r="P23" s="48" t="s">
        <v>1257</v>
      </c>
      <c r="Q23" s="48" t="s">
        <v>1257</v>
      </c>
      <c r="R23" s="48" t="s">
        <v>1257</v>
      </c>
      <c r="S23" s="48" t="s">
        <v>1257</v>
      </c>
      <c r="T23" s="48" t="s">
        <v>1257</v>
      </c>
      <c r="U23" s="48" t="s">
        <v>1257</v>
      </c>
      <c r="V23" s="48" t="s">
        <v>1257</v>
      </c>
      <c r="W23" s="48" t="s">
        <v>1257</v>
      </c>
      <c r="X23" s="48" t="s">
        <v>1257</v>
      </c>
      <c r="Y23" s="48" t="s">
        <v>1257</v>
      </c>
      <c r="Z23" s="48" t="s">
        <v>1257</v>
      </c>
      <c r="AA23" s="48" t="s">
        <v>1257</v>
      </c>
      <c r="AB23" s="48" t="s">
        <v>1257</v>
      </c>
      <c r="AC23" s="48" t="s">
        <v>1257</v>
      </c>
      <c r="AD23" s="48" t="s">
        <v>1257</v>
      </c>
      <c r="AE23" s="48" t="s">
        <v>1257</v>
      </c>
      <c r="AF23" s="48" t="s">
        <v>1257</v>
      </c>
      <c r="AG23" s="48" t="s">
        <v>1257</v>
      </c>
      <c r="AH23" s="48" t="s">
        <v>1257</v>
      </c>
      <c r="AI23" s="48" t="s">
        <v>1257</v>
      </c>
      <c r="AJ23" s="48" t="s">
        <v>1257</v>
      </c>
      <c r="AK23" s="48" t="s">
        <v>1257</v>
      </c>
      <c r="AL23" s="48" t="s">
        <v>1257</v>
      </c>
      <c r="AM23" s="48" t="s">
        <v>1257</v>
      </c>
      <c r="AN23" s="48" t="s">
        <v>1257</v>
      </c>
      <c r="AO23" s="48" t="s">
        <v>1257</v>
      </c>
      <c r="AP23" s="48" t="s">
        <v>1257</v>
      </c>
      <c r="AQ23" s="48" t="s">
        <v>1257</v>
      </c>
      <c r="AR23" s="48" t="s">
        <v>1257</v>
      </c>
      <c r="AS23" s="48" t="s">
        <v>1257</v>
      </c>
      <c r="AT23" s="48" t="s">
        <v>1257</v>
      </c>
      <c r="AU23" s="48" t="s">
        <v>1257</v>
      </c>
      <c r="AV23" s="48" t="s">
        <v>1257</v>
      </c>
      <c r="AW23" s="48" t="s">
        <v>1257</v>
      </c>
      <c r="AX23" s="48" t="s">
        <v>1257</v>
      </c>
      <c r="AY23" s="48" t="s">
        <v>1257</v>
      </c>
      <c r="AZ23" s="48" t="s">
        <v>1257</v>
      </c>
      <c r="BA23" s="48" t="s">
        <v>1257</v>
      </c>
      <c r="BB23" s="48" t="s">
        <v>1257</v>
      </c>
    </row>
    <row r="24" spans="2:54">
      <c r="B24" s="48"/>
      <c r="C24" s="48"/>
      <c r="D24" s="48"/>
      <c r="E24" s="95"/>
      <c r="F24" s="48"/>
      <c r="G24" s="48"/>
      <c r="H24" s="48"/>
      <c r="I24" s="48"/>
      <c r="J24" s="48"/>
      <c r="K24" s="48"/>
      <c r="L24" s="48"/>
      <c r="M24" s="48"/>
      <c r="N24" s="48"/>
      <c r="O24" s="48"/>
      <c r="P24" s="48"/>
      <c r="Q24" s="48"/>
      <c r="R24" s="48"/>
      <c r="S24" s="48"/>
    </row>
    <row r="25" spans="2:54">
      <c r="B25" s="129" t="s">
        <v>1364</v>
      </c>
    </row>
    <row r="26" spans="2:54">
      <c r="B26" s="127" t="s">
        <v>1249</v>
      </c>
      <c r="C26" s="128" t="s">
        <v>1250</v>
      </c>
      <c r="D26" s="128" t="s">
        <v>1251</v>
      </c>
      <c r="E26" s="128" t="s">
        <v>1252</v>
      </c>
      <c r="F26" s="128" t="s">
        <v>1253</v>
      </c>
      <c r="G26" s="128" t="s">
        <v>1254</v>
      </c>
      <c r="H26" s="128" t="s">
        <v>1255</v>
      </c>
      <c r="I26" s="128" t="e" cm="1" vm="2">
        <f t="array" ref="I26">TRANSPOSE(_xlfn.SORTBY(_xlfn._xlws.FILTER(Table3[NOME FÍSICO CAMPO],Table3[NOME FÍSICO TABELA]="loan"), _xlfn._xlws.FILTER(Table3[ORDEM], Table3[NOME FÍSICO TABELA]="loan"), 1))</f>
        <v>#VALUE!</v>
      </c>
      <c r="J26" s="128"/>
      <c r="K26" s="128"/>
      <c r="L26" s="128"/>
      <c r="M26" s="128"/>
      <c r="N26" s="128"/>
      <c r="O26" s="128"/>
      <c r="P26" s="128"/>
      <c r="Q26" s="128"/>
      <c r="R26" s="128"/>
      <c r="S26" s="128"/>
      <c r="T26" s="128"/>
      <c r="U26" s="128"/>
      <c r="V26" s="128"/>
      <c r="W26" s="128"/>
      <c r="X26" s="128"/>
      <c r="Y26" s="128"/>
      <c r="Z26" s="128"/>
      <c r="AA26" s="128"/>
      <c r="AB26" s="128"/>
      <c r="AC26" s="128"/>
      <c r="AD26" s="232"/>
      <c r="AE26" s="128"/>
      <c r="AF26" s="128"/>
      <c r="AG26" s="128"/>
      <c r="AH26" s="128"/>
      <c r="AI26" s="128"/>
      <c r="AJ26" s="128"/>
      <c r="AK26" s="128"/>
      <c r="AL26" s="128"/>
      <c r="AM26" s="128"/>
      <c r="AN26" s="128"/>
      <c r="AO26" s="128"/>
      <c r="AP26" s="128"/>
      <c r="AQ26" s="128"/>
      <c r="AR26" s="128"/>
      <c r="AS26" s="128"/>
      <c r="AT26" s="128"/>
      <c r="AU26" s="128"/>
      <c r="AV26" s="128"/>
      <c r="AW26" s="128"/>
      <c r="AX26" s="128"/>
      <c r="AY26" s="128"/>
      <c r="AZ26" s="128"/>
      <c r="BA26" s="128"/>
      <c r="BB26" s="125"/>
    </row>
    <row r="27" spans="2:54">
      <c r="B27" s="106" t="s">
        <v>1294</v>
      </c>
      <c r="C27" s="109">
        <v>21</v>
      </c>
      <c r="D27" s="103" t="s">
        <v>1295</v>
      </c>
      <c r="E27" s="102" t="s">
        <v>1296</v>
      </c>
      <c r="F27" s="102" t="s">
        <v>124</v>
      </c>
      <c r="G27" s="102" t="s">
        <v>124</v>
      </c>
      <c r="H27" s="102" t="s">
        <v>124</v>
      </c>
      <c r="I27" s="102" t="e" cm="1" vm="2">
        <f t="array" aca="1" ref="I27" ca="1">TRANSPOSE(_xlfn.SORTBY(_xlfn._xlws.FILTER(IF(Table3[FORMATO]:Table3[COMP_ CAMPO]&lt;&gt;"",Table3[FORMATO]:Table3[COMP_ CAMPO],9999999),Table3[NOME FÍSICO TABELA]="loan"), _xlfn._xlws.FILTER(Table3[ORDEM], Table3[NOME FÍSICO TABELA]="loan"), 1))</f>
        <v>#VALUE!</v>
      </c>
      <c r="J27" s="102"/>
      <c r="K27" s="102"/>
      <c r="L27" s="102"/>
      <c r="M27" s="102"/>
      <c r="N27" s="102"/>
      <c r="O27" s="102"/>
      <c r="P27" s="102"/>
      <c r="Q27" s="102"/>
      <c r="R27" s="102"/>
      <c r="S27" s="102"/>
      <c r="T27" s="102"/>
      <c r="U27" s="102"/>
      <c r="V27" s="102"/>
      <c r="W27" s="102"/>
      <c r="X27" s="102"/>
      <c r="Y27" s="102"/>
      <c r="Z27" s="102"/>
      <c r="AA27" s="102"/>
      <c r="AB27" s="102"/>
      <c r="AC27" s="102"/>
      <c r="AD27" s="233"/>
      <c r="AE27" s="102"/>
      <c r="AF27" s="102"/>
      <c r="AG27" s="225"/>
      <c r="AH27" s="225"/>
      <c r="AI27" s="102"/>
      <c r="AJ27" s="102"/>
      <c r="AK27" s="102"/>
      <c r="AL27" s="102"/>
      <c r="AM27" s="102"/>
      <c r="AN27" s="102"/>
      <c r="AO27" s="102"/>
      <c r="AP27" s="102"/>
      <c r="AQ27" s="102"/>
      <c r="AR27" s="102"/>
      <c r="AS27" s="102"/>
      <c r="AT27" s="102"/>
      <c r="AU27" s="102"/>
      <c r="AV27" s="102"/>
      <c r="AW27" s="102"/>
      <c r="AX27" s="102"/>
      <c r="AY27" s="104"/>
      <c r="AZ27" s="104"/>
      <c r="BA27" s="104"/>
      <c r="BB27" s="108"/>
    </row>
    <row r="28" spans="2:54">
      <c r="B28" s="106" t="s">
        <v>1297</v>
      </c>
      <c r="C28" s="109">
        <v>7</v>
      </c>
      <c r="D28" s="103" t="s">
        <v>1295</v>
      </c>
      <c r="E28" s="102" t="s">
        <v>1296</v>
      </c>
      <c r="F28" s="104" t="s">
        <v>124</v>
      </c>
      <c r="G28" s="104" t="s">
        <v>124</v>
      </c>
      <c r="H28" s="104" t="s">
        <v>124</v>
      </c>
      <c r="I28" s="150"/>
      <c r="J28" s="150"/>
      <c r="K28" s="150"/>
      <c r="L28" s="150"/>
      <c r="M28" s="150"/>
      <c r="N28" s="150"/>
      <c r="O28" s="150"/>
      <c r="P28" s="150"/>
      <c r="Q28" s="150"/>
      <c r="R28" s="150"/>
      <c r="S28" s="150"/>
      <c r="T28" s="150"/>
      <c r="U28" s="150"/>
      <c r="V28" s="150"/>
      <c r="W28" s="150"/>
      <c r="X28" s="150"/>
      <c r="Y28" s="150"/>
      <c r="Z28" s="150"/>
      <c r="AA28" s="150"/>
      <c r="AB28" s="150"/>
      <c r="AC28" s="150"/>
      <c r="AD28" s="234"/>
      <c r="AE28" s="150"/>
      <c r="AF28" s="150"/>
      <c r="AG28" s="150"/>
      <c r="AH28" s="150"/>
      <c r="AI28" s="150"/>
      <c r="AJ28" s="150"/>
      <c r="AK28" s="150"/>
      <c r="AL28" s="150"/>
      <c r="AM28" s="150"/>
      <c r="AN28" s="150"/>
      <c r="AO28" s="150"/>
      <c r="AP28" s="150"/>
      <c r="AQ28" s="150"/>
      <c r="AR28" s="150"/>
      <c r="AS28" s="150"/>
      <c r="AT28" s="150"/>
      <c r="AU28" s="150"/>
      <c r="AV28" s="150"/>
      <c r="AW28" s="150"/>
      <c r="AX28" s="150"/>
      <c r="AY28" s="150"/>
      <c r="AZ28" s="150"/>
      <c r="BA28" s="150"/>
      <c r="BB28" s="151"/>
    </row>
    <row r="30" spans="2:54">
      <c r="B30" s="139" t="s">
        <v>1298</v>
      </c>
    </row>
    <row r="31" spans="2:54">
      <c r="B31" s="133" t="s">
        <v>1299</v>
      </c>
      <c r="C31" s="133" t="s">
        <v>1300</v>
      </c>
      <c r="D31" s="134" t="s">
        <v>1301</v>
      </c>
      <c r="E31" s="133" t="s">
        <v>1302</v>
      </c>
      <c r="F31" s="133" t="s">
        <v>1303</v>
      </c>
      <c r="H31" t="s">
        <v>2064</v>
      </c>
    </row>
    <row r="32" spans="2:54" ht="43.5">
      <c r="B32" s="136" t="s">
        <v>1304</v>
      </c>
      <c r="C32" s="137" t="s">
        <v>203</v>
      </c>
      <c r="D32" s="228" t="s">
        <v>2065</v>
      </c>
      <c r="E32" s="229" t="s">
        <v>2066</v>
      </c>
      <c r="F32" s="187" t="s">
        <v>1313</v>
      </c>
      <c r="H32" s="240" t="s">
        <v>2067</v>
      </c>
      <c r="J32" s="47"/>
      <c r="L32" s="47"/>
    </row>
    <row r="33" spans="2:12" ht="29.1">
      <c r="B33" s="136" t="s">
        <v>1304</v>
      </c>
      <c r="C33" s="114" t="s">
        <v>2032</v>
      </c>
      <c r="D33" s="230" t="s">
        <v>2068</v>
      </c>
      <c r="E33" s="145" t="s">
        <v>2069</v>
      </c>
      <c r="F33" s="135" t="s">
        <v>1310</v>
      </c>
      <c r="H33" s="227"/>
      <c r="J33" s="47"/>
      <c r="L33" s="47"/>
    </row>
    <row r="34" spans="2:12" ht="101.45">
      <c r="B34" s="136" t="s">
        <v>1304</v>
      </c>
      <c r="C34" s="114" t="s">
        <v>2070</v>
      </c>
      <c r="D34" s="230" t="s">
        <v>2071</v>
      </c>
      <c r="E34" s="145" t="s">
        <v>2072</v>
      </c>
      <c r="F34" s="187" t="s">
        <v>1504</v>
      </c>
    </row>
    <row r="35" spans="2:12" ht="43.5">
      <c r="B35" s="136" t="s">
        <v>1304</v>
      </c>
      <c r="C35" s="114" t="s">
        <v>2073</v>
      </c>
      <c r="D35" s="230" t="s">
        <v>2074</v>
      </c>
      <c r="E35" s="145" t="s">
        <v>1788</v>
      </c>
      <c r="F35" s="135" t="s">
        <v>1313</v>
      </c>
    </row>
    <row r="36" spans="2:12" ht="116.1">
      <c r="B36" s="241" t="s">
        <v>1304</v>
      </c>
      <c r="C36" s="172" t="s">
        <v>2075</v>
      </c>
      <c r="D36" s="242" t="s">
        <v>2076</v>
      </c>
      <c r="E36" s="243" t="s">
        <v>2077</v>
      </c>
      <c r="F36" s="175" t="s">
        <v>2078</v>
      </c>
    </row>
    <row r="37" spans="2:12" ht="43.5">
      <c r="B37" s="136" t="s">
        <v>1304</v>
      </c>
      <c r="C37" s="172" t="s">
        <v>2034</v>
      </c>
      <c r="D37" s="242" t="s">
        <v>2079</v>
      </c>
      <c r="E37" s="243" t="s">
        <v>2066</v>
      </c>
      <c r="F37" s="175" t="s">
        <v>1313</v>
      </c>
    </row>
    <row r="38" spans="2:12" ht="101.45">
      <c r="B38" s="136" t="s">
        <v>1304</v>
      </c>
      <c r="C38" s="114" t="s">
        <v>1952</v>
      </c>
      <c r="D38" s="230" t="s">
        <v>2080</v>
      </c>
      <c r="E38" s="145" t="s">
        <v>2081</v>
      </c>
      <c r="F38" s="135" t="s">
        <v>2082</v>
      </c>
    </row>
    <row r="39" spans="2:12" ht="101.45">
      <c r="B39" s="136" t="s">
        <v>1304</v>
      </c>
      <c r="C39" s="114" t="s">
        <v>1953</v>
      </c>
      <c r="D39" s="230" t="s">
        <v>2080</v>
      </c>
      <c r="E39" s="145" t="s">
        <v>2081</v>
      </c>
      <c r="F39" s="135" t="s">
        <v>2082</v>
      </c>
    </row>
    <row r="40" spans="2:12" ht="87">
      <c r="B40" s="136" t="s">
        <v>1304</v>
      </c>
      <c r="C40" s="114" t="s">
        <v>1954</v>
      </c>
      <c r="D40" s="230" t="s">
        <v>2083</v>
      </c>
      <c r="E40" s="145" t="s">
        <v>2084</v>
      </c>
      <c r="F40" s="135" t="s">
        <v>1307</v>
      </c>
    </row>
    <row r="41" spans="2:12" ht="144.94999999999999">
      <c r="B41" s="136" t="s">
        <v>1304</v>
      </c>
      <c r="C41" s="116" t="s">
        <v>1955</v>
      </c>
      <c r="D41" s="230" t="s">
        <v>2085</v>
      </c>
      <c r="E41" s="145" t="s">
        <v>2086</v>
      </c>
      <c r="F41" s="135" t="s">
        <v>1793</v>
      </c>
      <c r="H41" s="48"/>
    </row>
    <row r="42" spans="2:12" ht="130.5">
      <c r="B42" s="136" t="s">
        <v>1304</v>
      </c>
      <c r="C42" s="114" t="s">
        <v>521</v>
      </c>
      <c r="D42" s="325" t="s">
        <v>2087</v>
      </c>
      <c r="E42" s="97" t="s">
        <v>2088</v>
      </c>
      <c r="F42" s="187" t="s">
        <v>1793</v>
      </c>
    </row>
    <row r="43" spans="2:12" ht="246.6">
      <c r="B43" s="136" t="s">
        <v>1304</v>
      </c>
      <c r="C43" s="114" t="s">
        <v>1956</v>
      </c>
      <c r="D43" s="325" t="s">
        <v>2089</v>
      </c>
      <c r="E43" s="145" t="s">
        <v>2090</v>
      </c>
      <c r="F43" s="187" t="s">
        <v>1722</v>
      </c>
    </row>
    <row r="44" spans="2:12" ht="261">
      <c r="B44" s="136" t="s">
        <v>1304</v>
      </c>
      <c r="C44" s="114" t="s">
        <v>1957</v>
      </c>
      <c r="D44" s="325" t="s">
        <v>2091</v>
      </c>
      <c r="E44" s="244" t="s">
        <v>2092</v>
      </c>
      <c r="F44" s="187" t="s">
        <v>2093</v>
      </c>
    </row>
    <row r="45" spans="2:12" ht="87">
      <c r="B45" s="136" t="s">
        <v>1304</v>
      </c>
      <c r="C45" s="114" t="s">
        <v>589</v>
      </c>
      <c r="D45" s="230" t="s">
        <v>2094</v>
      </c>
      <c r="E45" s="145" t="s">
        <v>2095</v>
      </c>
      <c r="F45" s="187" t="s">
        <v>2096</v>
      </c>
      <c r="I45" s="326"/>
    </row>
    <row r="46" spans="2:12" ht="87">
      <c r="B46" s="136" t="s">
        <v>1304</v>
      </c>
      <c r="C46" s="137" t="s">
        <v>600</v>
      </c>
      <c r="D46" s="231" t="s">
        <v>2097</v>
      </c>
      <c r="E46" s="146" t="s">
        <v>2098</v>
      </c>
      <c r="F46" s="187" t="s">
        <v>1501</v>
      </c>
      <c r="I46" s="326"/>
    </row>
    <row r="47" spans="2:12" ht="72.599999999999994">
      <c r="B47" s="136" t="s">
        <v>1304</v>
      </c>
      <c r="C47" s="114" t="s">
        <v>608</v>
      </c>
      <c r="D47" s="231" t="s">
        <v>2099</v>
      </c>
      <c r="E47" s="145" t="s">
        <v>2100</v>
      </c>
      <c r="F47" s="187" t="s">
        <v>2096</v>
      </c>
      <c r="I47" s="48"/>
      <c r="J47" s="48"/>
      <c r="K47" s="48"/>
    </row>
    <row r="48" spans="2:12" ht="43.5">
      <c r="B48" s="136" t="s">
        <v>1304</v>
      </c>
      <c r="C48" s="114" t="s">
        <v>2036</v>
      </c>
      <c r="D48" s="231" t="s">
        <v>2101</v>
      </c>
      <c r="E48" s="146" t="s">
        <v>2102</v>
      </c>
      <c r="F48" s="187" t="s">
        <v>1313</v>
      </c>
      <c r="I48" s="326"/>
    </row>
    <row r="49" spans="2:11" ht="130.5">
      <c r="B49" s="136" t="s">
        <v>1304</v>
      </c>
      <c r="C49" s="114" t="s">
        <v>636</v>
      </c>
      <c r="D49" s="230" t="s">
        <v>2103</v>
      </c>
      <c r="E49" s="145" t="s">
        <v>2104</v>
      </c>
      <c r="F49" s="187" t="s">
        <v>2105</v>
      </c>
      <c r="I49" s="326"/>
    </row>
    <row r="50" spans="2:11" ht="87">
      <c r="B50" s="136" t="s">
        <v>1304</v>
      </c>
      <c r="C50" s="114" t="s">
        <v>644</v>
      </c>
      <c r="D50" s="231" t="s">
        <v>2097</v>
      </c>
      <c r="E50" s="146" t="s">
        <v>2106</v>
      </c>
      <c r="F50" s="187" t="s">
        <v>1501</v>
      </c>
    </row>
    <row r="51" spans="2:11" ht="87">
      <c r="B51" s="136" t="s">
        <v>1304</v>
      </c>
      <c r="C51" s="114" t="s">
        <v>652</v>
      </c>
      <c r="D51" s="231" t="s">
        <v>2107</v>
      </c>
      <c r="E51" s="145" t="s">
        <v>2108</v>
      </c>
      <c r="F51" s="187" t="s">
        <v>1501</v>
      </c>
      <c r="I51" s="48"/>
      <c r="J51" s="48"/>
    </row>
    <row r="52" spans="2:11" ht="43.5">
      <c r="B52" s="136" t="s">
        <v>1304</v>
      </c>
      <c r="C52" s="137" t="s">
        <v>2037</v>
      </c>
      <c r="D52" s="231" t="s">
        <v>2109</v>
      </c>
      <c r="E52" s="146" t="s">
        <v>2110</v>
      </c>
      <c r="F52" s="187" t="s">
        <v>1313</v>
      </c>
      <c r="K52" s="47"/>
    </row>
    <row r="53" spans="2:11" ht="29.1">
      <c r="B53" s="136" t="s">
        <v>1304</v>
      </c>
      <c r="C53" s="137" t="s">
        <v>678</v>
      </c>
      <c r="D53" s="231" t="s">
        <v>2111</v>
      </c>
      <c r="E53" s="146" t="s">
        <v>2112</v>
      </c>
      <c r="F53" s="187" t="s">
        <v>1313</v>
      </c>
    </row>
    <row r="54" spans="2:11" ht="57.95">
      <c r="B54" s="171" t="s">
        <v>1304</v>
      </c>
      <c r="C54" s="172" t="s">
        <v>669</v>
      </c>
      <c r="D54" s="245" t="s">
        <v>2113</v>
      </c>
      <c r="E54" s="243" t="s">
        <v>2114</v>
      </c>
      <c r="F54" s="175" t="s">
        <v>1313</v>
      </c>
    </row>
    <row r="55" spans="2:11" ht="304.5">
      <c r="B55" s="241" t="s">
        <v>1314</v>
      </c>
      <c r="C55" s="246" t="s">
        <v>737</v>
      </c>
      <c r="D55" s="247" t="s">
        <v>2115</v>
      </c>
      <c r="E55" s="248" t="s">
        <v>2116</v>
      </c>
      <c r="F55" s="249" t="s">
        <v>2117</v>
      </c>
    </row>
    <row r="56" spans="2:11" ht="116.1">
      <c r="B56" s="241" t="s">
        <v>1373</v>
      </c>
      <c r="C56" s="250" t="s">
        <v>2118</v>
      </c>
      <c r="D56" s="247" t="s">
        <v>2119</v>
      </c>
      <c r="E56" s="248" t="s">
        <v>2120</v>
      </c>
      <c r="F56" s="249" t="s">
        <v>1307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77" t="s">
        <v>1375</v>
      </c>
      <c r="C2" s="77" t="s">
        <v>1250</v>
      </c>
      <c r="D2" s="77" t="s">
        <v>1251</v>
      </c>
      <c r="E2" s="77" t="s">
        <v>1252</v>
      </c>
      <c r="F2" s="77" t="s">
        <v>1253</v>
      </c>
      <c r="G2" s="77" t="s">
        <v>1254</v>
      </c>
      <c r="H2" s="77" t="s">
        <v>1255</v>
      </c>
      <c r="I2" s="77" t="s">
        <v>103</v>
      </c>
      <c r="J2" s="77" t="s">
        <v>134</v>
      </c>
      <c r="K2" s="77" t="s">
        <v>155</v>
      </c>
      <c r="L2" s="77" t="s">
        <v>162</v>
      </c>
      <c r="M2" s="77" t="s">
        <v>190</v>
      </c>
      <c r="N2" s="77" t="s">
        <v>176</v>
      </c>
      <c r="O2" s="77" t="s">
        <v>203</v>
      </c>
      <c r="P2" s="77" t="s">
        <v>289</v>
      </c>
      <c r="Q2" s="77" t="s">
        <v>299</v>
      </c>
      <c r="R2" s="77" t="s">
        <v>314</v>
      </c>
      <c r="S2" s="77" t="s">
        <v>2121</v>
      </c>
      <c r="T2" s="77" t="s">
        <v>1378</v>
      </c>
      <c r="U2" s="77" t="s">
        <v>2122</v>
      </c>
      <c r="V2" s="77" t="s">
        <v>1379</v>
      </c>
      <c r="W2" s="77" t="s">
        <v>1380</v>
      </c>
      <c r="X2" s="77" t="s">
        <v>1381</v>
      </c>
      <c r="Y2" s="77" t="s">
        <v>1382</v>
      </c>
      <c r="Z2" s="77" t="s">
        <v>1383</v>
      </c>
      <c r="AA2" s="77" t="s">
        <v>1384</v>
      </c>
      <c r="AB2" s="77" t="s">
        <v>1385</v>
      </c>
      <c r="AC2" s="77" t="s">
        <v>1386</v>
      </c>
      <c r="AD2" s="77" t="s">
        <v>1387</v>
      </c>
      <c r="AE2" s="77" t="s">
        <v>1388</v>
      </c>
      <c r="AF2" s="77" t="s">
        <v>669</v>
      </c>
      <c r="AG2" s="77" t="s">
        <v>678</v>
      </c>
      <c r="AH2" s="77" t="s">
        <v>214</v>
      </c>
      <c r="AI2" s="77" t="s">
        <v>234</v>
      </c>
      <c r="AJ2" s="77" t="s">
        <v>253</v>
      </c>
      <c r="AK2" s="77"/>
      <c r="AL2" s="77"/>
      <c r="AM2" s="77"/>
      <c r="AN2" s="77"/>
    </row>
    <row r="3" spans="2:40">
      <c r="B3" s="48" t="s">
        <v>1203</v>
      </c>
      <c r="C3" s="48">
        <v>1</v>
      </c>
      <c r="D3" s="48" t="s">
        <v>2123</v>
      </c>
      <c r="E3" s="95">
        <v>45495</v>
      </c>
      <c r="F3" s="48">
        <v>3</v>
      </c>
      <c r="G3" s="98">
        <v>1</v>
      </c>
      <c r="H3" s="48">
        <v>269078</v>
      </c>
      <c r="I3" s="48" t="s">
        <v>1257</v>
      </c>
      <c r="J3" s="48" t="s">
        <v>1257</v>
      </c>
      <c r="K3" s="48" t="s">
        <v>1257</v>
      </c>
      <c r="L3" s="48" t="s">
        <v>1257</v>
      </c>
      <c r="M3" s="48" t="s">
        <v>1257</v>
      </c>
      <c r="N3" s="48" t="s">
        <v>1257</v>
      </c>
      <c r="O3" s="48" t="s">
        <v>1257</v>
      </c>
      <c r="P3" s="48" t="s">
        <v>1257</v>
      </c>
      <c r="Q3" s="48" t="s">
        <v>1257</v>
      </c>
      <c r="R3" s="48" t="s">
        <v>1257</v>
      </c>
      <c r="S3" s="48" t="s">
        <v>1257</v>
      </c>
      <c r="T3" s="48" t="s">
        <v>1257</v>
      </c>
      <c r="U3" s="236" t="s">
        <v>1257</v>
      </c>
      <c r="V3" s="236" t="s">
        <v>1257</v>
      </c>
      <c r="W3" s="236" t="s">
        <v>1257</v>
      </c>
      <c r="X3" s="236" t="s">
        <v>1257</v>
      </c>
      <c r="Y3" s="236" t="s">
        <v>1257</v>
      </c>
      <c r="Z3" s="236" t="s">
        <v>1257</v>
      </c>
      <c r="AA3" s="236" t="s">
        <v>1257</v>
      </c>
      <c r="AB3" s="236" t="s">
        <v>1257</v>
      </c>
      <c r="AC3" s="236" t="s">
        <v>1257</v>
      </c>
      <c r="AD3" s="236" t="s">
        <v>1257</v>
      </c>
      <c r="AE3" s="236" t="s">
        <v>1257</v>
      </c>
      <c r="AF3" s="48" t="s">
        <v>1257</v>
      </c>
      <c r="AG3" s="48" t="s">
        <v>1257</v>
      </c>
      <c r="AH3" s="48" t="s">
        <v>1257</v>
      </c>
      <c r="AI3" s="48" t="s">
        <v>1257</v>
      </c>
      <c r="AJ3" s="48" t="s">
        <v>1257</v>
      </c>
      <c r="AK3" s="48"/>
      <c r="AL3" s="48"/>
      <c r="AM3" s="48"/>
      <c r="AN3" s="48"/>
    </row>
    <row r="4" spans="2:40">
      <c r="B4" s="48" t="s">
        <v>1205</v>
      </c>
      <c r="C4" s="48">
        <v>2</v>
      </c>
      <c r="D4" s="48" t="s">
        <v>2124</v>
      </c>
      <c r="E4" s="95">
        <v>45495</v>
      </c>
      <c r="F4" s="48">
        <v>3</v>
      </c>
      <c r="G4" s="48">
        <v>0.99996300000000005</v>
      </c>
      <c r="H4" s="98">
        <v>10</v>
      </c>
      <c r="I4" s="48" t="s">
        <v>1257</v>
      </c>
      <c r="J4" s="48" t="s">
        <v>1257</v>
      </c>
      <c r="K4" s="48" t="s">
        <v>1257</v>
      </c>
      <c r="L4" s="48" t="s">
        <v>1257</v>
      </c>
      <c r="M4" s="48" t="s">
        <v>1257</v>
      </c>
      <c r="N4" s="48" t="s">
        <v>1257</v>
      </c>
      <c r="O4" s="48" t="s">
        <v>1257</v>
      </c>
      <c r="P4" s="48" t="s">
        <v>1257</v>
      </c>
      <c r="Q4" s="48" t="s">
        <v>1257</v>
      </c>
      <c r="R4" s="48" t="s">
        <v>1257</v>
      </c>
      <c r="S4" s="48" t="s">
        <v>1257</v>
      </c>
      <c r="T4" s="48" t="s">
        <v>1257</v>
      </c>
      <c r="U4" s="236" t="s">
        <v>1257</v>
      </c>
      <c r="V4" s="236" t="s">
        <v>1257</v>
      </c>
      <c r="W4" s="236" t="s">
        <v>1257</v>
      </c>
      <c r="X4" s="236" t="s">
        <v>1257</v>
      </c>
      <c r="Y4" s="236" t="s">
        <v>1257</v>
      </c>
      <c r="Z4" s="236" t="s">
        <v>1257</v>
      </c>
      <c r="AA4" s="236" t="s">
        <v>1257</v>
      </c>
      <c r="AB4" s="236" t="s">
        <v>1257</v>
      </c>
      <c r="AC4" s="236" t="s">
        <v>1257</v>
      </c>
      <c r="AD4" s="236" t="s">
        <v>1257</v>
      </c>
      <c r="AE4" s="236" t="s">
        <v>1257</v>
      </c>
      <c r="AF4" s="48" t="s">
        <v>1257</v>
      </c>
      <c r="AG4" s="48" t="s">
        <v>1257</v>
      </c>
      <c r="AH4" s="48" t="s">
        <v>1257</v>
      </c>
      <c r="AI4" s="48" t="s">
        <v>1257</v>
      </c>
      <c r="AJ4" s="48" t="s">
        <v>1257</v>
      </c>
      <c r="AK4" s="48"/>
      <c r="AL4" s="48"/>
      <c r="AM4" s="48"/>
      <c r="AN4" s="48"/>
    </row>
    <row r="5" spans="2:40">
      <c r="B5" s="48" t="s">
        <v>1207</v>
      </c>
      <c r="C5" s="48">
        <v>3</v>
      </c>
      <c r="D5" s="48" t="s">
        <v>2125</v>
      </c>
      <c r="E5" s="95">
        <v>45495</v>
      </c>
      <c r="F5" s="48">
        <v>3</v>
      </c>
      <c r="G5" s="98">
        <v>1</v>
      </c>
      <c r="H5" s="48" t="s">
        <v>1266</v>
      </c>
      <c r="I5" s="48">
        <v>0</v>
      </c>
      <c r="J5" s="48">
        <v>0</v>
      </c>
      <c r="K5" s="48" t="s">
        <v>1257</v>
      </c>
      <c r="L5" s="48" t="s">
        <v>1257</v>
      </c>
      <c r="M5" s="48" t="s">
        <v>1257</v>
      </c>
      <c r="N5" s="48" t="s">
        <v>1257</v>
      </c>
      <c r="O5" s="48" t="s">
        <v>1257</v>
      </c>
      <c r="P5" s="48" t="s">
        <v>1257</v>
      </c>
      <c r="Q5" s="48" t="s">
        <v>1257</v>
      </c>
      <c r="R5" s="48" t="s">
        <v>1257</v>
      </c>
      <c r="S5" s="48" t="s">
        <v>1257</v>
      </c>
      <c r="T5" s="48" t="s">
        <v>1257</v>
      </c>
      <c r="U5" s="236" t="s">
        <v>1257</v>
      </c>
      <c r="V5" s="236" t="s">
        <v>1257</v>
      </c>
      <c r="W5" s="236" t="s">
        <v>1257</v>
      </c>
      <c r="X5" s="236" t="s">
        <v>1257</v>
      </c>
      <c r="Y5" s="236" t="s">
        <v>1257</v>
      </c>
      <c r="Z5" s="236" t="s">
        <v>1257</v>
      </c>
      <c r="AA5" s="236" t="s">
        <v>1257</v>
      </c>
      <c r="AB5" s="236" t="s">
        <v>1257</v>
      </c>
      <c r="AC5" s="236" t="s">
        <v>1257</v>
      </c>
      <c r="AD5" s="236" t="s">
        <v>1257</v>
      </c>
      <c r="AE5" s="236" t="s">
        <v>1257</v>
      </c>
      <c r="AF5" s="48" t="s">
        <v>1257</v>
      </c>
      <c r="AG5" s="48" t="s">
        <v>1257</v>
      </c>
      <c r="AH5" s="48" t="s">
        <v>1257</v>
      </c>
      <c r="AI5" s="48">
        <v>0</v>
      </c>
      <c r="AJ5" s="48" t="s">
        <v>1257</v>
      </c>
      <c r="AK5" s="48"/>
      <c r="AL5" s="48"/>
      <c r="AM5" s="48"/>
      <c r="AN5" s="48"/>
    </row>
    <row r="6" spans="2:40">
      <c r="B6" s="97" t="s">
        <v>1209</v>
      </c>
      <c r="C6" s="48">
        <v>4</v>
      </c>
      <c r="D6" s="48" t="s">
        <v>1260</v>
      </c>
      <c r="E6" s="95" t="s">
        <v>1257</v>
      </c>
      <c r="F6" s="48">
        <v>3</v>
      </c>
      <c r="G6" s="48" t="s">
        <v>1257</v>
      </c>
      <c r="H6" s="48"/>
      <c r="I6" s="48" t="s">
        <v>1257</v>
      </c>
      <c r="J6" s="48" t="s">
        <v>1257</v>
      </c>
      <c r="K6" s="48" t="s">
        <v>1257</v>
      </c>
      <c r="L6" s="48" t="s">
        <v>1257</v>
      </c>
      <c r="M6" s="48" t="s">
        <v>1257</v>
      </c>
      <c r="N6" s="48" t="s">
        <v>1257</v>
      </c>
      <c r="O6" s="48" t="s">
        <v>1257</v>
      </c>
      <c r="P6" s="48" t="s">
        <v>1257</v>
      </c>
      <c r="Q6" s="48" t="s">
        <v>1257</v>
      </c>
      <c r="R6" s="48" t="s">
        <v>1257</v>
      </c>
      <c r="S6" s="48" t="s">
        <v>1257</v>
      </c>
      <c r="T6" s="48" t="s">
        <v>1257</v>
      </c>
      <c r="U6" s="236" t="s">
        <v>1257</v>
      </c>
      <c r="V6" s="236" t="s">
        <v>1257</v>
      </c>
      <c r="W6" s="236" t="s">
        <v>1257</v>
      </c>
      <c r="X6" s="236" t="s">
        <v>1257</v>
      </c>
      <c r="Y6" s="236" t="s">
        <v>1257</v>
      </c>
      <c r="Z6" s="236" t="s">
        <v>1257</v>
      </c>
      <c r="AA6" s="236" t="s">
        <v>1257</v>
      </c>
      <c r="AB6" s="236" t="s">
        <v>1257</v>
      </c>
      <c r="AC6" s="236" t="s">
        <v>1257</v>
      </c>
      <c r="AD6" s="236" t="s">
        <v>1257</v>
      </c>
      <c r="AE6" s="236" t="s">
        <v>1257</v>
      </c>
      <c r="AF6" s="48" t="s">
        <v>1257</v>
      </c>
      <c r="AG6" s="48" t="s">
        <v>1257</v>
      </c>
      <c r="AH6" s="48" t="s">
        <v>1257</v>
      </c>
      <c r="AI6" s="48" t="s">
        <v>1257</v>
      </c>
      <c r="AJ6" s="48" t="s">
        <v>1257</v>
      </c>
      <c r="AK6" s="48"/>
      <c r="AL6" s="48"/>
      <c r="AM6" s="48"/>
      <c r="AN6" s="48"/>
    </row>
    <row r="7" spans="2:40">
      <c r="B7" s="48" t="s">
        <v>1211</v>
      </c>
      <c r="C7" s="48">
        <v>5</v>
      </c>
      <c r="D7" s="48" t="s">
        <v>1260</v>
      </c>
      <c r="E7" s="95" t="s">
        <v>1257</v>
      </c>
      <c r="F7" s="48">
        <v>3</v>
      </c>
      <c r="G7" s="48" t="s">
        <v>1257</v>
      </c>
      <c r="H7" s="48"/>
      <c r="I7" s="48" t="s">
        <v>1257</v>
      </c>
      <c r="J7" s="48" t="s">
        <v>1257</v>
      </c>
      <c r="K7" s="48" t="s">
        <v>1257</v>
      </c>
      <c r="L7" s="48" t="s">
        <v>1257</v>
      </c>
      <c r="M7" s="48" t="s">
        <v>1257</v>
      </c>
      <c r="N7" s="48" t="s">
        <v>1257</v>
      </c>
      <c r="O7" s="48" t="s">
        <v>1257</v>
      </c>
      <c r="P7" s="48" t="s">
        <v>1257</v>
      </c>
      <c r="Q7" s="48" t="s">
        <v>1257</v>
      </c>
      <c r="R7" s="48" t="s">
        <v>1257</v>
      </c>
      <c r="S7" s="48" t="s">
        <v>1257</v>
      </c>
      <c r="T7" s="48" t="s">
        <v>1257</v>
      </c>
      <c r="U7" s="236" t="s">
        <v>1257</v>
      </c>
      <c r="V7" s="236" t="s">
        <v>1257</v>
      </c>
      <c r="W7" s="236" t="s">
        <v>1257</v>
      </c>
      <c r="X7" s="236" t="s">
        <v>1257</v>
      </c>
      <c r="Y7" s="236" t="s">
        <v>1257</v>
      </c>
      <c r="Z7" s="236" t="s">
        <v>1257</v>
      </c>
      <c r="AA7" s="236" t="s">
        <v>1257</v>
      </c>
      <c r="AB7" s="236" t="s">
        <v>1257</v>
      </c>
      <c r="AC7" s="236" t="s">
        <v>1257</v>
      </c>
      <c r="AD7" s="236" t="s">
        <v>1257</v>
      </c>
      <c r="AE7" s="236" t="s">
        <v>1257</v>
      </c>
      <c r="AF7" s="48" t="s">
        <v>1257</v>
      </c>
      <c r="AG7" s="48" t="s">
        <v>1257</v>
      </c>
      <c r="AH7" s="48" t="s">
        <v>1257</v>
      </c>
      <c r="AI7" s="48" t="s">
        <v>1257</v>
      </c>
      <c r="AJ7" s="48" t="s">
        <v>1257</v>
      </c>
      <c r="AK7" s="48"/>
      <c r="AL7" s="48"/>
      <c r="AM7" s="48"/>
      <c r="AN7" s="48"/>
    </row>
    <row r="8" spans="2:40">
      <c r="B8" s="97" t="s">
        <v>1212</v>
      </c>
      <c r="C8" s="48">
        <v>6</v>
      </c>
      <c r="D8" s="48" t="s">
        <v>2126</v>
      </c>
      <c r="E8" s="95">
        <v>45495</v>
      </c>
      <c r="F8" s="48">
        <v>3</v>
      </c>
      <c r="G8" s="207" cm="1">
        <f t="array" ref="G8">SUMPRODUCT(--(I8:AJ8&gt;0))/COUNTA(I8:AJ8)</f>
        <v>1</v>
      </c>
      <c r="H8" s="48" t="s">
        <v>1266</v>
      </c>
      <c r="I8" s="48">
        <v>2</v>
      </c>
      <c r="J8" s="48">
        <v>30</v>
      </c>
      <c r="K8" s="48">
        <v>3</v>
      </c>
      <c r="L8" s="48">
        <v>3</v>
      </c>
      <c r="M8" s="48">
        <v>3</v>
      </c>
      <c r="N8" s="48">
        <v>2</v>
      </c>
      <c r="O8" s="48">
        <v>30</v>
      </c>
      <c r="P8" s="48">
        <v>10</v>
      </c>
      <c r="Q8" s="48">
        <v>10</v>
      </c>
      <c r="R8" s="48">
        <v>3</v>
      </c>
      <c r="S8" s="98">
        <v>8</v>
      </c>
      <c r="T8" s="98">
        <v>8</v>
      </c>
      <c r="U8" s="236">
        <v>26</v>
      </c>
      <c r="V8" s="236">
        <v>27</v>
      </c>
      <c r="W8" s="236">
        <v>24</v>
      </c>
      <c r="X8" s="236">
        <v>26</v>
      </c>
      <c r="Y8" s="236">
        <v>22</v>
      </c>
      <c r="Z8" s="236">
        <v>29</v>
      </c>
      <c r="AA8" s="236">
        <v>26</v>
      </c>
      <c r="AB8" s="236">
        <v>24</v>
      </c>
      <c r="AC8" s="236">
        <v>26</v>
      </c>
      <c r="AD8" s="236">
        <v>22</v>
      </c>
      <c r="AE8" s="236">
        <v>29</v>
      </c>
      <c r="AF8" s="48">
        <v>3</v>
      </c>
      <c r="AG8" s="48" t="s">
        <v>1394</v>
      </c>
      <c r="AH8" s="48">
        <v>2</v>
      </c>
      <c r="AI8" s="48">
        <v>10</v>
      </c>
      <c r="AJ8" s="48">
        <v>22</v>
      </c>
      <c r="AK8" s="48"/>
      <c r="AL8" s="48"/>
      <c r="AM8" s="48"/>
      <c r="AN8" s="48"/>
    </row>
    <row r="9" spans="2:40">
      <c r="B9" s="48" t="s">
        <v>1215</v>
      </c>
      <c r="C9" s="48">
        <v>7</v>
      </c>
      <c r="D9" s="48" t="s">
        <v>2127</v>
      </c>
      <c r="E9" s="95">
        <v>45495</v>
      </c>
      <c r="F9" s="48">
        <v>3</v>
      </c>
      <c r="G9" s="207" t="e" cm="1">
        <f t="array" ref="G9">SUMPRODUCT(--(I9:AJ9 &lt;= I28:AJ28))/COUNTA(I28:AJ28)</f>
        <v>#DIV/0!</v>
      </c>
      <c r="H9" s="48" t="s">
        <v>1266</v>
      </c>
      <c r="I9" s="48">
        <v>2</v>
      </c>
      <c r="J9" s="48">
        <v>30</v>
      </c>
      <c r="K9" s="48">
        <v>3</v>
      </c>
      <c r="L9" s="48">
        <v>3</v>
      </c>
      <c r="M9" s="48">
        <v>3</v>
      </c>
      <c r="N9" s="48">
        <v>2</v>
      </c>
      <c r="O9" s="48">
        <v>30</v>
      </c>
      <c r="P9" s="48">
        <v>10</v>
      </c>
      <c r="Q9" s="48">
        <v>10</v>
      </c>
      <c r="R9" s="48">
        <v>3</v>
      </c>
      <c r="S9" s="48">
        <v>16</v>
      </c>
      <c r="T9" s="48">
        <v>16</v>
      </c>
      <c r="U9" s="236">
        <v>26</v>
      </c>
      <c r="V9" s="236">
        <v>27</v>
      </c>
      <c r="W9" s="236">
        <v>24</v>
      </c>
      <c r="X9" s="236">
        <v>26</v>
      </c>
      <c r="Y9" s="236">
        <v>22</v>
      </c>
      <c r="Z9" s="236">
        <v>29</v>
      </c>
      <c r="AA9" s="236">
        <v>26</v>
      </c>
      <c r="AB9" s="236">
        <v>24</v>
      </c>
      <c r="AC9" s="236">
        <v>26</v>
      </c>
      <c r="AD9" s="236">
        <v>22</v>
      </c>
      <c r="AE9" s="236">
        <v>29</v>
      </c>
      <c r="AF9" s="48">
        <v>3</v>
      </c>
      <c r="AG9" s="48" t="s">
        <v>1394</v>
      </c>
      <c r="AH9" s="48">
        <v>2</v>
      </c>
      <c r="AI9" s="48">
        <v>10</v>
      </c>
      <c r="AJ9" s="48">
        <v>22</v>
      </c>
      <c r="AK9" s="48"/>
      <c r="AL9" s="48"/>
      <c r="AM9" s="48"/>
      <c r="AN9" s="48"/>
    </row>
    <row r="10" spans="2:40">
      <c r="B10" s="48" t="s">
        <v>1218</v>
      </c>
      <c r="C10" s="48">
        <v>8</v>
      </c>
      <c r="D10" s="48" t="s">
        <v>2128</v>
      </c>
      <c r="E10" s="95">
        <v>45495</v>
      </c>
      <c r="F10" s="48">
        <v>3</v>
      </c>
      <c r="G10" s="48" t="s">
        <v>1257</v>
      </c>
      <c r="H10" s="48" t="s">
        <v>1266</v>
      </c>
      <c r="I10" s="48">
        <v>31</v>
      </c>
      <c r="J10" s="48">
        <v>2.4845061000001999E+22</v>
      </c>
      <c r="K10" s="48" t="s">
        <v>2129</v>
      </c>
      <c r="L10" s="48">
        <v>61</v>
      </c>
      <c r="M10" s="48">
        <v>0</v>
      </c>
      <c r="N10" s="48">
        <v>31</v>
      </c>
      <c r="O10" s="48">
        <v>2.1208001000000002E+22</v>
      </c>
      <c r="P10" s="95">
        <v>26384</v>
      </c>
      <c r="Q10" s="95">
        <v>40121</v>
      </c>
      <c r="R10" s="98">
        <v>36</v>
      </c>
      <c r="S10" s="98" t="s">
        <v>1266</v>
      </c>
      <c r="T10" s="98" t="s">
        <v>1266</v>
      </c>
      <c r="U10" s="237" t="s">
        <v>2122</v>
      </c>
      <c r="V10" s="237" t="s">
        <v>1379</v>
      </c>
      <c r="W10" s="236" t="s">
        <v>1380</v>
      </c>
      <c r="X10" s="237" t="s">
        <v>1381</v>
      </c>
      <c r="Y10" s="237" t="s">
        <v>1382</v>
      </c>
      <c r="Z10" s="236" t="s">
        <v>1383</v>
      </c>
      <c r="AA10" s="236" t="s">
        <v>1384</v>
      </c>
      <c r="AB10" s="236" t="s">
        <v>1385</v>
      </c>
      <c r="AC10" s="236" t="s">
        <v>1386</v>
      </c>
      <c r="AD10" s="236" t="s">
        <v>1387</v>
      </c>
      <c r="AE10" s="236" t="s">
        <v>1388</v>
      </c>
      <c r="AF10" s="48" t="s">
        <v>1267</v>
      </c>
      <c r="AG10" s="48" t="s">
        <v>1394</v>
      </c>
      <c r="AH10" s="48" t="s">
        <v>2130</v>
      </c>
      <c r="AI10" s="95">
        <v>45495</v>
      </c>
      <c r="AJ10" s="48" t="s">
        <v>2131</v>
      </c>
      <c r="AK10" s="48"/>
      <c r="AL10" s="48"/>
      <c r="AM10" s="95"/>
      <c r="AN10" s="95"/>
    </row>
    <row r="11" spans="2:40">
      <c r="B11" s="48" t="s">
        <v>1220</v>
      </c>
      <c r="C11" s="48">
        <v>9</v>
      </c>
      <c r="D11" s="48" t="s">
        <v>2132</v>
      </c>
      <c r="E11" s="95">
        <v>45495</v>
      </c>
      <c r="F11" s="48">
        <v>3</v>
      </c>
      <c r="G11" s="48" t="s">
        <v>1257</v>
      </c>
      <c r="H11" s="48" t="s">
        <v>1266</v>
      </c>
      <c r="I11" s="48">
        <v>31</v>
      </c>
      <c r="J11" s="48">
        <v>2.4845061000001999E+22</v>
      </c>
      <c r="K11" s="48"/>
      <c r="L11" s="48">
        <v>61</v>
      </c>
      <c r="M11" s="48">
        <v>0</v>
      </c>
      <c r="N11" s="95"/>
      <c r="O11" s="48">
        <v>2.1208001000000002E+22</v>
      </c>
      <c r="P11" s="95">
        <v>26384</v>
      </c>
      <c r="Q11" s="95">
        <v>40121</v>
      </c>
      <c r="R11" s="48">
        <v>36</v>
      </c>
      <c r="S11" s="48" t="s">
        <v>1343</v>
      </c>
      <c r="T11" s="48" t="s">
        <v>1343</v>
      </c>
      <c r="U11" s="236" t="s">
        <v>2122</v>
      </c>
      <c r="V11" s="236" t="s">
        <v>1379</v>
      </c>
      <c r="W11" s="236" t="s">
        <v>1380</v>
      </c>
      <c r="X11" s="237" t="s">
        <v>1381</v>
      </c>
      <c r="Y11" s="237" t="s">
        <v>1382</v>
      </c>
      <c r="Z11" s="236" t="s">
        <v>1383</v>
      </c>
      <c r="AA11" s="236" t="s">
        <v>1384</v>
      </c>
      <c r="AB11" s="236" t="s">
        <v>1385</v>
      </c>
      <c r="AC11" s="236" t="s">
        <v>1386</v>
      </c>
      <c r="AD11" s="236" t="s">
        <v>1387</v>
      </c>
      <c r="AE11" s="236" t="s">
        <v>1388</v>
      </c>
      <c r="AF11" s="48" t="s">
        <v>1282</v>
      </c>
      <c r="AG11" s="48" t="s">
        <v>1394</v>
      </c>
      <c r="AH11" s="48" t="s">
        <v>2130</v>
      </c>
      <c r="AI11" s="95">
        <v>45495</v>
      </c>
      <c r="AJ11" s="48" t="s">
        <v>2133</v>
      </c>
      <c r="AK11" s="48"/>
      <c r="AL11" s="48"/>
      <c r="AM11" s="95"/>
      <c r="AN11" s="95"/>
    </row>
    <row r="12" spans="2:40">
      <c r="B12" s="97" t="s">
        <v>1222</v>
      </c>
      <c r="C12" s="48">
        <v>10</v>
      </c>
      <c r="D12" s="48" t="s">
        <v>2134</v>
      </c>
      <c r="E12" s="95">
        <v>45495</v>
      </c>
      <c r="F12" s="48">
        <v>3</v>
      </c>
      <c r="G12" s="48" t="s">
        <v>1257</v>
      </c>
      <c r="H12" s="48" t="s">
        <v>1266</v>
      </c>
      <c r="I12" s="48">
        <v>31</v>
      </c>
      <c r="J12" s="48">
        <v>5.4060000086906101E+29</v>
      </c>
      <c r="K12" s="48" t="s">
        <v>2129</v>
      </c>
      <c r="L12" s="48">
        <v>269</v>
      </c>
      <c r="M12" s="48" t="s">
        <v>2135</v>
      </c>
      <c r="N12" s="48">
        <v>31</v>
      </c>
      <c r="O12" s="48">
        <v>2.39700506824024E+29</v>
      </c>
      <c r="P12" s="95">
        <v>45495</v>
      </c>
      <c r="Q12" s="95">
        <v>50908</v>
      </c>
      <c r="R12" s="48">
        <v>978</v>
      </c>
      <c r="S12" s="191">
        <v>99995000000</v>
      </c>
      <c r="T12" s="98">
        <v>120000000000000</v>
      </c>
      <c r="U12" s="237" t="s">
        <v>2122</v>
      </c>
      <c r="V12" s="237" t="s">
        <v>1379</v>
      </c>
      <c r="W12" s="237" t="s">
        <v>1380</v>
      </c>
      <c r="X12" s="237" t="s">
        <v>1381</v>
      </c>
      <c r="Y12" s="237" t="s">
        <v>1382</v>
      </c>
      <c r="Z12" s="237" t="s">
        <v>1383</v>
      </c>
      <c r="AA12" s="236" t="s">
        <v>1384</v>
      </c>
      <c r="AB12" s="236" t="s">
        <v>1385</v>
      </c>
      <c r="AC12" s="238" t="s">
        <v>1386</v>
      </c>
      <c r="AD12" s="236" t="s">
        <v>1387</v>
      </c>
      <c r="AE12" s="236" t="s">
        <v>1388</v>
      </c>
      <c r="AF12" s="48" t="s">
        <v>1267</v>
      </c>
      <c r="AG12" s="48" t="s">
        <v>1394</v>
      </c>
      <c r="AH12" s="95" t="s">
        <v>2130</v>
      </c>
      <c r="AI12" s="95">
        <v>45495</v>
      </c>
      <c r="AJ12" s="48" t="s">
        <v>2131</v>
      </c>
      <c r="AK12" s="48"/>
      <c r="AL12" s="48"/>
      <c r="AM12" s="95"/>
      <c r="AN12" s="95"/>
    </row>
    <row r="13" spans="2:40">
      <c r="B13" s="48" t="s">
        <v>1224</v>
      </c>
      <c r="C13" s="48">
        <v>11</v>
      </c>
      <c r="D13" s="48" t="s">
        <v>2136</v>
      </c>
      <c r="E13" s="95">
        <v>45495</v>
      </c>
      <c r="F13" s="48">
        <v>3</v>
      </c>
      <c r="G13" s="48" t="s">
        <v>1257</v>
      </c>
      <c r="H13" s="48" t="s">
        <v>1266</v>
      </c>
      <c r="I13" s="48">
        <v>31</v>
      </c>
      <c r="J13" s="48">
        <v>5.4060000086906101E+29</v>
      </c>
      <c r="K13" s="48"/>
      <c r="L13" s="48">
        <v>269</v>
      </c>
      <c r="M13" s="48" t="s">
        <v>2135</v>
      </c>
      <c r="N13" s="95"/>
      <c r="O13" s="48">
        <v>2.39700506824024E+29</v>
      </c>
      <c r="P13" s="95">
        <v>45495</v>
      </c>
      <c r="Q13" s="95">
        <v>50908</v>
      </c>
      <c r="R13" s="48">
        <v>978</v>
      </c>
      <c r="S13" s="95" t="s">
        <v>2137</v>
      </c>
      <c r="T13" s="98" t="s">
        <v>2137</v>
      </c>
      <c r="U13" s="236" t="s">
        <v>2122</v>
      </c>
      <c r="V13" s="236" t="s">
        <v>1379</v>
      </c>
      <c r="W13" s="236" t="s">
        <v>1380</v>
      </c>
      <c r="X13" s="237" t="s">
        <v>1381</v>
      </c>
      <c r="Y13" s="237" t="s">
        <v>1382</v>
      </c>
      <c r="Z13" s="237" t="s">
        <v>1383</v>
      </c>
      <c r="AA13" s="236" t="s">
        <v>1384</v>
      </c>
      <c r="AB13" s="236" t="s">
        <v>1385</v>
      </c>
      <c r="AC13" s="238" t="s">
        <v>1386</v>
      </c>
      <c r="AD13" s="236" t="s">
        <v>1387</v>
      </c>
      <c r="AE13" s="236" t="s">
        <v>1388</v>
      </c>
      <c r="AF13" s="48" t="s">
        <v>1282</v>
      </c>
      <c r="AG13" s="48" t="s">
        <v>1394</v>
      </c>
      <c r="AH13" s="95" t="s">
        <v>2130</v>
      </c>
      <c r="AI13" s="95">
        <v>45495</v>
      </c>
      <c r="AJ13" s="48" t="s">
        <v>2138</v>
      </c>
      <c r="AK13" s="48"/>
      <c r="AL13" s="48"/>
      <c r="AM13" s="95"/>
      <c r="AN13" s="95"/>
    </row>
    <row r="14" spans="2:40">
      <c r="B14" s="48" t="s">
        <v>1226</v>
      </c>
      <c r="C14" s="48">
        <v>12</v>
      </c>
      <c r="D14" s="48" t="s">
        <v>2139</v>
      </c>
      <c r="E14" s="95">
        <v>45495</v>
      </c>
      <c r="F14" s="48">
        <v>3</v>
      </c>
      <c r="G14" s="48">
        <v>0.89285700000000001</v>
      </c>
      <c r="H14" s="48" t="s">
        <v>1266</v>
      </c>
      <c r="I14" s="48">
        <v>0</v>
      </c>
      <c r="J14" s="48">
        <v>0</v>
      </c>
      <c r="K14" s="48">
        <v>0</v>
      </c>
      <c r="L14" s="48">
        <v>0</v>
      </c>
      <c r="M14" s="48">
        <v>0</v>
      </c>
      <c r="N14" s="48">
        <v>0</v>
      </c>
      <c r="O14" s="48">
        <v>6</v>
      </c>
      <c r="P14" s="48">
        <v>0</v>
      </c>
      <c r="Q14" s="48">
        <v>0</v>
      </c>
      <c r="R14" s="48">
        <v>251</v>
      </c>
      <c r="S14" s="48">
        <v>251</v>
      </c>
      <c r="T14" s="48">
        <v>251</v>
      </c>
      <c r="U14" s="237">
        <v>0</v>
      </c>
      <c r="V14" s="237">
        <v>0</v>
      </c>
      <c r="W14" s="237">
        <v>0</v>
      </c>
      <c r="X14" s="236">
        <v>0</v>
      </c>
      <c r="Y14" s="236">
        <v>0</v>
      </c>
      <c r="Z14" s="236">
        <v>0</v>
      </c>
      <c r="AA14" s="236">
        <v>0</v>
      </c>
      <c r="AB14" s="236">
        <v>0</v>
      </c>
      <c r="AC14" s="236">
        <v>0</v>
      </c>
      <c r="AD14" s="236">
        <v>0</v>
      </c>
      <c r="AE14" s="236">
        <v>0</v>
      </c>
      <c r="AF14" s="48">
        <v>0</v>
      </c>
      <c r="AG14" s="48">
        <v>269078</v>
      </c>
      <c r="AH14" s="48">
        <v>0</v>
      </c>
      <c r="AI14" s="48">
        <v>0</v>
      </c>
      <c r="AJ14" s="48">
        <v>0</v>
      </c>
      <c r="AK14" s="48"/>
      <c r="AL14" s="48"/>
      <c r="AM14" s="48"/>
      <c r="AN14" s="48"/>
    </row>
    <row r="15" spans="2:40">
      <c r="B15" s="48" t="s">
        <v>1228</v>
      </c>
      <c r="C15" s="48">
        <v>13</v>
      </c>
      <c r="D15" s="48" t="s">
        <v>2140</v>
      </c>
      <c r="E15" s="95">
        <v>45495</v>
      </c>
      <c r="F15" s="48">
        <v>3</v>
      </c>
      <c r="G15" s="98">
        <v>1</v>
      </c>
      <c r="H15" s="48" t="s">
        <v>1266</v>
      </c>
      <c r="I15" s="48" t="s">
        <v>1257</v>
      </c>
      <c r="J15" s="48" t="s">
        <v>1257</v>
      </c>
      <c r="K15" s="48" t="s">
        <v>1257</v>
      </c>
      <c r="L15" s="48" t="s">
        <v>1257</v>
      </c>
      <c r="M15" s="48" t="s">
        <v>1257</v>
      </c>
      <c r="N15" s="95" t="s">
        <v>1257</v>
      </c>
      <c r="O15" s="95" t="s">
        <v>1257</v>
      </c>
      <c r="P15" s="48">
        <v>0</v>
      </c>
      <c r="Q15" s="48">
        <v>0</v>
      </c>
      <c r="R15" s="48" t="s">
        <v>1257</v>
      </c>
      <c r="S15" s="95" t="s">
        <v>1257</v>
      </c>
      <c r="T15" s="95" t="s">
        <v>1257</v>
      </c>
      <c r="U15" s="236" t="s">
        <v>1257</v>
      </c>
      <c r="V15" s="236" t="s">
        <v>1257</v>
      </c>
      <c r="W15" s="236" t="s">
        <v>1257</v>
      </c>
      <c r="X15" s="236" t="s">
        <v>1257</v>
      </c>
      <c r="Y15" s="236" t="s">
        <v>1257</v>
      </c>
      <c r="Z15" s="236" t="s">
        <v>1257</v>
      </c>
      <c r="AA15" s="236" t="s">
        <v>1257</v>
      </c>
      <c r="AB15" s="236" t="s">
        <v>1257</v>
      </c>
      <c r="AC15" s="238" t="s">
        <v>1257</v>
      </c>
      <c r="AD15" s="236" t="s">
        <v>1257</v>
      </c>
      <c r="AE15" s="236" t="s">
        <v>1257</v>
      </c>
      <c r="AF15" s="48" t="s">
        <v>1257</v>
      </c>
      <c r="AG15" s="48" t="s">
        <v>1257</v>
      </c>
      <c r="AH15" s="95" t="s">
        <v>1257</v>
      </c>
      <c r="AI15" s="48" t="s">
        <v>1257</v>
      </c>
      <c r="AJ15" s="48" t="s">
        <v>1257</v>
      </c>
      <c r="AK15" s="48"/>
      <c r="AL15" s="48"/>
      <c r="AM15" s="48"/>
      <c r="AN15" s="95"/>
    </row>
    <row r="16" spans="2:40">
      <c r="B16" s="48" t="s">
        <v>1230</v>
      </c>
      <c r="C16" s="48">
        <v>14</v>
      </c>
      <c r="D16" s="48" t="s">
        <v>2141</v>
      </c>
      <c r="E16" s="95">
        <v>45495</v>
      </c>
      <c r="F16" s="48">
        <v>3</v>
      </c>
      <c r="G16" s="98">
        <v>1</v>
      </c>
      <c r="H16" s="48" t="s">
        <v>1266</v>
      </c>
      <c r="I16" s="48">
        <v>0</v>
      </c>
      <c r="J16" s="48">
        <v>0</v>
      </c>
      <c r="K16" s="48">
        <v>0</v>
      </c>
      <c r="L16" s="48">
        <v>0</v>
      </c>
      <c r="M16" s="48">
        <v>0</v>
      </c>
      <c r="N16" s="48">
        <v>0</v>
      </c>
      <c r="O16" s="48">
        <v>0</v>
      </c>
      <c r="P16" s="48" t="s">
        <v>1257</v>
      </c>
      <c r="Q16" s="48" t="s">
        <v>1257</v>
      </c>
      <c r="R16" s="48">
        <v>0</v>
      </c>
      <c r="S16" s="48" t="s">
        <v>1257</v>
      </c>
      <c r="T16" s="48" t="s">
        <v>1257</v>
      </c>
      <c r="U16" s="236" t="s">
        <v>1257</v>
      </c>
      <c r="V16" s="236" t="s">
        <v>1257</v>
      </c>
      <c r="W16" s="236" t="s">
        <v>1257</v>
      </c>
      <c r="X16" s="236" t="s">
        <v>1257</v>
      </c>
      <c r="Y16" s="236" t="s">
        <v>1257</v>
      </c>
      <c r="Z16" s="236" t="s">
        <v>1257</v>
      </c>
      <c r="AA16" s="236" t="s">
        <v>1257</v>
      </c>
      <c r="AB16" s="236" t="s">
        <v>1257</v>
      </c>
      <c r="AC16" s="236" t="s">
        <v>1257</v>
      </c>
      <c r="AD16" s="236" t="s">
        <v>1257</v>
      </c>
      <c r="AE16" s="236" t="s">
        <v>1257</v>
      </c>
      <c r="AF16" s="48">
        <v>0</v>
      </c>
      <c r="AG16" s="48">
        <v>0</v>
      </c>
      <c r="AH16" s="48">
        <v>0</v>
      </c>
      <c r="AI16" s="48" t="s">
        <v>1257</v>
      </c>
      <c r="AJ16" s="48" t="s">
        <v>1257</v>
      </c>
      <c r="AK16" s="48"/>
      <c r="AL16" s="48"/>
      <c r="AM16" s="48"/>
      <c r="AN16" s="48"/>
    </row>
    <row r="17" spans="2:41">
      <c r="B17" s="48" t="s">
        <v>1232</v>
      </c>
      <c r="C17" s="48">
        <v>15</v>
      </c>
      <c r="D17" s="48" t="s">
        <v>2142</v>
      </c>
      <c r="E17" s="95">
        <v>45495</v>
      </c>
      <c r="F17" s="48">
        <v>3</v>
      </c>
      <c r="G17" s="98">
        <v>1</v>
      </c>
      <c r="H17" s="98" t="s">
        <v>1266</v>
      </c>
      <c r="I17" s="48" t="s">
        <v>1257</v>
      </c>
      <c r="J17" s="48" t="s">
        <v>1257</v>
      </c>
      <c r="K17" s="48" t="s">
        <v>1257</v>
      </c>
      <c r="L17" s="48" t="s">
        <v>1257</v>
      </c>
      <c r="M17" s="48" t="s">
        <v>1257</v>
      </c>
      <c r="N17" s="97" t="s">
        <v>1257</v>
      </c>
      <c r="O17" s="97" t="s">
        <v>1257</v>
      </c>
      <c r="P17" s="97" t="s">
        <v>1257</v>
      </c>
      <c r="Q17" s="97" t="s">
        <v>1257</v>
      </c>
      <c r="R17" s="97" t="s">
        <v>1257</v>
      </c>
      <c r="S17" s="48" t="s">
        <v>1257</v>
      </c>
      <c r="T17" s="97" t="s">
        <v>1257</v>
      </c>
      <c r="U17" s="236" t="s">
        <v>1257</v>
      </c>
      <c r="V17" s="236" t="s">
        <v>1257</v>
      </c>
      <c r="W17" s="236" t="s">
        <v>1257</v>
      </c>
      <c r="X17" s="236" t="s">
        <v>1257</v>
      </c>
      <c r="Y17" s="236" t="s">
        <v>1257</v>
      </c>
      <c r="Z17" s="236" t="s">
        <v>1257</v>
      </c>
      <c r="AA17" s="236" t="s">
        <v>1257</v>
      </c>
      <c r="AB17" s="236" t="s">
        <v>1257</v>
      </c>
      <c r="AC17" s="236" t="s">
        <v>1257</v>
      </c>
      <c r="AD17" s="236" t="s">
        <v>1257</v>
      </c>
      <c r="AE17" s="236" t="s">
        <v>1257</v>
      </c>
      <c r="AF17" s="48" t="s">
        <v>1257</v>
      </c>
      <c r="AG17" s="48" t="s">
        <v>1257</v>
      </c>
      <c r="AH17" s="48" t="s">
        <v>1257</v>
      </c>
      <c r="AI17" s="48" t="s">
        <v>1257</v>
      </c>
      <c r="AJ17" s="48" t="s">
        <v>1257</v>
      </c>
      <c r="AK17" s="48"/>
      <c r="AL17" s="48"/>
      <c r="AM17" s="48"/>
      <c r="AN17" s="48"/>
    </row>
    <row r="18" spans="2:41">
      <c r="B18" s="48" t="s">
        <v>1234</v>
      </c>
      <c r="C18" s="48">
        <v>16</v>
      </c>
      <c r="D18" s="48" t="s">
        <v>2142</v>
      </c>
      <c r="E18" s="95">
        <v>45495</v>
      </c>
      <c r="F18" s="48">
        <v>3</v>
      </c>
      <c r="G18" s="98">
        <v>1</v>
      </c>
      <c r="H18" s="98" t="s">
        <v>1266</v>
      </c>
      <c r="I18" s="48" t="s">
        <v>1257</v>
      </c>
      <c r="J18" s="48" t="s">
        <v>1257</v>
      </c>
      <c r="K18" s="48" t="s">
        <v>1257</v>
      </c>
      <c r="L18" s="48" t="s">
        <v>1257</v>
      </c>
      <c r="M18" s="48" t="s">
        <v>1257</v>
      </c>
      <c r="N18" s="97" t="s">
        <v>1257</v>
      </c>
      <c r="O18" s="97" t="s">
        <v>1257</v>
      </c>
      <c r="P18" s="48" t="s">
        <v>1257</v>
      </c>
      <c r="Q18" s="48" t="s">
        <v>1257</v>
      </c>
      <c r="R18" s="97" t="s">
        <v>1257</v>
      </c>
      <c r="S18" s="97" t="s">
        <v>1257</v>
      </c>
      <c r="T18" s="48" t="s">
        <v>1257</v>
      </c>
      <c r="U18" s="236" t="s">
        <v>1257</v>
      </c>
      <c r="V18" s="236" t="s">
        <v>1257</v>
      </c>
      <c r="W18" s="236" t="s">
        <v>1257</v>
      </c>
      <c r="X18" s="236" t="s">
        <v>1257</v>
      </c>
      <c r="Y18" s="236" t="s">
        <v>1257</v>
      </c>
      <c r="Z18" s="236" t="s">
        <v>1257</v>
      </c>
      <c r="AA18" s="236" t="s">
        <v>1257</v>
      </c>
      <c r="AB18" s="236" t="s">
        <v>1257</v>
      </c>
      <c r="AC18" s="236" t="s">
        <v>1257</v>
      </c>
      <c r="AD18" s="236" t="s">
        <v>1257</v>
      </c>
      <c r="AE18" s="236" t="s">
        <v>1257</v>
      </c>
      <c r="AF18" s="48" t="s">
        <v>1257</v>
      </c>
      <c r="AG18" s="48" t="s">
        <v>1257</v>
      </c>
      <c r="AH18" s="48" t="s">
        <v>1257</v>
      </c>
      <c r="AI18" s="48" t="s">
        <v>1257</v>
      </c>
      <c r="AJ18" s="48" t="s">
        <v>1257</v>
      </c>
      <c r="AK18" s="48"/>
      <c r="AL18" s="48"/>
      <c r="AM18" s="48"/>
      <c r="AN18" s="48"/>
    </row>
    <row r="19" spans="2:41">
      <c r="B19" s="48" t="s">
        <v>1236</v>
      </c>
      <c r="C19" s="48">
        <v>17</v>
      </c>
      <c r="D19" s="48" t="s">
        <v>2143</v>
      </c>
      <c r="E19" s="95">
        <v>45495</v>
      </c>
      <c r="F19" s="48">
        <v>3</v>
      </c>
      <c r="G19" s="48">
        <v>0.98260000000000003</v>
      </c>
      <c r="H19" s="210">
        <v>4682000000</v>
      </c>
      <c r="I19" s="48" t="s">
        <v>1257</v>
      </c>
      <c r="J19" s="48" t="s">
        <v>1257</v>
      </c>
      <c r="K19" s="48" t="s">
        <v>1257</v>
      </c>
      <c r="L19" s="48" t="s">
        <v>1257</v>
      </c>
      <c r="M19" s="48" t="s">
        <v>1257</v>
      </c>
      <c r="N19" s="48" t="s">
        <v>1257</v>
      </c>
      <c r="O19" s="48" t="s">
        <v>1257</v>
      </c>
      <c r="P19" s="48" t="s">
        <v>1257</v>
      </c>
      <c r="Q19" s="97" t="s">
        <v>1257</v>
      </c>
      <c r="R19" s="48" t="s">
        <v>1257</v>
      </c>
      <c r="S19" s="48" t="s">
        <v>1257</v>
      </c>
      <c r="T19" s="48" t="s">
        <v>1257</v>
      </c>
      <c r="U19" s="236" t="s">
        <v>1257</v>
      </c>
      <c r="V19" s="236" t="s">
        <v>1257</v>
      </c>
      <c r="W19" s="236" t="s">
        <v>1257</v>
      </c>
      <c r="X19" s="236" t="s">
        <v>1257</v>
      </c>
      <c r="Y19" s="236" t="s">
        <v>1257</v>
      </c>
      <c r="Z19" s="236" t="s">
        <v>1257</v>
      </c>
      <c r="AA19" s="236" t="s">
        <v>1257</v>
      </c>
      <c r="AB19" s="236" t="s">
        <v>1257</v>
      </c>
      <c r="AC19" s="236" t="s">
        <v>1257</v>
      </c>
      <c r="AD19" s="236" t="s">
        <v>1257</v>
      </c>
      <c r="AE19" s="236" t="s">
        <v>1257</v>
      </c>
      <c r="AF19" s="48" t="s">
        <v>1257</v>
      </c>
      <c r="AG19" s="48" t="s">
        <v>1257</v>
      </c>
      <c r="AH19" s="48" t="s">
        <v>1257</v>
      </c>
      <c r="AI19" s="48" t="s">
        <v>1257</v>
      </c>
      <c r="AJ19" s="48" t="s">
        <v>1257</v>
      </c>
      <c r="AK19" s="48"/>
      <c r="AL19" s="48"/>
      <c r="AM19" s="48"/>
      <c r="AN19" s="48"/>
    </row>
    <row r="20" spans="2:41">
      <c r="B20" s="48" t="s">
        <v>1238</v>
      </c>
      <c r="C20" s="48">
        <v>18</v>
      </c>
      <c r="D20" s="48" t="s">
        <v>2143</v>
      </c>
      <c r="E20" s="95">
        <v>45495</v>
      </c>
      <c r="F20" s="48">
        <v>3</v>
      </c>
      <c r="G20" s="98">
        <v>1</v>
      </c>
      <c r="H20" s="191" t="s">
        <v>1266</v>
      </c>
      <c r="I20" s="48" t="s">
        <v>1257</v>
      </c>
      <c r="J20" s="48" t="s">
        <v>1257</v>
      </c>
      <c r="K20" s="48" t="s">
        <v>1257</v>
      </c>
      <c r="L20" s="48" t="s">
        <v>1257</v>
      </c>
      <c r="M20" s="48" t="s">
        <v>1257</v>
      </c>
      <c r="N20" s="48" t="s">
        <v>1257</v>
      </c>
      <c r="O20" s="48" t="s">
        <v>1257</v>
      </c>
      <c r="P20" s="48" t="s">
        <v>1257</v>
      </c>
      <c r="Q20" s="48" t="s">
        <v>1257</v>
      </c>
      <c r="R20" s="48" t="s">
        <v>1257</v>
      </c>
      <c r="S20" s="48" t="s">
        <v>1257</v>
      </c>
      <c r="T20" s="48" t="s">
        <v>1257</v>
      </c>
      <c r="U20" s="236" t="s">
        <v>1257</v>
      </c>
      <c r="V20" s="236" t="s">
        <v>1257</v>
      </c>
      <c r="W20" s="236" t="s">
        <v>1257</v>
      </c>
      <c r="X20" s="236" t="s">
        <v>1257</v>
      </c>
      <c r="Y20" s="236" t="s">
        <v>1257</v>
      </c>
      <c r="Z20" s="236" t="s">
        <v>1257</v>
      </c>
      <c r="AA20" s="236" t="s">
        <v>1257</v>
      </c>
      <c r="AB20" s="236" t="s">
        <v>1257</v>
      </c>
      <c r="AC20" s="236" t="s">
        <v>1257</v>
      </c>
      <c r="AD20" s="236" t="s">
        <v>1257</v>
      </c>
      <c r="AE20" s="236" t="s">
        <v>1257</v>
      </c>
      <c r="AF20" s="48" t="s">
        <v>1257</v>
      </c>
      <c r="AG20" s="48" t="s">
        <v>1257</v>
      </c>
      <c r="AH20" s="48" t="s">
        <v>1257</v>
      </c>
      <c r="AI20" s="48" t="s">
        <v>1257</v>
      </c>
      <c r="AJ20" s="48" t="s">
        <v>1257</v>
      </c>
      <c r="AK20" s="48"/>
      <c r="AL20" s="48"/>
      <c r="AM20" s="48"/>
      <c r="AN20" s="48"/>
    </row>
    <row r="21" spans="2:41">
      <c r="B21" s="48" t="s">
        <v>1240</v>
      </c>
      <c r="C21" s="48">
        <v>19</v>
      </c>
      <c r="D21" s="48" t="s">
        <v>2144</v>
      </c>
      <c r="E21" s="95">
        <v>45495</v>
      </c>
      <c r="F21" s="48">
        <v>3</v>
      </c>
      <c r="G21" s="207" cm="1">
        <f t="array" aca="1" ref="G21" ca="1">SUMPRODUCT(--(ISNUMBER((SEARCH(I27:AJ27,I21:AJ21)))))/COUNTA(I21:AJ21)</f>
        <v>0.9642857142857143</v>
      </c>
      <c r="H21" s="48" t="s">
        <v>1266</v>
      </c>
      <c r="I21" s="48" t="s">
        <v>1291</v>
      </c>
      <c r="J21" s="48" t="s">
        <v>1291</v>
      </c>
      <c r="K21" s="48" t="s">
        <v>1291</v>
      </c>
      <c r="L21" s="48" t="s">
        <v>1291</v>
      </c>
      <c r="M21" s="48" t="s">
        <v>1291</v>
      </c>
      <c r="N21" s="48" t="s">
        <v>1291</v>
      </c>
      <c r="O21" s="48" t="s">
        <v>1291</v>
      </c>
      <c r="P21" s="97" t="s">
        <v>1291</v>
      </c>
      <c r="Q21" s="97" t="s">
        <v>1291</v>
      </c>
      <c r="R21" s="48" t="s">
        <v>1291</v>
      </c>
      <c r="S21" s="48" t="s">
        <v>1291</v>
      </c>
      <c r="T21" s="48" t="s">
        <v>1292</v>
      </c>
      <c r="U21" s="236" t="s">
        <v>1291</v>
      </c>
      <c r="V21" s="236" t="s">
        <v>1291</v>
      </c>
      <c r="W21" s="236" t="s">
        <v>1291</v>
      </c>
      <c r="X21" s="236" t="s">
        <v>1291</v>
      </c>
      <c r="Y21" s="236" t="s">
        <v>1291</v>
      </c>
      <c r="Z21" s="236" t="s">
        <v>1291</v>
      </c>
      <c r="AA21" s="236" t="s">
        <v>1291</v>
      </c>
      <c r="AB21" s="236" t="s">
        <v>1291</v>
      </c>
      <c r="AC21" s="236" t="s">
        <v>1291</v>
      </c>
      <c r="AD21" s="236" t="s">
        <v>1291</v>
      </c>
      <c r="AE21" s="236" t="s">
        <v>1291</v>
      </c>
      <c r="AF21" s="48" t="s">
        <v>1291</v>
      </c>
      <c r="AG21" s="48" t="s">
        <v>1291</v>
      </c>
      <c r="AH21" s="48" t="s">
        <v>1291</v>
      </c>
      <c r="AI21" s="48" t="s">
        <v>1291</v>
      </c>
      <c r="AJ21" s="48" t="s">
        <v>1293</v>
      </c>
      <c r="AK21" s="48"/>
      <c r="AL21" s="48"/>
      <c r="AM21" s="48"/>
      <c r="AN21" s="48"/>
    </row>
    <row r="22" spans="2:41">
      <c r="B22" s="48" t="s">
        <v>1243</v>
      </c>
      <c r="C22" s="48">
        <v>20</v>
      </c>
      <c r="D22" s="48"/>
      <c r="E22" s="95"/>
      <c r="F22" s="48"/>
      <c r="G22" s="191" t="e" cm="1" vm="1">
        <f t="array" ref="G22">SUM(IF(I2:AJ2 = I26:AJ26, 1, 0))/ COUNTA(I2:AJ2)</f>
        <v>#VALUE!</v>
      </c>
      <c r="H22" s="48"/>
      <c r="I22" s="48"/>
      <c r="J22" s="48"/>
      <c r="K22" s="48"/>
      <c r="L22" s="48"/>
      <c r="M22" s="48"/>
      <c r="N22" s="48"/>
      <c r="O22" s="48"/>
      <c r="P22" s="48"/>
      <c r="Q22" s="48"/>
      <c r="R22" s="48"/>
      <c r="S22" s="48"/>
      <c r="T22" s="48"/>
      <c r="U22" s="236"/>
      <c r="V22" s="236"/>
      <c r="W22" s="236"/>
      <c r="X22" s="236"/>
      <c r="Y22" s="236"/>
      <c r="Z22" s="236"/>
      <c r="AA22" s="236"/>
      <c r="AB22" s="236"/>
      <c r="AC22" s="236"/>
      <c r="AD22" s="236"/>
      <c r="AE22" s="236"/>
      <c r="AF22" s="48"/>
      <c r="AG22" s="48"/>
      <c r="AH22" s="48"/>
      <c r="AI22" s="48"/>
      <c r="AJ22" s="48"/>
      <c r="AK22" s="48"/>
      <c r="AL22" s="48"/>
      <c r="AM22" s="48"/>
      <c r="AN22" s="48"/>
    </row>
    <row r="23" spans="2:41">
      <c r="B23" s="48" t="s">
        <v>1246</v>
      </c>
      <c r="C23" s="48">
        <v>21</v>
      </c>
      <c r="D23" s="48"/>
      <c r="E23" s="95"/>
      <c r="F23" s="48"/>
      <c r="G23" s="191" t="e" cm="1">
        <f t="array" aca="1" ref="G23" ca="1">SUM(IF(IF(G3:G22="null",1,G3:G22)=1,1,0))/COUNT(IF(G3:G22="null",1,1))</f>
        <v>#DIV/0!</v>
      </c>
      <c r="H23" s="48"/>
      <c r="I23" s="48"/>
      <c r="J23" s="48"/>
      <c r="K23" s="48"/>
      <c r="L23" s="48"/>
      <c r="M23" s="48"/>
      <c r="N23" s="48"/>
      <c r="O23" s="48"/>
      <c r="P23" s="48"/>
      <c r="Q23" s="48"/>
      <c r="R23" s="48"/>
      <c r="S23" s="48"/>
      <c r="T23" s="48"/>
      <c r="U23" s="236"/>
      <c r="V23" s="236"/>
      <c r="W23" s="236"/>
      <c r="X23" s="236"/>
      <c r="Y23" s="236"/>
      <c r="Z23" s="236"/>
      <c r="AA23" s="236"/>
      <c r="AB23" s="236"/>
      <c r="AC23" s="236"/>
      <c r="AD23" s="236"/>
      <c r="AE23" s="236"/>
      <c r="AF23" s="48"/>
      <c r="AG23" s="48"/>
      <c r="AH23" s="48"/>
      <c r="AI23" s="48"/>
      <c r="AJ23" s="48"/>
      <c r="AK23" s="48"/>
      <c r="AL23" s="48"/>
      <c r="AM23" s="48"/>
      <c r="AN23" s="48"/>
    </row>
    <row r="25" spans="2:41">
      <c r="B25" s="129" t="s">
        <v>1364</v>
      </c>
    </row>
    <row r="26" spans="2:41">
      <c r="B26" s="127" t="s">
        <v>1249</v>
      </c>
      <c r="C26" s="128" t="s">
        <v>1250</v>
      </c>
      <c r="D26" s="128" t="s">
        <v>1251</v>
      </c>
      <c r="E26" s="128" t="s">
        <v>1252</v>
      </c>
      <c r="F26" s="128" t="s">
        <v>1253</v>
      </c>
      <c r="G26" s="128" t="s">
        <v>1254</v>
      </c>
      <c r="H26" s="128" t="s">
        <v>1255</v>
      </c>
      <c r="I26" s="128" t="e" cm="1" vm="2">
        <f t="array" ref="I26">TRANSPOSE(_xlfn.SORTBY(_xlfn._xlws.FILTER(Table3[NOME FÍSICO CAMPO],Table3[NOME FÍSICO TABELA]="saving_account"), _xlfn._xlws.FILTER(Table3[ORDEM], Table3[NOME FÍSICO TABELA]="saving_account"), 1))</f>
        <v>#VALUE!</v>
      </c>
      <c r="J26" s="128"/>
      <c r="K26" s="128"/>
      <c r="L26" s="128"/>
      <c r="M26" s="128"/>
      <c r="N26" s="128"/>
      <c r="O26" s="128"/>
      <c r="P26" s="128"/>
      <c r="Q26" s="128"/>
      <c r="R26" s="128"/>
      <c r="S26" s="128"/>
      <c r="T26" s="128"/>
      <c r="U26" s="128"/>
      <c r="V26" s="128"/>
      <c r="W26" s="128"/>
      <c r="X26" s="128"/>
      <c r="Y26" s="128"/>
      <c r="Z26" s="128"/>
      <c r="AA26" s="128"/>
      <c r="AB26" s="128"/>
      <c r="AC26" s="128"/>
      <c r="AD26" s="128"/>
      <c r="AE26" s="128"/>
      <c r="AF26" s="128"/>
      <c r="AG26" s="128"/>
      <c r="AH26" s="128"/>
      <c r="AI26" s="128"/>
      <c r="AJ26" s="125"/>
      <c r="AK26" s="215"/>
      <c r="AL26" s="215"/>
      <c r="AM26" s="215"/>
      <c r="AN26" s="215"/>
      <c r="AO26" s="215"/>
    </row>
    <row r="27" spans="2:41">
      <c r="B27" s="106" t="s">
        <v>1294</v>
      </c>
      <c r="C27" s="94">
        <v>21</v>
      </c>
      <c r="D27" s="93" t="s">
        <v>1295</v>
      </c>
      <c r="E27" t="s">
        <v>1296</v>
      </c>
      <c r="F27" t="s">
        <v>124</v>
      </c>
      <c r="G27" t="s">
        <v>124</v>
      </c>
      <c r="H27" t="s">
        <v>124</v>
      </c>
      <c r="I27" t="e" cm="1" vm="2">
        <f t="array" aca="1" ref="I27" ca="1">TRANSPOSE(_xlfn.SORTBY(_xlfn._xlws.FILTER(IF(Table3[FORMATO]:Table3[COMP_ CAMPO]&lt;&gt;"",Table3[FORMATO]:Table3[COMP_ CAMPO],9999999),Table3[NOME FÍSICO TABELA]="saving_account"), _xlfn._xlws.FILTER(Table3[ORDEM], Table3[NOME FÍSICO TABELA]="saving_account"), 1))</f>
        <v>#VALUE!</v>
      </c>
      <c r="AJ27" s="235"/>
    </row>
    <row r="28" spans="2:41">
      <c r="B28" s="106" t="s">
        <v>1297</v>
      </c>
      <c r="C28" s="150">
        <v>7</v>
      </c>
      <c r="D28" s="105" t="s">
        <v>1295</v>
      </c>
      <c r="E28" s="104" t="s">
        <v>1296</v>
      </c>
      <c r="F28" s="104" t="s">
        <v>124</v>
      </c>
      <c r="G28" s="104" t="s">
        <v>124</v>
      </c>
      <c r="H28" s="104" t="s">
        <v>124</v>
      </c>
      <c r="I28" s="150"/>
      <c r="J28" s="150"/>
      <c r="K28" s="150"/>
      <c r="L28" s="150"/>
      <c r="M28" s="150"/>
      <c r="N28" s="150"/>
      <c r="O28" s="150"/>
      <c r="P28" s="150"/>
      <c r="Q28" s="150"/>
      <c r="R28" s="150"/>
      <c r="S28" s="150"/>
      <c r="T28" s="150"/>
      <c r="U28" s="150"/>
      <c r="V28" s="150"/>
      <c r="W28" s="150"/>
      <c r="X28" s="150"/>
      <c r="Y28" s="150"/>
      <c r="Z28" s="150"/>
      <c r="AA28" s="150"/>
      <c r="AB28" s="150"/>
      <c r="AC28" s="150"/>
      <c r="AD28" s="150"/>
      <c r="AE28" s="150"/>
      <c r="AF28" s="150"/>
      <c r="AG28" s="150"/>
      <c r="AH28" s="150"/>
      <c r="AI28" s="150"/>
      <c r="AJ28" s="151"/>
      <c r="AK28" s="94"/>
      <c r="AL28" s="94"/>
      <c r="AM28" s="94"/>
      <c r="AN28" s="94"/>
      <c r="AO28" s="94"/>
    </row>
    <row r="30" spans="2:41">
      <c r="B30" s="139" t="s">
        <v>1298</v>
      </c>
    </row>
    <row r="31" spans="2:41">
      <c r="B31" s="133" t="s">
        <v>1299</v>
      </c>
      <c r="C31" s="133" t="s">
        <v>1300</v>
      </c>
      <c r="D31" s="134" t="s">
        <v>1301</v>
      </c>
      <c r="E31" s="133" t="s">
        <v>1302</v>
      </c>
      <c r="F31" s="133" t="s">
        <v>1303</v>
      </c>
    </row>
    <row r="32" spans="2:41" ht="29.1">
      <c r="B32" s="110" t="s">
        <v>1304</v>
      </c>
      <c r="C32" s="114" t="s">
        <v>203</v>
      </c>
      <c r="D32" s="51" t="s">
        <v>2145</v>
      </c>
      <c r="E32" s="152" t="s">
        <v>2146</v>
      </c>
      <c r="F32" s="135" t="s">
        <v>1310</v>
      </c>
    </row>
    <row r="33" spans="2:16" ht="29.1">
      <c r="B33" s="110" t="s">
        <v>1304</v>
      </c>
      <c r="C33" s="114" t="s">
        <v>314</v>
      </c>
      <c r="D33" s="51" t="s">
        <v>2147</v>
      </c>
      <c r="E33" s="152" t="s">
        <v>2148</v>
      </c>
      <c r="F33" s="135" t="s">
        <v>1310</v>
      </c>
    </row>
    <row r="34" spans="2:16" ht="29.1">
      <c r="B34" s="110" t="s">
        <v>1304</v>
      </c>
      <c r="C34" s="114" t="s">
        <v>2121</v>
      </c>
      <c r="D34" s="51" t="s">
        <v>2147</v>
      </c>
      <c r="E34" s="152" t="s">
        <v>2148</v>
      </c>
      <c r="F34" s="135" t="s">
        <v>1310</v>
      </c>
    </row>
    <row r="35" spans="2:16" ht="29.1">
      <c r="B35" s="110" t="s">
        <v>1304</v>
      </c>
      <c r="C35" s="114" t="s">
        <v>1378</v>
      </c>
      <c r="D35" s="51" t="s">
        <v>2147</v>
      </c>
      <c r="E35" s="152" t="s">
        <v>2148</v>
      </c>
      <c r="F35" s="135" t="s">
        <v>1310</v>
      </c>
    </row>
    <row r="36" spans="2:16" ht="29.1">
      <c r="B36" s="110" t="s">
        <v>1304</v>
      </c>
      <c r="C36" s="114" t="s">
        <v>678</v>
      </c>
      <c r="D36" s="51" t="s">
        <v>2149</v>
      </c>
      <c r="E36" s="152" t="s">
        <v>2150</v>
      </c>
      <c r="F36" s="135" t="s">
        <v>1313</v>
      </c>
    </row>
    <row r="37" spans="2:16" ht="43.5">
      <c r="B37" s="110" t="s">
        <v>1319</v>
      </c>
      <c r="C37" s="114" t="s">
        <v>2151</v>
      </c>
      <c r="D37" s="51" t="s">
        <v>2152</v>
      </c>
      <c r="E37" s="152" t="s">
        <v>2153</v>
      </c>
      <c r="F37" s="135" t="s">
        <v>1313</v>
      </c>
      <c r="I37" s="157"/>
      <c r="J37" s="157"/>
      <c r="K37" s="157"/>
      <c r="L37" s="157"/>
      <c r="M37" s="157"/>
      <c r="N37" s="157"/>
      <c r="O37" s="157"/>
      <c r="P37" s="157"/>
    </row>
    <row r="38" spans="2:16" ht="29.1">
      <c r="B38" s="110" t="s">
        <v>1314</v>
      </c>
      <c r="C38" s="114" t="s">
        <v>2151</v>
      </c>
      <c r="D38" s="51" t="s">
        <v>2154</v>
      </c>
      <c r="E38" s="152" t="s">
        <v>2155</v>
      </c>
      <c r="F38" s="135" t="s">
        <v>1310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77" t="s">
        <v>1375</v>
      </c>
      <c r="C2" s="77" t="s">
        <v>1250</v>
      </c>
      <c r="D2" s="77" t="s">
        <v>1251</v>
      </c>
      <c r="E2" s="77" t="s">
        <v>1252</v>
      </c>
      <c r="F2" s="77" t="s">
        <v>1253</v>
      </c>
      <c r="G2" s="77" t="s">
        <v>1254</v>
      </c>
      <c r="H2" s="77" t="s">
        <v>1255</v>
      </c>
      <c r="I2" s="77" t="s">
        <v>103</v>
      </c>
      <c r="J2" s="77" t="s">
        <v>134</v>
      </c>
      <c r="K2" s="77" t="s">
        <v>155</v>
      </c>
      <c r="L2" s="77" t="s">
        <v>162</v>
      </c>
      <c r="M2" s="77" t="s">
        <v>190</v>
      </c>
      <c r="N2" s="77" t="s">
        <v>289</v>
      </c>
      <c r="O2" s="77" t="s">
        <v>299</v>
      </c>
      <c r="P2" s="77" t="s">
        <v>314</v>
      </c>
      <c r="Q2" s="77" t="s">
        <v>389</v>
      </c>
      <c r="R2" s="77" t="s">
        <v>1376</v>
      </c>
      <c r="S2" s="77" t="s">
        <v>1377</v>
      </c>
      <c r="T2" s="77" t="s">
        <v>1378</v>
      </c>
      <c r="U2" s="77" t="s">
        <v>482</v>
      </c>
      <c r="V2" s="77" t="s">
        <v>1803</v>
      </c>
      <c r="W2" s="77" t="s">
        <v>577</v>
      </c>
      <c r="X2" s="77" t="s">
        <v>589</v>
      </c>
      <c r="Y2" s="77" t="s">
        <v>600</v>
      </c>
      <c r="Z2" s="77" t="s">
        <v>608</v>
      </c>
      <c r="AA2" s="77" t="s">
        <v>617</v>
      </c>
      <c r="AB2" s="77" t="s">
        <v>626</v>
      </c>
      <c r="AC2" s="77" t="s">
        <v>636</v>
      </c>
      <c r="AD2" s="77" t="s">
        <v>644</v>
      </c>
      <c r="AE2" s="77" t="s">
        <v>652</v>
      </c>
      <c r="AF2" s="77" t="s">
        <v>669</v>
      </c>
      <c r="AG2" s="77" t="s">
        <v>678</v>
      </c>
      <c r="AH2" s="77" t="s">
        <v>214</v>
      </c>
      <c r="AI2" s="77" t="s">
        <v>234</v>
      </c>
      <c r="AJ2" s="77" t="s">
        <v>253</v>
      </c>
      <c r="AK2" s="77"/>
      <c r="AL2" s="77"/>
      <c r="AM2" s="77"/>
      <c r="AN2" s="77"/>
    </row>
    <row r="3" spans="2:40">
      <c r="B3" s="48" t="s">
        <v>1203</v>
      </c>
      <c r="C3" s="48">
        <v>1</v>
      </c>
      <c r="D3" s="48" t="s">
        <v>2156</v>
      </c>
      <c r="E3" s="95">
        <v>45548</v>
      </c>
      <c r="F3" s="48">
        <v>1</v>
      </c>
      <c r="G3" s="251">
        <v>1</v>
      </c>
      <c r="H3" s="223">
        <v>956041</v>
      </c>
      <c r="I3" s="48" t="s">
        <v>1257</v>
      </c>
      <c r="J3" s="48" t="s">
        <v>1257</v>
      </c>
      <c r="K3" s="48" t="s">
        <v>1257</v>
      </c>
      <c r="L3" s="48" t="s">
        <v>1257</v>
      </c>
      <c r="M3" s="48" t="s">
        <v>1257</v>
      </c>
      <c r="N3" s="48" t="s">
        <v>1257</v>
      </c>
      <c r="O3" s="48" t="s">
        <v>1257</v>
      </c>
      <c r="P3" s="48" t="s">
        <v>1257</v>
      </c>
      <c r="Q3" s="48" t="s">
        <v>1257</v>
      </c>
      <c r="R3" s="48" t="s">
        <v>1257</v>
      </c>
      <c r="S3" s="48" t="s">
        <v>1257</v>
      </c>
      <c r="T3" s="48" t="s">
        <v>1257</v>
      </c>
      <c r="U3" s="48" t="s">
        <v>1257</v>
      </c>
      <c r="V3" s="236" t="s">
        <v>1257</v>
      </c>
      <c r="W3" s="236" t="s">
        <v>1257</v>
      </c>
      <c r="X3" s="236" t="s">
        <v>1257</v>
      </c>
      <c r="Y3" s="236" t="s">
        <v>1257</v>
      </c>
      <c r="Z3" s="236" t="s">
        <v>1257</v>
      </c>
      <c r="AA3" s="236" t="s">
        <v>1257</v>
      </c>
      <c r="AB3" s="236" t="s">
        <v>1257</v>
      </c>
      <c r="AC3" s="236" t="s">
        <v>1257</v>
      </c>
      <c r="AD3" s="236" t="s">
        <v>1257</v>
      </c>
      <c r="AE3" s="236" t="s">
        <v>1257</v>
      </c>
      <c r="AF3" s="48" t="s">
        <v>1257</v>
      </c>
      <c r="AG3" s="48" t="s">
        <v>1257</v>
      </c>
      <c r="AH3" s="48" t="s">
        <v>1257</v>
      </c>
      <c r="AI3" s="48" t="s">
        <v>1257</v>
      </c>
      <c r="AJ3" s="48" t="s">
        <v>1257</v>
      </c>
      <c r="AK3" s="48"/>
      <c r="AL3" s="48"/>
      <c r="AM3" s="48"/>
      <c r="AN3" s="48"/>
    </row>
    <row r="4" spans="2:40">
      <c r="B4" s="48" t="s">
        <v>1205</v>
      </c>
      <c r="C4" s="48">
        <v>2</v>
      </c>
      <c r="D4" s="48" t="s">
        <v>2157</v>
      </c>
      <c r="E4" s="95">
        <v>45548</v>
      </c>
      <c r="F4" s="48">
        <v>1</v>
      </c>
      <c r="G4" s="251">
        <v>1</v>
      </c>
      <c r="H4" s="183">
        <v>0</v>
      </c>
      <c r="I4" s="48" t="s">
        <v>1257</v>
      </c>
      <c r="J4" s="48" t="s">
        <v>1257</v>
      </c>
      <c r="K4" s="48" t="s">
        <v>1257</v>
      </c>
      <c r="L4" s="48" t="s">
        <v>1257</v>
      </c>
      <c r="M4" s="48" t="s">
        <v>1257</v>
      </c>
      <c r="N4" s="48" t="s">
        <v>1257</v>
      </c>
      <c r="O4" s="48" t="s">
        <v>1257</v>
      </c>
      <c r="P4" s="48" t="s">
        <v>1257</v>
      </c>
      <c r="Q4" s="48" t="s">
        <v>1257</v>
      </c>
      <c r="R4" s="48" t="s">
        <v>1257</v>
      </c>
      <c r="S4" s="48" t="s">
        <v>1257</v>
      </c>
      <c r="T4" s="48" t="s">
        <v>1257</v>
      </c>
      <c r="U4" s="48" t="s">
        <v>1257</v>
      </c>
      <c r="V4" s="236" t="s">
        <v>1257</v>
      </c>
      <c r="W4" s="236" t="s">
        <v>1257</v>
      </c>
      <c r="X4" s="236" t="s">
        <v>1257</v>
      </c>
      <c r="Y4" s="236" t="s">
        <v>1257</v>
      </c>
      <c r="Z4" s="236" t="s">
        <v>1257</v>
      </c>
      <c r="AA4" s="236" t="s">
        <v>1257</v>
      </c>
      <c r="AB4" s="236" t="s">
        <v>1257</v>
      </c>
      <c r="AC4" s="236" t="s">
        <v>1257</v>
      </c>
      <c r="AD4" s="236" t="s">
        <v>1257</v>
      </c>
      <c r="AE4" s="236" t="s">
        <v>1257</v>
      </c>
      <c r="AF4" s="48" t="s">
        <v>1257</v>
      </c>
      <c r="AG4" s="48" t="s">
        <v>1257</v>
      </c>
      <c r="AH4" s="48" t="s">
        <v>1257</v>
      </c>
      <c r="AI4" s="48" t="s">
        <v>1257</v>
      </c>
      <c r="AJ4" s="48" t="s">
        <v>1257</v>
      </c>
      <c r="AK4" s="48"/>
      <c r="AL4" s="48"/>
      <c r="AM4" s="48"/>
      <c r="AN4" s="48"/>
    </row>
    <row r="5" spans="2:40">
      <c r="B5" s="48" t="s">
        <v>1207</v>
      </c>
      <c r="C5" s="48">
        <v>3</v>
      </c>
      <c r="D5" s="48" t="s">
        <v>2158</v>
      </c>
      <c r="E5" s="95">
        <v>45548</v>
      </c>
      <c r="F5" s="48">
        <v>1</v>
      </c>
      <c r="G5" s="251">
        <v>1</v>
      </c>
      <c r="H5" s="183">
        <v>0</v>
      </c>
      <c r="I5" s="48">
        <v>0</v>
      </c>
      <c r="J5" s="48">
        <v>0</v>
      </c>
      <c r="K5" s="48" t="s">
        <v>1257</v>
      </c>
      <c r="L5" s="48" t="s">
        <v>1257</v>
      </c>
      <c r="M5" s="48" t="s">
        <v>1257</v>
      </c>
      <c r="N5" s="48" t="s">
        <v>1257</v>
      </c>
      <c r="O5" s="48" t="s">
        <v>1257</v>
      </c>
      <c r="P5" s="48" t="s">
        <v>1257</v>
      </c>
      <c r="Q5" s="48" t="s">
        <v>1257</v>
      </c>
      <c r="R5" s="48" t="s">
        <v>1257</v>
      </c>
      <c r="S5" s="48" t="s">
        <v>1257</v>
      </c>
      <c r="T5" s="48" t="s">
        <v>1257</v>
      </c>
      <c r="U5" s="48" t="s">
        <v>1257</v>
      </c>
      <c r="V5" s="236" t="s">
        <v>1257</v>
      </c>
      <c r="W5" s="236" t="s">
        <v>1257</v>
      </c>
      <c r="X5" s="236" t="s">
        <v>1257</v>
      </c>
      <c r="Y5" s="236" t="s">
        <v>1257</v>
      </c>
      <c r="Z5" s="236" t="s">
        <v>1257</v>
      </c>
      <c r="AA5" s="236" t="s">
        <v>1257</v>
      </c>
      <c r="AB5" s="236" t="s">
        <v>1257</v>
      </c>
      <c r="AC5" s="236" t="s">
        <v>1257</v>
      </c>
      <c r="AD5" s="236" t="s">
        <v>1257</v>
      </c>
      <c r="AE5" s="236" t="s">
        <v>1257</v>
      </c>
      <c r="AF5" s="48" t="s">
        <v>1257</v>
      </c>
      <c r="AG5" s="48" t="s">
        <v>1257</v>
      </c>
      <c r="AH5" s="48" t="s">
        <v>1257</v>
      </c>
      <c r="AI5" s="48">
        <v>0</v>
      </c>
      <c r="AJ5" s="48" t="s">
        <v>1257</v>
      </c>
      <c r="AK5" s="48"/>
      <c r="AL5" s="48"/>
      <c r="AM5" s="48"/>
      <c r="AN5" s="48"/>
    </row>
    <row r="6" spans="2:40">
      <c r="B6" s="97" t="s">
        <v>1209</v>
      </c>
      <c r="C6" s="48">
        <v>4</v>
      </c>
      <c r="D6" s="48" t="s">
        <v>1260</v>
      </c>
      <c r="E6" s="95" t="s">
        <v>1257</v>
      </c>
      <c r="F6" s="48">
        <v>1</v>
      </c>
      <c r="G6" s="95" t="s">
        <v>1257</v>
      </c>
      <c r="H6" s="183" t="s">
        <v>1257</v>
      </c>
      <c r="I6" s="48" t="s">
        <v>1257</v>
      </c>
      <c r="J6" s="48" t="s">
        <v>1257</v>
      </c>
      <c r="K6" s="48" t="s">
        <v>1257</v>
      </c>
      <c r="L6" s="48" t="s">
        <v>1257</v>
      </c>
      <c r="M6" s="48" t="s">
        <v>1257</v>
      </c>
      <c r="N6" s="48" t="s">
        <v>1257</v>
      </c>
      <c r="O6" s="48" t="s">
        <v>1257</v>
      </c>
      <c r="P6" s="48" t="s">
        <v>1257</v>
      </c>
      <c r="Q6" s="48" t="s">
        <v>1257</v>
      </c>
      <c r="R6" s="48" t="s">
        <v>1257</v>
      </c>
      <c r="S6" s="48" t="s">
        <v>1257</v>
      </c>
      <c r="T6" s="48" t="s">
        <v>1257</v>
      </c>
      <c r="U6" s="48" t="s">
        <v>1257</v>
      </c>
      <c r="V6" s="236" t="s">
        <v>1257</v>
      </c>
      <c r="W6" s="236" t="s">
        <v>1257</v>
      </c>
      <c r="X6" s="236" t="s">
        <v>1257</v>
      </c>
      <c r="Y6" s="236" t="s">
        <v>1257</v>
      </c>
      <c r="Z6" s="236" t="s">
        <v>1257</v>
      </c>
      <c r="AA6" s="236" t="s">
        <v>1257</v>
      </c>
      <c r="AB6" s="236" t="s">
        <v>1257</v>
      </c>
      <c r="AC6" s="236" t="s">
        <v>1257</v>
      </c>
      <c r="AD6" s="236" t="s">
        <v>1257</v>
      </c>
      <c r="AE6" s="236" t="s">
        <v>1257</v>
      </c>
      <c r="AF6" s="48" t="s">
        <v>1257</v>
      </c>
      <c r="AG6" s="48" t="s">
        <v>1257</v>
      </c>
      <c r="AH6" s="48" t="s">
        <v>1257</v>
      </c>
      <c r="AI6" s="48" t="s">
        <v>1257</v>
      </c>
      <c r="AJ6" s="48" t="s">
        <v>1257</v>
      </c>
      <c r="AK6" s="48"/>
      <c r="AL6" s="48"/>
      <c r="AM6" s="48"/>
      <c r="AN6" s="48"/>
    </row>
    <row r="7" spans="2:40">
      <c r="B7" s="48" t="s">
        <v>1211</v>
      </c>
      <c r="C7" s="48">
        <v>5</v>
      </c>
      <c r="D7" s="48" t="s">
        <v>1260</v>
      </c>
      <c r="E7" s="95" t="s">
        <v>1257</v>
      </c>
      <c r="F7" s="48">
        <v>1</v>
      </c>
      <c r="G7" s="95" t="s">
        <v>1257</v>
      </c>
      <c r="H7" s="183" t="s">
        <v>1257</v>
      </c>
      <c r="I7" s="48" t="s">
        <v>1257</v>
      </c>
      <c r="J7" s="48" t="s">
        <v>1257</v>
      </c>
      <c r="K7" s="48" t="s">
        <v>1257</v>
      </c>
      <c r="L7" s="48" t="s">
        <v>1257</v>
      </c>
      <c r="M7" s="48" t="s">
        <v>1257</v>
      </c>
      <c r="N7" s="48" t="s">
        <v>1257</v>
      </c>
      <c r="O7" s="48" t="s">
        <v>1257</v>
      </c>
      <c r="P7" s="48" t="s">
        <v>1257</v>
      </c>
      <c r="Q7" s="48" t="s">
        <v>1257</v>
      </c>
      <c r="R7" s="48" t="s">
        <v>1257</v>
      </c>
      <c r="S7" s="48" t="s">
        <v>1257</v>
      </c>
      <c r="T7" s="48" t="s">
        <v>1257</v>
      </c>
      <c r="U7" s="48" t="s">
        <v>1257</v>
      </c>
      <c r="V7" s="236" t="s">
        <v>1257</v>
      </c>
      <c r="W7" s="236" t="s">
        <v>1257</v>
      </c>
      <c r="X7" s="236" t="s">
        <v>1257</v>
      </c>
      <c r="Y7" s="236" t="s">
        <v>1257</v>
      </c>
      <c r="Z7" s="236" t="s">
        <v>1257</v>
      </c>
      <c r="AA7" s="236" t="s">
        <v>1257</v>
      </c>
      <c r="AB7" s="236" t="s">
        <v>1257</v>
      </c>
      <c r="AC7" s="236" t="s">
        <v>1257</v>
      </c>
      <c r="AD7" s="236" t="s">
        <v>1257</v>
      </c>
      <c r="AE7" s="236" t="s">
        <v>1257</v>
      </c>
      <c r="AF7" s="48" t="s">
        <v>1257</v>
      </c>
      <c r="AG7" s="48" t="s">
        <v>1257</v>
      </c>
      <c r="AH7" s="48" t="s">
        <v>1257</v>
      </c>
      <c r="AI7" s="48" t="s">
        <v>1257</v>
      </c>
      <c r="AJ7" s="48" t="s">
        <v>1257</v>
      </c>
      <c r="AK7" s="48"/>
      <c r="AL7" s="48"/>
      <c r="AM7" s="48"/>
      <c r="AN7" s="48"/>
    </row>
    <row r="8" spans="2:40">
      <c r="B8" s="97" t="s">
        <v>1212</v>
      </c>
      <c r="C8" s="48">
        <v>6</v>
      </c>
      <c r="D8" s="48" t="s">
        <v>2159</v>
      </c>
      <c r="E8" s="95">
        <v>45548</v>
      </c>
      <c r="F8" s="48">
        <v>1</v>
      </c>
      <c r="G8" s="207" cm="1">
        <f t="array" ref="G8">SUMPRODUCT(--(I8:AJ8&gt;0))/COUNTA(I8:AJ8)</f>
        <v>1</v>
      </c>
      <c r="H8" s="183">
        <v>0</v>
      </c>
      <c r="I8" s="48">
        <v>2</v>
      </c>
      <c r="J8" s="48">
        <v>30</v>
      </c>
      <c r="K8" s="48">
        <v>3</v>
      </c>
      <c r="L8" s="48">
        <v>3</v>
      </c>
      <c r="M8" s="48">
        <v>3</v>
      </c>
      <c r="N8" s="48">
        <v>10</v>
      </c>
      <c r="O8" s="48">
        <v>10</v>
      </c>
      <c r="P8" s="48">
        <v>3</v>
      </c>
      <c r="Q8" s="48">
        <v>1</v>
      </c>
      <c r="R8" s="48">
        <v>8</v>
      </c>
      <c r="S8" s="98">
        <v>8</v>
      </c>
      <c r="T8" s="98">
        <v>8</v>
      </c>
      <c r="U8" s="98">
        <v>8</v>
      </c>
      <c r="V8" s="236">
        <v>32</v>
      </c>
      <c r="W8" s="236">
        <v>23</v>
      </c>
      <c r="X8" s="236">
        <v>25</v>
      </c>
      <c r="Y8" s="236">
        <v>21</v>
      </c>
      <c r="Z8" s="236">
        <v>28</v>
      </c>
      <c r="AA8" s="236">
        <v>25</v>
      </c>
      <c r="AB8" s="236">
        <v>23</v>
      </c>
      <c r="AC8" s="236">
        <v>25</v>
      </c>
      <c r="AD8" s="236">
        <v>21</v>
      </c>
      <c r="AE8" s="236">
        <v>28</v>
      </c>
      <c r="AF8" s="48">
        <v>3</v>
      </c>
      <c r="AG8" s="48">
        <v>3</v>
      </c>
      <c r="AH8" s="48">
        <v>2</v>
      </c>
      <c r="AI8" s="48">
        <v>10</v>
      </c>
      <c r="AJ8" s="48">
        <v>23</v>
      </c>
      <c r="AK8" s="48"/>
      <c r="AL8" s="48"/>
      <c r="AM8" s="48"/>
      <c r="AN8" s="48"/>
    </row>
    <row r="9" spans="2:40">
      <c r="B9" s="48" t="s">
        <v>1215</v>
      </c>
      <c r="C9" s="48">
        <v>7</v>
      </c>
      <c r="D9" s="48" t="s">
        <v>2160</v>
      </c>
      <c r="E9" s="95">
        <v>45548</v>
      </c>
      <c r="F9" s="48">
        <v>1</v>
      </c>
      <c r="G9" s="207" t="e" cm="1">
        <f t="array" ref="G9">SUMPRODUCT(--(I9:AJ9 &lt;= I28:AJ28))/COUNTA(I28:AJ28)</f>
        <v>#DIV/0!</v>
      </c>
      <c r="H9" s="183">
        <v>0</v>
      </c>
      <c r="I9" s="48">
        <v>2</v>
      </c>
      <c r="J9" s="48">
        <v>30</v>
      </c>
      <c r="K9" s="48">
        <v>3</v>
      </c>
      <c r="L9" s="48">
        <v>3</v>
      </c>
      <c r="M9" s="48">
        <v>3</v>
      </c>
      <c r="N9" s="48">
        <v>10</v>
      </c>
      <c r="O9" s="48">
        <v>10</v>
      </c>
      <c r="P9" s="48">
        <v>3</v>
      </c>
      <c r="Q9" s="48">
        <v>1</v>
      </c>
      <c r="R9" s="48">
        <v>17</v>
      </c>
      <c r="S9" s="48">
        <v>17</v>
      </c>
      <c r="T9" s="48">
        <v>18</v>
      </c>
      <c r="U9" s="48">
        <v>13</v>
      </c>
      <c r="V9" s="236">
        <v>32</v>
      </c>
      <c r="W9" s="236">
        <v>23</v>
      </c>
      <c r="X9" s="236">
        <v>25</v>
      </c>
      <c r="Y9" s="236">
        <v>21</v>
      </c>
      <c r="Z9" s="236">
        <v>28</v>
      </c>
      <c r="AA9" s="236">
        <v>25</v>
      </c>
      <c r="AB9" s="236">
        <v>23</v>
      </c>
      <c r="AC9" s="236">
        <v>25</v>
      </c>
      <c r="AD9" s="236">
        <v>21</v>
      </c>
      <c r="AE9" s="236">
        <v>28</v>
      </c>
      <c r="AF9" s="48">
        <v>3</v>
      </c>
      <c r="AG9" s="48">
        <v>3</v>
      </c>
      <c r="AH9" s="48">
        <v>2</v>
      </c>
      <c r="AI9" s="48">
        <v>10</v>
      </c>
      <c r="AJ9" s="48">
        <v>23</v>
      </c>
      <c r="AK9" s="48"/>
      <c r="AL9" s="48"/>
      <c r="AM9" s="48"/>
      <c r="AN9" s="48"/>
    </row>
    <row r="10" spans="2:40">
      <c r="B10" s="48" t="s">
        <v>1218</v>
      </c>
      <c r="C10" s="48">
        <v>8</v>
      </c>
      <c r="D10" s="48" t="s">
        <v>2161</v>
      </c>
      <c r="E10" s="95">
        <v>45548</v>
      </c>
      <c r="F10" s="48">
        <v>1</v>
      </c>
      <c r="G10" s="95" t="s">
        <v>1257</v>
      </c>
      <c r="H10" s="183">
        <v>0</v>
      </c>
      <c r="I10" s="48">
        <v>31</v>
      </c>
      <c r="J10" s="48">
        <v>1.3033148999999999E+22</v>
      </c>
      <c r="K10" s="48" t="s">
        <v>2162</v>
      </c>
      <c r="L10" s="48">
        <v>25</v>
      </c>
      <c r="M10" s="48">
        <v>0</v>
      </c>
      <c r="N10" s="95">
        <v>26456</v>
      </c>
      <c r="O10" s="95">
        <v>35577</v>
      </c>
      <c r="P10" s="48">
        <v>124</v>
      </c>
      <c r="Q10" s="48">
        <v>0</v>
      </c>
      <c r="R10" s="98">
        <v>-423629766230000</v>
      </c>
      <c r="S10" s="191" t="s">
        <v>1266</v>
      </c>
      <c r="T10" s="98">
        <v>-2157898676640000</v>
      </c>
      <c r="U10" s="98" t="s">
        <v>1266</v>
      </c>
      <c r="V10" s="237" t="s">
        <v>1803</v>
      </c>
      <c r="W10" s="237" t="s">
        <v>577</v>
      </c>
      <c r="X10" s="236" t="s">
        <v>589</v>
      </c>
      <c r="Y10" s="237" t="s">
        <v>600</v>
      </c>
      <c r="Z10" s="237" t="s">
        <v>608</v>
      </c>
      <c r="AA10" s="236" t="s">
        <v>617</v>
      </c>
      <c r="AB10" s="236" t="s">
        <v>626</v>
      </c>
      <c r="AC10" s="236" t="s">
        <v>636</v>
      </c>
      <c r="AD10" s="236" t="s">
        <v>644</v>
      </c>
      <c r="AE10" s="236" t="s">
        <v>652</v>
      </c>
      <c r="AF10" s="48" t="s">
        <v>1267</v>
      </c>
      <c r="AG10" s="48" t="s">
        <v>1268</v>
      </c>
      <c r="AH10" s="48" t="s">
        <v>1399</v>
      </c>
      <c r="AI10" s="95">
        <v>45548</v>
      </c>
      <c r="AJ10" s="95" t="s">
        <v>2163</v>
      </c>
      <c r="AK10" s="48"/>
      <c r="AL10" s="48"/>
      <c r="AM10" s="95"/>
      <c r="AN10" s="95"/>
    </row>
    <row r="11" spans="2:40">
      <c r="B11" s="48" t="s">
        <v>1220</v>
      </c>
      <c r="C11" s="48">
        <v>9</v>
      </c>
      <c r="D11" s="48" t="s">
        <v>2164</v>
      </c>
      <c r="E11" s="95">
        <v>45548</v>
      </c>
      <c r="F11" s="48">
        <v>1</v>
      </c>
      <c r="G11" s="95" t="s">
        <v>1257</v>
      </c>
      <c r="H11" s="183">
        <v>0</v>
      </c>
      <c r="I11" s="48">
        <v>31</v>
      </c>
      <c r="J11" s="48">
        <v>1.3033148999999999E+22</v>
      </c>
      <c r="K11" s="48" t="s">
        <v>2165</v>
      </c>
      <c r="L11" s="48">
        <v>25</v>
      </c>
      <c r="M11" s="48">
        <v>0</v>
      </c>
      <c r="N11" s="95">
        <v>26456</v>
      </c>
      <c r="O11" s="95">
        <v>35577</v>
      </c>
      <c r="P11" s="48">
        <v>124</v>
      </c>
      <c r="Q11" s="48">
        <v>0</v>
      </c>
      <c r="R11" s="98">
        <v>-423629766230000</v>
      </c>
      <c r="S11" s="48" t="s">
        <v>1266</v>
      </c>
      <c r="T11" s="98">
        <v>-2157898676640000</v>
      </c>
      <c r="U11" s="48" t="s">
        <v>1266</v>
      </c>
      <c r="V11" s="236" t="s">
        <v>1803</v>
      </c>
      <c r="W11" s="236" t="s">
        <v>577</v>
      </c>
      <c r="X11" s="236" t="s">
        <v>589</v>
      </c>
      <c r="Y11" s="237" t="s">
        <v>600</v>
      </c>
      <c r="Z11" s="237" t="s">
        <v>608</v>
      </c>
      <c r="AA11" s="236" t="s">
        <v>617</v>
      </c>
      <c r="AB11" s="236" t="s">
        <v>626</v>
      </c>
      <c r="AC11" s="236" t="s">
        <v>636</v>
      </c>
      <c r="AD11" s="236" t="s">
        <v>644</v>
      </c>
      <c r="AE11" s="236" t="s">
        <v>652</v>
      </c>
      <c r="AF11" s="48">
        <v>0</v>
      </c>
      <c r="AG11" s="48"/>
      <c r="AH11" s="48" t="s">
        <v>1399</v>
      </c>
      <c r="AI11" s="95">
        <v>45548</v>
      </c>
      <c r="AJ11" s="95" t="s">
        <v>2166</v>
      </c>
      <c r="AK11" s="48"/>
      <c r="AL11" s="48"/>
      <c r="AM11" s="95"/>
      <c r="AN11" s="95"/>
    </row>
    <row r="12" spans="2:40">
      <c r="B12" s="97" t="s">
        <v>1222</v>
      </c>
      <c r="C12" s="48">
        <v>10</v>
      </c>
      <c r="D12" s="48" t="s">
        <v>2167</v>
      </c>
      <c r="E12" s="95">
        <v>45548</v>
      </c>
      <c r="F12" s="48">
        <v>1</v>
      </c>
      <c r="G12" s="95" t="s">
        <v>1257</v>
      </c>
      <c r="H12" s="183">
        <v>0</v>
      </c>
      <c r="I12" s="48">
        <v>31</v>
      </c>
      <c r="J12" s="48">
        <v>5.3150000011502503E+29</v>
      </c>
      <c r="K12" s="48" t="s">
        <v>2162</v>
      </c>
      <c r="L12" s="48">
        <v>43</v>
      </c>
      <c r="M12" s="48" t="s">
        <v>2168</v>
      </c>
      <c r="N12" s="95">
        <v>45548</v>
      </c>
      <c r="O12" s="95">
        <v>2958465</v>
      </c>
      <c r="P12" s="48">
        <v>978</v>
      </c>
      <c r="Q12" s="48">
        <v>1</v>
      </c>
      <c r="R12" s="98">
        <v>423629766230000</v>
      </c>
      <c r="S12" s="191">
        <v>2134731276340000</v>
      </c>
      <c r="T12" s="98">
        <v>423629766230000</v>
      </c>
      <c r="U12" s="98">
        <v>328950890000</v>
      </c>
      <c r="V12" s="237" t="s">
        <v>1803</v>
      </c>
      <c r="W12" s="237" t="s">
        <v>577</v>
      </c>
      <c r="X12" s="237" t="s">
        <v>589</v>
      </c>
      <c r="Y12" s="237" t="s">
        <v>600</v>
      </c>
      <c r="Z12" s="237" t="s">
        <v>608</v>
      </c>
      <c r="AA12" s="237" t="s">
        <v>617</v>
      </c>
      <c r="AB12" s="236" t="s">
        <v>626</v>
      </c>
      <c r="AC12" s="236" t="s">
        <v>636</v>
      </c>
      <c r="AD12" s="238" t="s">
        <v>644</v>
      </c>
      <c r="AE12" s="236" t="s">
        <v>652</v>
      </c>
      <c r="AF12" s="48" t="s">
        <v>1276</v>
      </c>
      <c r="AG12" s="48" t="s">
        <v>1268</v>
      </c>
      <c r="AH12" s="48" t="s">
        <v>1277</v>
      </c>
      <c r="AI12" s="95">
        <v>45548</v>
      </c>
      <c r="AJ12" s="95" t="s">
        <v>2163</v>
      </c>
      <c r="AK12" s="48"/>
      <c r="AL12" s="48"/>
      <c r="AM12" s="95"/>
      <c r="AN12" s="95"/>
    </row>
    <row r="13" spans="2:40">
      <c r="B13" s="48" t="s">
        <v>1224</v>
      </c>
      <c r="C13" s="48">
        <v>11</v>
      </c>
      <c r="D13" s="48" t="s">
        <v>2169</v>
      </c>
      <c r="E13" s="95">
        <v>45548</v>
      </c>
      <c r="F13" s="48">
        <v>1</v>
      </c>
      <c r="G13" s="95" t="s">
        <v>1257</v>
      </c>
      <c r="H13" s="183">
        <v>0</v>
      </c>
      <c r="I13" s="48">
        <v>31</v>
      </c>
      <c r="J13" s="48">
        <v>5.3150000011502503E+29</v>
      </c>
      <c r="K13" s="48" t="s">
        <v>2170</v>
      </c>
      <c r="L13" s="48">
        <v>43</v>
      </c>
      <c r="M13" s="48" t="s">
        <v>2168</v>
      </c>
      <c r="N13" s="95">
        <v>45548</v>
      </c>
      <c r="O13" s="95">
        <v>2958465</v>
      </c>
      <c r="P13" s="48">
        <v>978</v>
      </c>
      <c r="Q13" s="48">
        <v>1</v>
      </c>
      <c r="R13" s="98">
        <v>423629766230000</v>
      </c>
      <c r="S13" s="95">
        <v>2134731276340000</v>
      </c>
      <c r="T13" s="98">
        <v>423629766230000</v>
      </c>
      <c r="U13" s="98">
        <v>328950890000</v>
      </c>
      <c r="V13" s="236" t="s">
        <v>1803</v>
      </c>
      <c r="W13" s="236" t="s">
        <v>577</v>
      </c>
      <c r="X13" s="236" t="s">
        <v>589</v>
      </c>
      <c r="Y13" s="237" t="s">
        <v>600</v>
      </c>
      <c r="Z13" s="237" t="s">
        <v>608</v>
      </c>
      <c r="AA13" s="237" t="s">
        <v>617</v>
      </c>
      <c r="AB13" s="236" t="s">
        <v>626</v>
      </c>
      <c r="AC13" s="236" t="s">
        <v>636</v>
      </c>
      <c r="AD13" s="238" t="s">
        <v>644</v>
      </c>
      <c r="AE13" s="236" t="s">
        <v>652</v>
      </c>
      <c r="AF13" s="48">
        <v>5</v>
      </c>
      <c r="AG13" s="48"/>
      <c r="AH13" s="48" t="s">
        <v>1277</v>
      </c>
      <c r="AI13" s="95">
        <v>45548</v>
      </c>
      <c r="AJ13" s="95" t="s">
        <v>2171</v>
      </c>
      <c r="AK13" s="48"/>
      <c r="AL13" s="48"/>
      <c r="AM13" s="95"/>
      <c r="AN13" s="95"/>
    </row>
    <row r="14" spans="2:40">
      <c r="B14" s="48" t="s">
        <v>1226</v>
      </c>
      <c r="C14" s="48">
        <v>12</v>
      </c>
      <c r="D14" s="48" t="s">
        <v>2172</v>
      </c>
      <c r="E14" s="95">
        <v>45548</v>
      </c>
      <c r="F14" s="48">
        <v>1</v>
      </c>
      <c r="G14" s="251">
        <v>1</v>
      </c>
      <c r="H14" s="183">
        <v>0</v>
      </c>
      <c r="I14" s="48">
        <v>0</v>
      </c>
      <c r="J14" s="48">
        <v>0</v>
      </c>
      <c r="K14" s="48">
        <v>0</v>
      </c>
      <c r="L14" s="48">
        <v>0</v>
      </c>
      <c r="M14" s="48">
        <v>0</v>
      </c>
      <c r="N14" s="48">
        <v>0</v>
      </c>
      <c r="O14" s="48">
        <v>0</v>
      </c>
      <c r="P14" s="48">
        <v>0</v>
      </c>
      <c r="Q14" s="48">
        <v>0</v>
      </c>
      <c r="R14" s="48">
        <v>0</v>
      </c>
      <c r="S14" s="48">
        <v>0</v>
      </c>
      <c r="T14" s="48">
        <v>0</v>
      </c>
      <c r="U14" s="48">
        <v>0</v>
      </c>
      <c r="V14" s="237">
        <v>0</v>
      </c>
      <c r="W14" s="237">
        <v>0</v>
      </c>
      <c r="X14" s="237">
        <v>0</v>
      </c>
      <c r="Y14" s="236">
        <v>0</v>
      </c>
      <c r="Z14" s="236">
        <v>0</v>
      </c>
      <c r="AA14" s="236">
        <v>0</v>
      </c>
      <c r="AB14" s="236">
        <v>0</v>
      </c>
      <c r="AC14" s="236">
        <v>0</v>
      </c>
      <c r="AD14" s="236">
        <v>0</v>
      </c>
      <c r="AE14" s="236">
        <v>0</v>
      </c>
      <c r="AF14" s="48">
        <v>0</v>
      </c>
      <c r="AG14" s="48">
        <v>0</v>
      </c>
      <c r="AH14" s="48">
        <v>0</v>
      </c>
      <c r="AI14" s="48">
        <v>0</v>
      </c>
      <c r="AJ14" s="48">
        <v>0</v>
      </c>
      <c r="AK14" s="48"/>
      <c r="AL14" s="48"/>
      <c r="AM14" s="48"/>
      <c r="AN14" s="48"/>
    </row>
    <row r="15" spans="2:40">
      <c r="B15" s="48" t="s">
        <v>1228</v>
      </c>
      <c r="C15" s="48">
        <v>13</v>
      </c>
      <c r="D15" s="48" t="s">
        <v>2173</v>
      </c>
      <c r="E15" s="95">
        <v>45548</v>
      </c>
      <c r="F15" s="48">
        <v>1</v>
      </c>
      <c r="G15" s="251">
        <v>1</v>
      </c>
      <c r="H15" s="183">
        <v>0</v>
      </c>
      <c r="I15" s="48" t="s">
        <v>1257</v>
      </c>
      <c r="J15" s="48" t="s">
        <v>1257</v>
      </c>
      <c r="K15" s="48" t="s">
        <v>1257</v>
      </c>
      <c r="L15" s="48" t="s">
        <v>1257</v>
      </c>
      <c r="M15" s="48" t="s">
        <v>1257</v>
      </c>
      <c r="N15" s="95">
        <v>0</v>
      </c>
      <c r="O15" s="95">
        <v>0</v>
      </c>
      <c r="P15" s="48" t="s">
        <v>1257</v>
      </c>
      <c r="Q15" s="48" t="s">
        <v>1257</v>
      </c>
      <c r="R15" s="48" t="s">
        <v>1257</v>
      </c>
      <c r="S15" s="95" t="s">
        <v>1257</v>
      </c>
      <c r="T15" s="95" t="s">
        <v>1257</v>
      </c>
      <c r="U15" s="95" t="s">
        <v>1257</v>
      </c>
      <c r="V15" s="236" t="s">
        <v>1257</v>
      </c>
      <c r="W15" s="236" t="s">
        <v>1257</v>
      </c>
      <c r="X15" s="236" t="s">
        <v>1257</v>
      </c>
      <c r="Y15" s="236" t="s">
        <v>1257</v>
      </c>
      <c r="Z15" s="236" t="s">
        <v>1257</v>
      </c>
      <c r="AA15" s="236" t="s">
        <v>1257</v>
      </c>
      <c r="AB15" s="236" t="s">
        <v>1257</v>
      </c>
      <c r="AC15" s="236" t="s">
        <v>1257</v>
      </c>
      <c r="AD15" s="238" t="s">
        <v>1257</v>
      </c>
      <c r="AE15" s="236" t="s">
        <v>1257</v>
      </c>
      <c r="AF15" s="48" t="s">
        <v>1257</v>
      </c>
      <c r="AG15" s="48" t="s">
        <v>1257</v>
      </c>
      <c r="AH15" s="48" t="s">
        <v>1257</v>
      </c>
      <c r="AI15" s="95" t="s">
        <v>1257</v>
      </c>
      <c r="AJ15" s="48" t="s">
        <v>1257</v>
      </c>
      <c r="AK15" s="48"/>
      <c r="AL15" s="48"/>
      <c r="AM15" s="48"/>
      <c r="AN15" s="95"/>
    </row>
    <row r="16" spans="2:40">
      <c r="B16" s="48" t="s">
        <v>1230</v>
      </c>
      <c r="C16" s="48">
        <v>14</v>
      </c>
      <c r="D16" s="48" t="s">
        <v>2174</v>
      </c>
      <c r="E16" s="95">
        <v>45548</v>
      </c>
      <c r="F16" s="48">
        <v>1</v>
      </c>
      <c r="G16" s="251">
        <v>1</v>
      </c>
      <c r="H16" s="183">
        <v>0</v>
      </c>
      <c r="I16" s="48">
        <v>0</v>
      </c>
      <c r="J16" s="48">
        <v>0</v>
      </c>
      <c r="K16" s="48">
        <v>0</v>
      </c>
      <c r="L16" s="48">
        <v>0</v>
      </c>
      <c r="M16" s="48">
        <v>0</v>
      </c>
      <c r="N16" s="48" t="s">
        <v>1257</v>
      </c>
      <c r="O16" s="48" t="s">
        <v>1257</v>
      </c>
      <c r="P16" s="48">
        <v>0</v>
      </c>
      <c r="Q16" s="48" t="s">
        <v>1257</v>
      </c>
      <c r="R16" s="48" t="s">
        <v>1257</v>
      </c>
      <c r="S16" s="48" t="s">
        <v>1257</v>
      </c>
      <c r="T16" s="48" t="s">
        <v>1257</v>
      </c>
      <c r="U16" s="48" t="s">
        <v>1257</v>
      </c>
      <c r="V16" s="236" t="s">
        <v>1257</v>
      </c>
      <c r="W16" s="236" t="s">
        <v>1257</v>
      </c>
      <c r="X16" s="236" t="s">
        <v>1257</v>
      </c>
      <c r="Y16" s="236" t="s">
        <v>1257</v>
      </c>
      <c r="Z16" s="236" t="s">
        <v>1257</v>
      </c>
      <c r="AA16" s="236">
        <v>0</v>
      </c>
      <c r="AB16" s="236" t="s">
        <v>1257</v>
      </c>
      <c r="AC16" s="236" t="s">
        <v>1257</v>
      </c>
      <c r="AD16" s="236" t="s">
        <v>1257</v>
      </c>
      <c r="AE16" s="236" t="s">
        <v>1257</v>
      </c>
      <c r="AF16" s="48">
        <v>0</v>
      </c>
      <c r="AG16" s="48">
        <v>0</v>
      </c>
      <c r="AH16" s="48">
        <v>0</v>
      </c>
      <c r="AI16" s="48" t="s">
        <v>1257</v>
      </c>
      <c r="AJ16" s="48" t="s">
        <v>1257</v>
      </c>
      <c r="AK16" s="48"/>
      <c r="AL16" s="48"/>
      <c r="AM16" s="48"/>
      <c r="AN16" s="48"/>
    </row>
    <row r="17" spans="2:40">
      <c r="B17" s="48" t="s">
        <v>1232</v>
      </c>
      <c r="C17" s="48">
        <v>15</v>
      </c>
      <c r="D17" s="48" t="s">
        <v>2175</v>
      </c>
      <c r="E17" s="95">
        <v>45548</v>
      </c>
      <c r="F17" s="48">
        <v>1</v>
      </c>
      <c r="G17" s="251">
        <v>1</v>
      </c>
      <c r="H17" s="183">
        <v>0</v>
      </c>
      <c r="I17" s="48" t="s">
        <v>1257</v>
      </c>
      <c r="J17" s="48" t="s">
        <v>1257</v>
      </c>
      <c r="K17" s="48" t="s">
        <v>1257</v>
      </c>
      <c r="L17" s="48" t="s">
        <v>1257</v>
      </c>
      <c r="M17" s="48" t="s">
        <v>1257</v>
      </c>
      <c r="N17" s="97" t="s">
        <v>1257</v>
      </c>
      <c r="O17" s="97" t="s">
        <v>1257</v>
      </c>
      <c r="P17" s="97" t="s">
        <v>1257</v>
      </c>
      <c r="Q17" s="97" t="s">
        <v>1257</v>
      </c>
      <c r="R17" s="97" t="s">
        <v>1257</v>
      </c>
      <c r="S17" s="48" t="s">
        <v>1257</v>
      </c>
      <c r="T17" s="97" t="s">
        <v>1257</v>
      </c>
      <c r="U17" s="97" t="s">
        <v>1257</v>
      </c>
      <c r="V17" s="236" t="s">
        <v>1257</v>
      </c>
      <c r="W17" s="236" t="s">
        <v>1257</v>
      </c>
      <c r="X17" s="236" t="s">
        <v>1257</v>
      </c>
      <c r="Y17" s="236" t="s">
        <v>1257</v>
      </c>
      <c r="Z17" s="236" t="s">
        <v>1257</v>
      </c>
      <c r="AA17" s="236" t="s">
        <v>1257</v>
      </c>
      <c r="AB17" s="236" t="s">
        <v>1257</v>
      </c>
      <c r="AC17" s="236" t="s">
        <v>1257</v>
      </c>
      <c r="AD17" s="236" t="s">
        <v>1257</v>
      </c>
      <c r="AE17" s="236" t="s">
        <v>1257</v>
      </c>
      <c r="AF17" s="48" t="s">
        <v>1257</v>
      </c>
      <c r="AG17" s="48" t="s">
        <v>1257</v>
      </c>
      <c r="AH17" s="48" t="s">
        <v>1257</v>
      </c>
      <c r="AI17" s="48" t="s">
        <v>1257</v>
      </c>
      <c r="AJ17" s="48" t="s">
        <v>1257</v>
      </c>
      <c r="AK17" s="48"/>
      <c r="AL17" s="48"/>
      <c r="AM17" s="48"/>
      <c r="AN17" s="48"/>
    </row>
    <row r="18" spans="2:40">
      <c r="B18" s="48" t="s">
        <v>1234</v>
      </c>
      <c r="C18" s="48">
        <v>16</v>
      </c>
      <c r="D18" s="48" t="s">
        <v>2175</v>
      </c>
      <c r="E18" s="95">
        <v>45548</v>
      </c>
      <c r="F18" s="48">
        <v>1</v>
      </c>
      <c r="G18" s="251">
        <v>1</v>
      </c>
      <c r="H18" s="183">
        <v>0</v>
      </c>
      <c r="I18" s="48" t="s">
        <v>1257</v>
      </c>
      <c r="J18" s="48" t="s">
        <v>1257</v>
      </c>
      <c r="K18" s="48" t="s">
        <v>1257</v>
      </c>
      <c r="L18" s="48" t="s">
        <v>1257</v>
      </c>
      <c r="M18" s="48" t="s">
        <v>1257</v>
      </c>
      <c r="N18" s="97" t="s">
        <v>1257</v>
      </c>
      <c r="O18" s="97" t="s">
        <v>1257</v>
      </c>
      <c r="P18" s="48" t="s">
        <v>1257</v>
      </c>
      <c r="Q18" s="48" t="s">
        <v>1257</v>
      </c>
      <c r="R18" s="97" t="s">
        <v>1257</v>
      </c>
      <c r="S18" s="97" t="s">
        <v>1257</v>
      </c>
      <c r="T18" s="48" t="s">
        <v>1257</v>
      </c>
      <c r="U18" s="48" t="s">
        <v>1257</v>
      </c>
      <c r="V18" s="236" t="s">
        <v>1257</v>
      </c>
      <c r="W18" s="236" t="s">
        <v>1257</v>
      </c>
      <c r="X18" s="236" t="s">
        <v>1257</v>
      </c>
      <c r="Y18" s="236" t="s">
        <v>1257</v>
      </c>
      <c r="Z18" s="236" t="s">
        <v>1257</v>
      </c>
      <c r="AA18" s="236" t="s">
        <v>1257</v>
      </c>
      <c r="AB18" s="236" t="s">
        <v>1257</v>
      </c>
      <c r="AC18" s="236" t="s">
        <v>1257</v>
      </c>
      <c r="AD18" s="236" t="s">
        <v>1257</v>
      </c>
      <c r="AE18" s="236" t="s">
        <v>1257</v>
      </c>
      <c r="AF18" s="48" t="s">
        <v>1257</v>
      </c>
      <c r="AG18" s="48" t="s">
        <v>1257</v>
      </c>
      <c r="AH18" s="48" t="s">
        <v>1257</v>
      </c>
      <c r="AI18" s="48" t="s">
        <v>1257</v>
      </c>
      <c r="AJ18" s="48" t="s">
        <v>1257</v>
      </c>
      <c r="AK18" s="48"/>
      <c r="AL18" s="48"/>
      <c r="AM18" s="48"/>
      <c r="AN18" s="48"/>
    </row>
    <row r="19" spans="2:40">
      <c r="B19" s="48" t="s">
        <v>1236</v>
      </c>
      <c r="C19" s="48">
        <v>17</v>
      </c>
      <c r="D19" s="48" t="s">
        <v>2176</v>
      </c>
      <c r="E19" s="95">
        <v>45548</v>
      </c>
      <c r="F19" s="48">
        <v>1</v>
      </c>
      <c r="G19" s="251">
        <v>0.61778200000000005</v>
      </c>
      <c r="H19" s="223">
        <v>365684</v>
      </c>
      <c r="I19" s="48" t="s">
        <v>1257</v>
      </c>
      <c r="J19" s="48" t="s">
        <v>1257</v>
      </c>
      <c r="K19" s="48" t="s">
        <v>1257</v>
      </c>
      <c r="L19" s="48" t="s">
        <v>1257</v>
      </c>
      <c r="M19" s="48" t="s">
        <v>1257</v>
      </c>
      <c r="N19" s="48" t="s">
        <v>1257</v>
      </c>
      <c r="O19" s="48" t="s">
        <v>1257</v>
      </c>
      <c r="P19" s="48" t="s">
        <v>1257</v>
      </c>
      <c r="Q19" s="97" t="s">
        <v>1257</v>
      </c>
      <c r="R19" s="48" t="s">
        <v>1257</v>
      </c>
      <c r="S19" s="48" t="s">
        <v>1257</v>
      </c>
      <c r="T19" s="48" t="s">
        <v>1257</v>
      </c>
      <c r="U19" s="48" t="s">
        <v>1257</v>
      </c>
      <c r="V19" s="236" t="s">
        <v>1257</v>
      </c>
      <c r="W19" s="236" t="s">
        <v>1257</v>
      </c>
      <c r="X19" s="236" t="s">
        <v>1257</v>
      </c>
      <c r="Y19" s="236" t="s">
        <v>1257</v>
      </c>
      <c r="Z19" s="236" t="s">
        <v>1257</v>
      </c>
      <c r="AA19" s="236" t="s">
        <v>1257</v>
      </c>
      <c r="AB19" s="236" t="s">
        <v>1257</v>
      </c>
      <c r="AC19" s="236" t="s">
        <v>1257</v>
      </c>
      <c r="AD19" s="236" t="s">
        <v>1257</v>
      </c>
      <c r="AE19" s="236" t="s">
        <v>1257</v>
      </c>
      <c r="AF19" s="48" t="s">
        <v>1257</v>
      </c>
      <c r="AG19" s="48" t="s">
        <v>1257</v>
      </c>
      <c r="AH19" s="48" t="s">
        <v>1257</v>
      </c>
      <c r="AI19" s="48" t="s">
        <v>1257</v>
      </c>
      <c r="AJ19" s="48" t="s">
        <v>1257</v>
      </c>
      <c r="AK19" s="48"/>
      <c r="AL19" s="48"/>
      <c r="AM19" s="48"/>
      <c r="AN19" s="48"/>
    </row>
    <row r="20" spans="2:40">
      <c r="B20" s="48" t="s">
        <v>1238</v>
      </c>
      <c r="C20" s="48">
        <v>18</v>
      </c>
      <c r="D20" s="48" t="s">
        <v>2176</v>
      </c>
      <c r="E20" s="95">
        <v>45548</v>
      </c>
      <c r="F20" s="48">
        <v>1</v>
      </c>
      <c r="G20" s="251">
        <v>1</v>
      </c>
      <c r="H20" s="183">
        <v>0</v>
      </c>
      <c r="I20" s="48" t="s">
        <v>1257</v>
      </c>
      <c r="J20" s="48" t="s">
        <v>1257</v>
      </c>
      <c r="K20" s="48" t="s">
        <v>1257</v>
      </c>
      <c r="L20" s="48" t="s">
        <v>1257</v>
      </c>
      <c r="M20" s="48" t="s">
        <v>1257</v>
      </c>
      <c r="N20" s="48" t="s">
        <v>1257</v>
      </c>
      <c r="O20" s="48" t="s">
        <v>1257</v>
      </c>
      <c r="P20" s="48" t="s">
        <v>1257</v>
      </c>
      <c r="Q20" s="48" t="s">
        <v>1257</v>
      </c>
      <c r="R20" s="48" t="s">
        <v>1257</v>
      </c>
      <c r="S20" s="48" t="s">
        <v>1257</v>
      </c>
      <c r="T20" s="48" t="s">
        <v>1257</v>
      </c>
      <c r="U20" s="48" t="s">
        <v>1257</v>
      </c>
      <c r="V20" s="236" t="s">
        <v>1257</v>
      </c>
      <c r="W20" s="236" t="s">
        <v>1257</v>
      </c>
      <c r="X20" s="236" t="s">
        <v>1257</v>
      </c>
      <c r="Y20" s="236" t="s">
        <v>1257</v>
      </c>
      <c r="Z20" s="236" t="s">
        <v>1257</v>
      </c>
      <c r="AA20" s="236" t="s">
        <v>1257</v>
      </c>
      <c r="AB20" s="236" t="s">
        <v>1257</v>
      </c>
      <c r="AC20" s="236" t="s">
        <v>1257</v>
      </c>
      <c r="AD20" s="236" t="s">
        <v>1257</v>
      </c>
      <c r="AE20" s="236" t="s">
        <v>1257</v>
      </c>
      <c r="AF20" s="48" t="s">
        <v>1257</v>
      </c>
      <c r="AG20" s="48" t="s">
        <v>1257</v>
      </c>
      <c r="AH20" s="48" t="s">
        <v>1257</v>
      </c>
      <c r="AI20" s="48" t="s">
        <v>1257</v>
      </c>
      <c r="AJ20" s="48" t="s">
        <v>1257</v>
      </c>
      <c r="AK20" s="48"/>
      <c r="AL20" s="48"/>
      <c r="AM20" s="48"/>
      <c r="AN20" s="48"/>
    </row>
    <row r="21" spans="2:40">
      <c r="B21" s="48" t="s">
        <v>1240</v>
      </c>
      <c r="C21" s="48">
        <v>19</v>
      </c>
      <c r="D21" s="48" t="s">
        <v>2177</v>
      </c>
      <c r="E21" s="95">
        <v>45548</v>
      </c>
      <c r="F21" s="48">
        <v>1</v>
      </c>
      <c r="G21" s="207" cm="1">
        <f t="array" aca="1" ref="G21" ca="1">SUMPRODUCT(--(ISNUMBER((SEARCH(I27:AJ27,I21:AJ21)))))/COUNTA(I21:AJ21)</f>
        <v>0.9642857142857143</v>
      </c>
      <c r="H21" s="183">
        <v>0</v>
      </c>
      <c r="I21" s="48" t="s">
        <v>1291</v>
      </c>
      <c r="J21" s="48" t="s">
        <v>1291</v>
      </c>
      <c r="K21" s="48" t="s">
        <v>1291</v>
      </c>
      <c r="L21" s="48" t="s">
        <v>1291</v>
      </c>
      <c r="M21" s="48" t="s">
        <v>1291</v>
      </c>
      <c r="N21" s="48" t="s">
        <v>1291</v>
      </c>
      <c r="O21" s="48" t="s">
        <v>1291</v>
      </c>
      <c r="P21" s="97" t="s">
        <v>1291</v>
      </c>
      <c r="Q21" s="97" t="s">
        <v>1291</v>
      </c>
      <c r="R21" s="48" t="s">
        <v>1292</v>
      </c>
      <c r="S21" s="48" t="s">
        <v>1292</v>
      </c>
      <c r="T21" s="48" t="s">
        <v>1292</v>
      </c>
      <c r="U21" s="48" t="s">
        <v>1292</v>
      </c>
      <c r="V21" s="236" t="s">
        <v>1291</v>
      </c>
      <c r="W21" s="236" t="s">
        <v>1291</v>
      </c>
      <c r="X21" s="236" t="s">
        <v>1291</v>
      </c>
      <c r="Y21" s="236" t="s">
        <v>1291</v>
      </c>
      <c r="Z21" s="236" t="s">
        <v>1291</v>
      </c>
      <c r="AA21" s="236" t="s">
        <v>1291</v>
      </c>
      <c r="AB21" s="236" t="s">
        <v>1291</v>
      </c>
      <c r="AC21" s="236" t="s">
        <v>1291</v>
      </c>
      <c r="AD21" s="236" t="s">
        <v>1291</v>
      </c>
      <c r="AE21" s="236" t="s">
        <v>1291</v>
      </c>
      <c r="AF21" s="48" t="s">
        <v>1291</v>
      </c>
      <c r="AG21" s="48" t="s">
        <v>1291</v>
      </c>
      <c r="AH21" s="48" t="s">
        <v>1291</v>
      </c>
      <c r="AI21" s="48" t="s">
        <v>1291</v>
      </c>
      <c r="AJ21" s="48" t="s">
        <v>1293</v>
      </c>
      <c r="AK21" s="48"/>
      <c r="AL21" s="48"/>
      <c r="AM21" s="48"/>
      <c r="AN21" s="48"/>
    </row>
    <row r="22" spans="2:40">
      <c r="B22" s="48" t="s">
        <v>1243</v>
      </c>
      <c r="C22" s="48">
        <v>20</v>
      </c>
      <c r="D22" s="48"/>
      <c r="E22" s="95"/>
      <c r="F22" s="48"/>
      <c r="G22" s="191" t="e" cm="1" vm="1">
        <f t="array" ref="G22">SUM(IF(I2:AJ2 = I26:AJ26, 1, 0))/ COUNTA(I2:AJ2)</f>
        <v>#VALUE!</v>
      </c>
      <c r="H22" s="48"/>
      <c r="I22" s="48"/>
      <c r="J22" s="48"/>
      <c r="K22" s="48"/>
      <c r="L22" s="48"/>
      <c r="M22" s="48"/>
      <c r="N22" s="48"/>
      <c r="O22" s="48"/>
      <c r="P22" s="48"/>
      <c r="Q22" s="48"/>
      <c r="R22" s="48"/>
      <c r="S22" s="48"/>
      <c r="T22" s="48"/>
      <c r="U22" s="48"/>
      <c r="V22" s="236"/>
      <c r="W22" s="236"/>
      <c r="X22" s="236"/>
      <c r="Y22" s="236"/>
      <c r="Z22" s="236"/>
      <c r="AA22" s="236"/>
      <c r="AB22" s="236"/>
      <c r="AC22" s="236"/>
      <c r="AD22" s="236"/>
      <c r="AE22" s="236"/>
      <c r="AF22" s="48"/>
      <c r="AG22" s="48"/>
      <c r="AH22" s="48"/>
      <c r="AI22" s="48"/>
      <c r="AJ22" s="48"/>
      <c r="AK22" s="48"/>
      <c r="AL22" s="48"/>
      <c r="AM22" s="48"/>
      <c r="AN22" s="48"/>
    </row>
    <row r="23" spans="2:40">
      <c r="B23" s="48" t="s">
        <v>1246</v>
      </c>
      <c r="C23" s="48">
        <v>21</v>
      </c>
      <c r="D23" s="48"/>
      <c r="E23" s="95"/>
      <c r="F23" s="48"/>
      <c r="G23" s="191" t="e" cm="1">
        <f t="array" aca="1" ref="G23" ca="1">SUM(IF(IF(G3:G22="null",1,G3:G22)=1,1,0))/COUNT(IF(G3:G22="null",1,1))</f>
        <v>#DIV/0!</v>
      </c>
      <c r="H23" s="48"/>
      <c r="I23" s="48"/>
      <c r="J23" s="48"/>
      <c r="K23" s="48"/>
      <c r="L23" s="48"/>
      <c r="M23" s="48"/>
      <c r="N23" s="48"/>
      <c r="O23" s="48"/>
      <c r="P23" s="48"/>
      <c r="Q23" s="48"/>
      <c r="R23" s="48"/>
      <c r="S23" s="48"/>
      <c r="T23" s="48"/>
      <c r="U23" s="48"/>
      <c r="V23" s="236"/>
      <c r="W23" s="236"/>
      <c r="X23" s="236"/>
      <c r="Y23" s="236"/>
      <c r="Z23" s="236"/>
      <c r="AA23" s="236"/>
      <c r="AB23" s="236"/>
      <c r="AC23" s="236"/>
      <c r="AD23" s="236"/>
      <c r="AE23" s="236"/>
      <c r="AF23" s="48"/>
      <c r="AG23" s="48"/>
      <c r="AH23" s="48"/>
      <c r="AI23" s="48"/>
      <c r="AJ23" s="48"/>
      <c r="AK23" s="48"/>
      <c r="AL23" s="48"/>
      <c r="AM23" s="48"/>
      <c r="AN23" s="48"/>
    </row>
    <row r="25" spans="2:40">
      <c r="B25" s="129" t="s">
        <v>1364</v>
      </c>
    </row>
    <row r="26" spans="2:40">
      <c r="B26" s="127" t="s">
        <v>1249</v>
      </c>
      <c r="C26" s="128" t="s">
        <v>1250</v>
      </c>
      <c r="D26" s="128" t="s">
        <v>1251</v>
      </c>
      <c r="E26" s="128" t="s">
        <v>1252</v>
      </c>
      <c r="F26" s="128" t="s">
        <v>1253</v>
      </c>
      <c r="G26" s="128" t="s">
        <v>1254</v>
      </c>
      <c r="H26" s="128" t="s">
        <v>1255</v>
      </c>
      <c r="I26" s="128" t="e" cm="1" vm="2">
        <f t="array" ref="I26">TRANSPOSE(_xlfn.SORTBY(_xlfn._xlws.FILTER(Table3[NOME FÍSICO CAMPO],Table3[NOME FÍSICO TABELA]="nostrovostro_account"), _xlfn._xlws.FILTER(Table3[ORDEM], Table3[NOME FÍSICO TABELA]="nostrovostro_account"), 1))</f>
        <v>#VALUE!</v>
      </c>
      <c r="J26" s="128"/>
      <c r="K26" s="128"/>
      <c r="L26" s="128"/>
      <c r="M26" s="128"/>
      <c r="N26" s="128"/>
      <c r="O26" s="128"/>
      <c r="P26" s="128"/>
      <c r="Q26" s="128"/>
      <c r="R26" s="128"/>
      <c r="S26" s="128"/>
      <c r="T26" s="128"/>
      <c r="U26" s="128"/>
      <c r="V26" s="128"/>
      <c r="W26" s="128"/>
      <c r="X26" s="128"/>
      <c r="Y26" s="128"/>
      <c r="Z26" s="128"/>
      <c r="AA26" s="128"/>
      <c r="AB26" s="128"/>
      <c r="AC26" s="128"/>
      <c r="AD26" s="128"/>
      <c r="AE26" s="128"/>
      <c r="AF26" s="128"/>
      <c r="AG26" s="128"/>
      <c r="AH26" s="128"/>
      <c r="AI26" s="128"/>
      <c r="AJ26" s="276"/>
      <c r="AK26" s="215"/>
      <c r="AL26" s="215"/>
      <c r="AM26" s="215"/>
      <c r="AN26" s="215"/>
    </row>
    <row r="27" spans="2:40">
      <c r="B27" s="106" t="s">
        <v>1294</v>
      </c>
      <c r="C27" s="94">
        <v>21</v>
      </c>
      <c r="D27" s="93" t="s">
        <v>1295</v>
      </c>
      <c r="E27" t="s">
        <v>1296</v>
      </c>
      <c r="F27" t="s">
        <v>124</v>
      </c>
      <c r="G27" t="s">
        <v>124</v>
      </c>
      <c r="H27" t="s">
        <v>124</v>
      </c>
      <c r="I27" t="e" cm="1" vm="2">
        <f t="array" aca="1" ref="I27" ca="1">TRANSPOSE(_xlfn.SORTBY(_xlfn._xlws.FILTER(IF(Table3[FORMATO]:Table3[COMP_ CAMPO]&lt;&gt;"",Table3[FORMATO]:Table3[COMP_ CAMPO],9999999),Table3[NOME FÍSICO TABELA]="nostrovostro_account"), _xlfn._xlws.FILTER(Table3[ORDEM], Table3[NOME FÍSICO TABELA]="nostrovostro_account"), 1))</f>
        <v>#VALUE!</v>
      </c>
      <c r="AJ27" s="277"/>
    </row>
    <row r="28" spans="2:40">
      <c r="B28" s="106" t="s">
        <v>1297</v>
      </c>
      <c r="C28" s="150">
        <v>7</v>
      </c>
      <c r="D28" s="105" t="s">
        <v>1295</v>
      </c>
      <c r="E28" s="104" t="s">
        <v>1296</v>
      </c>
      <c r="F28" s="104" t="s">
        <v>124</v>
      </c>
      <c r="G28" s="104" t="s">
        <v>124</v>
      </c>
      <c r="H28" s="104" t="s">
        <v>124</v>
      </c>
      <c r="I28" s="150"/>
      <c r="J28" s="150"/>
      <c r="K28" s="150"/>
      <c r="L28" s="150"/>
      <c r="M28" s="150"/>
      <c r="N28" s="150"/>
      <c r="O28" s="150"/>
      <c r="P28" s="150"/>
      <c r="Q28" s="150"/>
      <c r="R28" s="150"/>
      <c r="S28" s="150"/>
      <c r="T28" s="150"/>
      <c r="U28" s="150"/>
      <c r="V28" s="150"/>
      <c r="W28" s="150"/>
      <c r="X28" s="150"/>
      <c r="Y28" s="150"/>
      <c r="Z28" s="150"/>
      <c r="AA28" s="150"/>
      <c r="AB28" s="150"/>
      <c r="AC28" s="150"/>
      <c r="AD28" s="150"/>
      <c r="AE28" s="150"/>
      <c r="AF28" s="150"/>
      <c r="AG28" s="150"/>
      <c r="AH28" s="150"/>
      <c r="AI28" s="150"/>
      <c r="AJ28" s="151"/>
      <c r="AK28" s="94"/>
      <c r="AL28" s="94"/>
      <c r="AM28" s="94"/>
      <c r="AN28" s="94"/>
    </row>
    <row r="30" spans="2:40">
      <c r="B30" s="139" t="s">
        <v>1298</v>
      </c>
    </row>
    <row r="31" spans="2:40">
      <c r="B31" s="133" t="s">
        <v>1299</v>
      </c>
      <c r="C31" s="133" t="s">
        <v>1300</v>
      </c>
      <c r="D31" s="134" t="s">
        <v>1301</v>
      </c>
      <c r="E31" s="133" t="s">
        <v>1302</v>
      </c>
      <c r="F31" s="133" t="s">
        <v>1303</v>
      </c>
    </row>
    <row r="32" spans="2:40" ht="43.5">
      <c r="B32" s="110" t="s">
        <v>1314</v>
      </c>
      <c r="C32" s="114" t="s">
        <v>2151</v>
      </c>
      <c r="D32" s="51" t="s">
        <v>2178</v>
      </c>
      <c r="E32" s="152" t="s">
        <v>2179</v>
      </c>
      <c r="F32" s="135" t="s">
        <v>2180</v>
      </c>
    </row>
    <row r="33" spans="2:6" ht="43.5">
      <c r="B33" s="136" t="s">
        <v>1421</v>
      </c>
      <c r="C33" s="137" t="s">
        <v>1803</v>
      </c>
      <c r="D33" s="138" t="s">
        <v>1422</v>
      </c>
      <c r="E33" s="97" t="s">
        <v>2181</v>
      </c>
      <c r="F33" s="187" t="s">
        <v>1310</v>
      </c>
    </row>
    <row r="34" spans="2:6" ht="43.5">
      <c r="B34" s="136" t="s">
        <v>1421</v>
      </c>
      <c r="C34" s="137" t="s">
        <v>577</v>
      </c>
      <c r="D34" s="138" t="s">
        <v>1422</v>
      </c>
      <c r="E34" s="97" t="s">
        <v>2181</v>
      </c>
      <c r="F34" s="187" t="s">
        <v>1310</v>
      </c>
    </row>
    <row r="35" spans="2:6" ht="43.5">
      <c r="B35" s="136" t="s">
        <v>1421</v>
      </c>
      <c r="C35" s="137" t="s">
        <v>589</v>
      </c>
      <c r="D35" s="138" t="s">
        <v>1422</v>
      </c>
      <c r="E35" s="97" t="s">
        <v>2181</v>
      </c>
      <c r="F35" s="187" t="s">
        <v>1310</v>
      </c>
    </row>
    <row r="36" spans="2:6" ht="43.5">
      <c r="B36" s="136" t="s">
        <v>1421</v>
      </c>
      <c r="C36" s="137" t="s">
        <v>608</v>
      </c>
      <c r="D36" s="138" t="s">
        <v>1422</v>
      </c>
      <c r="E36" s="97" t="s">
        <v>2181</v>
      </c>
      <c r="F36" s="187" t="s">
        <v>1310</v>
      </c>
    </row>
    <row r="37" spans="2:6" ht="43.5">
      <c r="B37" s="136" t="s">
        <v>1421</v>
      </c>
      <c r="C37" s="137" t="s">
        <v>617</v>
      </c>
      <c r="D37" s="138" t="s">
        <v>1422</v>
      </c>
      <c r="E37" s="97" t="s">
        <v>2181</v>
      </c>
      <c r="F37" s="187" t="s">
        <v>1310</v>
      </c>
    </row>
    <row r="38" spans="2:6" ht="43.5">
      <c r="B38" s="136" t="s">
        <v>1421</v>
      </c>
      <c r="C38" s="137" t="s">
        <v>626</v>
      </c>
      <c r="D38" s="138" t="s">
        <v>1422</v>
      </c>
      <c r="E38" s="97" t="s">
        <v>2181</v>
      </c>
      <c r="F38" s="187" t="s">
        <v>1310</v>
      </c>
    </row>
    <row r="39" spans="2:6" ht="43.5">
      <c r="B39" s="136" t="s">
        <v>1421</v>
      </c>
      <c r="C39" s="137" t="s">
        <v>636</v>
      </c>
      <c r="D39" s="138" t="s">
        <v>1422</v>
      </c>
      <c r="E39" s="97" t="s">
        <v>2181</v>
      </c>
      <c r="F39" s="187" t="s">
        <v>1310</v>
      </c>
    </row>
    <row r="40" spans="2:6" ht="43.5">
      <c r="B40" s="136" t="s">
        <v>1421</v>
      </c>
      <c r="C40" s="137" t="s">
        <v>652</v>
      </c>
      <c r="D40" s="138" t="s">
        <v>1422</v>
      </c>
      <c r="E40" s="97" t="s">
        <v>2181</v>
      </c>
      <c r="F40" s="187" t="s">
        <v>1310</v>
      </c>
    </row>
    <row r="41" spans="2:6" ht="43.5">
      <c r="B41" s="136" t="s">
        <v>1431</v>
      </c>
      <c r="C41" s="137" t="s">
        <v>589</v>
      </c>
      <c r="D41" s="138" t="s">
        <v>1432</v>
      </c>
      <c r="E41" s="97" t="s">
        <v>2181</v>
      </c>
      <c r="F41" s="187" t="s">
        <v>1310</v>
      </c>
    </row>
    <row r="42" spans="2:6" ht="43.5">
      <c r="B42" s="136" t="s">
        <v>1431</v>
      </c>
      <c r="C42" s="137" t="s">
        <v>600</v>
      </c>
      <c r="D42" s="138" t="s">
        <v>1432</v>
      </c>
      <c r="E42" s="97" t="s">
        <v>2181</v>
      </c>
      <c r="F42" s="187" t="s">
        <v>1310</v>
      </c>
    </row>
    <row r="43" spans="2:6" ht="43.5">
      <c r="B43" s="136" t="s">
        <v>1431</v>
      </c>
      <c r="C43" s="137" t="s">
        <v>608</v>
      </c>
      <c r="D43" s="138" t="s">
        <v>1432</v>
      </c>
      <c r="E43" s="97" t="s">
        <v>2181</v>
      </c>
      <c r="F43" s="187" t="s">
        <v>1310</v>
      </c>
    </row>
    <row r="44" spans="2:6" ht="43.5">
      <c r="B44" s="110" t="s">
        <v>1431</v>
      </c>
      <c r="C44" s="137" t="s">
        <v>636</v>
      </c>
      <c r="D44" s="51" t="s">
        <v>1432</v>
      </c>
      <c r="E44" s="97" t="s">
        <v>2181</v>
      </c>
      <c r="F44" s="187" t="s">
        <v>1310</v>
      </c>
    </row>
    <row r="45" spans="2:6" ht="43.5">
      <c r="B45" s="110" t="s">
        <v>1431</v>
      </c>
      <c r="C45" s="114" t="s">
        <v>644</v>
      </c>
      <c r="D45" s="51" t="s">
        <v>1432</v>
      </c>
      <c r="E45" s="97" t="s">
        <v>2181</v>
      </c>
      <c r="F45" s="187" t="s">
        <v>1310</v>
      </c>
    </row>
    <row r="46" spans="2:6" ht="43.5">
      <c r="B46" s="136" t="s">
        <v>1431</v>
      </c>
      <c r="C46" s="137" t="s">
        <v>652</v>
      </c>
      <c r="D46" s="138" t="s">
        <v>1432</v>
      </c>
      <c r="E46" s="97" t="s">
        <v>2181</v>
      </c>
      <c r="F46" s="187" t="s">
        <v>1310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77" t="s">
        <v>1375</v>
      </c>
      <c r="C2" s="77" t="s">
        <v>1250</v>
      </c>
      <c r="D2" s="77" t="s">
        <v>1251</v>
      </c>
      <c r="E2" s="77" t="s">
        <v>1252</v>
      </c>
      <c r="F2" s="77" t="s">
        <v>1253</v>
      </c>
      <c r="G2" s="77" t="s">
        <v>1254</v>
      </c>
      <c r="H2" s="77" t="s">
        <v>1255</v>
      </c>
      <c r="I2" s="77" t="s">
        <v>103</v>
      </c>
      <c r="J2" s="77" t="s">
        <v>134</v>
      </c>
      <c r="K2" s="77" t="s">
        <v>155</v>
      </c>
      <c r="L2" s="77" t="s">
        <v>162</v>
      </c>
      <c r="M2" s="77" t="s">
        <v>190</v>
      </c>
      <c r="N2" s="77" t="s">
        <v>289</v>
      </c>
      <c r="O2" s="77" t="s">
        <v>299</v>
      </c>
      <c r="P2" s="77" t="s">
        <v>314</v>
      </c>
      <c r="Q2" s="77" t="s">
        <v>389</v>
      </c>
      <c r="R2" s="77" t="s">
        <v>1376</v>
      </c>
      <c r="S2" s="77" t="s">
        <v>1377</v>
      </c>
      <c r="T2" s="77" t="s">
        <v>1378</v>
      </c>
      <c r="U2" s="77" t="s">
        <v>482</v>
      </c>
      <c r="V2" s="77" t="s">
        <v>1803</v>
      </c>
      <c r="W2" s="77" t="s">
        <v>577</v>
      </c>
      <c r="X2" s="77" t="s">
        <v>589</v>
      </c>
      <c r="Y2" s="77" t="s">
        <v>600</v>
      </c>
      <c r="Z2" s="77" t="s">
        <v>608</v>
      </c>
      <c r="AA2" s="77" t="s">
        <v>617</v>
      </c>
      <c r="AB2" s="77" t="s">
        <v>626</v>
      </c>
      <c r="AC2" s="77" t="s">
        <v>636</v>
      </c>
      <c r="AD2" s="77" t="s">
        <v>644</v>
      </c>
      <c r="AE2" s="77" t="s">
        <v>652</v>
      </c>
      <c r="AF2" s="77" t="s">
        <v>669</v>
      </c>
      <c r="AG2" s="77" t="s">
        <v>678</v>
      </c>
      <c r="AH2" s="77" t="s">
        <v>214</v>
      </c>
      <c r="AI2" s="77" t="s">
        <v>234</v>
      </c>
      <c r="AJ2" s="77" t="s">
        <v>253</v>
      </c>
      <c r="AK2" s="77"/>
      <c r="AL2" s="77"/>
      <c r="AM2" s="77"/>
      <c r="AN2" s="77"/>
    </row>
    <row r="3" spans="2:40">
      <c r="B3" s="48" t="s">
        <v>1203</v>
      </c>
      <c r="C3" s="48">
        <v>1</v>
      </c>
      <c r="D3" s="48" t="s">
        <v>2182</v>
      </c>
      <c r="E3" s="95">
        <v>45538</v>
      </c>
      <c r="F3" s="48">
        <v>1</v>
      </c>
      <c r="G3" s="251" t="s">
        <v>2054</v>
      </c>
      <c r="H3" s="180" t="s">
        <v>2183</v>
      </c>
      <c r="I3" s="48" t="s">
        <v>1257</v>
      </c>
      <c r="J3" s="48" t="s">
        <v>1257</v>
      </c>
      <c r="K3" s="48" t="s">
        <v>1257</v>
      </c>
      <c r="L3" s="48" t="s">
        <v>1257</v>
      </c>
      <c r="M3" s="48" t="s">
        <v>1257</v>
      </c>
      <c r="N3" s="48" t="s">
        <v>1257</v>
      </c>
      <c r="O3" s="48" t="s">
        <v>1257</v>
      </c>
      <c r="P3" s="48" t="s">
        <v>1257</v>
      </c>
      <c r="Q3" s="48" t="s">
        <v>1257</v>
      </c>
      <c r="R3" s="48" t="s">
        <v>1257</v>
      </c>
      <c r="S3" s="48" t="s">
        <v>1257</v>
      </c>
      <c r="T3" s="48" t="s">
        <v>1257</v>
      </c>
      <c r="U3" s="48" t="s">
        <v>1257</v>
      </c>
      <c r="V3" s="236" t="s">
        <v>1257</v>
      </c>
      <c r="W3" s="236" t="s">
        <v>1257</v>
      </c>
      <c r="X3" s="236" t="s">
        <v>1257</v>
      </c>
      <c r="Y3" s="236" t="s">
        <v>1257</v>
      </c>
      <c r="Z3" s="236" t="s">
        <v>1257</v>
      </c>
      <c r="AA3" s="236" t="s">
        <v>1257</v>
      </c>
      <c r="AB3" s="236" t="s">
        <v>1257</v>
      </c>
      <c r="AC3" s="236" t="s">
        <v>1257</v>
      </c>
      <c r="AD3" s="236" t="s">
        <v>1257</v>
      </c>
      <c r="AE3" s="236" t="s">
        <v>1257</v>
      </c>
      <c r="AF3" s="48" t="s">
        <v>1257</v>
      </c>
      <c r="AG3" s="48" t="s">
        <v>1257</v>
      </c>
      <c r="AH3" s="48" t="s">
        <v>1257</v>
      </c>
      <c r="AI3" s="48" t="s">
        <v>1257</v>
      </c>
      <c r="AJ3" s="48" t="s">
        <v>1257</v>
      </c>
      <c r="AK3" s="48"/>
      <c r="AL3" s="48"/>
      <c r="AM3" s="48"/>
      <c r="AN3" s="48"/>
    </row>
    <row r="4" spans="2:40">
      <c r="B4" s="48" t="s">
        <v>1205</v>
      </c>
      <c r="C4" s="48">
        <v>2</v>
      </c>
      <c r="D4" s="48" t="s">
        <v>2184</v>
      </c>
      <c r="E4" s="95">
        <v>45538</v>
      </c>
      <c r="F4" s="48">
        <v>1</v>
      </c>
      <c r="G4" s="251" t="s">
        <v>2054</v>
      </c>
      <c r="H4" s="98" t="s">
        <v>1266</v>
      </c>
      <c r="I4" s="48" t="s">
        <v>1257</v>
      </c>
      <c r="J4" s="48" t="s">
        <v>1257</v>
      </c>
      <c r="K4" s="48" t="s">
        <v>1257</v>
      </c>
      <c r="L4" s="48" t="s">
        <v>1257</v>
      </c>
      <c r="M4" s="48" t="s">
        <v>1257</v>
      </c>
      <c r="N4" s="48" t="s">
        <v>1257</v>
      </c>
      <c r="O4" s="48" t="s">
        <v>1257</v>
      </c>
      <c r="P4" s="48" t="s">
        <v>1257</v>
      </c>
      <c r="Q4" s="48" t="s">
        <v>1257</v>
      </c>
      <c r="R4" s="48" t="s">
        <v>1257</v>
      </c>
      <c r="S4" s="48" t="s">
        <v>1257</v>
      </c>
      <c r="T4" s="48" t="s">
        <v>1257</v>
      </c>
      <c r="U4" s="48" t="s">
        <v>1257</v>
      </c>
      <c r="V4" s="236" t="s">
        <v>1257</v>
      </c>
      <c r="W4" s="236" t="s">
        <v>1257</v>
      </c>
      <c r="X4" s="236" t="s">
        <v>1257</v>
      </c>
      <c r="Y4" s="236" t="s">
        <v>1257</v>
      </c>
      <c r="Z4" s="236" t="s">
        <v>1257</v>
      </c>
      <c r="AA4" s="236" t="s">
        <v>1257</v>
      </c>
      <c r="AB4" s="236" t="s">
        <v>1257</v>
      </c>
      <c r="AC4" s="236" t="s">
        <v>1257</v>
      </c>
      <c r="AD4" s="236" t="s">
        <v>1257</v>
      </c>
      <c r="AE4" s="236" t="s">
        <v>1257</v>
      </c>
      <c r="AF4" s="48" t="s">
        <v>1257</v>
      </c>
      <c r="AG4" s="48" t="s">
        <v>1257</v>
      </c>
      <c r="AH4" s="48" t="s">
        <v>1257</v>
      </c>
      <c r="AI4" s="48" t="s">
        <v>1257</v>
      </c>
      <c r="AJ4" s="48" t="s">
        <v>1257</v>
      </c>
      <c r="AK4" s="48"/>
      <c r="AL4" s="48"/>
      <c r="AM4" s="48"/>
      <c r="AN4" s="48"/>
    </row>
    <row r="5" spans="2:40">
      <c r="B5" s="48" t="s">
        <v>1207</v>
      </c>
      <c r="C5" s="48">
        <v>3</v>
      </c>
      <c r="D5" s="48" t="s">
        <v>2185</v>
      </c>
      <c r="E5" s="95">
        <v>45538</v>
      </c>
      <c r="F5" s="48">
        <v>1</v>
      </c>
      <c r="G5" s="251" t="s">
        <v>2054</v>
      </c>
      <c r="H5" s="48" t="s">
        <v>1266</v>
      </c>
      <c r="I5" s="48">
        <v>0</v>
      </c>
      <c r="J5" s="48">
        <v>0</v>
      </c>
      <c r="K5" s="48" t="s">
        <v>1257</v>
      </c>
      <c r="L5" s="48" t="s">
        <v>1257</v>
      </c>
      <c r="M5" s="48" t="s">
        <v>1257</v>
      </c>
      <c r="N5" s="48" t="s">
        <v>1257</v>
      </c>
      <c r="O5" s="48" t="s">
        <v>1257</v>
      </c>
      <c r="P5" s="48" t="s">
        <v>1257</v>
      </c>
      <c r="Q5" s="48" t="s">
        <v>1257</v>
      </c>
      <c r="R5" s="48" t="s">
        <v>1257</v>
      </c>
      <c r="S5" s="48" t="s">
        <v>1257</v>
      </c>
      <c r="T5" s="48" t="s">
        <v>1257</v>
      </c>
      <c r="U5" s="48" t="s">
        <v>1257</v>
      </c>
      <c r="V5" s="236" t="s">
        <v>1257</v>
      </c>
      <c r="W5" s="236" t="s">
        <v>1257</v>
      </c>
      <c r="X5" s="236" t="s">
        <v>1257</v>
      </c>
      <c r="Y5" s="236" t="s">
        <v>1257</v>
      </c>
      <c r="Z5" s="236" t="s">
        <v>1257</v>
      </c>
      <c r="AA5" s="236" t="s">
        <v>1257</v>
      </c>
      <c r="AB5" s="236" t="s">
        <v>1257</v>
      </c>
      <c r="AC5" s="236" t="s">
        <v>1257</v>
      </c>
      <c r="AD5" s="236" t="s">
        <v>1257</v>
      </c>
      <c r="AE5" s="236" t="s">
        <v>1257</v>
      </c>
      <c r="AF5" s="48" t="s">
        <v>1257</v>
      </c>
      <c r="AG5" s="48" t="s">
        <v>1257</v>
      </c>
      <c r="AH5" s="48" t="s">
        <v>1257</v>
      </c>
      <c r="AI5" s="48">
        <v>0</v>
      </c>
      <c r="AJ5" s="48" t="s">
        <v>1257</v>
      </c>
      <c r="AK5" s="48"/>
      <c r="AL5" s="48"/>
      <c r="AM5" s="48"/>
      <c r="AN5" s="48"/>
    </row>
    <row r="6" spans="2:40">
      <c r="B6" s="97" t="s">
        <v>1209</v>
      </c>
      <c r="C6" s="48">
        <v>4</v>
      </c>
      <c r="D6" s="48" t="s">
        <v>1260</v>
      </c>
      <c r="E6" s="95" t="s">
        <v>1257</v>
      </c>
      <c r="F6" s="48">
        <v>1</v>
      </c>
      <c r="G6" s="95" t="s">
        <v>1257</v>
      </c>
      <c r="H6" s="48" t="s">
        <v>1257</v>
      </c>
      <c r="I6" s="48" t="s">
        <v>1257</v>
      </c>
      <c r="J6" s="48" t="s">
        <v>1257</v>
      </c>
      <c r="K6" s="48" t="s">
        <v>1257</v>
      </c>
      <c r="L6" s="48" t="s">
        <v>1257</v>
      </c>
      <c r="M6" s="48" t="s">
        <v>1257</v>
      </c>
      <c r="N6" s="48" t="s">
        <v>1257</v>
      </c>
      <c r="O6" s="48" t="s">
        <v>1257</v>
      </c>
      <c r="P6" s="48" t="s">
        <v>1257</v>
      </c>
      <c r="Q6" s="48" t="s">
        <v>1257</v>
      </c>
      <c r="R6" s="48" t="s">
        <v>1257</v>
      </c>
      <c r="S6" s="48" t="s">
        <v>1257</v>
      </c>
      <c r="T6" s="48" t="s">
        <v>1257</v>
      </c>
      <c r="U6" s="48" t="s">
        <v>1257</v>
      </c>
      <c r="V6" s="236" t="s">
        <v>1257</v>
      </c>
      <c r="W6" s="236" t="s">
        <v>1257</v>
      </c>
      <c r="X6" s="236" t="s">
        <v>1257</v>
      </c>
      <c r="Y6" s="236" t="s">
        <v>1257</v>
      </c>
      <c r="Z6" s="236" t="s">
        <v>1257</v>
      </c>
      <c r="AA6" s="236" t="s">
        <v>1257</v>
      </c>
      <c r="AB6" s="236" t="s">
        <v>1257</v>
      </c>
      <c r="AC6" s="236" t="s">
        <v>1257</v>
      </c>
      <c r="AD6" s="236" t="s">
        <v>1257</v>
      </c>
      <c r="AE6" s="236" t="s">
        <v>1257</v>
      </c>
      <c r="AF6" s="48" t="s">
        <v>1257</v>
      </c>
      <c r="AG6" s="48" t="s">
        <v>1257</v>
      </c>
      <c r="AH6" s="48" t="s">
        <v>1257</v>
      </c>
      <c r="AI6" s="48" t="s">
        <v>1257</v>
      </c>
      <c r="AJ6" s="48" t="s">
        <v>1257</v>
      </c>
      <c r="AK6" s="48"/>
      <c r="AL6" s="48"/>
      <c r="AM6" s="48"/>
      <c r="AN6" s="48"/>
    </row>
    <row r="7" spans="2:40">
      <c r="B7" s="48" t="s">
        <v>1211</v>
      </c>
      <c r="C7" s="48">
        <v>5</v>
      </c>
      <c r="D7" s="48" t="s">
        <v>1260</v>
      </c>
      <c r="E7" s="95" t="s">
        <v>1257</v>
      </c>
      <c r="F7" s="48">
        <v>1</v>
      </c>
      <c r="G7" s="95" t="s">
        <v>1257</v>
      </c>
      <c r="H7" s="48" t="s">
        <v>1257</v>
      </c>
      <c r="I7" s="48" t="s">
        <v>1257</v>
      </c>
      <c r="J7" s="48" t="s">
        <v>1257</v>
      </c>
      <c r="K7" s="48" t="s">
        <v>1257</v>
      </c>
      <c r="L7" s="48" t="s">
        <v>1257</v>
      </c>
      <c r="M7" s="48" t="s">
        <v>1257</v>
      </c>
      <c r="N7" s="48" t="s">
        <v>1257</v>
      </c>
      <c r="O7" s="48" t="s">
        <v>1257</v>
      </c>
      <c r="P7" s="48" t="s">
        <v>1257</v>
      </c>
      <c r="Q7" s="48" t="s">
        <v>1257</v>
      </c>
      <c r="R7" s="48" t="s">
        <v>1257</v>
      </c>
      <c r="S7" s="48" t="s">
        <v>1257</v>
      </c>
      <c r="T7" s="48" t="s">
        <v>1257</v>
      </c>
      <c r="U7" s="48" t="s">
        <v>1257</v>
      </c>
      <c r="V7" s="236" t="s">
        <v>1257</v>
      </c>
      <c r="W7" s="236" t="s">
        <v>1257</v>
      </c>
      <c r="X7" s="236" t="s">
        <v>1257</v>
      </c>
      <c r="Y7" s="236" t="s">
        <v>1257</v>
      </c>
      <c r="Z7" s="236" t="s">
        <v>1257</v>
      </c>
      <c r="AA7" s="236" t="s">
        <v>1257</v>
      </c>
      <c r="AB7" s="236" t="s">
        <v>1257</v>
      </c>
      <c r="AC7" s="236" t="s">
        <v>1257</v>
      </c>
      <c r="AD7" s="236" t="s">
        <v>1257</v>
      </c>
      <c r="AE7" s="236" t="s">
        <v>1257</v>
      </c>
      <c r="AF7" s="48" t="s">
        <v>1257</v>
      </c>
      <c r="AG7" s="48" t="s">
        <v>1257</v>
      </c>
      <c r="AH7" s="48" t="s">
        <v>1257</v>
      </c>
      <c r="AI7" s="48" t="s">
        <v>1257</v>
      </c>
      <c r="AJ7" s="48" t="s">
        <v>1257</v>
      </c>
      <c r="AK7" s="48"/>
      <c r="AL7" s="48"/>
      <c r="AM7" s="48"/>
      <c r="AN7" s="48"/>
    </row>
    <row r="8" spans="2:40">
      <c r="B8" s="97" t="s">
        <v>1212</v>
      </c>
      <c r="C8" s="48">
        <v>6</v>
      </c>
      <c r="D8" s="48" t="s">
        <v>2186</v>
      </c>
      <c r="E8" s="95">
        <v>45538</v>
      </c>
      <c r="F8" s="48">
        <v>1</v>
      </c>
      <c r="G8" s="207" cm="1">
        <f t="array" ref="G8">SUMPRODUCT(--(I8:AJ8&gt;0))/COUNTA(I8:AJ8)</f>
        <v>1</v>
      </c>
      <c r="H8" s="48" t="s">
        <v>1266</v>
      </c>
      <c r="I8" s="48">
        <v>2</v>
      </c>
      <c r="J8" s="48">
        <v>30</v>
      </c>
      <c r="K8" s="48">
        <v>3</v>
      </c>
      <c r="L8" s="48">
        <v>3</v>
      </c>
      <c r="M8" s="48">
        <v>3</v>
      </c>
      <c r="N8" s="48">
        <v>10</v>
      </c>
      <c r="O8" s="48">
        <v>10</v>
      </c>
      <c r="P8" s="48">
        <v>3</v>
      </c>
      <c r="Q8" s="48">
        <v>1</v>
      </c>
      <c r="R8" s="48">
        <v>8</v>
      </c>
      <c r="S8" s="98">
        <v>8</v>
      </c>
      <c r="T8" s="98">
        <v>8</v>
      </c>
      <c r="U8" s="98">
        <v>8</v>
      </c>
      <c r="V8" s="236">
        <v>32</v>
      </c>
      <c r="W8" s="236">
        <v>23</v>
      </c>
      <c r="X8" s="236">
        <v>25</v>
      </c>
      <c r="Y8" s="236">
        <v>21</v>
      </c>
      <c r="Z8" s="236">
        <v>28</v>
      </c>
      <c r="AA8" s="236">
        <v>25</v>
      </c>
      <c r="AB8" s="236">
        <v>23</v>
      </c>
      <c r="AC8" s="236">
        <v>25</v>
      </c>
      <c r="AD8" s="236">
        <v>21</v>
      </c>
      <c r="AE8" s="236">
        <v>28</v>
      </c>
      <c r="AF8" s="48">
        <v>3</v>
      </c>
      <c r="AG8" s="48">
        <v>3</v>
      </c>
      <c r="AH8" s="48">
        <v>2</v>
      </c>
      <c r="AI8" s="48">
        <v>10</v>
      </c>
      <c r="AJ8" s="48">
        <v>22</v>
      </c>
      <c r="AK8" s="48"/>
      <c r="AL8" s="48"/>
      <c r="AM8" s="48"/>
      <c r="AN8" s="48"/>
    </row>
    <row r="9" spans="2:40">
      <c r="B9" s="48" t="s">
        <v>1215</v>
      </c>
      <c r="C9" s="48">
        <v>7</v>
      </c>
      <c r="D9" s="48" t="s">
        <v>2187</v>
      </c>
      <c r="E9" s="95">
        <v>45538</v>
      </c>
      <c r="F9" s="48">
        <v>1</v>
      </c>
      <c r="G9" s="207" t="e" cm="1">
        <f t="array" ref="G9">SUMPRODUCT(--(I9:AJ9 &lt;= I28:AJ28))/COUNTA(I28:AJ28)</f>
        <v>#DIV/0!</v>
      </c>
      <c r="H9" s="48" t="s">
        <v>1266</v>
      </c>
      <c r="I9" s="48">
        <v>2</v>
      </c>
      <c r="J9" s="48">
        <v>30</v>
      </c>
      <c r="K9" s="48">
        <v>3</v>
      </c>
      <c r="L9" s="48">
        <v>3</v>
      </c>
      <c r="M9" s="48">
        <v>3</v>
      </c>
      <c r="N9" s="48">
        <v>10</v>
      </c>
      <c r="O9" s="48">
        <v>10</v>
      </c>
      <c r="P9" s="48">
        <v>3</v>
      </c>
      <c r="Q9" s="48">
        <v>1</v>
      </c>
      <c r="R9" s="48">
        <v>18</v>
      </c>
      <c r="S9" s="48">
        <v>8</v>
      </c>
      <c r="T9" s="48">
        <v>18</v>
      </c>
      <c r="U9" s="48">
        <v>8</v>
      </c>
      <c r="V9" s="236">
        <v>1</v>
      </c>
      <c r="W9" s="236">
        <v>1</v>
      </c>
      <c r="X9" s="236">
        <v>1</v>
      </c>
      <c r="Y9" s="236">
        <v>1</v>
      </c>
      <c r="Z9" s="236">
        <v>1</v>
      </c>
      <c r="AA9" s="236">
        <v>1</v>
      </c>
      <c r="AB9" s="236">
        <v>1</v>
      </c>
      <c r="AC9" s="236">
        <v>1</v>
      </c>
      <c r="AD9" s="236">
        <v>1</v>
      </c>
      <c r="AE9" s="236">
        <v>1</v>
      </c>
      <c r="AF9" s="48">
        <v>3</v>
      </c>
      <c r="AG9" s="48">
        <v>3</v>
      </c>
      <c r="AH9" s="48">
        <v>2</v>
      </c>
      <c r="AI9" s="48">
        <v>10</v>
      </c>
      <c r="AJ9" s="48">
        <v>22</v>
      </c>
      <c r="AK9" s="48"/>
      <c r="AL9" s="48"/>
      <c r="AM9" s="48"/>
      <c r="AN9" s="48"/>
    </row>
    <row r="10" spans="2:40">
      <c r="B10" s="48" t="s">
        <v>1218</v>
      </c>
      <c r="C10" s="48">
        <v>8</v>
      </c>
      <c r="D10" s="48" t="s">
        <v>2188</v>
      </c>
      <c r="E10" s="95">
        <v>45538</v>
      </c>
      <c r="F10" s="48">
        <v>1</v>
      </c>
      <c r="G10" s="95" t="s">
        <v>1257</v>
      </c>
      <c r="H10" s="48" t="s">
        <v>1266</v>
      </c>
      <c r="I10" s="48">
        <v>31</v>
      </c>
      <c r="J10" s="48">
        <v>4.0142670650000004E+25</v>
      </c>
      <c r="K10" s="48" t="s">
        <v>2189</v>
      </c>
      <c r="L10" s="48">
        <v>29</v>
      </c>
      <c r="M10" s="48">
        <v>1</v>
      </c>
      <c r="N10" s="95">
        <v>28877</v>
      </c>
      <c r="O10" s="95">
        <v>2958465</v>
      </c>
      <c r="P10" s="48">
        <v>36</v>
      </c>
      <c r="Q10" s="48">
        <v>0</v>
      </c>
      <c r="R10" s="98">
        <v>-1419736369000000</v>
      </c>
      <c r="S10" s="191" t="s">
        <v>1266</v>
      </c>
      <c r="T10" s="98">
        <v>-1419736369000000</v>
      </c>
      <c r="U10" s="98" t="s">
        <v>1266</v>
      </c>
      <c r="V10" s="237" t="s">
        <v>1803</v>
      </c>
      <c r="W10" s="237" t="s">
        <v>577</v>
      </c>
      <c r="X10" s="236" t="s">
        <v>589</v>
      </c>
      <c r="Y10" s="237" t="s">
        <v>600</v>
      </c>
      <c r="Z10" s="237" t="s">
        <v>608</v>
      </c>
      <c r="AA10" s="236" t="s">
        <v>617</v>
      </c>
      <c r="AB10" s="236" t="s">
        <v>626</v>
      </c>
      <c r="AC10" s="236" t="s">
        <v>636</v>
      </c>
      <c r="AD10" s="236" t="s">
        <v>644</v>
      </c>
      <c r="AE10" s="236" t="s">
        <v>652</v>
      </c>
      <c r="AF10" s="48" t="s">
        <v>1267</v>
      </c>
      <c r="AG10" s="48" t="s">
        <v>1268</v>
      </c>
      <c r="AH10" s="48" t="s">
        <v>1399</v>
      </c>
      <c r="AI10" s="95">
        <v>45538</v>
      </c>
      <c r="AJ10" s="95" t="s">
        <v>2190</v>
      </c>
      <c r="AK10" s="48"/>
      <c r="AL10" s="48"/>
      <c r="AM10" s="95"/>
      <c r="AN10" s="95"/>
    </row>
    <row r="11" spans="2:40">
      <c r="B11" s="48" t="s">
        <v>1220</v>
      </c>
      <c r="C11" s="48">
        <v>9</v>
      </c>
      <c r="D11" s="48" t="s">
        <v>2191</v>
      </c>
      <c r="E11" s="95">
        <v>45538</v>
      </c>
      <c r="F11" s="48">
        <v>1</v>
      </c>
      <c r="G11" s="95" t="s">
        <v>1257</v>
      </c>
      <c r="H11" s="48" t="s">
        <v>1266</v>
      </c>
      <c r="I11" s="48"/>
      <c r="J11" s="48">
        <v>4.0142670650000004E+25</v>
      </c>
      <c r="K11" s="48" t="s">
        <v>2192</v>
      </c>
      <c r="L11" s="48">
        <v>29</v>
      </c>
      <c r="M11" s="48">
        <v>1</v>
      </c>
      <c r="N11" s="95">
        <v>28877</v>
      </c>
      <c r="O11" s="95" t="s">
        <v>1394</v>
      </c>
      <c r="P11" s="48">
        <v>36</v>
      </c>
      <c r="Q11" s="48">
        <v>0</v>
      </c>
      <c r="R11" s="98">
        <v>-1419736369000000</v>
      </c>
      <c r="S11" s="48" t="s">
        <v>1266</v>
      </c>
      <c r="T11" s="98">
        <v>-1419736369000000</v>
      </c>
      <c r="U11" s="48" t="s">
        <v>1266</v>
      </c>
      <c r="V11" s="236" t="s">
        <v>1803</v>
      </c>
      <c r="W11" s="236" t="s">
        <v>577</v>
      </c>
      <c r="X11" s="236" t="s">
        <v>589</v>
      </c>
      <c r="Y11" s="237" t="s">
        <v>600</v>
      </c>
      <c r="Z11" s="237" t="s">
        <v>608</v>
      </c>
      <c r="AA11" s="236" t="s">
        <v>617</v>
      </c>
      <c r="AB11" s="236" t="s">
        <v>626</v>
      </c>
      <c r="AC11" s="236" t="s">
        <v>636</v>
      </c>
      <c r="AD11" s="236" t="s">
        <v>644</v>
      </c>
      <c r="AE11" s="236" t="s">
        <v>652</v>
      </c>
      <c r="AF11" s="48">
        <v>0</v>
      </c>
      <c r="AG11" s="48"/>
      <c r="AH11" s="48" t="s">
        <v>1399</v>
      </c>
      <c r="AI11" s="95">
        <v>45538</v>
      </c>
      <c r="AJ11" s="95" t="s">
        <v>2193</v>
      </c>
      <c r="AK11" s="48"/>
      <c r="AL11" s="48"/>
      <c r="AM11" s="95"/>
      <c r="AN11" s="95"/>
    </row>
    <row r="12" spans="2:40">
      <c r="B12" s="97" t="s">
        <v>1222</v>
      </c>
      <c r="C12" s="48">
        <v>10</v>
      </c>
      <c r="D12" s="48" t="s">
        <v>2194</v>
      </c>
      <c r="E12" s="95">
        <v>45538</v>
      </c>
      <c r="F12" s="48">
        <v>1</v>
      </c>
      <c r="G12" s="95" t="s">
        <v>1257</v>
      </c>
      <c r="H12" s="48" t="s">
        <v>1266</v>
      </c>
      <c r="I12" s="48">
        <v>31</v>
      </c>
      <c r="J12" s="48">
        <v>2.5631600365802999E+29</v>
      </c>
      <c r="K12" s="48" t="s">
        <v>2189</v>
      </c>
      <c r="L12" s="48">
        <v>30</v>
      </c>
      <c r="M12" s="48">
        <v>340</v>
      </c>
      <c r="N12" s="95">
        <v>45135</v>
      </c>
      <c r="O12" s="95">
        <v>2958465</v>
      </c>
      <c r="P12" s="48">
        <v>985</v>
      </c>
      <c r="Q12" s="48">
        <v>0</v>
      </c>
      <c r="R12" s="98">
        <v>5007826750000</v>
      </c>
      <c r="S12" s="191" t="s">
        <v>1266</v>
      </c>
      <c r="T12" s="98">
        <v>5007826750000</v>
      </c>
      <c r="U12" s="98" t="s">
        <v>1266</v>
      </c>
      <c r="V12" s="237" t="s">
        <v>1803</v>
      </c>
      <c r="W12" s="237" t="s">
        <v>577</v>
      </c>
      <c r="X12" s="237" t="s">
        <v>589</v>
      </c>
      <c r="Y12" s="237" t="s">
        <v>600</v>
      </c>
      <c r="Z12" s="237" t="s">
        <v>608</v>
      </c>
      <c r="AA12" s="237" t="s">
        <v>617</v>
      </c>
      <c r="AB12" s="236" t="s">
        <v>626</v>
      </c>
      <c r="AC12" s="236" t="s">
        <v>636</v>
      </c>
      <c r="AD12" s="238" t="s">
        <v>644</v>
      </c>
      <c r="AE12" s="236" t="s">
        <v>652</v>
      </c>
      <c r="AF12" s="48" t="s">
        <v>1267</v>
      </c>
      <c r="AG12" s="48" t="s">
        <v>1268</v>
      </c>
      <c r="AH12" s="48" t="s">
        <v>1399</v>
      </c>
      <c r="AI12" s="95">
        <v>45538</v>
      </c>
      <c r="AJ12" s="95" t="s">
        <v>2190</v>
      </c>
      <c r="AK12" s="48"/>
      <c r="AL12" s="48"/>
      <c r="AM12" s="95"/>
      <c r="AN12" s="95"/>
    </row>
    <row r="13" spans="2:40">
      <c r="B13" s="48" t="s">
        <v>1224</v>
      </c>
      <c r="C13" s="48">
        <v>11</v>
      </c>
      <c r="D13" s="48" t="s">
        <v>2195</v>
      </c>
      <c r="E13" s="95">
        <v>45538</v>
      </c>
      <c r="F13" s="48">
        <v>1</v>
      </c>
      <c r="G13" s="95" t="s">
        <v>1257</v>
      </c>
      <c r="H13" s="48" t="s">
        <v>1266</v>
      </c>
      <c r="I13" s="48"/>
      <c r="J13" s="48">
        <v>2.5631600365802999E+29</v>
      </c>
      <c r="K13" s="48" t="s">
        <v>2192</v>
      </c>
      <c r="L13" s="48">
        <v>30</v>
      </c>
      <c r="M13" s="48">
        <v>340</v>
      </c>
      <c r="N13" s="95">
        <v>45135</v>
      </c>
      <c r="O13" s="95" t="s">
        <v>1394</v>
      </c>
      <c r="P13" s="48">
        <v>985</v>
      </c>
      <c r="Q13" s="48">
        <v>0</v>
      </c>
      <c r="R13" s="98">
        <v>5007826750000</v>
      </c>
      <c r="S13" s="95" t="s">
        <v>1266</v>
      </c>
      <c r="T13" s="98">
        <v>5007826750000</v>
      </c>
      <c r="U13" s="98" t="s">
        <v>1266</v>
      </c>
      <c r="V13" s="236" t="s">
        <v>1803</v>
      </c>
      <c r="W13" s="236" t="s">
        <v>577</v>
      </c>
      <c r="X13" s="236" t="s">
        <v>589</v>
      </c>
      <c r="Y13" s="237" t="s">
        <v>600</v>
      </c>
      <c r="Z13" s="237" t="s">
        <v>608</v>
      </c>
      <c r="AA13" s="237" t="s">
        <v>617</v>
      </c>
      <c r="AB13" s="236" t="s">
        <v>626</v>
      </c>
      <c r="AC13" s="236" t="s">
        <v>636</v>
      </c>
      <c r="AD13" s="238" t="s">
        <v>644</v>
      </c>
      <c r="AE13" s="236" t="s">
        <v>652</v>
      </c>
      <c r="AF13" s="48">
        <v>0</v>
      </c>
      <c r="AG13" s="48"/>
      <c r="AH13" s="48" t="s">
        <v>1399</v>
      </c>
      <c r="AI13" s="95">
        <v>45538</v>
      </c>
      <c r="AJ13" s="95" t="s">
        <v>2196</v>
      </c>
      <c r="AK13" s="48"/>
      <c r="AL13" s="48"/>
      <c r="AM13" s="95"/>
      <c r="AN13" s="95"/>
    </row>
    <row r="14" spans="2:40">
      <c r="B14" s="48" t="s">
        <v>1226</v>
      </c>
      <c r="C14" s="48">
        <v>12</v>
      </c>
      <c r="D14" s="48" t="s">
        <v>2197</v>
      </c>
      <c r="E14" s="95">
        <v>45538</v>
      </c>
      <c r="F14" s="48">
        <v>1</v>
      </c>
      <c r="G14" s="251" t="s">
        <v>2054</v>
      </c>
      <c r="H14" s="48" t="s">
        <v>1266</v>
      </c>
      <c r="I14" s="48">
        <v>0</v>
      </c>
      <c r="J14" s="48">
        <v>0</v>
      </c>
      <c r="K14" s="48">
        <v>0</v>
      </c>
      <c r="L14" s="48">
        <v>0</v>
      </c>
      <c r="M14" s="48">
        <v>0</v>
      </c>
      <c r="N14" s="48">
        <v>0</v>
      </c>
      <c r="O14" s="48">
        <v>0</v>
      </c>
      <c r="P14" s="48">
        <v>0</v>
      </c>
      <c r="Q14" s="48">
        <v>0</v>
      </c>
      <c r="R14" s="48">
        <v>0</v>
      </c>
      <c r="S14" s="48">
        <v>0</v>
      </c>
      <c r="T14" s="48">
        <v>0</v>
      </c>
      <c r="U14" s="48">
        <v>0</v>
      </c>
      <c r="V14" s="237">
        <v>0</v>
      </c>
      <c r="W14" s="237">
        <v>0</v>
      </c>
      <c r="X14" s="237">
        <v>0</v>
      </c>
      <c r="Y14" s="236">
        <v>0</v>
      </c>
      <c r="Z14" s="236">
        <v>0</v>
      </c>
      <c r="AA14" s="236">
        <v>0</v>
      </c>
      <c r="AB14" s="236">
        <v>0</v>
      </c>
      <c r="AC14" s="236">
        <v>0</v>
      </c>
      <c r="AD14" s="236">
        <v>0</v>
      </c>
      <c r="AE14" s="236">
        <v>0</v>
      </c>
      <c r="AF14" s="48">
        <v>0</v>
      </c>
      <c r="AG14" s="48">
        <v>0</v>
      </c>
      <c r="AH14" s="48">
        <v>0</v>
      </c>
      <c r="AI14" s="48">
        <v>0</v>
      </c>
      <c r="AJ14" s="48">
        <v>0</v>
      </c>
      <c r="AK14" s="48"/>
      <c r="AL14" s="48"/>
      <c r="AM14" s="48"/>
      <c r="AN14" s="48"/>
    </row>
    <row r="15" spans="2:40">
      <c r="B15" s="48" t="s">
        <v>1228</v>
      </c>
      <c r="C15" s="48">
        <v>13</v>
      </c>
      <c r="D15" s="48" t="s">
        <v>2198</v>
      </c>
      <c r="E15" s="95">
        <v>45538</v>
      </c>
      <c r="F15" s="48">
        <v>1</v>
      </c>
      <c r="G15" s="251" t="s">
        <v>2054</v>
      </c>
      <c r="H15" s="48" t="s">
        <v>1266</v>
      </c>
      <c r="I15" s="48" t="s">
        <v>1257</v>
      </c>
      <c r="J15" s="48" t="s">
        <v>1257</v>
      </c>
      <c r="K15" s="48" t="s">
        <v>1257</v>
      </c>
      <c r="L15" s="48" t="s">
        <v>1257</v>
      </c>
      <c r="M15" s="48" t="s">
        <v>1257</v>
      </c>
      <c r="N15" s="95">
        <v>0</v>
      </c>
      <c r="O15" s="95">
        <v>0</v>
      </c>
      <c r="P15" s="48" t="s">
        <v>1257</v>
      </c>
      <c r="Q15" s="48" t="s">
        <v>1257</v>
      </c>
      <c r="R15" s="48" t="s">
        <v>1257</v>
      </c>
      <c r="S15" s="95" t="s">
        <v>1257</v>
      </c>
      <c r="T15" s="95" t="s">
        <v>1257</v>
      </c>
      <c r="U15" s="95" t="s">
        <v>1257</v>
      </c>
      <c r="V15" s="236" t="s">
        <v>1257</v>
      </c>
      <c r="W15" s="236" t="s">
        <v>1257</v>
      </c>
      <c r="X15" s="236" t="s">
        <v>1257</v>
      </c>
      <c r="Y15" s="236" t="s">
        <v>1257</v>
      </c>
      <c r="Z15" s="236" t="s">
        <v>1257</v>
      </c>
      <c r="AA15" s="236" t="s">
        <v>1257</v>
      </c>
      <c r="AB15" s="236" t="s">
        <v>1257</v>
      </c>
      <c r="AC15" s="236" t="s">
        <v>1257</v>
      </c>
      <c r="AD15" s="238" t="s">
        <v>1257</v>
      </c>
      <c r="AE15" s="236" t="s">
        <v>1257</v>
      </c>
      <c r="AF15" s="48" t="s">
        <v>1257</v>
      </c>
      <c r="AG15" s="48" t="s">
        <v>1257</v>
      </c>
      <c r="AH15" s="48" t="s">
        <v>1257</v>
      </c>
      <c r="AI15" s="95" t="s">
        <v>1257</v>
      </c>
      <c r="AJ15" s="48" t="s">
        <v>1257</v>
      </c>
      <c r="AK15" s="48"/>
      <c r="AL15" s="48"/>
      <c r="AM15" s="48"/>
      <c r="AN15" s="95"/>
    </row>
    <row r="16" spans="2:40">
      <c r="B16" s="48" t="s">
        <v>1230</v>
      </c>
      <c r="C16" s="48">
        <v>14</v>
      </c>
      <c r="D16" s="48" t="s">
        <v>2199</v>
      </c>
      <c r="E16" s="95">
        <v>45538</v>
      </c>
      <c r="F16" s="48">
        <v>1</v>
      </c>
      <c r="G16" s="251" t="s">
        <v>2054</v>
      </c>
      <c r="H16" s="48" t="s">
        <v>1266</v>
      </c>
      <c r="I16" s="48">
        <v>0</v>
      </c>
      <c r="J16" s="48">
        <v>0</v>
      </c>
      <c r="K16" s="48">
        <v>0</v>
      </c>
      <c r="L16" s="48">
        <v>0</v>
      </c>
      <c r="M16" s="48">
        <v>0</v>
      </c>
      <c r="N16" s="48" t="s">
        <v>1257</v>
      </c>
      <c r="O16" s="48" t="s">
        <v>1257</v>
      </c>
      <c r="P16" s="48">
        <v>0</v>
      </c>
      <c r="Q16" s="48" t="s">
        <v>1257</v>
      </c>
      <c r="R16" s="48" t="s">
        <v>1257</v>
      </c>
      <c r="S16" s="48" t="s">
        <v>1257</v>
      </c>
      <c r="T16" s="48" t="s">
        <v>1257</v>
      </c>
      <c r="U16" s="48" t="s">
        <v>1257</v>
      </c>
      <c r="V16" s="236" t="s">
        <v>1257</v>
      </c>
      <c r="W16" s="236" t="s">
        <v>1257</v>
      </c>
      <c r="X16" s="236" t="s">
        <v>1257</v>
      </c>
      <c r="Y16" s="236" t="s">
        <v>1257</v>
      </c>
      <c r="Z16" s="236" t="s">
        <v>1257</v>
      </c>
      <c r="AA16" s="236">
        <v>0</v>
      </c>
      <c r="AB16" s="236" t="s">
        <v>1257</v>
      </c>
      <c r="AC16" s="236" t="s">
        <v>1257</v>
      </c>
      <c r="AD16" s="236" t="s">
        <v>1257</v>
      </c>
      <c r="AE16" s="236" t="s">
        <v>1257</v>
      </c>
      <c r="AF16" s="48">
        <v>0</v>
      </c>
      <c r="AG16" s="48">
        <v>0</v>
      </c>
      <c r="AH16" s="48">
        <v>0</v>
      </c>
      <c r="AI16" s="48" t="s">
        <v>1257</v>
      </c>
      <c r="AJ16" s="48" t="s">
        <v>1257</v>
      </c>
      <c r="AK16" s="48"/>
      <c r="AL16" s="48"/>
      <c r="AM16" s="48"/>
      <c r="AN16" s="48"/>
    </row>
    <row r="17" spans="2:40">
      <c r="B17" s="48" t="s">
        <v>1232</v>
      </c>
      <c r="C17" s="48">
        <v>15</v>
      </c>
      <c r="D17" s="48" t="s">
        <v>2200</v>
      </c>
      <c r="E17" s="95">
        <v>45538</v>
      </c>
      <c r="F17" s="48">
        <v>1</v>
      </c>
      <c r="G17" s="251" t="s">
        <v>2054</v>
      </c>
      <c r="H17" s="48" t="s">
        <v>1266</v>
      </c>
      <c r="I17" s="48" t="s">
        <v>1257</v>
      </c>
      <c r="J17" s="48" t="s">
        <v>1257</v>
      </c>
      <c r="K17" s="48" t="s">
        <v>1257</v>
      </c>
      <c r="L17" s="48" t="s">
        <v>1257</v>
      </c>
      <c r="M17" s="48" t="s">
        <v>1257</v>
      </c>
      <c r="N17" s="97" t="s">
        <v>1257</v>
      </c>
      <c r="O17" s="97" t="s">
        <v>1257</v>
      </c>
      <c r="P17" s="97" t="s">
        <v>1257</v>
      </c>
      <c r="Q17" s="97" t="s">
        <v>1257</v>
      </c>
      <c r="R17" s="97" t="s">
        <v>1257</v>
      </c>
      <c r="S17" s="48" t="s">
        <v>1257</v>
      </c>
      <c r="T17" s="97" t="s">
        <v>1257</v>
      </c>
      <c r="U17" s="97" t="s">
        <v>1257</v>
      </c>
      <c r="V17" s="236" t="s">
        <v>1257</v>
      </c>
      <c r="W17" s="236" t="s">
        <v>1257</v>
      </c>
      <c r="X17" s="236" t="s">
        <v>1257</v>
      </c>
      <c r="Y17" s="236" t="s">
        <v>1257</v>
      </c>
      <c r="Z17" s="236" t="s">
        <v>1257</v>
      </c>
      <c r="AA17" s="236" t="s">
        <v>1257</v>
      </c>
      <c r="AB17" s="236" t="s">
        <v>1257</v>
      </c>
      <c r="AC17" s="236" t="s">
        <v>1257</v>
      </c>
      <c r="AD17" s="236" t="s">
        <v>1257</v>
      </c>
      <c r="AE17" s="236" t="s">
        <v>1257</v>
      </c>
      <c r="AF17" s="48" t="s">
        <v>1257</v>
      </c>
      <c r="AG17" s="48" t="s">
        <v>1257</v>
      </c>
      <c r="AH17" s="48" t="s">
        <v>1257</v>
      </c>
      <c r="AI17" s="48" t="s">
        <v>1257</v>
      </c>
      <c r="AJ17" s="48" t="s">
        <v>1257</v>
      </c>
      <c r="AK17" s="48"/>
      <c r="AL17" s="48"/>
      <c r="AM17" s="48"/>
      <c r="AN17" s="48"/>
    </row>
    <row r="18" spans="2:40">
      <c r="B18" s="48" t="s">
        <v>1234</v>
      </c>
      <c r="C18" s="48">
        <v>16</v>
      </c>
      <c r="D18" s="48" t="s">
        <v>2200</v>
      </c>
      <c r="E18" s="95">
        <v>45538</v>
      </c>
      <c r="F18" s="48">
        <v>1</v>
      </c>
      <c r="G18" s="251" t="s">
        <v>2054</v>
      </c>
      <c r="H18" s="48" t="s">
        <v>1266</v>
      </c>
      <c r="I18" s="48" t="s">
        <v>1257</v>
      </c>
      <c r="J18" s="48" t="s">
        <v>1257</v>
      </c>
      <c r="K18" s="48" t="s">
        <v>1257</v>
      </c>
      <c r="L18" s="48" t="s">
        <v>1257</v>
      </c>
      <c r="M18" s="48" t="s">
        <v>1257</v>
      </c>
      <c r="N18" s="97" t="s">
        <v>1257</v>
      </c>
      <c r="O18" s="97" t="s">
        <v>1257</v>
      </c>
      <c r="P18" s="48" t="s">
        <v>1257</v>
      </c>
      <c r="Q18" s="48" t="s">
        <v>1257</v>
      </c>
      <c r="R18" s="97" t="s">
        <v>1257</v>
      </c>
      <c r="S18" s="97" t="s">
        <v>1257</v>
      </c>
      <c r="T18" s="48" t="s">
        <v>1257</v>
      </c>
      <c r="U18" s="48" t="s">
        <v>1257</v>
      </c>
      <c r="V18" s="236" t="s">
        <v>1257</v>
      </c>
      <c r="W18" s="236" t="s">
        <v>1257</v>
      </c>
      <c r="X18" s="236" t="s">
        <v>1257</v>
      </c>
      <c r="Y18" s="236" t="s">
        <v>1257</v>
      </c>
      <c r="Z18" s="236" t="s">
        <v>1257</v>
      </c>
      <c r="AA18" s="236" t="s">
        <v>1257</v>
      </c>
      <c r="AB18" s="236" t="s">
        <v>1257</v>
      </c>
      <c r="AC18" s="236" t="s">
        <v>1257</v>
      </c>
      <c r="AD18" s="236" t="s">
        <v>1257</v>
      </c>
      <c r="AE18" s="236" t="s">
        <v>1257</v>
      </c>
      <c r="AF18" s="48" t="s">
        <v>1257</v>
      </c>
      <c r="AG18" s="48" t="s">
        <v>1257</v>
      </c>
      <c r="AH18" s="48" t="s">
        <v>1257</v>
      </c>
      <c r="AI18" s="48" t="s">
        <v>1257</v>
      </c>
      <c r="AJ18" s="48" t="s">
        <v>1257</v>
      </c>
      <c r="AK18" s="48"/>
      <c r="AL18" s="48"/>
      <c r="AM18" s="48"/>
      <c r="AN18" s="48"/>
    </row>
    <row r="19" spans="2:40">
      <c r="B19" s="48" t="s">
        <v>1236</v>
      </c>
      <c r="C19" s="48">
        <v>17</v>
      </c>
      <c r="D19" s="48" t="s">
        <v>2201</v>
      </c>
      <c r="E19" s="95">
        <v>45538</v>
      </c>
      <c r="F19" s="48">
        <v>1</v>
      </c>
      <c r="G19" s="251">
        <v>0.63</v>
      </c>
      <c r="H19" s="239" t="s">
        <v>2202</v>
      </c>
      <c r="I19" s="48" t="s">
        <v>1257</v>
      </c>
      <c r="J19" s="48" t="s">
        <v>1257</v>
      </c>
      <c r="K19" s="48" t="s">
        <v>1257</v>
      </c>
      <c r="L19" s="48" t="s">
        <v>1257</v>
      </c>
      <c r="M19" s="48" t="s">
        <v>1257</v>
      </c>
      <c r="N19" s="48" t="s">
        <v>1257</v>
      </c>
      <c r="O19" s="48" t="s">
        <v>1257</v>
      </c>
      <c r="P19" s="48" t="s">
        <v>1257</v>
      </c>
      <c r="Q19" s="97" t="s">
        <v>1257</v>
      </c>
      <c r="R19" s="48" t="s">
        <v>1257</v>
      </c>
      <c r="S19" s="48" t="s">
        <v>1257</v>
      </c>
      <c r="T19" s="48" t="s">
        <v>1257</v>
      </c>
      <c r="U19" s="48" t="s">
        <v>1257</v>
      </c>
      <c r="V19" s="236" t="s">
        <v>1257</v>
      </c>
      <c r="W19" s="236" t="s">
        <v>1257</v>
      </c>
      <c r="X19" s="236" t="s">
        <v>1257</v>
      </c>
      <c r="Y19" s="236" t="s">
        <v>1257</v>
      </c>
      <c r="Z19" s="236" t="s">
        <v>1257</v>
      </c>
      <c r="AA19" s="236" t="s">
        <v>1257</v>
      </c>
      <c r="AB19" s="236" t="s">
        <v>1257</v>
      </c>
      <c r="AC19" s="236" t="s">
        <v>1257</v>
      </c>
      <c r="AD19" s="236" t="s">
        <v>1257</v>
      </c>
      <c r="AE19" s="236" t="s">
        <v>1257</v>
      </c>
      <c r="AF19" s="48" t="s">
        <v>1257</v>
      </c>
      <c r="AG19" s="48" t="s">
        <v>1257</v>
      </c>
      <c r="AH19" s="48" t="s">
        <v>1257</v>
      </c>
      <c r="AI19" s="48" t="s">
        <v>1257</v>
      </c>
      <c r="AJ19" s="48" t="s">
        <v>1257</v>
      </c>
      <c r="AK19" s="48"/>
      <c r="AL19" s="48"/>
      <c r="AM19" s="48"/>
      <c r="AN19" s="48"/>
    </row>
    <row r="20" spans="2:40">
      <c r="B20" s="48" t="s">
        <v>1238</v>
      </c>
      <c r="C20" s="48">
        <v>18</v>
      </c>
      <c r="D20" s="48" t="s">
        <v>2201</v>
      </c>
      <c r="E20" s="95">
        <v>45538</v>
      </c>
      <c r="F20" s="48">
        <v>1</v>
      </c>
      <c r="G20" s="251" t="s">
        <v>2054</v>
      </c>
      <c r="H20" s="191" t="s">
        <v>1266</v>
      </c>
      <c r="I20" s="48" t="s">
        <v>1257</v>
      </c>
      <c r="J20" s="48" t="s">
        <v>1257</v>
      </c>
      <c r="K20" s="48" t="s">
        <v>1257</v>
      </c>
      <c r="L20" s="48" t="s">
        <v>1257</v>
      </c>
      <c r="M20" s="48" t="s">
        <v>1257</v>
      </c>
      <c r="N20" s="48" t="s">
        <v>1257</v>
      </c>
      <c r="O20" s="48" t="s">
        <v>1257</v>
      </c>
      <c r="P20" s="48" t="s">
        <v>1257</v>
      </c>
      <c r="Q20" s="48" t="s">
        <v>1257</v>
      </c>
      <c r="R20" s="48" t="s">
        <v>1257</v>
      </c>
      <c r="S20" s="48" t="s">
        <v>1257</v>
      </c>
      <c r="T20" s="48" t="s">
        <v>1257</v>
      </c>
      <c r="U20" s="48" t="s">
        <v>1257</v>
      </c>
      <c r="V20" s="236" t="s">
        <v>1257</v>
      </c>
      <c r="W20" s="236" t="s">
        <v>1257</v>
      </c>
      <c r="X20" s="236" t="s">
        <v>1257</v>
      </c>
      <c r="Y20" s="236" t="s">
        <v>1257</v>
      </c>
      <c r="Z20" s="236" t="s">
        <v>1257</v>
      </c>
      <c r="AA20" s="236" t="s">
        <v>1257</v>
      </c>
      <c r="AB20" s="236" t="s">
        <v>1257</v>
      </c>
      <c r="AC20" s="236" t="s">
        <v>1257</v>
      </c>
      <c r="AD20" s="236" t="s">
        <v>1257</v>
      </c>
      <c r="AE20" s="236" t="s">
        <v>1257</v>
      </c>
      <c r="AF20" s="48" t="s">
        <v>1257</v>
      </c>
      <c r="AG20" s="48" t="s">
        <v>1257</v>
      </c>
      <c r="AH20" s="48" t="s">
        <v>1257</v>
      </c>
      <c r="AI20" s="48" t="s">
        <v>1257</v>
      </c>
      <c r="AJ20" s="48" t="s">
        <v>1257</v>
      </c>
      <c r="AK20" s="48"/>
      <c r="AL20" s="48"/>
      <c r="AM20" s="48"/>
      <c r="AN20" s="48"/>
    </row>
    <row r="21" spans="2:40">
      <c r="B21" s="48" t="s">
        <v>1240</v>
      </c>
      <c r="C21" s="48">
        <v>19</v>
      </c>
      <c r="D21" s="48" t="s">
        <v>2203</v>
      </c>
      <c r="E21" s="95">
        <v>45538</v>
      </c>
      <c r="F21" s="48">
        <v>1</v>
      </c>
      <c r="G21" s="207" cm="1">
        <f t="array" aca="1" ref="G21" ca="1">SUMPRODUCT(--(ISNUMBER((SEARCH(I27:AJ27,I21:AJ21)))))/COUNTA(I21:AJ21)</f>
        <v>0.9642857142857143</v>
      </c>
      <c r="H21" s="48" t="s">
        <v>1266</v>
      </c>
      <c r="I21" s="48" t="s">
        <v>1291</v>
      </c>
      <c r="J21" s="48" t="s">
        <v>1291</v>
      </c>
      <c r="K21" s="48" t="s">
        <v>1291</v>
      </c>
      <c r="L21" s="48" t="s">
        <v>1291</v>
      </c>
      <c r="M21" s="48" t="s">
        <v>1291</v>
      </c>
      <c r="N21" s="48" t="s">
        <v>1291</v>
      </c>
      <c r="O21" s="48" t="s">
        <v>1291</v>
      </c>
      <c r="P21" s="97" t="s">
        <v>1291</v>
      </c>
      <c r="Q21" s="97" t="s">
        <v>1291</v>
      </c>
      <c r="R21" s="48" t="s">
        <v>1292</v>
      </c>
      <c r="S21" s="48" t="s">
        <v>1292</v>
      </c>
      <c r="T21" s="48" t="s">
        <v>1292</v>
      </c>
      <c r="U21" s="48" t="s">
        <v>1292</v>
      </c>
      <c r="V21" s="236" t="s">
        <v>1291</v>
      </c>
      <c r="W21" s="236" t="s">
        <v>1291</v>
      </c>
      <c r="X21" s="236" t="s">
        <v>1291</v>
      </c>
      <c r="Y21" s="236" t="s">
        <v>1291</v>
      </c>
      <c r="Z21" s="236" t="s">
        <v>1291</v>
      </c>
      <c r="AA21" s="236" t="s">
        <v>1291</v>
      </c>
      <c r="AB21" s="236" t="s">
        <v>1291</v>
      </c>
      <c r="AC21" s="236" t="s">
        <v>1291</v>
      </c>
      <c r="AD21" s="236" t="s">
        <v>1291</v>
      </c>
      <c r="AE21" s="236" t="s">
        <v>1291</v>
      </c>
      <c r="AF21" s="48" t="s">
        <v>1291</v>
      </c>
      <c r="AG21" s="48" t="s">
        <v>1291</v>
      </c>
      <c r="AH21" s="48" t="s">
        <v>1291</v>
      </c>
      <c r="AI21" s="48" t="s">
        <v>1291</v>
      </c>
      <c r="AJ21" s="48" t="s">
        <v>1293</v>
      </c>
      <c r="AK21" s="48"/>
      <c r="AL21" s="48"/>
      <c r="AM21" s="48"/>
      <c r="AN21" s="48"/>
    </row>
    <row r="22" spans="2:40">
      <c r="B22" s="48" t="s">
        <v>1243</v>
      </c>
      <c r="C22" s="48">
        <v>20</v>
      </c>
      <c r="D22" s="48"/>
      <c r="E22" s="95"/>
      <c r="F22" s="48"/>
      <c r="G22" s="191" t="e" cm="1" vm="1">
        <f t="array" ref="G22">SUM(IF(I2:AJ2 = I26:AJ26, 1, 0))/ COUNTA(I2:AJ2)</f>
        <v>#VALUE!</v>
      </c>
      <c r="H22" s="48"/>
      <c r="I22" s="48"/>
      <c r="J22" s="48"/>
      <c r="K22" s="48"/>
      <c r="L22" s="48"/>
      <c r="M22" s="48"/>
      <c r="N22" s="48"/>
      <c r="O22" s="48"/>
      <c r="P22" s="48"/>
      <c r="Q22" s="48"/>
      <c r="R22" s="48"/>
      <c r="S22" s="48"/>
      <c r="T22" s="48"/>
      <c r="U22" s="48"/>
      <c r="V22" s="236"/>
      <c r="W22" s="236"/>
      <c r="X22" s="236"/>
      <c r="Y22" s="236"/>
      <c r="Z22" s="236"/>
      <c r="AA22" s="236"/>
      <c r="AB22" s="236"/>
      <c r="AC22" s="236"/>
      <c r="AD22" s="236"/>
      <c r="AE22" s="236"/>
      <c r="AF22" s="48"/>
      <c r="AG22" s="48"/>
      <c r="AH22" s="48"/>
      <c r="AI22" s="48"/>
      <c r="AJ22" s="48"/>
      <c r="AK22" s="48"/>
      <c r="AL22" s="48"/>
      <c r="AM22" s="48"/>
      <c r="AN22" s="48"/>
    </row>
    <row r="23" spans="2:40">
      <c r="B23" s="48" t="s">
        <v>1246</v>
      </c>
      <c r="C23" s="48">
        <v>21</v>
      </c>
      <c r="D23" s="48"/>
      <c r="E23" s="95"/>
      <c r="F23" s="48"/>
      <c r="G23" s="191" t="e" cm="1">
        <f t="array" aca="1" ref="G23" ca="1">SUM(IF(IF(G3:G22="null",1,G3:G22)=1,1,0))/COUNT(IF(G3:G22="null",1,1))</f>
        <v>#DIV/0!</v>
      </c>
      <c r="H23" s="48"/>
      <c r="I23" s="48"/>
      <c r="J23" s="48"/>
      <c r="K23" s="48"/>
      <c r="L23" s="48"/>
      <c r="M23" s="48"/>
      <c r="N23" s="48"/>
      <c r="O23" s="48"/>
      <c r="P23" s="48"/>
      <c r="Q23" s="48"/>
      <c r="R23" s="48"/>
      <c r="S23" s="48"/>
      <c r="T23" s="48"/>
      <c r="U23" s="48"/>
      <c r="V23" s="236"/>
      <c r="W23" s="236"/>
      <c r="X23" s="236"/>
      <c r="Y23" s="236"/>
      <c r="Z23" s="236"/>
      <c r="AA23" s="236"/>
      <c r="AB23" s="236"/>
      <c r="AC23" s="236"/>
      <c r="AD23" s="236"/>
      <c r="AE23" s="236"/>
      <c r="AF23" s="48"/>
      <c r="AG23" s="48"/>
      <c r="AH23" s="48"/>
      <c r="AI23" s="48"/>
      <c r="AJ23" s="48"/>
      <c r="AK23" s="48"/>
      <c r="AL23" s="48"/>
      <c r="AM23" s="48"/>
      <c r="AN23" s="48"/>
    </row>
    <row r="25" spans="2:40">
      <c r="B25" s="129" t="s">
        <v>1364</v>
      </c>
    </row>
    <row r="26" spans="2:40">
      <c r="B26" s="127" t="s">
        <v>1249</v>
      </c>
      <c r="C26" s="128" t="s">
        <v>1250</v>
      </c>
      <c r="D26" s="128" t="s">
        <v>1251</v>
      </c>
      <c r="E26" s="128" t="s">
        <v>1252</v>
      </c>
      <c r="F26" s="128" t="s">
        <v>1253</v>
      </c>
      <c r="G26" s="128" t="s">
        <v>1254</v>
      </c>
      <c r="H26" s="128" t="s">
        <v>1255</v>
      </c>
      <c r="I26" s="128" t="e" cm="1" vm="2">
        <f t="array" ref="I26">TRANSPOSE(_xlfn.SORTBY(_xlfn._xlws.FILTER(Table3[NOME FÍSICO CAMPO],Table3[NOME FÍSICO TABELA]="nostrovostro_account"), _xlfn._xlws.FILTER(Table3[ORDEM], Table3[NOME FÍSICO TABELA]="nostrovostro_account"), 1))</f>
        <v>#VALUE!</v>
      </c>
      <c r="J26" s="128"/>
      <c r="K26" s="128"/>
      <c r="L26" s="128"/>
      <c r="M26" s="128"/>
      <c r="N26" s="128"/>
      <c r="O26" s="128"/>
      <c r="P26" s="128"/>
      <c r="Q26" s="128"/>
      <c r="R26" s="128"/>
      <c r="S26" s="128"/>
      <c r="T26" s="128"/>
      <c r="U26" s="128"/>
      <c r="V26" s="128"/>
      <c r="W26" s="128"/>
      <c r="X26" s="128"/>
      <c r="Y26" s="128"/>
      <c r="Z26" s="128"/>
      <c r="AA26" s="128"/>
      <c r="AB26" s="128"/>
      <c r="AC26" s="128"/>
      <c r="AD26" s="128"/>
      <c r="AE26" s="128"/>
      <c r="AF26" s="128"/>
      <c r="AG26" s="128"/>
      <c r="AH26" s="128"/>
      <c r="AI26" s="128"/>
      <c r="AJ26" s="276"/>
      <c r="AK26" s="215"/>
      <c r="AL26" s="215"/>
      <c r="AM26" s="215"/>
      <c r="AN26" s="215"/>
    </row>
    <row r="27" spans="2:40">
      <c r="B27" s="106" t="s">
        <v>1294</v>
      </c>
      <c r="C27" s="94">
        <v>21</v>
      </c>
      <c r="D27" s="93" t="s">
        <v>1295</v>
      </c>
      <c r="E27" t="s">
        <v>1296</v>
      </c>
      <c r="F27" t="s">
        <v>124</v>
      </c>
      <c r="G27" t="s">
        <v>124</v>
      </c>
      <c r="H27" t="s">
        <v>124</v>
      </c>
      <c r="I27" t="e" cm="1" vm="2">
        <f t="array" aca="1" ref="I27" ca="1">TRANSPOSE(_xlfn.SORTBY(_xlfn._xlws.FILTER(IF(Table3[FORMATO]:Table3[COMP_ CAMPO]&lt;&gt;"",Table3[FORMATO]:Table3[COMP_ CAMPO],9999999),Table3[NOME FÍSICO TABELA]="nostrovostro_account"), _xlfn._xlws.FILTER(Table3[ORDEM], Table3[NOME FÍSICO TABELA]="nostrovostro_account"), 1))</f>
        <v>#VALUE!</v>
      </c>
      <c r="AJ27" s="277"/>
    </row>
    <row r="28" spans="2:40">
      <c r="B28" s="106" t="s">
        <v>1297</v>
      </c>
      <c r="C28" s="150">
        <v>7</v>
      </c>
      <c r="D28" s="105" t="s">
        <v>1295</v>
      </c>
      <c r="E28" s="104" t="s">
        <v>1296</v>
      </c>
      <c r="F28" s="104" t="s">
        <v>124</v>
      </c>
      <c r="G28" s="104" t="s">
        <v>124</v>
      </c>
      <c r="H28" s="104" t="s">
        <v>124</v>
      </c>
      <c r="I28" s="150"/>
      <c r="J28" s="150"/>
      <c r="K28" s="150"/>
      <c r="L28" s="150"/>
      <c r="M28" s="150"/>
      <c r="N28" s="150"/>
      <c r="O28" s="150"/>
      <c r="P28" s="150"/>
      <c r="Q28" s="150"/>
      <c r="R28" s="150"/>
      <c r="S28" s="150"/>
      <c r="T28" s="150"/>
      <c r="U28" s="150"/>
      <c r="V28" s="150"/>
      <c r="W28" s="150"/>
      <c r="X28" s="150"/>
      <c r="Y28" s="150"/>
      <c r="Z28" s="150"/>
      <c r="AA28" s="150"/>
      <c r="AB28" s="150"/>
      <c r="AC28" s="150"/>
      <c r="AD28" s="150"/>
      <c r="AE28" s="150"/>
      <c r="AF28" s="150"/>
      <c r="AG28" s="150"/>
      <c r="AH28" s="150"/>
      <c r="AI28" s="150"/>
      <c r="AJ28" s="151"/>
      <c r="AK28" s="94"/>
      <c r="AL28" s="94"/>
      <c r="AM28" s="94"/>
      <c r="AN28" s="94"/>
    </row>
    <row r="30" spans="2:40">
      <c r="B30" s="139" t="s">
        <v>1298</v>
      </c>
    </row>
    <row r="31" spans="2:40">
      <c r="B31" s="133" t="s">
        <v>1299</v>
      </c>
      <c r="C31" s="133" t="s">
        <v>1300</v>
      </c>
      <c r="D31" s="134" t="s">
        <v>1301</v>
      </c>
      <c r="E31" s="133" t="s">
        <v>1302</v>
      </c>
      <c r="F31" s="133" t="s">
        <v>1303</v>
      </c>
    </row>
    <row r="32" spans="2:40" ht="29.1">
      <c r="B32" s="110" t="s">
        <v>1314</v>
      </c>
      <c r="C32" s="114" t="s">
        <v>2151</v>
      </c>
      <c r="D32" s="51" t="s">
        <v>2204</v>
      </c>
      <c r="E32" s="152" t="s">
        <v>2205</v>
      </c>
      <c r="F32" s="135" t="s">
        <v>1310</v>
      </c>
    </row>
    <row r="33" spans="2:6" ht="43.5">
      <c r="B33" s="136" t="s">
        <v>1421</v>
      </c>
      <c r="C33" s="137" t="s">
        <v>1803</v>
      </c>
      <c r="D33" s="138" t="s">
        <v>1422</v>
      </c>
      <c r="E33" s="97" t="s">
        <v>2206</v>
      </c>
      <c r="F33" s="187" t="s">
        <v>1310</v>
      </c>
    </row>
    <row r="34" spans="2:6" ht="43.5">
      <c r="B34" s="136" t="s">
        <v>1421</v>
      </c>
      <c r="C34" s="137" t="s">
        <v>577</v>
      </c>
      <c r="D34" s="138" t="s">
        <v>1422</v>
      </c>
      <c r="E34" s="97" t="s">
        <v>2206</v>
      </c>
      <c r="F34" s="187" t="s">
        <v>1310</v>
      </c>
    </row>
    <row r="35" spans="2:6" ht="43.5">
      <c r="B35" s="136" t="s">
        <v>1421</v>
      </c>
      <c r="C35" s="137" t="s">
        <v>589</v>
      </c>
      <c r="D35" s="138" t="s">
        <v>1422</v>
      </c>
      <c r="E35" s="97" t="s">
        <v>2206</v>
      </c>
      <c r="F35" s="187" t="s">
        <v>1310</v>
      </c>
    </row>
    <row r="36" spans="2:6" ht="43.5">
      <c r="B36" s="136" t="s">
        <v>1421</v>
      </c>
      <c r="C36" s="137" t="s">
        <v>608</v>
      </c>
      <c r="D36" s="138" t="s">
        <v>1422</v>
      </c>
      <c r="E36" s="97" t="s">
        <v>2206</v>
      </c>
      <c r="F36" s="187" t="s">
        <v>1310</v>
      </c>
    </row>
    <row r="37" spans="2:6" ht="43.5">
      <c r="B37" s="136" t="s">
        <v>1421</v>
      </c>
      <c r="C37" s="137" t="s">
        <v>617</v>
      </c>
      <c r="D37" s="138" t="s">
        <v>1422</v>
      </c>
      <c r="E37" s="97" t="s">
        <v>2206</v>
      </c>
      <c r="F37" s="187" t="s">
        <v>1310</v>
      </c>
    </row>
    <row r="38" spans="2:6" ht="43.5">
      <c r="B38" s="136" t="s">
        <v>1421</v>
      </c>
      <c r="C38" s="137" t="s">
        <v>626</v>
      </c>
      <c r="D38" s="138" t="s">
        <v>1422</v>
      </c>
      <c r="E38" s="97" t="s">
        <v>2206</v>
      </c>
      <c r="F38" s="187" t="s">
        <v>1310</v>
      </c>
    </row>
    <row r="39" spans="2:6" ht="43.5">
      <c r="B39" s="136" t="s">
        <v>1421</v>
      </c>
      <c r="C39" s="137" t="s">
        <v>636</v>
      </c>
      <c r="D39" s="138" t="s">
        <v>1422</v>
      </c>
      <c r="E39" s="97" t="s">
        <v>2206</v>
      </c>
      <c r="F39" s="187" t="s">
        <v>1310</v>
      </c>
    </row>
    <row r="40" spans="2:6" ht="43.5">
      <c r="B40" s="136" t="s">
        <v>1421</v>
      </c>
      <c r="C40" s="137" t="s">
        <v>652</v>
      </c>
      <c r="D40" s="138" t="s">
        <v>1422</v>
      </c>
      <c r="E40" s="97" t="s">
        <v>2206</v>
      </c>
      <c r="F40" s="187" t="s">
        <v>1310</v>
      </c>
    </row>
    <row r="41" spans="2:6" ht="43.5">
      <c r="B41" s="136" t="s">
        <v>1431</v>
      </c>
      <c r="C41" s="137" t="s">
        <v>589</v>
      </c>
      <c r="D41" s="138" t="s">
        <v>1432</v>
      </c>
      <c r="E41" s="97" t="s">
        <v>2206</v>
      </c>
      <c r="F41" s="187" t="s">
        <v>1310</v>
      </c>
    </row>
    <row r="42" spans="2:6" ht="43.5">
      <c r="B42" s="136" t="s">
        <v>1431</v>
      </c>
      <c r="C42" s="137" t="s">
        <v>600</v>
      </c>
      <c r="D42" s="138" t="s">
        <v>1432</v>
      </c>
      <c r="E42" s="97" t="s">
        <v>2206</v>
      </c>
      <c r="F42" s="187" t="s">
        <v>1310</v>
      </c>
    </row>
    <row r="43" spans="2:6" ht="43.5">
      <c r="B43" s="136" t="s">
        <v>1431</v>
      </c>
      <c r="C43" s="137" t="s">
        <v>608</v>
      </c>
      <c r="D43" s="138" t="s">
        <v>1432</v>
      </c>
      <c r="E43" s="97" t="s">
        <v>2206</v>
      </c>
      <c r="F43" s="187" t="s">
        <v>1310</v>
      </c>
    </row>
    <row r="44" spans="2:6" ht="43.5">
      <c r="B44" s="110" t="s">
        <v>1431</v>
      </c>
      <c r="C44" s="137" t="s">
        <v>636</v>
      </c>
      <c r="D44" s="51" t="s">
        <v>1432</v>
      </c>
      <c r="E44" s="97" t="s">
        <v>2206</v>
      </c>
      <c r="F44" s="187" t="s">
        <v>1310</v>
      </c>
    </row>
    <row r="45" spans="2:6" ht="43.5">
      <c r="B45" s="110" t="s">
        <v>1431</v>
      </c>
      <c r="C45" s="114" t="s">
        <v>644</v>
      </c>
      <c r="D45" s="51" t="s">
        <v>1432</v>
      </c>
      <c r="E45" s="97" t="s">
        <v>2206</v>
      </c>
      <c r="F45" s="187" t="s">
        <v>1310</v>
      </c>
    </row>
    <row r="46" spans="2:6" ht="43.5">
      <c r="B46" s="136" t="s">
        <v>1431</v>
      </c>
      <c r="C46" s="137" t="s">
        <v>652</v>
      </c>
      <c r="D46" s="138" t="s">
        <v>1432</v>
      </c>
      <c r="E46" s="97" t="s">
        <v>2206</v>
      </c>
      <c r="F46" s="187" t="s">
        <v>1310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2.28515625" customWidth="1"/>
    <col min="21" max="21" width="41.140625" customWidth="1"/>
    <col min="22" max="22" width="21.5703125" customWidth="1"/>
    <col min="23" max="23" width="27.7109375" customWidth="1"/>
    <col min="24" max="24" width="46.42578125" customWidth="1"/>
  </cols>
  <sheetData>
    <row r="1" spans="2:15" ht="27.75" customHeight="1"/>
    <row r="2" spans="2:15">
      <c r="B2" s="77" t="s">
        <v>1375</v>
      </c>
      <c r="C2" s="77" t="s">
        <v>1250</v>
      </c>
      <c r="D2" s="77" t="s">
        <v>1251</v>
      </c>
      <c r="E2" s="77" t="s">
        <v>1252</v>
      </c>
      <c r="F2" s="77" t="s">
        <v>1253</v>
      </c>
      <c r="G2" s="77" t="s">
        <v>1254</v>
      </c>
      <c r="H2" s="77" t="s">
        <v>1255</v>
      </c>
      <c r="I2" s="77" t="s">
        <v>103</v>
      </c>
      <c r="J2" s="77" t="s">
        <v>134</v>
      </c>
      <c r="K2" s="77" t="s">
        <v>155</v>
      </c>
      <c r="L2" s="77" t="s">
        <v>162</v>
      </c>
      <c r="M2" s="77" t="s">
        <v>190</v>
      </c>
      <c r="N2" s="77" t="s">
        <v>289</v>
      </c>
      <c r="O2" s="77" t="s">
        <v>299</v>
      </c>
    </row>
    <row r="3" spans="2:15">
      <c r="B3" s="48" t="s">
        <v>1203</v>
      </c>
      <c r="C3" s="48">
        <v>1</v>
      </c>
      <c r="D3" s="48" t="s">
        <v>2207</v>
      </c>
      <c r="E3" s="95">
        <v>45492</v>
      </c>
      <c r="F3" s="48">
        <v>1</v>
      </c>
      <c r="G3" s="251" t="s">
        <v>2208</v>
      </c>
      <c r="H3" s="180" t="s">
        <v>2209</v>
      </c>
      <c r="I3" s="48" t="s">
        <v>1257</v>
      </c>
      <c r="J3" s="48" t="s">
        <v>1257</v>
      </c>
      <c r="K3" s="48" t="s">
        <v>1257</v>
      </c>
      <c r="L3" s="48" t="s">
        <v>1257</v>
      </c>
      <c r="M3" s="48" t="s">
        <v>1257</v>
      </c>
      <c r="N3" s="48" t="s">
        <v>1257</v>
      </c>
      <c r="O3" s="48" t="s">
        <v>1257</v>
      </c>
    </row>
    <row r="4" spans="2:15">
      <c r="B4" s="48" t="s">
        <v>1205</v>
      </c>
      <c r="C4" s="48">
        <v>2</v>
      </c>
      <c r="D4" s="48" t="s">
        <v>2210</v>
      </c>
      <c r="E4" s="95">
        <v>45492</v>
      </c>
      <c r="F4" s="48">
        <v>1</v>
      </c>
      <c r="G4" s="251" t="s">
        <v>2208</v>
      </c>
      <c r="H4" s="98">
        <v>0</v>
      </c>
      <c r="I4" s="48" t="s">
        <v>1257</v>
      </c>
      <c r="J4" s="48" t="s">
        <v>1257</v>
      </c>
      <c r="K4" s="48" t="s">
        <v>1257</v>
      </c>
      <c r="L4" s="48" t="s">
        <v>1257</v>
      </c>
      <c r="M4" s="48" t="s">
        <v>1257</v>
      </c>
      <c r="N4" s="48" t="s">
        <v>1257</v>
      </c>
      <c r="O4" s="48" t="s">
        <v>1257</v>
      </c>
    </row>
    <row r="5" spans="2:15">
      <c r="B5" s="48" t="s">
        <v>1207</v>
      </c>
      <c r="C5" s="48">
        <v>3</v>
      </c>
      <c r="D5" s="48" t="s">
        <v>2211</v>
      </c>
      <c r="E5" s="95">
        <v>45492</v>
      </c>
      <c r="F5" s="48">
        <v>1</v>
      </c>
      <c r="G5" s="251" t="s">
        <v>2208</v>
      </c>
      <c r="H5" s="98">
        <v>0</v>
      </c>
      <c r="I5" s="48">
        <v>0</v>
      </c>
      <c r="J5" s="48">
        <v>0</v>
      </c>
      <c r="K5" s="48">
        <v>0</v>
      </c>
      <c r="L5" s="48">
        <v>0</v>
      </c>
      <c r="M5" s="48">
        <v>0</v>
      </c>
      <c r="N5" s="48">
        <v>0</v>
      </c>
      <c r="O5" s="48" t="s">
        <v>1257</v>
      </c>
    </row>
    <row r="6" spans="2:15">
      <c r="B6" s="97" t="s">
        <v>1209</v>
      </c>
      <c r="C6" s="48">
        <v>4</v>
      </c>
      <c r="D6" s="48" t="s">
        <v>1260</v>
      </c>
      <c r="E6" s="95" t="s">
        <v>1257</v>
      </c>
      <c r="F6" s="48">
        <v>1</v>
      </c>
      <c r="G6" s="95" t="s">
        <v>1257</v>
      </c>
      <c r="H6" s="98">
        <v>0</v>
      </c>
      <c r="I6" s="48" t="s">
        <v>1257</v>
      </c>
      <c r="J6" s="48" t="s">
        <v>1257</v>
      </c>
      <c r="K6" s="48" t="s">
        <v>1257</v>
      </c>
      <c r="L6" s="48" t="s">
        <v>1257</v>
      </c>
      <c r="M6" s="48" t="s">
        <v>1257</v>
      </c>
      <c r="N6" s="48" t="s">
        <v>1257</v>
      </c>
      <c r="O6" s="48" t="s">
        <v>1257</v>
      </c>
    </row>
    <row r="7" spans="2:15">
      <c r="B7" s="48" t="s">
        <v>1211</v>
      </c>
      <c r="C7" s="48">
        <v>5</v>
      </c>
      <c r="D7" s="48" t="s">
        <v>1260</v>
      </c>
      <c r="E7" s="95" t="s">
        <v>1257</v>
      </c>
      <c r="F7" s="48">
        <v>1</v>
      </c>
      <c r="G7" s="95" t="s">
        <v>1257</v>
      </c>
      <c r="H7" s="98">
        <v>0</v>
      </c>
      <c r="I7" s="48" t="s">
        <v>1257</v>
      </c>
      <c r="J7" s="48" t="s">
        <v>1257</v>
      </c>
      <c r="K7" s="48" t="s">
        <v>1257</v>
      </c>
      <c r="L7" s="48" t="s">
        <v>1257</v>
      </c>
      <c r="M7" s="48" t="s">
        <v>1257</v>
      </c>
      <c r="N7" s="48" t="s">
        <v>1257</v>
      </c>
      <c r="O7" s="48" t="s">
        <v>1257</v>
      </c>
    </row>
    <row r="8" spans="2:15">
      <c r="B8" s="97" t="s">
        <v>1212</v>
      </c>
      <c r="C8" s="48">
        <v>6</v>
      </c>
      <c r="D8" s="48" t="s">
        <v>2212</v>
      </c>
      <c r="E8" s="95">
        <v>45492</v>
      </c>
      <c r="F8" s="48">
        <v>1</v>
      </c>
      <c r="G8" s="207" cm="1">
        <f t="array" ref="G8">SUMPRODUCT(--(I8:O8&gt;0))/COUNTA(I8:O8)</f>
        <v>1</v>
      </c>
      <c r="H8" s="98">
        <v>0</v>
      </c>
      <c r="I8" s="48">
        <v>2</v>
      </c>
      <c r="J8" s="48">
        <v>30</v>
      </c>
      <c r="K8" s="48">
        <v>3</v>
      </c>
      <c r="L8" s="48">
        <v>3</v>
      </c>
      <c r="M8" s="48">
        <v>3</v>
      </c>
      <c r="N8" s="48">
        <v>10</v>
      </c>
      <c r="O8" s="48">
        <v>23</v>
      </c>
    </row>
    <row r="9" spans="2:15">
      <c r="B9" s="48" t="s">
        <v>1215</v>
      </c>
      <c r="C9" s="48">
        <v>7</v>
      </c>
      <c r="D9" s="48" t="s">
        <v>2213</v>
      </c>
      <c r="E9" s="95">
        <v>45492</v>
      </c>
      <c r="F9" s="48">
        <v>1</v>
      </c>
      <c r="G9" s="207" t="e" cm="1">
        <f t="array" ref="G9">SUMPRODUCT(--(I9:O9 &lt;= I28:O28))/COUNTA(I28:O28)</f>
        <v>#DIV/0!</v>
      </c>
      <c r="H9" s="98">
        <v>0</v>
      </c>
      <c r="I9" s="48">
        <v>2</v>
      </c>
      <c r="J9" s="48">
        <v>30</v>
      </c>
      <c r="K9" s="48">
        <v>3</v>
      </c>
      <c r="L9" s="48">
        <v>3</v>
      </c>
      <c r="M9" s="48">
        <v>3</v>
      </c>
      <c r="N9" s="48">
        <v>10</v>
      </c>
      <c r="O9" s="48">
        <v>23</v>
      </c>
    </row>
    <row r="10" spans="2:15">
      <c r="B10" s="48" t="s">
        <v>1218</v>
      </c>
      <c r="C10" s="48">
        <v>8</v>
      </c>
      <c r="D10" s="48" t="s">
        <v>2214</v>
      </c>
      <c r="E10" s="95">
        <v>45492</v>
      </c>
      <c r="F10" s="48">
        <v>1</v>
      </c>
      <c r="G10" s="95" t="s">
        <v>1257</v>
      </c>
      <c r="H10" s="98">
        <v>0</v>
      </c>
      <c r="I10" s="48">
        <v>31</v>
      </c>
      <c r="J10" s="48">
        <v>2.317541E+21</v>
      </c>
      <c r="K10" s="48" t="s">
        <v>2044</v>
      </c>
      <c r="L10" s="48">
        <v>96</v>
      </c>
      <c r="M10" s="48">
        <v>1</v>
      </c>
      <c r="N10" s="95">
        <v>45492</v>
      </c>
      <c r="O10" s="95" t="s">
        <v>2215</v>
      </c>
    </row>
    <row r="11" spans="2:15">
      <c r="B11" s="48" t="s">
        <v>1220</v>
      </c>
      <c r="C11" s="48">
        <v>9</v>
      </c>
      <c r="D11" s="48" t="s">
        <v>2216</v>
      </c>
      <c r="E11" s="95">
        <v>45492</v>
      </c>
      <c r="F11" s="48">
        <v>1</v>
      </c>
      <c r="G11" s="95" t="s">
        <v>1257</v>
      </c>
      <c r="H11" s="98">
        <v>0</v>
      </c>
      <c r="I11" s="48">
        <v>31</v>
      </c>
      <c r="J11" s="48">
        <v>2.317541E+21</v>
      </c>
      <c r="K11" s="48" t="s">
        <v>2044</v>
      </c>
      <c r="L11" s="48">
        <v>96</v>
      </c>
      <c r="M11" s="48">
        <v>1</v>
      </c>
      <c r="N11" s="95">
        <v>45492</v>
      </c>
      <c r="O11" s="95" t="s">
        <v>2217</v>
      </c>
    </row>
    <row r="12" spans="2:15">
      <c r="B12" s="97" t="s">
        <v>1222</v>
      </c>
      <c r="C12" s="48">
        <v>10</v>
      </c>
      <c r="D12" s="48" t="s">
        <v>2218</v>
      </c>
      <c r="E12" s="95">
        <v>45492</v>
      </c>
      <c r="F12" s="48">
        <v>1</v>
      </c>
      <c r="G12" s="95" t="s">
        <v>1257</v>
      </c>
      <c r="H12" s="98">
        <v>0</v>
      </c>
      <c r="I12" s="48">
        <v>31</v>
      </c>
      <c r="J12" s="48">
        <v>6.8350096000050594E+29</v>
      </c>
      <c r="K12" s="48" t="s">
        <v>2044</v>
      </c>
      <c r="L12" s="48">
        <v>96</v>
      </c>
      <c r="M12" s="48" t="s">
        <v>2053</v>
      </c>
      <c r="N12" s="95">
        <v>45492</v>
      </c>
      <c r="O12" s="95" t="s">
        <v>2215</v>
      </c>
    </row>
    <row r="13" spans="2:15">
      <c r="B13" s="48" t="s">
        <v>1224</v>
      </c>
      <c r="C13" s="48">
        <v>11</v>
      </c>
      <c r="D13" s="48" t="s">
        <v>2219</v>
      </c>
      <c r="E13" s="95">
        <v>45492</v>
      </c>
      <c r="F13" s="48">
        <v>1</v>
      </c>
      <c r="G13" s="95" t="s">
        <v>1257</v>
      </c>
      <c r="H13" s="98">
        <v>0</v>
      </c>
      <c r="I13" s="48">
        <v>31</v>
      </c>
      <c r="J13" s="48">
        <v>6.8350096000050594E+29</v>
      </c>
      <c r="K13" s="48" t="s">
        <v>2044</v>
      </c>
      <c r="L13" s="48">
        <v>96</v>
      </c>
      <c r="M13" s="48" t="s">
        <v>2053</v>
      </c>
      <c r="N13" s="95">
        <v>45492</v>
      </c>
      <c r="O13" s="95" t="s">
        <v>2220</v>
      </c>
    </row>
    <row r="14" spans="2:15">
      <c r="B14" s="48" t="s">
        <v>1226</v>
      </c>
      <c r="C14" s="48">
        <v>12</v>
      </c>
      <c r="D14" s="48" t="s">
        <v>2221</v>
      </c>
      <c r="E14" s="95">
        <v>45492</v>
      </c>
      <c r="F14" s="48">
        <v>1</v>
      </c>
      <c r="G14" s="251" t="s">
        <v>2208</v>
      </c>
      <c r="H14" s="98">
        <v>0</v>
      </c>
      <c r="I14" s="48">
        <v>0</v>
      </c>
      <c r="J14" s="48">
        <v>0</v>
      </c>
      <c r="K14" s="48">
        <v>0</v>
      </c>
      <c r="L14" s="48">
        <v>0</v>
      </c>
      <c r="M14" s="48">
        <v>0</v>
      </c>
      <c r="N14" s="48">
        <v>0</v>
      </c>
      <c r="O14" s="48">
        <v>0</v>
      </c>
    </row>
    <row r="15" spans="2:15">
      <c r="B15" s="48" t="s">
        <v>1228</v>
      </c>
      <c r="C15" s="48">
        <v>13</v>
      </c>
      <c r="D15" s="48" t="s">
        <v>2222</v>
      </c>
      <c r="E15" s="95">
        <v>45492</v>
      </c>
      <c r="F15" s="48">
        <v>1</v>
      </c>
      <c r="G15" s="251" t="s">
        <v>2208</v>
      </c>
      <c r="H15" s="98">
        <v>0</v>
      </c>
      <c r="I15" s="48" t="s">
        <v>1257</v>
      </c>
      <c r="J15" s="48" t="s">
        <v>1257</v>
      </c>
      <c r="K15" s="48" t="s">
        <v>1257</v>
      </c>
      <c r="L15" s="48" t="s">
        <v>1257</v>
      </c>
      <c r="M15" s="48" t="s">
        <v>1257</v>
      </c>
      <c r="N15" s="95">
        <v>0</v>
      </c>
      <c r="O15" s="95" t="s">
        <v>1257</v>
      </c>
    </row>
    <row r="16" spans="2:15">
      <c r="B16" s="48" t="s">
        <v>1230</v>
      </c>
      <c r="C16" s="48">
        <v>14</v>
      </c>
      <c r="D16" s="48" t="s">
        <v>2223</v>
      </c>
      <c r="E16" s="95">
        <v>45492</v>
      </c>
      <c r="F16" s="48">
        <v>1</v>
      </c>
      <c r="G16" s="251" t="s">
        <v>2208</v>
      </c>
      <c r="H16" s="98">
        <v>0</v>
      </c>
      <c r="I16" s="48">
        <v>0</v>
      </c>
      <c r="J16" s="48">
        <v>0</v>
      </c>
      <c r="K16" s="48">
        <v>0</v>
      </c>
      <c r="L16" s="48">
        <v>0</v>
      </c>
      <c r="M16" s="48">
        <v>0</v>
      </c>
      <c r="N16" s="48">
        <v>0</v>
      </c>
      <c r="O16" s="48" t="s">
        <v>1257</v>
      </c>
    </row>
    <row r="17" spans="2:24">
      <c r="B17" s="48" t="s">
        <v>1232</v>
      </c>
      <c r="C17" s="48">
        <v>15</v>
      </c>
      <c r="D17" s="48" t="s">
        <v>2224</v>
      </c>
      <c r="E17" s="95">
        <v>45492</v>
      </c>
      <c r="F17" s="48">
        <v>1</v>
      </c>
      <c r="G17" s="251" t="s">
        <v>2208</v>
      </c>
      <c r="H17" s="98">
        <v>0</v>
      </c>
      <c r="I17" s="48" t="s">
        <v>1257</v>
      </c>
      <c r="J17" s="48" t="s">
        <v>1257</v>
      </c>
      <c r="K17" s="48" t="s">
        <v>1257</v>
      </c>
      <c r="L17" s="48" t="s">
        <v>1257</v>
      </c>
      <c r="M17" s="48" t="s">
        <v>1257</v>
      </c>
      <c r="N17" s="97" t="s">
        <v>1257</v>
      </c>
      <c r="O17" s="97" t="s">
        <v>1257</v>
      </c>
    </row>
    <row r="18" spans="2:24">
      <c r="B18" s="48" t="s">
        <v>1234</v>
      </c>
      <c r="C18" s="48">
        <v>16</v>
      </c>
      <c r="D18" s="48" t="s">
        <v>2224</v>
      </c>
      <c r="E18" s="95">
        <v>45492</v>
      </c>
      <c r="F18" s="48">
        <v>1</v>
      </c>
      <c r="G18" s="251" t="s">
        <v>2208</v>
      </c>
      <c r="H18" s="98">
        <v>0</v>
      </c>
      <c r="I18" s="48" t="s">
        <v>1257</v>
      </c>
      <c r="J18" s="48" t="s">
        <v>1257</v>
      </c>
      <c r="K18" s="48" t="s">
        <v>1257</v>
      </c>
      <c r="L18" s="48" t="s">
        <v>1257</v>
      </c>
      <c r="M18" s="48" t="s">
        <v>1257</v>
      </c>
      <c r="N18" s="97" t="s">
        <v>1257</v>
      </c>
      <c r="O18" s="97" t="s">
        <v>1257</v>
      </c>
    </row>
    <row r="19" spans="2:24">
      <c r="B19" s="48" t="s">
        <v>1236</v>
      </c>
      <c r="C19" s="48">
        <v>17</v>
      </c>
      <c r="D19" s="48" t="s">
        <v>2225</v>
      </c>
      <c r="E19" s="95">
        <v>45492</v>
      </c>
      <c r="F19" s="48">
        <v>1</v>
      </c>
      <c r="G19" s="251" t="s">
        <v>2208</v>
      </c>
      <c r="H19" s="98">
        <v>0</v>
      </c>
      <c r="I19" s="48" t="s">
        <v>1291</v>
      </c>
      <c r="J19" s="48" t="s">
        <v>1291</v>
      </c>
      <c r="K19" s="48" t="s">
        <v>1291</v>
      </c>
      <c r="L19" s="48" t="s">
        <v>1291</v>
      </c>
      <c r="M19" s="48" t="s">
        <v>1291</v>
      </c>
      <c r="N19" s="48" t="s">
        <v>1291</v>
      </c>
      <c r="O19" s="48" t="s">
        <v>1293</v>
      </c>
    </row>
    <row r="20" spans="2:24">
      <c r="B20" s="48" t="s">
        <v>1238</v>
      </c>
      <c r="C20" s="48">
        <v>18</v>
      </c>
      <c r="D20" s="48" t="s">
        <v>2226</v>
      </c>
      <c r="E20" s="95">
        <v>45516</v>
      </c>
      <c r="F20" s="48">
        <v>1</v>
      </c>
      <c r="G20" s="251" t="s">
        <v>2208</v>
      </c>
      <c r="H20" s="98">
        <v>0</v>
      </c>
      <c r="I20" s="48" t="s">
        <v>1257</v>
      </c>
      <c r="J20" s="48" t="s">
        <v>1257</v>
      </c>
      <c r="K20" s="48" t="s">
        <v>1257</v>
      </c>
      <c r="L20" s="48" t="s">
        <v>1257</v>
      </c>
      <c r="M20" s="48" t="s">
        <v>1257</v>
      </c>
      <c r="N20" s="48" t="s">
        <v>1257</v>
      </c>
      <c r="O20" s="48" t="s">
        <v>1257</v>
      </c>
    </row>
    <row r="21" spans="2:24">
      <c r="B21" s="48" t="s">
        <v>1240</v>
      </c>
      <c r="C21" s="48">
        <v>19</v>
      </c>
      <c r="D21" s="48" t="s">
        <v>2227</v>
      </c>
      <c r="E21" s="95">
        <v>45492</v>
      </c>
      <c r="F21" s="48">
        <v>1</v>
      </c>
      <c r="G21" s="251" cm="1">
        <f t="array" aca="1" ref="G21" ca="1">SUMPRODUCT(--(ISNUMBER((SEARCH(I27:O27,I21:O21)))))/COUNTA(I21:O21)</f>
        <v>0.8571428571428571</v>
      </c>
      <c r="H21" s="98">
        <v>0</v>
      </c>
      <c r="I21" s="48" t="s">
        <v>1257</v>
      </c>
      <c r="J21" s="48" t="s">
        <v>1257</v>
      </c>
      <c r="K21" s="48" t="s">
        <v>1257</v>
      </c>
      <c r="L21" s="48" t="s">
        <v>1257</v>
      </c>
      <c r="M21" s="48" t="s">
        <v>1257</v>
      </c>
      <c r="N21" s="48" t="s">
        <v>1257</v>
      </c>
      <c r="O21" s="48" t="s">
        <v>1257</v>
      </c>
    </row>
    <row r="22" spans="2:24">
      <c r="B22" s="48" t="s">
        <v>1243</v>
      </c>
      <c r="C22" s="48">
        <v>20</v>
      </c>
      <c r="D22" s="48"/>
      <c r="E22" s="95"/>
      <c r="F22" s="48"/>
      <c r="G22" s="191" t="e" cm="1" vm="1">
        <f t="array" ref="G22">SUM(IF(I2:O2 = I26:O26, 1, 0))/ COUNTA(I2:O2)</f>
        <v>#VALUE!</v>
      </c>
      <c r="H22" s="48"/>
      <c r="I22" s="48"/>
      <c r="J22" s="48"/>
      <c r="K22" s="48"/>
      <c r="L22" s="48"/>
      <c r="M22" s="48"/>
      <c r="N22" s="48"/>
      <c r="O22" s="48"/>
    </row>
    <row r="23" spans="2:24">
      <c r="B23" s="48" t="s">
        <v>1246</v>
      </c>
      <c r="C23" s="48">
        <v>21</v>
      </c>
      <c r="D23" s="48"/>
      <c r="E23" s="95"/>
      <c r="F23" s="48"/>
      <c r="G23" s="191" t="e" cm="1">
        <f t="array" aca="1" ref="G23" ca="1">SUM(IF(IF(G3:G22="null",1,G3:G22)=1,1,0))/COUNT(IF(G3:G22="null",1,1))</f>
        <v>#DIV/0!</v>
      </c>
      <c r="H23" s="48"/>
      <c r="I23" s="48"/>
      <c r="J23" s="48"/>
      <c r="K23" s="48"/>
      <c r="L23" s="48"/>
      <c r="M23" s="48"/>
      <c r="N23" s="48"/>
      <c r="O23" s="48"/>
    </row>
    <row r="25" spans="2:24">
      <c r="B25" s="129" t="s">
        <v>1364</v>
      </c>
    </row>
    <row r="26" spans="2:24">
      <c r="B26" s="127" t="s">
        <v>1249</v>
      </c>
      <c r="C26" s="128" t="s">
        <v>1250</v>
      </c>
      <c r="D26" s="128" t="s">
        <v>1251</v>
      </c>
      <c r="E26" s="128" t="s">
        <v>1252</v>
      </c>
      <c r="F26" s="128" t="s">
        <v>1253</v>
      </c>
      <c r="G26" s="128" t="s">
        <v>1254</v>
      </c>
      <c r="H26" s="128" t="s">
        <v>1255</v>
      </c>
      <c r="I26" s="128" t="e" cm="1" vm="2">
        <f t="array" ref="I26">TRANSPOSE(_xlfn.SORTBY(_xlfn._xlws.FILTER(Table3[NOME FÍSICO CAMPO],Table3[NOME FÍSICO TABELA]="contract"), _xlfn._xlws.FILTER(Table3[ORDEM], Table3[NOME FÍSICO TABELA]="contract"), 1))</f>
        <v>#VALUE!</v>
      </c>
      <c r="J26" s="128"/>
      <c r="K26" s="128"/>
      <c r="L26" s="128"/>
      <c r="M26" s="128"/>
      <c r="N26" s="128"/>
      <c r="O26" s="128"/>
      <c r="P26" s="128"/>
      <c r="Q26" s="128"/>
      <c r="R26" s="128"/>
      <c r="S26" s="128"/>
      <c r="T26" s="215"/>
      <c r="U26" s="215"/>
      <c r="V26" s="215"/>
      <c r="W26" s="215"/>
      <c r="X26" s="215"/>
    </row>
    <row r="27" spans="2:24">
      <c r="B27" s="106" t="s">
        <v>1294</v>
      </c>
      <c r="C27" s="94">
        <v>21</v>
      </c>
      <c r="D27" s="93" t="s">
        <v>1295</v>
      </c>
      <c r="E27" t="s">
        <v>1296</v>
      </c>
      <c r="F27" t="s">
        <v>124</v>
      </c>
      <c r="G27" t="s">
        <v>124</v>
      </c>
      <c r="H27" t="s">
        <v>124</v>
      </c>
      <c r="I27" t="e" cm="1" vm="2">
        <f t="array" aca="1" ref="I27" ca="1">TRANSPOSE(_xlfn.SORTBY(_xlfn._xlws.FILTER(IF(Table3[FORMATO]:Table3[COMP_ CAMPO]&lt;&gt;"",Table3[FORMATO]:Table3[COMP_ CAMPO],9999999),Table3[NOME FÍSICO TABELA]="contract"), _xlfn._xlws.FILTER(Table3[ORDEM], Table3[NOME FÍSICO TABELA]="contract"), 1))</f>
        <v>#VALUE!</v>
      </c>
    </row>
    <row r="28" spans="2:24">
      <c r="B28" s="106" t="s">
        <v>1297</v>
      </c>
      <c r="C28" s="150">
        <v>7</v>
      </c>
      <c r="D28" s="105" t="s">
        <v>1295</v>
      </c>
      <c r="E28" s="104" t="s">
        <v>1296</v>
      </c>
      <c r="F28" s="104" t="s">
        <v>124</v>
      </c>
      <c r="G28" s="104" t="s">
        <v>124</v>
      </c>
      <c r="H28" s="104" t="s">
        <v>124</v>
      </c>
      <c r="I28" s="150"/>
      <c r="J28" s="150"/>
      <c r="K28" s="150"/>
      <c r="L28" s="150"/>
      <c r="M28" s="150"/>
      <c r="N28" s="150"/>
      <c r="O28" s="150"/>
      <c r="P28" s="150"/>
      <c r="Q28" s="150"/>
      <c r="R28" s="150"/>
      <c r="S28" s="150"/>
      <c r="T28" s="94"/>
      <c r="U28" s="94"/>
      <c r="V28" s="94"/>
      <c r="W28" s="94"/>
      <c r="X28" s="94"/>
    </row>
    <row r="30" spans="2:24">
      <c r="B30" s="139" t="s">
        <v>1298</v>
      </c>
    </row>
    <row r="31" spans="2:24">
      <c r="B31" s="133" t="s">
        <v>1299</v>
      </c>
      <c r="C31" s="133" t="s">
        <v>1300</v>
      </c>
      <c r="D31" s="134" t="s">
        <v>1301</v>
      </c>
      <c r="E31" s="133" t="s">
        <v>1302</v>
      </c>
      <c r="F31" s="133" t="s">
        <v>1303</v>
      </c>
    </row>
    <row r="32" spans="2:24" ht="29.1">
      <c r="B32" s="110" t="s">
        <v>1421</v>
      </c>
      <c r="C32" s="114" t="s">
        <v>2151</v>
      </c>
      <c r="D32" s="51" t="s">
        <v>2228</v>
      </c>
      <c r="E32" s="152" t="s">
        <v>2229</v>
      </c>
      <c r="F32" s="135" t="s">
        <v>1310</v>
      </c>
    </row>
    <row r="33" spans="2:6" ht="29.1">
      <c r="B33" s="136" t="s">
        <v>1431</v>
      </c>
      <c r="C33" s="137" t="s">
        <v>2151</v>
      </c>
      <c r="D33" s="138" t="s">
        <v>2228</v>
      </c>
      <c r="E33" s="252" t="s">
        <v>2229</v>
      </c>
      <c r="F33" s="187" t="s">
        <v>1310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27.7109375" customWidth="1"/>
    <col min="19" max="19" width="46.42578125" customWidth="1"/>
  </cols>
  <sheetData>
    <row r="1" spans="2:18" ht="27.75" customHeight="1"/>
    <row r="2" spans="2:18">
      <c r="B2" s="77" t="s">
        <v>1375</v>
      </c>
      <c r="C2" s="77" t="s">
        <v>1250</v>
      </c>
      <c r="D2" s="77" t="s">
        <v>1251</v>
      </c>
      <c r="E2" s="77" t="s">
        <v>1252</v>
      </c>
      <c r="F2" s="77" t="s">
        <v>1253</v>
      </c>
      <c r="G2" s="77" t="s">
        <v>1254</v>
      </c>
      <c r="H2" s="77" t="s">
        <v>1255</v>
      </c>
      <c r="I2" s="77" t="s">
        <v>103</v>
      </c>
      <c r="J2" s="77" t="s">
        <v>134</v>
      </c>
      <c r="K2" s="128" t="s">
        <v>715</v>
      </c>
      <c r="L2" s="128" t="s">
        <v>2230</v>
      </c>
      <c r="M2" s="77" t="s">
        <v>2231</v>
      </c>
      <c r="N2" s="77" t="s">
        <v>2232</v>
      </c>
      <c r="O2" s="77" t="s">
        <v>214</v>
      </c>
      <c r="P2" s="77" t="s">
        <v>234</v>
      </c>
      <c r="Q2" s="77" t="s">
        <v>253</v>
      </c>
      <c r="R2" s="77"/>
    </row>
    <row r="3" spans="2:18">
      <c r="B3" s="48" t="s">
        <v>1203</v>
      </c>
      <c r="C3" s="48">
        <v>1</v>
      </c>
      <c r="D3" s="48" t="s">
        <v>2233</v>
      </c>
      <c r="E3" s="95">
        <v>45534</v>
      </c>
      <c r="F3" s="48">
        <v>1</v>
      </c>
      <c r="G3" s="251">
        <v>1</v>
      </c>
      <c r="H3" s="180">
        <v>10349</v>
      </c>
      <c r="I3" s="48" t="s">
        <v>1257</v>
      </c>
      <c r="J3" s="48" t="s">
        <v>1257</v>
      </c>
      <c r="K3" s="48" t="s">
        <v>1257</v>
      </c>
      <c r="L3" s="48" t="s">
        <v>1257</v>
      </c>
      <c r="M3" s="48" t="s">
        <v>1257</v>
      </c>
      <c r="N3" s="48" t="s">
        <v>1257</v>
      </c>
      <c r="O3" s="48" t="s">
        <v>1257</v>
      </c>
      <c r="P3" s="48" t="s">
        <v>1257</v>
      </c>
      <c r="Q3" s="48" t="s">
        <v>1257</v>
      </c>
      <c r="R3" s="48"/>
    </row>
    <row r="4" spans="2:18">
      <c r="B4" s="48" t="s">
        <v>1205</v>
      </c>
      <c r="C4" s="48">
        <v>2</v>
      </c>
      <c r="D4" s="48" t="s">
        <v>2234</v>
      </c>
      <c r="E4" s="95">
        <v>45534</v>
      </c>
      <c r="F4" s="48">
        <v>1</v>
      </c>
      <c r="G4" s="251">
        <v>1</v>
      </c>
      <c r="H4" s="48" t="s">
        <v>1266</v>
      </c>
      <c r="I4" s="48" t="s">
        <v>1257</v>
      </c>
      <c r="J4" s="48" t="s">
        <v>1257</v>
      </c>
      <c r="K4" s="48" t="s">
        <v>1257</v>
      </c>
      <c r="L4" s="48" t="s">
        <v>1257</v>
      </c>
      <c r="M4" s="48" t="s">
        <v>1257</v>
      </c>
      <c r="N4" s="48" t="s">
        <v>1257</v>
      </c>
      <c r="O4" s="48" t="s">
        <v>1257</v>
      </c>
      <c r="P4" s="48" t="s">
        <v>1257</v>
      </c>
      <c r="Q4" s="48" t="s">
        <v>1257</v>
      </c>
      <c r="R4" s="48"/>
    </row>
    <row r="5" spans="2:18">
      <c r="B5" s="48" t="s">
        <v>1207</v>
      </c>
      <c r="C5" s="48">
        <v>3</v>
      </c>
      <c r="D5" s="48" t="s">
        <v>2235</v>
      </c>
      <c r="E5" s="95">
        <v>45534</v>
      </c>
      <c r="F5" s="48">
        <v>1</v>
      </c>
      <c r="G5" s="251">
        <v>1</v>
      </c>
      <c r="H5" s="48" t="s">
        <v>1266</v>
      </c>
      <c r="I5" s="48">
        <v>0</v>
      </c>
      <c r="J5" s="48">
        <v>0</v>
      </c>
      <c r="K5" s="48">
        <v>0</v>
      </c>
      <c r="L5" s="48" t="s">
        <v>1257</v>
      </c>
      <c r="M5" s="48" t="s">
        <v>1257</v>
      </c>
      <c r="N5" s="48" t="s">
        <v>1257</v>
      </c>
      <c r="O5" s="48" t="s">
        <v>1257</v>
      </c>
      <c r="P5" s="48">
        <v>0</v>
      </c>
      <c r="Q5" s="48" t="s">
        <v>1257</v>
      </c>
      <c r="R5" s="48"/>
    </row>
    <row r="6" spans="2:18">
      <c r="B6" s="97" t="s">
        <v>1209</v>
      </c>
      <c r="C6" s="48">
        <v>4</v>
      </c>
      <c r="D6" s="48" t="s">
        <v>1260</v>
      </c>
      <c r="E6" s="95" t="s">
        <v>1257</v>
      </c>
      <c r="F6" s="48">
        <v>1</v>
      </c>
      <c r="G6" s="95" t="s">
        <v>1257</v>
      </c>
      <c r="H6" s="48" t="s">
        <v>1257</v>
      </c>
      <c r="I6" s="48" t="s">
        <v>1257</v>
      </c>
      <c r="J6" s="48" t="s">
        <v>1257</v>
      </c>
      <c r="K6" s="48" t="s">
        <v>1257</v>
      </c>
      <c r="L6" s="48" t="s">
        <v>1257</v>
      </c>
      <c r="M6" s="48" t="s">
        <v>1257</v>
      </c>
      <c r="N6" s="48" t="s">
        <v>1257</v>
      </c>
      <c r="O6" s="48" t="s">
        <v>1257</v>
      </c>
      <c r="P6" s="48" t="s">
        <v>1257</v>
      </c>
      <c r="Q6" s="48" t="s">
        <v>1257</v>
      </c>
      <c r="R6" s="48"/>
    </row>
    <row r="7" spans="2:18">
      <c r="B7" s="48" t="s">
        <v>1211</v>
      </c>
      <c r="C7" s="48">
        <v>5</v>
      </c>
      <c r="D7" s="48" t="s">
        <v>1260</v>
      </c>
      <c r="E7" s="95" t="s">
        <v>1257</v>
      </c>
      <c r="F7" s="48">
        <v>1</v>
      </c>
      <c r="G7" s="95" t="s">
        <v>1257</v>
      </c>
      <c r="H7" s="48" t="s">
        <v>1257</v>
      </c>
      <c r="I7" s="48" t="s">
        <v>1257</v>
      </c>
      <c r="J7" s="48" t="s">
        <v>1257</v>
      </c>
      <c r="K7" s="48" t="s">
        <v>1257</v>
      </c>
      <c r="L7" s="48" t="s">
        <v>1257</v>
      </c>
      <c r="M7" s="48" t="s">
        <v>1257</v>
      </c>
      <c r="N7" s="48" t="s">
        <v>1257</v>
      </c>
      <c r="O7" s="48" t="s">
        <v>1257</v>
      </c>
      <c r="P7" s="48" t="s">
        <v>1257</v>
      </c>
      <c r="Q7" s="48" t="s">
        <v>1257</v>
      </c>
      <c r="R7" s="48"/>
    </row>
    <row r="8" spans="2:18">
      <c r="B8" s="97" t="s">
        <v>1212</v>
      </c>
      <c r="C8" s="48">
        <v>6</v>
      </c>
      <c r="D8" s="48" t="s">
        <v>2236</v>
      </c>
      <c r="E8" s="95">
        <v>45534</v>
      </c>
      <c r="F8" s="48">
        <v>1</v>
      </c>
      <c r="G8" s="207" cm="1">
        <f t="array" ref="G8">SUMPRODUCT(--(I8:O8&gt;0))/COUNTA(I8:O8)</f>
        <v>1</v>
      </c>
      <c r="H8" s="48" t="s">
        <v>1266</v>
      </c>
      <c r="I8" s="48">
        <v>2</v>
      </c>
      <c r="J8" s="48">
        <v>30</v>
      </c>
      <c r="K8" s="48">
        <v>1</v>
      </c>
      <c r="L8" s="48">
        <v>1</v>
      </c>
      <c r="M8" s="48">
        <v>1</v>
      </c>
      <c r="N8" s="48">
        <v>1</v>
      </c>
      <c r="O8" s="48">
        <v>2</v>
      </c>
      <c r="P8" s="48">
        <v>10</v>
      </c>
      <c r="Q8" s="48">
        <v>23</v>
      </c>
      <c r="R8" s="48"/>
    </row>
    <row r="9" spans="2:18">
      <c r="B9" s="48" t="s">
        <v>1215</v>
      </c>
      <c r="C9" s="48">
        <v>7</v>
      </c>
      <c r="D9" s="48" t="s">
        <v>2237</v>
      </c>
      <c r="E9" s="95">
        <v>45534</v>
      </c>
      <c r="F9" s="48">
        <v>1</v>
      </c>
      <c r="G9" s="207" t="e" cm="1">
        <f t="array" ref="G9">SUMPRODUCT(--(I9:Q9 &lt;= I26:Q26))/COUNTA(I26:Q26)</f>
        <v>#DIV/0!</v>
      </c>
      <c r="H9" s="48" t="s">
        <v>1266</v>
      </c>
      <c r="I9" s="48">
        <v>2</v>
      </c>
      <c r="J9" s="48">
        <v>30</v>
      </c>
      <c r="K9" s="48">
        <v>2</v>
      </c>
      <c r="L9" s="48">
        <v>35</v>
      </c>
      <c r="M9" s="48">
        <v>28</v>
      </c>
      <c r="N9" s="48">
        <v>31</v>
      </c>
      <c r="O9" s="48">
        <v>2</v>
      </c>
      <c r="P9" s="48">
        <v>10</v>
      </c>
      <c r="Q9" s="48">
        <v>23</v>
      </c>
      <c r="R9" s="48"/>
    </row>
    <row r="10" spans="2:18">
      <c r="B10" s="48" t="s">
        <v>1218</v>
      </c>
      <c r="C10" s="48">
        <v>8</v>
      </c>
      <c r="D10" s="48" t="s">
        <v>2238</v>
      </c>
      <c r="E10" s="95">
        <v>45534</v>
      </c>
      <c r="F10" s="48">
        <v>1</v>
      </c>
      <c r="G10" s="95" t="s">
        <v>1257</v>
      </c>
      <c r="H10" s="48" t="s">
        <v>1266</v>
      </c>
      <c r="I10" s="48">
        <v>31</v>
      </c>
      <c r="J10" s="48">
        <v>6.6350038000872803E+29</v>
      </c>
      <c r="K10" s="48">
        <v>0</v>
      </c>
      <c r="L10" s="48" t="s">
        <v>2239</v>
      </c>
      <c r="M10" s="48" t="s">
        <v>2239</v>
      </c>
      <c r="N10" s="95" t="s">
        <v>2239</v>
      </c>
      <c r="O10" s="95" t="s">
        <v>2240</v>
      </c>
      <c r="P10" s="95">
        <v>45534</v>
      </c>
      <c r="Q10" s="95" t="s">
        <v>2241</v>
      </c>
      <c r="R10" s="95"/>
    </row>
    <row r="11" spans="2:18">
      <c r="B11" s="48" t="s">
        <v>1220</v>
      </c>
      <c r="C11" s="48">
        <v>9</v>
      </c>
      <c r="D11" s="48" t="s">
        <v>2242</v>
      </c>
      <c r="E11" s="95">
        <v>45534</v>
      </c>
      <c r="F11" s="48">
        <v>1</v>
      </c>
      <c r="G11" s="95" t="s">
        <v>1257</v>
      </c>
      <c r="H11" s="48" t="s">
        <v>1266</v>
      </c>
      <c r="I11" s="48"/>
      <c r="J11" s="48">
        <v>6.6350038000872803E+29</v>
      </c>
      <c r="K11" s="48">
        <v>0</v>
      </c>
      <c r="L11" s="48"/>
      <c r="M11" s="48"/>
      <c r="N11" s="95"/>
      <c r="O11" s="95" t="s">
        <v>2240</v>
      </c>
      <c r="P11" s="95">
        <v>45534</v>
      </c>
      <c r="Q11" s="95" t="s">
        <v>2243</v>
      </c>
      <c r="R11" s="95"/>
    </row>
    <row r="12" spans="2:18">
      <c r="B12" s="97" t="s">
        <v>1222</v>
      </c>
      <c r="C12" s="48">
        <v>10</v>
      </c>
      <c r="D12" s="48" t="s">
        <v>2244</v>
      </c>
      <c r="E12" s="95">
        <v>45534</v>
      </c>
      <c r="F12" s="48">
        <v>1</v>
      </c>
      <c r="G12" s="95" t="s">
        <v>1257</v>
      </c>
      <c r="H12" s="48" t="s">
        <v>1266</v>
      </c>
      <c r="I12" s="48">
        <v>31</v>
      </c>
      <c r="J12" s="48">
        <v>8.8780038000002303E+29</v>
      </c>
      <c r="K12" s="48">
        <v>99</v>
      </c>
      <c r="L12" s="48" t="s">
        <v>2245</v>
      </c>
      <c r="M12" s="48" t="s">
        <v>2246</v>
      </c>
      <c r="N12" s="95" t="s">
        <v>2247</v>
      </c>
      <c r="O12" s="95" t="s">
        <v>2248</v>
      </c>
      <c r="P12" s="95">
        <v>45534</v>
      </c>
      <c r="Q12" s="95" t="s">
        <v>2241</v>
      </c>
      <c r="R12" s="95"/>
    </row>
    <row r="13" spans="2:18">
      <c r="B13" s="48" t="s">
        <v>1224</v>
      </c>
      <c r="C13" s="48">
        <v>11</v>
      </c>
      <c r="D13" s="48" t="s">
        <v>2249</v>
      </c>
      <c r="E13" s="95">
        <v>45534</v>
      </c>
      <c r="F13" s="48">
        <v>1</v>
      </c>
      <c r="G13" s="95" t="s">
        <v>1257</v>
      </c>
      <c r="H13" s="48" t="s">
        <v>1266</v>
      </c>
      <c r="I13" s="48"/>
      <c r="J13" s="48">
        <v>8.8780038000002303E+29</v>
      </c>
      <c r="K13" s="48">
        <v>99</v>
      </c>
      <c r="L13" s="48" t="s">
        <v>2245</v>
      </c>
      <c r="M13" s="48" t="s">
        <v>2246</v>
      </c>
      <c r="N13" s="95" t="s">
        <v>2247</v>
      </c>
      <c r="O13" s="95" t="s">
        <v>2248</v>
      </c>
      <c r="P13" s="95">
        <v>45534</v>
      </c>
      <c r="Q13" s="95" t="s">
        <v>2250</v>
      </c>
      <c r="R13" s="95"/>
    </row>
    <row r="14" spans="2:18">
      <c r="B14" s="48" t="s">
        <v>1226</v>
      </c>
      <c r="C14" s="48">
        <v>12</v>
      </c>
      <c r="D14" s="48" t="s">
        <v>2251</v>
      </c>
      <c r="E14" s="95">
        <v>45534</v>
      </c>
      <c r="F14" s="48">
        <v>1</v>
      </c>
      <c r="G14" s="251">
        <v>0.67</v>
      </c>
      <c r="H14" s="48" t="s">
        <v>1266</v>
      </c>
      <c r="I14" s="48">
        <v>0</v>
      </c>
      <c r="J14" s="48">
        <v>0</v>
      </c>
      <c r="K14" s="48">
        <v>0</v>
      </c>
      <c r="L14" s="48">
        <v>9224</v>
      </c>
      <c r="M14" s="48">
        <v>9807</v>
      </c>
      <c r="N14" s="48">
        <v>9168</v>
      </c>
      <c r="O14" s="48">
        <v>0</v>
      </c>
      <c r="P14" s="48">
        <v>0</v>
      </c>
      <c r="Q14" s="48">
        <v>0</v>
      </c>
      <c r="R14" s="48"/>
    </row>
    <row r="15" spans="2:18">
      <c r="B15" s="48" t="s">
        <v>1228</v>
      </c>
      <c r="C15" s="48">
        <v>13</v>
      </c>
      <c r="D15" s="48" t="s">
        <v>2252</v>
      </c>
      <c r="E15" s="95">
        <v>45518</v>
      </c>
      <c r="F15" s="48">
        <v>1</v>
      </c>
      <c r="G15" s="251">
        <v>1</v>
      </c>
      <c r="H15" s="48" t="s">
        <v>1266</v>
      </c>
      <c r="I15" s="48">
        <v>0</v>
      </c>
      <c r="J15" s="48">
        <v>0</v>
      </c>
      <c r="K15" s="48">
        <v>0</v>
      </c>
      <c r="L15" s="48">
        <v>0</v>
      </c>
      <c r="M15" s="48" t="s">
        <v>1257</v>
      </c>
      <c r="N15" s="95">
        <v>0</v>
      </c>
      <c r="O15" s="95" t="s">
        <v>1257</v>
      </c>
      <c r="P15" s="48">
        <v>0</v>
      </c>
      <c r="Q15" s="48" t="s">
        <v>1257</v>
      </c>
      <c r="R15" s="95"/>
    </row>
    <row r="16" spans="2:18">
      <c r="B16" s="48" t="s">
        <v>1230</v>
      </c>
      <c r="C16" s="48">
        <v>14</v>
      </c>
      <c r="D16" s="48" t="s">
        <v>2253</v>
      </c>
      <c r="E16" s="95">
        <v>45534</v>
      </c>
      <c r="F16" s="48">
        <v>1</v>
      </c>
      <c r="G16" s="251">
        <v>1</v>
      </c>
      <c r="H16" s="98" t="s">
        <v>1266</v>
      </c>
      <c r="I16" s="48">
        <v>0</v>
      </c>
      <c r="J16" s="48">
        <v>0</v>
      </c>
      <c r="K16" s="48">
        <v>0</v>
      </c>
      <c r="L16" s="48">
        <v>0</v>
      </c>
      <c r="M16" s="48" t="s">
        <v>1257</v>
      </c>
      <c r="N16" s="48" t="s">
        <v>1257</v>
      </c>
      <c r="O16" s="48">
        <v>0</v>
      </c>
      <c r="P16" s="48" t="s">
        <v>1257</v>
      </c>
      <c r="Q16" s="48" t="s">
        <v>1257</v>
      </c>
      <c r="R16" s="48"/>
    </row>
    <row r="17" spans="2:19">
      <c r="B17" s="48" t="s">
        <v>1232</v>
      </c>
      <c r="C17" s="48">
        <v>15</v>
      </c>
      <c r="D17" s="48" t="s">
        <v>2254</v>
      </c>
      <c r="E17" s="95">
        <v>45534</v>
      </c>
      <c r="F17" s="48">
        <v>1</v>
      </c>
      <c r="G17" s="251">
        <v>1</v>
      </c>
      <c r="H17" s="48" t="s">
        <v>1266</v>
      </c>
      <c r="I17" s="48" t="s">
        <v>1257</v>
      </c>
      <c r="J17" s="48" t="s">
        <v>1257</v>
      </c>
      <c r="K17" s="48" t="s">
        <v>1257</v>
      </c>
      <c r="L17" s="48" t="s">
        <v>1257</v>
      </c>
      <c r="M17" s="48" t="s">
        <v>1257</v>
      </c>
      <c r="N17" s="48" t="s">
        <v>1257</v>
      </c>
      <c r="O17" s="48" t="s">
        <v>1257</v>
      </c>
      <c r="P17" s="48" t="s">
        <v>1257</v>
      </c>
      <c r="Q17" s="48" t="s">
        <v>1257</v>
      </c>
      <c r="R17" s="48"/>
    </row>
    <row r="18" spans="2:19">
      <c r="B18" s="48" t="s">
        <v>1234</v>
      </c>
      <c r="C18" s="48">
        <v>16</v>
      </c>
      <c r="D18" s="48" t="s">
        <v>2254</v>
      </c>
      <c r="E18" s="95">
        <v>45534</v>
      </c>
      <c r="F18" s="48">
        <v>1</v>
      </c>
      <c r="G18" s="251">
        <v>1</v>
      </c>
      <c r="H18" s="98" t="s">
        <v>1266</v>
      </c>
      <c r="I18" s="48" t="s">
        <v>1257</v>
      </c>
      <c r="J18" s="48" t="s">
        <v>1257</v>
      </c>
      <c r="K18" s="48" t="s">
        <v>1257</v>
      </c>
      <c r="L18" s="48" t="s">
        <v>1257</v>
      </c>
      <c r="M18" s="48" t="s">
        <v>1257</v>
      </c>
      <c r="N18" s="97" t="s">
        <v>1257</v>
      </c>
      <c r="O18" s="97" t="s">
        <v>1257</v>
      </c>
      <c r="P18" s="97" t="s">
        <v>1257</v>
      </c>
      <c r="Q18" s="97" t="s">
        <v>1257</v>
      </c>
      <c r="R18" s="48"/>
    </row>
    <row r="19" spans="2:19">
      <c r="B19" s="48" t="s">
        <v>1240</v>
      </c>
      <c r="C19" s="48">
        <v>19</v>
      </c>
      <c r="D19" s="48" t="s">
        <v>2255</v>
      </c>
      <c r="E19" s="95">
        <v>45534</v>
      </c>
      <c r="F19" s="48">
        <v>1</v>
      </c>
      <c r="G19" s="207" cm="1">
        <f t="array" aca="1" ref="G19" ca="1">SUMPRODUCT(--(ISNUMBER((SEARCH(I25:AJ25,I19:AJ19)))))/COUNTA(I19:AJ19)</f>
        <v>0.88888888888888884</v>
      </c>
      <c r="H19" s="98" t="s">
        <v>1266</v>
      </c>
      <c r="I19" s="48" t="s">
        <v>1291</v>
      </c>
      <c r="J19" s="48" t="s">
        <v>1291</v>
      </c>
      <c r="K19" s="48" t="s">
        <v>2256</v>
      </c>
      <c r="L19" s="48" t="s">
        <v>1291</v>
      </c>
      <c r="M19" s="48" t="s">
        <v>1291</v>
      </c>
      <c r="N19" s="97" t="s">
        <v>1291</v>
      </c>
      <c r="O19" s="97" t="s">
        <v>1291</v>
      </c>
      <c r="P19" s="48" t="s">
        <v>1291</v>
      </c>
      <c r="Q19" s="48" t="s">
        <v>1293</v>
      </c>
      <c r="R19" s="48"/>
    </row>
    <row r="20" spans="2:19">
      <c r="B20" s="48" t="s">
        <v>1243</v>
      </c>
      <c r="C20" s="48">
        <v>20</v>
      </c>
      <c r="D20" s="48"/>
      <c r="E20" s="95"/>
      <c r="F20" s="48"/>
      <c r="G20" s="191" t="e" cm="1" vm="1">
        <f t="array" ref="G20">SUM(IF(I2:Q2 = I24:Q24, 1, 0))/ COUNTA(I2:Q2)</f>
        <v>#VALUE!</v>
      </c>
      <c r="H20" s="48"/>
      <c r="I20" s="48"/>
      <c r="J20" s="48"/>
      <c r="K20" s="48"/>
      <c r="L20" s="48"/>
      <c r="M20" s="48"/>
      <c r="N20" s="48"/>
      <c r="O20" s="48"/>
      <c r="P20" s="48"/>
      <c r="Q20" s="48"/>
      <c r="R20" s="48"/>
    </row>
    <row r="21" spans="2:19">
      <c r="B21" s="48" t="s">
        <v>1246</v>
      </c>
      <c r="C21" s="48">
        <v>21</v>
      </c>
      <c r="D21" s="48"/>
      <c r="E21" s="95"/>
      <c r="F21" s="48"/>
      <c r="G21" s="191" t="e" cm="1">
        <f t="array" aca="1" ref="G21" ca="1">SUM(IF(IF(G3:G20="null",1,G3:G20)=1,1,0))/COUNT(IF(G3:G20="null",1,1))</f>
        <v>#DIV/0!</v>
      </c>
      <c r="H21" s="48"/>
      <c r="I21" s="48"/>
      <c r="J21" s="48"/>
      <c r="K21" s="48"/>
      <c r="L21" s="48"/>
      <c r="M21" s="48"/>
      <c r="N21" s="48"/>
      <c r="O21" s="48"/>
      <c r="P21" s="48"/>
      <c r="Q21" s="48"/>
      <c r="R21" s="48"/>
    </row>
    <row r="23" spans="2:19">
      <c r="B23" s="129" t="s">
        <v>1364</v>
      </c>
    </row>
    <row r="24" spans="2:19">
      <c r="B24" s="127" t="s">
        <v>1249</v>
      </c>
      <c r="C24" s="128" t="s">
        <v>1250</v>
      </c>
      <c r="D24" s="128" t="s">
        <v>1251</v>
      </c>
      <c r="E24" s="128" t="s">
        <v>1252</v>
      </c>
      <c r="F24" s="128" t="s">
        <v>1253</v>
      </c>
      <c r="G24" s="128" t="s">
        <v>1254</v>
      </c>
      <c r="H24" s="128" t="s">
        <v>1255</v>
      </c>
      <c r="I24" s="128" t="e" cm="1" vm="2">
        <f t="array" ref="I24">TRANSPOSE(_xlfn.SORTBY(_xlfn._xlws.FILTER(Table3[NOME FÍSICO CAMPO],Table3[NOME FÍSICO TABELA]="trade_finance_route"), _xlfn._xlws.FILTER(Table3[ORDEM], Table3[NOME FÍSICO TABELA]="trade_finance_route"), 1))</f>
        <v>#VALUE!</v>
      </c>
      <c r="J24" s="128"/>
      <c r="K24" s="128"/>
      <c r="L24" s="128"/>
      <c r="M24" s="128"/>
      <c r="N24" s="128"/>
      <c r="O24" s="128"/>
      <c r="P24" s="128"/>
      <c r="Q24" s="128"/>
      <c r="R24" s="215"/>
      <c r="S24" s="215"/>
    </row>
    <row r="25" spans="2:19">
      <c r="B25" s="106" t="s">
        <v>1294</v>
      </c>
      <c r="C25" s="94">
        <v>21</v>
      </c>
      <c r="D25" s="93" t="s">
        <v>1295</v>
      </c>
      <c r="E25" t="s">
        <v>1296</v>
      </c>
      <c r="F25" t="s">
        <v>124</v>
      </c>
      <c r="G25" t="s">
        <v>124</v>
      </c>
      <c r="H25" t="s">
        <v>124</v>
      </c>
      <c r="I25" t="e" cm="1" vm="2">
        <f t="array" aca="1" ref="I25" ca="1">TRANSPOSE(_xlfn.SORTBY(_xlfn._xlws.FILTER(IF(Table3[FORMATO]:Table3[COMP_ CAMPO]&lt;&gt;"",Table3[FORMATO]:Table3[COMP_ CAMPO],9999999),Table3[NOME FÍSICO TABELA]="trade_finance_route"), _xlfn._xlws.FILTER(Table3[ORDEM], Table3[NOME FÍSICO TABELA]="trade_finance_route"), 1))</f>
        <v>#VALUE!</v>
      </c>
    </row>
    <row r="26" spans="2:19">
      <c r="B26" s="106" t="s">
        <v>1297</v>
      </c>
      <c r="C26" s="150">
        <v>7</v>
      </c>
      <c r="D26" s="105" t="s">
        <v>1295</v>
      </c>
      <c r="E26" s="104" t="s">
        <v>1296</v>
      </c>
      <c r="F26" s="104" t="s">
        <v>124</v>
      </c>
      <c r="G26" s="104" t="s">
        <v>124</v>
      </c>
      <c r="H26" s="104" t="s">
        <v>124</v>
      </c>
      <c r="I26" s="150"/>
      <c r="J26" s="150"/>
      <c r="K26" s="150"/>
      <c r="L26" s="150"/>
      <c r="M26" s="150"/>
      <c r="N26" s="150"/>
      <c r="O26" s="150"/>
      <c r="P26" s="150"/>
      <c r="Q26" s="150"/>
      <c r="R26" s="94"/>
      <c r="S26" s="94"/>
    </row>
    <row r="28" spans="2:19">
      <c r="B28" s="139" t="s">
        <v>1298</v>
      </c>
    </row>
    <row r="29" spans="2:19">
      <c r="B29" s="133" t="s">
        <v>1299</v>
      </c>
      <c r="C29" s="133" t="s">
        <v>1300</v>
      </c>
      <c r="D29" s="134" t="s">
        <v>1301</v>
      </c>
      <c r="E29" s="133" t="s">
        <v>1302</v>
      </c>
      <c r="F29" s="133" t="s">
        <v>1303</v>
      </c>
    </row>
    <row r="30" spans="2:19" ht="87">
      <c r="B30" s="110" t="s">
        <v>1304</v>
      </c>
      <c r="C30" s="114" t="s">
        <v>2230</v>
      </c>
      <c r="D30" s="51" t="s">
        <v>2257</v>
      </c>
      <c r="E30" s="152" t="s">
        <v>2258</v>
      </c>
      <c r="F30" s="135"/>
    </row>
    <row r="31" spans="2:19" ht="87">
      <c r="B31" s="110" t="s">
        <v>1746</v>
      </c>
      <c r="C31" s="137" t="s">
        <v>2231</v>
      </c>
      <c r="D31" s="51" t="s">
        <v>2257</v>
      </c>
      <c r="E31" s="152" t="s">
        <v>2259</v>
      </c>
      <c r="F31" s="187"/>
    </row>
    <row r="32" spans="2:19" ht="87">
      <c r="B32" s="110" t="s">
        <v>2260</v>
      </c>
      <c r="C32" s="137" t="s">
        <v>2232</v>
      </c>
      <c r="D32" s="51" t="s">
        <v>2257</v>
      </c>
      <c r="E32" s="152" t="s">
        <v>2261</v>
      </c>
      <c r="F32" s="187"/>
    </row>
    <row r="33" spans="2:6" ht="66" customHeight="1">
      <c r="B33" s="280" t="s">
        <v>2262</v>
      </c>
      <c r="C33" s="281" t="s">
        <v>2151</v>
      </c>
      <c r="D33" s="282" t="s">
        <v>2263</v>
      </c>
      <c r="E33" s="283" t="s">
        <v>2264</v>
      </c>
      <c r="F33" s="28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4.45"/>
  <cols>
    <col min="2" max="2" width="30.7109375" bestFit="1" customWidth="1"/>
    <col min="3" max="3" width="32" customWidth="1"/>
    <col min="4" max="4" width="35.85546875" customWidth="1"/>
    <col min="5" max="5" width="30.42578125" bestFit="1" customWidth="1"/>
    <col min="6" max="6" width="20.28515625" customWidth="1"/>
    <col min="7" max="7" width="11.42578125" bestFit="1" customWidth="1"/>
    <col min="8" max="8" width="16.42578125" bestFit="1" customWidth="1"/>
    <col min="9" max="9" width="18.42578125" bestFit="1" customWidth="1"/>
    <col min="10" max="10" width="37.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40.140625" customWidth="1"/>
    <col min="23" max="23" width="18.85546875" bestFit="1" customWidth="1"/>
    <col min="24" max="24" width="31.5703125" bestFit="1" customWidth="1"/>
    <col min="25" max="25" width="32.140625" bestFit="1" customWidth="1"/>
    <col min="26" max="26" width="32.42578125" bestFit="1" customWidth="1"/>
    <col min="27" max="27" width="24" bestFit="1" customWidth="1"/>
    <col min="28" max="28" width="26" bestFit="1" customWidth="1"/>
    <col min="29" max="29" width="22.28515625" bestFit="1" customWidth="1"/>
    <col min="30" max="30" width="28.140625" bestFit="1" customWidth="1"/>
    <col min="31" max="31" width="28.28515625" bestFit="1" customWidth="1"/>
    <col min="32" max="32" width="25.42578125" bestFit="1" customWidth="1"/>
    <col min="33" max="33" width="27.42578125" bestFit="1" customWidth="1"/>
    <col min="34" max="34" width="23.85546875" bestFit="1" customWidth="1"/>
    <col min="35" max="35" width="29.5703125" bestFit="1" customWidth="1"/>
    <col min="36" max="36" width="23" bestFit="1" customWidth="1"/>
    <col min="37" max="37" width="33.28515625" bestFit="1" customWidth="1"/>
    <col min="38" max="38" width="14.7109375" bestFit="1" customWidth="1"/>
    <col min="39" max="39" width="17.42578125" bestFit="1" customWidth="1"/>
    <col min="40" max="40" width="26.85546875" bestFit="1" customWidth="1"/>
  </cols>
  <sheetData>
    <row r="1" spans="2:40" ht="26.25" customHeight="1"/>
    <row r="2" spans="2:40">
      <c r="B2" s="77" t="s">
        <v>1249</v>
      </c>
      <c r="C2" s="77" t="s">
        <v>1250</v>
      </c>
      <c r="D2" s="77" t="s">
        <v>1251</v>
      </c>
      <c r="E2" s="77" t="s">
        <v>1252</v>
      </c>
      <c r="F2" s="77" t="s">
        <v>1253</v>
      </c>
      <c r="G2" s="77" t="s">
        <v>1254</v>
      </c>
      <c r="H2" s="77" t="s">
        <v>1255</v>
      </c>
      <c r="I2" s="128" t="s">
        <v>103</v>
      </c>
      <c r="J2" s="128" t="s">
        <v>134</v>
      </c>
      <c r="K2" s="128" t="s">
        <v>155</v>
      </c>
      <c r="L2" s="128" t="s">
        <v>162</v>
      </c>
      <c r="M2" s="128" t="s">
        <v>190</v>
      </c>
      <c r="N2" s="128" t="s">
        <v>176</v>
      </c>
      <c r="O2" s="128" t="s">
        <v>203</v>
      </c>
      <c r="P2" s="128" t="s">
        <v>289</v>
      </c>
      <c r="Q2" s="128" t="s">
        <v>299</v>
      </c>
      <c r="R2" s="128" t="s">
        <v>314</v>
      </c>
      <c r="S2" s="128" t="s">
        <v>389</v>
      </c>
      <c r="T2" t="s">
        <v>349</v>
      </c>
      <c r="U2" t="s">
        <v>429</v>
      </c>
      <c r="V2" s="77" t="s">
        <v>1377</v>
      </c>
      <c r="W2" s="77" t="s">
        <v>453</v>
      </c>
      <c r="X2" s="77" t="s">
        <v>468</v>
      </c>
      <c r="Y2" s="77" t="s">
        <v>482</v>
      </c>
      <c r="Z2" s="77" t="s">
        <v>1803</v>
      </c>
      <c r="AA2" s="77" t="s">
        <v>577</v>
      </c>
      <c r="AB2" s="77" t="s">
        <v>589</v>
      </c>
      <c r="AC2" s="77" t="s">
        <v>600</v>
      </c>
      <c r="AD2" s="77" t="s">
        <v>608</v>
      </c>
      <c r="AE2" s="77" t="s">
        <v>617</v>
      </c>
      <c r="AF2" s="77" t="s">
        <v>626</v>
      </c>
      <c r="AG2" s="77" t="s">
        <v>636</v>
      </c>
      <c r="AH2" s="77" t="s">
        <v>644</v>
      </c>
      <c r="AI2" s="77" t="s">
        <v>652</v>
      </c>
      <c r="AJ2" s="77" t="s">
        <v>669</v>
      </c>
      <c r="AK2" s="77" t="s">
        <v>678</v>
      </c>
      <c r="AL2" s="77" t="s">
        <v>214</v>
      </c>
      <c r="AM2" s="77" t="s">
        <v>234</v>
      </c>
      <c r="AN2" s="77" t="s">
        <v>253</v>
      </c>
    </row>
    <row r="3" spans="2:40">
      <c r="B3" s="48" t="s">
        <v>1203</v>
      </c>
      <c r="C3" s="48">
        <v>1</v>
      </c>
      <c r="D3" s="48" t="s">
        <v>2265</v>
      </c>
      <c r="E3" s="95">
        <v>45513</v>
      </c>
      <c r="F3" s="48">
        <v>1</v>
      </c>
      <c r="G3" s="98">
        <v>1</v>
      </c>
      <c r="H3" s="223" t="s">
        <v>2266</v>
      </c>
      <c r="I3" s="48" t="s">
        <v>1257</v>
      </c>
      <c r="J3" s="48" t="s">
        <v>1257</v>
      </c>
      <c r="K3" s="48" t="s">
        <v>1257</v>
      </c>
      <c r="L3" s="48" t="s">
        <v>1257</v>
      </c>
      <c r="M3" s="48" t="s">
        <v>1257</v>
      </c>
      <c r="N3" s="48" t="s">
        <v>1257</v>
      </c>
      <c r="O3" s="48" t="s">
        <v>1257</v>
      </c>
      <c r="P3" s="48" t="s">
        <v>1257</v>
      </c>
      <c r="Q3" s="48" t="s">
        <v>1257</v>
      </c>
      <c r="R3" s="48" t="s">
        <v>1257</v>
      </c>
      <c r="S3" s="48" t="s">
        <v>1257</v>
      </c>
      <c r="T3" s="48" t="s">
        <v>1257</v>
      </c>
      <c r="U3" s="48" t="s">
        <v>1257</v>
      </c>
      <c r="V3" s="48" t="s">
        <v>1257</v>
      </c>
      <c r="W3" s="48" t="s">
        <v>1257</v>
      </c>
      <c r="X3" s="48" t="s">
        <v>1257</v>
      </c>
      <c r="Y3" s="48" t="s">
        <v>1257</v>
      </c>
      <c r="Z3" s="185" t="s">
        <v>1257</v>
      </c>
      <c r="AA3" s="185" t="s">
        <v>1257</v>
      </c>
      <c r="AB3" s="185" t="s">
        <v>1257</v>
      </c>
      <c r="AC3" s="185" t="s">
        <v>1257</v>
      </c>
      <c r="AD3" s="185" t="s">
        <v>1257</v>
      </c>
      <c r="AE3" s="185" t="s">
        <v>1257</v>
      </c>
      <c r="AF3" s="185" t="s">
        <v>1257</v>
      </c>
      <c r="AG3" s="185" t="s">
        <v>1257</v>
      </c>
      <c r="AH3" s="185" t="s">
        <v>1257</v>
      </c>
      <c r="AI3" s="185" t="s">
        <v>1257</v>
      </c>
      <c r="AJ3" s="48" t="s">
        <v>1257</v>
      </c>
      <c r="AK3" s="48" t="s">
        <v>1257</v>
      </c>
      <c r="AL3" s="48" t="s">
        <v>1257</v>
      </c>
      <c r="AM3" s="48" t="s">
        <v>1257</v>
      </c>
      <c r="AN3" s="48" t="s">
        <v>1257</v>
      </c>
    </row>
    <row r="4" spans="2:40">
      <c r="B4" s="48" t="s">
        <v>1205</v>
      </c>
      <c r="C4" s="48">
        <v>2</v>
      </c>
      <c r="D4" s="48" t="s">
        <v>2267</v>
      </c>
      <c r="E4" s="95">
        <v>45513</v>
      </c>
      <c r="F4" s="48">
        <v>1</v>
      </c>
      <c r="G4" s="98">
        <v>1</v>
      </c>
      <c r="H4" s="183" t="s">
        <v>1266</v>
      </c>
      <c r="I4" s="48" t="s">
        <v>1257</v>
      </c>
      <c r="J4" s="48" t="s">
        <v>1257</v>
      </c>
      <c r="K4" s="48" t="s">
        <v>1257</v>
      </c>
      <c r="L4" s="48" t="s">
        <v>1257</v>
      </c>
      <c r="M4" s="48" t="s">
        <v>1257</v>
      </c>
      <c r="N4" s="48" t="s">
        <v>1257</v>
      </c>
      <c r="O4" s="48" t="s">
        <v>1257</v>
      </c>
      <c r="P4" s="48" t="s">
        <v>1257</v>
      </c>
      <c r="Q4" s="48" t="s">
        <v>1257</v>
      </c>
      <c r="R4" s="48" t="s">
        <v>1257</v>
      </c>
      <c r="S4" s="48" t="s">
        <v>1257</v>
      </c>
      <c r="T4" s="48" t="s">
        <v>1257</v>
      </c>
      <c r="U4" s="48" t="s">
        <v>1257</v>
      </c>
      <c r="V4" s="48" t="s">
        <v>1257</v>
      </c>
      <c r="W4" s="48" t="s">
        <v>1257</v>
      </c>
      <c r="X4" s="48" t="s">
        <v>1257</v>
      </c>
      <c r="Y4" s="48" t="s">
        <v>1257</v>
      </c>
      <c r="Z4" s="185" t="s">
        <v>1257</v>
      </c>
      <c r="AA4" s="185" t="s">
        <v>1257</v>
      </c>
      <c r="AB4" s="185" t="s">
        <v>1257</v>
      </c>
      <c r="AC4" s="185" t="s">
        <v>1257</v>
      </c>
      <c r="AD4" s="185" t="s">
        <v>1257</v>
      </c>
      <c r="AE4" s="185" t="s">
        <v>1257</v>
      </c>
      <c r="AF4" s="185" t="s">
        <v>1257</v>
      </c>
      <c r="AG4" s="185" t="s">
        <v>1257</v>
      </c>
      <c r="AH4" s="185" t="s">
        <v>1257</v>
      </c>
      <c r="AI4" s="185" t="s">
        <v>1257</v>
      </c>
      <c r="AJ4" s="48" t="s">
        <v>1257</v>
      </c>
      <c r="AK4" s="48" t="s">
        <v>1257</v>
      </c>
      <c r="AL4" s="48" t="s">
        <v>1257</v>
      </c>
      <c r="AM4" s="48" t="s">
        <v>1257</v>
      </c>
      <c r="AN4" s="48" t="s">
        <v>1257</v>
      </c>
    </row>
    <row r="5" spans="2:40">
      <c r="B5" s="48" t="s">
        <v>1207</v>
      </c>
      <c r="C5" s="48">
        <v>3</v>
      </c>
      <c r="D5" s="48" t="s">
        <v>2268</v>
      </c>
      <c r="E5" s="95">
        <v>45513</v>
      </c>
      <c r="F5" s="48">
        <v>1</v>
      </c>
      <c r="G5" s="98">
        <v>1</v>
      </c>
      <c r="H5" s="183" t="s">
        <v>1266</v>
      </c>
      <c r="I5" s="48">
        <v>0</v>
      </c>
      <c r="J5" s="48">
        <v>0</v>
      </c>
      <c r="K5" s="48" t="s">
        <v>1257</v>
      </c>
      <c r="L5" s="48" t="s">
        <v>1257</v>
      </c>
      <c r="M5" s="48" t="s">
        <v>1257</v>
      </c>
      <c r="N5" s="48" t="s">
        <v>1257</v>
      </c>
      <c r="O5" s="48" t="s">
        <v>1257</v>
      </c>
      <c r="P5" s="48" t="s">
        <v>1257</v>
      </c>
      <c r="Q5" s="48" t="s">
        <v>1257</v>
      </c>
      <c r="R5" s="48" t="s">
        <v>1257</v>
      </c>
      <c r="S5" s="48" t="s">
        <v>1257</v>
      </c>
      <c r="T5" s="48" t="s">
        <v>1257</v>
      </c>
      <c r="U5" s="48" t="s">
        <v>1257</v>
      </c>
      <c r="V5" s="48" t="s">
        <v>1257</v>
      </c>
      <c r="W5" s="48" t="s">
        <v>1257</v>
      </c>
      <c r="X5" s="48" t="s">
        <v>1257</v>
      </c>
      <c r="Y5" s="48" t="s">
        <v>1257</v>
      </c>
      <c r="Z5" s="185" t="s">
        <v>1257</v>
      </c>
      <c r="AA5" s="185" t="s">
        <v>1257</v>
      </c>
      <c r="AB5" s="185" t="s">
        <v>1257</v>
      </c>
      <c r="AC5" s="185" t="s">
        <v>1257</v>
      </c>
      <c r="AD5" s="185" t="s">
        <v>1257</v>
      </c>
      <c r="AE5" s="185" t="s">
        <v>1257</v>
      </c>
      <c r="AF5" s="185" t="s">
        <v>1257</v>
      </c>
      <c r="AG5" s="185" t="s">
        <v>1257</v>
      </c>
      <c r="AH5" s="185" t="s">
        <v>1257</v>
      </c>
      <c r="AI5" s="185" t="s">
        <v>1257</v>
      </c>
      <c r="AJ5" s="48" t="s">
        <v>1257</v>
      </c>
      <c r="AK5" s="48" t="s">
        <v>1257</v>
      </c>
      <c r="AL5" s="48" t="s">
        <v>1257</v>
      </c>
      <c r="AM5" s="48">
        <v>0</v>
      </c>
      <c r="AN5" s="48" t="s">
        <v>1257</v>
      </c>
    </row>
    <row r="6" spans="2:40">
      <c r="B6" s="97" t="s">
        <v>1209</v>
      </c>
      <c r="C6" s="48">
        <v>4</v>
      </c>
      <c r="D6" s="48" t="s">
        <v>1260</v>
      </c>
      <c r="E6" s="95" t="s">
        <v>1257</v>
      </c>
      <c r="F6" s="48">
        <v>1</v>
      </c>
      <c r="G6" s="48" t="s">
        <v>1257</v>
      </c>
      <c r="H6" s="183" t="s">
        <v>1257</v>
      </c>
      <c r="I6" s="48" t="s">
        <v>1257</v>
      </c>
      <c r="J6" s="48" t="s">
        <v>1257</v>
      </c>
      <c r="K6" s="48" t="s">
        <v>1257</v>
      </c>
      <c r="L6" s="48" t="s">
        <v>1257</v>
      </c>
      <c r="M6" s="48" t="s">
        <v>1257</v>
      </c>
      <c r="N6" s="48" t="s">
        <v>1257</v>
      </c>
      <c r="O6" s="48" t="s">
        <v>1257</v>
      </c>
      <c r="P6" s="48" t="s">
        <v>1257</v>
      </c>
      <c r="Q6" s="48" t="s">
        <v>1257</v>
      </c>
      <c r="R6" s="48" t="s">
        <v>1257</v>
      </c>
      <c r="S6" s="48" t="s">
        <v>1257</v>
      </c>
      <c r="T6" s="48" t="s">
        <v>1257</v>
      </c>
      <c r="U6" s="48" t="s">
        <v>1257</v>
      </c>
      <c r="V6" s="48" t="s">
        <v>1257</v>
      </c>
      <c r="W6" s="48" t="s">
        <v>1257</v>
      </c>
      <c r="X6" s="48" t="s">
        <v>1257</v>
      </c>
      <c r="Y6" s="48" t="s">
        <v>1257</v>
      </c>
      <c r="Z6" s="185" t="s">
        <v>1257</v>
      </c>
      <c r="AA6" s="185" t="s">
        <v>1257</v>
      </c>
      <c r="AB6" s="185" t="s">
        <v>1257</v>
      </c>
      <c r="AC6" s="185" t="s">
        <v>1257</v>
      </c>
      <c r="AD6" s="185" t="s">
        <v>1257</v>
      </c>
      <c r="AE6" s="185" t="s">
        <v>1257</v>
      </c>
      <c r="AF6" s="185" t="s">
        <v>1257</v>
      </c>
      <c r="AG6" s="185" t="s">
        <v>1257</v>
      </c>
      <c r="AH6" s="185" t="s">
        <v>1257</v>
      </c>
      <c r="AI6" s="185" t="s">
        <v>1257</v>
      </c>
      <c r="AJ6" s="48" t="s">
        <v>1257</v>
      </c>
      <c r="AK6" s="48" t="s">
        <v>1257</v>
      </c>
      <c r="AL6" s="48" t="s">
        <v>1257</v>
      </c>
      <c r="AM6" s="48" t="s">
        <v>1257</v>
      </c>
      <c r="AN6" s="48" t="s">
        <v>1257</v>
      </c>
    </row>
    <row r="7" spans="2:40">
      <c r="B7" s="48" t="s">
        <v>1211</v>
      </c>
      <c r="C7" s="48">
        <v>5</v>
      </c>
      <c r="D7" s="48" t="s">
        <v>1260</v>
      </c>
      <c r="E7" s="95" t="s">
        <v>1257</v>
      </c>
      <c r="F7" s="48">
        <v>1</v>
      </c>
      <c r="G7" s="48" t="s">
        <v>1257</v>
      </c>
      <c r="H7" s="183" t="s">
        <v>1257</v>
      </c>
      <c r="I7" s="48" t="s">
        <v>1257</v>
      </c>
      <c r="J7" s="48" t="s">
        <v>1257</v>
      </c>
      <c r="K7" s="48" t="s">
        <v>1257</v>
      </c>
      <c r="L7" s="48" t="s">
        <v>1257</v>
      </c>
      <c r="M7" s="48" t="s">
        <v>1257</v>
      </c>
      <c r="N7" s="48" t="s">
        <v>1257</v>
      </c>
      <c r="O7" s="48" t="s">
        <v>1257</v>
      </c>
      <c r="P7" s="48" t="s">
        <v>1257</v>
      </c>
      <c r="Q7" s="48" t="s">
        <v>1257</v>
      </c>
      <c r="R7" s="48" t="s">
        <v>1257</v>
      </c>
      <c r="S7" s="48" t="s">
        <v>1257</v>
      </c>
      <c r="T7" s="48" t="s">
        <v>1257</v>
      </c>
      <c r="U7" s="48" t="s">
        <v>1257</v>
      </c>
      <c r="V7" s="48" t="s">
        <v>1257</v>
      </c>
      <c r="W7" s="48" t="s">
        <v>1257</v>
      </c>
      <c r="X7" s="48" t="s">
        <v>1257</v>
      </c>
      <c r="Y7" s="48" t="s">
        <v>1257</v>
      </c>
      <c r="Z7" s="185" t="s">
        <v>1257</v>
      </c>
      <c r="AA7" s="185" t="s">
        <v>1257</v>
      </c>
      <c r="AB7" s="185" t="s">
        <v>1257</v>
      </c>
      <c r="AC7" s="185" t="s">
        <v>1257</v>
      </c>
      <c r="AD7" s="185" t="s">
        <v>1257</v>
      </c>
      <c r="AE7" s="185" t="s">
        <v>1257</v>
      </c>
      <c r="AF7" s="185" t="s">
        <v>1257</v>
      </c>
      <c r="AG7" s="185" t="s">
        <v>1257</v>
      </c>
      <c r="AH7" s="185" t="s">
        <v>1257</v>
      </c>
      <c r="AI7" s="185" t="s">
        <v>1257</v>
      </c>
      <c r="AJ7" s="48" t="s">
        <v>1257</v>
      </c>
      <c r="AK7" s="48" t="s">
        <v>1257</v>
      </c>
      <c r="AL7" s="48" t="s">
        <v>1257</v>
      </c>
      <c r="AM7" s="48" t="s">
        <v>1257</v>
      </c>
      <c r="AN7" s="48" t="s">
        <v>1257</v>
      </c>
    </row>
    <row r="8" spans="2:40">
      <c r="B8" s="97" t="s">
        <v>1212</v>
      </c>
      <c r="C8" s="48">
        <v>6</v>
      </c>
      <c r="D8" s="48" t="s">
        <v>2269</v>
      </c>
      <c r="E8" s="95">
        <v>45513</v>
      </c>
      <c r="F8" s="48">
        <v>1</v>
      </c>
      <c r="G8" s="207" cm="1">
        <f t="array" ref="G8">SUMPRODUCT(--(I8:AN8&gt;0))/COUNTA(I8:AN8)</f>
        <v>1</v>
      </c>
      <c r="H8" s="183" t="s">
        <v>1266</v>
      </c>
      <c r="I8" s="48">
        <v>2</v>
      </c>
      <c r="J8" s="48">
        <v>30</v>
      </c>
      <c r="K8" s="48">
        <v>3</v>
      </c>
      <c r="L8" s="48">
        <v>3</v>
      </c>
      <c r="M8" s="48">
        <v>3</v>
      </c>
      <c r="N8" s="48">
        <v>2</v>
      </c>
      <c r="O8" s="48">
        <v>30</v>
      </c>
      <c r="P8" s="48">
        <v>10</v>
      </c>
      <c r="Q8" s="48">
        <v>10</v>
      </c>
      <c r="R8" s="48">
        <v>3</v>
      </c>
      <c r="S8" s="48">
        <v>1</v>
      </c>
      <c r="T8" s="48">
        <v>8</v>
      </c>
      <c r="U8" s="48">
        <v>8</v>
      </c>
      <c r="V8" s="48">
        <v>8</v>
      </c>
      <c r="W8" s="48">
        <v>8</v>
      </c>
      <c r="X8" s="48">
        <v>8</v>
      </c>
      <c r="Y8" s="48">
        <v>8</v>
      </c>
      <c r="Z8" s="185">
        <v>32</v>
      </c>
      <c r="AA8" s="185">
        <v>23</v>
      </c>
      <c r="AB8" s="185">
        <v>25</v>
      </c>
      <c r="AC8" s="185">
        <v>21</v>
      </c>
      <c r="AD8" s="185">
        <v>28</v>
      </c>
      <c r="AE8" s="185">
        <v>25</v>
      </c>
      <c r="AF8" s="185">
        <v>23</v>
      </c>
      <c r="AG8" s="185">
        <v>25</v>
      </c>
      <c r="AH8" s="185">
        <v>21</v>
      </c>
      <c r="AI8" s="185">
        <v>28</v>
      </c>
      <c r="AJ8" s="48">
        <v>3</v>
      </c>
      <c r="AK8" s="48">
        <v>3</v>
      </c>
      <c r="AL8" s="48">
        <v>2</v>
      </c>
      <c r="AM8" s="48">
        <v>10</v>
      </c>
      <c r="AN8" s="48">
        <v>23</v>
      </c>
    </row>
    <row r="9" spans="2:40">
      <c r="B9" s="48" t="s">
        <v>1215</v>
      </c>
      <c r="C9" s="48">
        <v>7</v>
      </c>
      <c r="D9" s="48" t="s">
        <v>2270</v>
      </c>
      <c r="E9" s="95">
        <v>45513</v>
      </c>
      <c r="F9" s="48">
        <v>1</v>
      </c>
      <c r="G9" s="207" t="e" cm="1">
        <f t="array" ref="G9">SUMPRODUCT(--(I9:AN9 &lt;= I28:AN28))/COUNTA(I28:AN28)</f>
        <v>#DIV/0!</v>
      </c>
      <c r="H9" s="183" t="s">
        <v>1266</v>
      </c>
      <c r="I9" s="48">
        <v>2</v>
      </c>
      <c r="J9" s="48">
        <v>30</v>
      </c>
      <c r="K9" s="48">
        <v>3</v>
      </c>
      <c r="L9" s="48">
        <v>3</v>
      </c>
      <c r="M9" s="48">
        <v>3</v>
      </c>
      <c r="N9" s="48">
        <v>2</v>
      </c>
      <c r="O9" s="48">
        <v>30</v>
      </c>
      <c r="P9" s="48">
        <v>10</v>
      </c>
      <c r="Q9" s="48">
        <v>10</v>
      </c>
      <c r="R9" s="48">
        <v>3</v>
      </c>
      <c r="S9" s="48">
        <v>1</v>
      </c>
      <c r="T9" s="48">
        <v>16</v>
      </c>
      <c r="U9" s="48">
        <v>15</v>
      </c>
      <c r="V9" s="48">
        <v>14</v>
      </c>
      <c r="W9" s="48">
        <v>15</v>
      </c>
      <c r="X9" s="48">
        <v>13</v>
      </c>
      <c r="Y9" s="48">
        <v>14</v>
      </c>
      <c r="Z9" s="185">
        <v>1</v>
      </c>
      <c r="AA9" s="185">
        <v>1</v>
      </c>
      <c r="AB9" s="185">
        <v>1</v>
      </c>
      <c r="AC9" s="185">
        <v>1</v>
      </c>
      <c r="AD9" s="185">
        <v>1</v>
      </c>
      <c r="AE9" s="185">
        <v>1</v>
      </c>
      <c r="AF9" s="185">
        <v>1</v>
      </c>
      <c r="AG9" s="185">
        <v>1</v>
      </c>
      <c r="AH9" s="185">
        <v>1</v>
      </c>
      <c r="AI9" s="185">
        <v>1</v>
      </c>
      <c r="AJ9" s="48">
        <v>3</v>
      </c>
      <c r="AK9" s="48">
        <v>3</v>
      </c>
      <c r="AL9" s="48">
        <v>2</v>
      </c>
      <c r="AM9" s="48">
        <v>10</v>
      </c>
      <c r="AN9" s="48">
        <v>23</v>
      </c>
    </row>
    <row r="10" spans="2:40">
      <c r="B10" s="48" t="s">
        <v>1218</v>
      </c>
      <c r="C10" s="48">
        <v>8</v>
      </c>
      <c r="D10" s="48" t="s">
        <v>2271</v>
      </c>
      <c r="E10" s="95">
        <v>45513</v>
      </c>
      <c r="F10" s="48">
        <v>1</v>
      </c>
      <c r="G10" s="48" t="s">
        <v>1257</v>
      </c>
      <c r="H10" s="183" t="s">
        <v>1266</v>
      </c>
      <c r="I10" s="48">
        <v>31</v>
      </c>
      <c r="J10" s="178" t="s">
        <v>2272</v>
      </c>
      <c r="K10" s="48" t="s">
        <v>2273</v>
      </c>
      <c r="L10" s="48">
        <v>22</v>
      </c>
      <c r="M10" s="48">
        <v>0</v>
      </c>
      <c r="N10" s="48">
        <v>31</v>
      </c>
      <c r="O10" s="48">
        <v>2.2822000999999998E+22</v>
      </c>
      <c r="P10" s="95">
        <v>31530</v>
      </c>
      <c r="Q10" s="95">
        <v>34698</v>
      </c>
      <c r="R10" s="48">
        <v>826</v>
      </c>
      <c r="S10" s="98">
        <v>0</v>
      </c>
      <c r="T10" s="178" t="s">
        <v>1266</v>
      </c>
      <c r="U10" s="98">
        <v>-900000000000</v>
      </c>
      <c r="V10" s="48" t="s">
        <v>1266</v>
      </c>
      <c r="W10" s="98">
        <v>-16362170000</v>
      </c>
      <c r="X10" s="98">
        <v>-42408660000</v>
      </c>
      <c r="Y10" s="48" t="s">
        <v>1266</v>
      </c>
      <c r="Z10" s="185" t="s">
        <v>1803</v>
      </c>
      <c r="AA10" s="185" t="s">
        <v>577</v>
      </c>
      <c r="AB10" s="185" t="s">
        <v>589</v>
      </c>
      <c r="AC10" s="185" t="s">
        <v>600</v>
      </c>
      <c r="AD10" s="185" t="s">
        <v>608</v>
      </c>
      <c r="AE10" s="185" t="s">
        <v>617</v>
      </c>
      <c r="AF10" s="185" t="s">
        <v>626</v>
      </c>
      <c r="AG10" s="185" t="s">
        <v>636</v>
      </c>
      <c r="AH10" s="185" t="s">
        <v>644</v>
      </c>
      <c r="AI10" s="185" t="s">
        <v>652</v>
      </c>
      <c r="AJ10" s="48" t="s">
        <v>1267</v>
      </c>
      <c r="AK10" s="48" t="s">
        <v>1268</v>
      </c>
      <c r="AL10" s="48" t="s">
        <v>1399</v>
      </c>
      <c r="AM10" s="95">
        <v>45513</v>
      </c>
      <c r="AN10" s="48" t="s">
        <v>2274</v>
      </c>
    </row>
    <row r="11" spans="2:40">
      <c r="B11" s="48" t="s">
        <v>1220</v>
      </c>
      <c r="C11" s="48">
        <v>9</v>
      </c>
      <c r="D11" s="48" t="s">
        <v>2275</v>
      </c>
      <c r="E11" s="95">
        <v>45513</v>
      </c>
      <c r="F11" s="48">
        <v>1</v>
      </c>
      <c r="G11" s="48" t="s">
        <v>1257</v>
      </c>
      <c r="H11" s="183" t="s">
        <v>1266</v>
      </c>
      <c r="I11" s="48">
        <v>31</v>
      </c>
      <c r="J11" s="178" t="s">
        <v>2272</v>
      </c>
      <c r="K11" s="48" t="s">
        <v>2276</v>
      </c>
      <c r="L11" s="48">
        <v>22</v>
      </c>
      <c r="M11" s="48">
        <v>0</v>
      </c>
      <c r="N11" s="48"/>
      <c r="O11" s="48">
        <v>2.2822000999999998E+22</v>
      </c>
      <c r="P11" s="95">
        <v>31530</v>
      </c>
      <c r="Q11" s="95">
        <v>34698</v>
      </c>
      <c r="R11" s="48">
        <v>826</v>
      </c>
      <c r="S11" s="48">
        <v>0</v>
      </c>
      <c r="T11" s="178" t="s">
        <v>1343</v>
      </c>
      <c r="U11" s="98">
        <v>-900000000000</v>
      </c>
      <c r="V11" s="48" t="s">
        <v>1343</v>
      </c>
      <c r="W11" s="98">
        <v>-16362170000</v>
      </c>
      <c r="X11" s="98" t="s">
        <v>2277</v>
      </c>
      <c r="Y11" s="48" t="s">
        <v>1343</v>
      </c>
      <c r="Z11" s="185" t="s">
        <v>1803</v>
      </c>
      <c r="AA11" s="185" t="s">
        <v>577</v>
      </c>
      <c r="AB11" s="185" t="s">
        <v>589</v>
      </c>
      <c r="AC11" s="185" t="s">
        <v>600</v>
      </c>
      <c r="AD11" s="185" t="s">
        <v>608</v>
      </c>
      <c r="AE11" s="185" t="s">
        <v>617</v>
      </c>
      <c r="AF11" s="185" t="s">
        <v>626</v>
      </c>
      <c r="AG11" s="185" t="s">
        <v>636</v>
      </c>
      <c r="AH11" s="185" t="s">
        <v>644</v>
      </c>
      <c r="AI11" s="185" t="s">
        <v>652</v>
      </c>
      <c r="AJ11" s="48">
        <v>0</v>
      </c>
      <c r="AK11" s="48"/>
      <c r="AL11" s="48" t="s">
        <v>1399</v>
      </c>
      <c r="AM11" s="95">
        <v>45513</v>
      </c>
      <c r="AN11" s="48" t="s">
        <v>2278</v>
      </c>
    </row>
    <row r="12" spans="2:40">
      <c r="B12" s="97" t="s">
        <v>1222</v>
      </c>
      <c r="C12" s="48">
        <v>10</v>
      </c>
      <c r="D12" s="48" t="s">
        <v>2279</v>
      </c>
      <c r="E12" s="95">
        <v>45513</v>
      </c>
      <c r="F12" s="48">
        <v>1</v>
      </c>
      <c r="G12" s="48" t="s">
        <v>1257</v>
      </c>
      <c r="H12" s="183" t="s">
        <v>1266</v>
      </c>
      <c r="I12" s="48">
        <v>31</v>
      </c>
      <c r="J12" s="178" t="s">
        <v>2280</v>
      </c>
      <c r="K12" s="48" t="s">
        <v>2273</v>
      </c>
      <c r="L12" s="48">
        <v>97</v>
      </c>
      <c r="M12" s="95" t="s">
        <v>2281</v>
      </c>
      <c r="N12" s="48">
        <v>31</v>
      </c>
      <c r="O12" s="98">
        <v>2.3930258433501999E+29</v>
      </c>
      <c r="P12" s="191">
        <v>45513</v>
      </c>
      <c r="Q12" s="95">
        <v>2958464</v>
      </c>
      <c r="R12" s="48">
        <v>978</v>
      </c>
      <c r="S12" s="156" t="s">
        <v>2054</v>
      </c>
      <c r="T12" s="178" t="s">
        <v>2282</v>
      </c>
      <c r="U12" s="98">
        <v>72487500000000</v>
      </c>
      <c r="V12" s="98">
        <v>1634115960000</v>
      </c>
      <c r="W12" s="98">
        <v>27512500000000</v>
      </c>
      <c r="X12" s="98">
        <v>571000000000</v>
      </c>
      <c r="Y12" s="98">
        <v>1634115960000</v>
      </c>
      <c r="Z12" s="185" t="s">
        <v>1803</v>
      </c>
      <c r="AA12" s="185" t="s">
        <v>577</v>
      </c>
      <c r="AB12" s="185" t="s">
        <v>589</v>
      </c>
      <c r="AC12" s="185" t="s">
        <v>600</v>
      </c>
      <c r="AD12" s="185" t="s">
        <v>608</v>
      </c>
      <c r="AE12" s="185" t="s">
        <v>617</v>
      </c>
      <c r="AF12" s="185" t="s">
        <v>626</v>
      </c>
      <c r="AG12" s="185" t="s">
        <v>636</v>
      </c>
      <c r="AH12" s="185" t="s">
        <v>644</v>
      </c>
      <c r="AI12" s="185" t="s">
        <v>652</v>
      </c>
      <c r="AJ12" s="48" t="s">
        <v>1468</v>
      </c>
      <c r="AK12" s="48" t="s">
        <v>1268</v>
      </c>
      <c r="AL12" s="48" t="s">
        <v>1277</v>
      </c>
      <c r="AM12" s="95">
        <v>45513</v>
      </c>
      <c r="AN12" s="48" t="s">
        <v>2274</v>
      </c>
    </row>
    <row r="13" spans="2:40">
      <c r="B13" s="48" t="s">
        <v>1224</v>
      </c>
      <c r="C13" s="48">
        <v>11</v>
      </c>
      <c r="D13" s="48" t="s">
        <v>2283</v>
      </c>
      <c r="E13" s="95">
        <v>45513</v>
      </c>
      <c r="F13" s="48">
        <v>1</v>
      </c>
      <c r="G13" s="48" t="s">
        <v>1257</v>
      </c>
      <c r="H13" s="183" t="s">
        <v>1266</v>
      </c>
      <c r="I13" s="48">
        <v>31</v>
      </c>
      <c r="J13" s="178" t="s">
        <v>2280</v>
      </c>
      <c r="K13" s="48" t="s">
        <v>2276</v>
      </c>
      <c r="L13" s="48">
        <v>97</v>
      </c>
      <c r="M13" s="95" t="s">
        <v>2281</v>
      </c>
      <c r="N13" s="48"/>
      <c r="O13" s="48">
        <v>2.3930258433501999E+29</v>
      </c>
      <c r="P13" s="95">
        <v>45513</v>
      </c>
      <c r="Q13" s="95">
        <v>2958464</v>
      </c>
      <c r="R13" s="48">
        <v>978</v>
      </c>
      <c r="S13" s="48">
        <v>1</v>
      </c>
      <c r="T13" s="178" t="s">
        <v>2284</v>
      </c>
      <c r="U13" s="98">
        <v>72487500000000</v>
      </c>
      <c r="V13" s="98" t="s">
        <v>2285</v>
      </c>
      <c r="W13" s="98">
        <v>27512500000000</v>
      </c>
      <c r="X13" s="98" t="s">
        <v>2286</v>
      </c>
      <c r="Y13" s="98" t="s">
        <v>2285</v>
      </c>
      <c r="Z13" s="185" t="s">
        <v>1803</v>
      </c>
      <c r="AA13" s="185" t="s">
        <v>577</v>
      </c>
      <c r="AB13" s="185" t="s">
        <v>589</v>
      </c>
      <c r="AC13" s="185" t="s">
        <v>600</v>
      </c>
      <c r="AD13" s="185" t="s">
        <v>608</v>
      </c>
      <c r="AE13" s="185" t="s">
        <v>617</v>
      </c>
      <c r="AF13" s="185" t="s">
        <v>626</v>
      </c>
      <c r="AG13" s="185" t="s">
        <v>636</v>
      </c>
      <c r="AH13" s="185" t="s">
        <v>644</v>
      </c>
      <c r="AI13" s="185" t="s">
        <v>652</v>
      </c>
      <c r="AJ13" s="48">
        <v>8</v>
      </c>
      <c r="AK13" s="48"/>
      <c r="AL13" s="48" t="s">
        <v>1277</v>
      </c>
      <c r="AM13" s="95">
        <v>45513</v>
      </c>
      <c r="AN13" s="48" t="s">
        <v>2287</v>
      </c>
    </row>
    <row r="14" spans="2:40">
      <c r="B14" s="48" t="s">
        <v>1226</v>
      </c>
      <c r="C14" s="48">
        <v>12</v>
      </c>
      <c r="D14" s="48" t="s">
        <v>2288</v>
      </c>
      <c r="E14" s="95">
        <v>45513</v>
      </c>
      <c r="F14" s="48">
        <v>1</v>
      </c>
      <c r="G14" s="191" t="s">
        <v>2289</v>
      </c>
      <c r="H14" s="183" t="s">
        <v>1266</v>
      </c>
      <c r="I14" s="48">
        <v>0</v>
      </c>
      <c r="J14" s="48">
        <v>0</v>
      </c>
      <c r="K14" s="48">
        <v>0</v>
      </c>
      <c r="L14" s="48">
        <v>0</v>
      </c>
      <c r="M14" s="48">
        <v>0</v>
      </c>
      <c r="N14" s="48">
        <v>0</v>
      </c>
      <c r="O14" s="48">
        <v>790</v>
      </c>
      <c r="P14" s="48">
        <v>0</v>
      </c>
      <c r="Q14" s="48">
        <v>0</v>
      </c>
      <c r="R14" s="48">
        <v>0</v>
      </c>
      <c r="S14" s="48">
        <v>0</v>
      </c>
      <c r="T14" s="48">
        <v>0</v>
      </c>
      <c r="U14" s="48">
        <v>0</v>
      </c>
      <c r="V14" s="48">
        <v>0</v>
      </c>
      <c r="W14" s="48">
        <v>0</v>
      </c>
      <c r="X14" s="48">
        <v>0</v>
      </c>
      <c r="Y14" s="48">
        <v>0</v>
      </c>
      <c r="Z14" s="185">
        <v>0</v>
      </c>
      <c r="AA14" s="185">
        <v>0</v>
      </c>
      <c r="AB14" s="185">
        <v>0</v>
      </c>
      <c r="AC14" s="185">
        <v>0</v>
      </c>
      <c r="AD14" s="185">
        <v>0</v>
      </c>
      <c r="AE14" s="185">
        <v>0</v>
      </c>
      <c r="AF14" s="185">
        <v>0</v>
      </c>
      <c r="AG14" s="185">
        <v>0</v>
      </c>
      <c r="AH14" s="185">
        <v>0</v>
      </c>
      <c r="AI14" s="185">
        <v>0</v>
      </c>
      <c r="AJ14" s="48">
        <v>0</v>
      </c>
      <c r="AK14" s="48">
        <v>0</v>
      </c>
      <c r="AL14" s="48">
        <v>0</v>
      </c>
      <c r="AM14" s="48">
        <v>0</v>
      </c>
      <c r="AN14" s="48">
        <v>0</v>
      </c>
    </row>
    <row r="15" spans="2:40">
      <c r="B15" s="48" t="s">
        <v>1228</v>
      </c>
      <c r="C15" s="48">
        <v>13</v>
      </c>
      <c r="D15" s="48" t="s">
        <v>2290</v>
      </c>
      <c r="E15" s="95">
        <v>45513</v>
      </c>
      <c r="F15" s="48">
        <v>1</v>
      </c>
      <c r="G15" s="98">
        <v>1</v>
      </c>
      <c r="H15" s="183" t="s">
        <v>1266</v>
      </c>
      <c r="I15" s="48" t="s">
        <v>1257</v>
      </c>
      <c r="J15" s="48" t="s">
        <v>1257</v>
      </c>
      <c r="K15" s="48" t="s">
        <v>1257</v>
      </c>
      <c r="L15" s="48" t="s">
        <v>1257</v>
      </c>
      <c r="M15" s="48" t="s">
        <v>1257</v>
      </c>
      <c r="N15" s="48" t="s">
        <v>1257</v>
      </c>
      <c r="O15" s="48" t="s">
        <v>1257</v>
      </c>
      <c r="P15" s="48">
        <v>0</v>
      </c>
      <c r="Q15" s="48">
        <v>0</v>
      </c>
      <c r="R15" s="48" t="s">
        <v>1257</v>
      </c>
      <c r="S15" s="48" t="s">
        <v>1257</v>
      </c>
      <c r="T15" s="48" t="s">
        <v>1257</v>
      </c>
      <c r="U15" s="48" t="s">
        <v>1257</v>
      </c>
      <c r="V15" s="48" t="s">
        <v>1257</v>
      </c>
      <c r="W15" s="48" t="s">
        <v>1257</v>
      </c>
      <c r="X15" s="48" t="s">
        <v>1257</v>
      </c>
      <c r="Y15" s="48" t="s">
        <v>1257</v>
      </c>
      <c r="Z15" s="185" t="s">
        <v>1257</v>
      </c>
      <c r="AA15" s="185" t="s">
        <v>1257</v>
      </c>
      <c r="AB15" s="185" t="s">
        <v>1257</v>
      </c>
      <c r="AC15" s="185" t="s">
        <v>1257</v>
      </c>
      <c r="AD15" s="185" t="s">
        <v>1257</v>
      </c>
      <c r="AE15" s="185" t="s">
        <v>1257</v>
      </c>
      <c r="AF15" s="185" t="s">
        <v>1257</v>
      </c>
      <c r="AG15" s="185" t="s">
        <v>1257</v>
      </c>
      <c r="AH15" s="185" t="s">
        <v>1257</v>
      </c>
      <c r="AI15" s="185" t="s">
        <v>1257</v>
      </c>
      <c r="AJ15" s="48" t="s">
        <v>1257</v>
      </c>
      <c r="AK15" s="48" t="s">
        <v>1257</v>
      </c>
      <c r="AL15" s="48" t="s">
        <v>1257</v>
      </c>
      <c r="AM15" s="48" t="s">
        <v>1257</v>
      </c>
      <c r="AN15" s="48" t="s">
        <v>1257</v>
      </c>
    </row>
    <row r="16" spans="2:40">
      <c r="B16" s="48" t="s">
        <v>1230</v>
      </c>
      <c r="C16" s="48">
        <v>14</v>
      </c>
      <c r="D16" s="48" t="s">
        <v>2291</v>
      </c>
      <c r="E16" s="95">
        <v>45513</v>
      </c>
      <c r="F16" s="48">
        <v>1</v>
      </c>
      <c r="G16" s="98">
        <v>1</v>
      </c>
      <c r="H16" s="183" t="s">
        <v>1266</v>
      </c>
      <c r="I16" s="48">
        <v>0</v>
      </c>
      <c r="J16" s="48">
        <v>0</v>
      </c>
      <c r="K16" s="48">
        <v>0</v>
      </c>
      <c r="L16" s="48">
        <v>0</v>
      </c>
      <c r="M16" s="48">
        <v>0</v>
      </c>
      <c r="N16" s="48">
        <v>0</v>
      </c>
      <c r="O16" s="48">
        <v>0</v>
      </c>
      <c r="P16" s="48" t="s">
        <v>1257</v>
      </c>
      <c r="Q16" s="48" t="s">
        <v>1257</v>
      </c>
      <c r="R16" s="48">
        <v>0</v>
      </c>
      <c r="S16" s="48" t="s">
        <v>1257</v>
      </c>
      <c r="T16" s="48" t="s">
        <v>1257</v>
      </c>
      <c r="U16" s="48" t="s">
        <v>1257</v>
      </c>
      <c r="V16" s="48" t="s">
        <v>1257</v>
      </c>
      <c r="W16" s="48" t="s">
        <v>1257</v>
      </c>
      <c r="X16" s="48" t="s">
        <v>1257</v>
      </c>
      <c r="Y16" s="48" t="s">
        <v>1257</v>
      </c>
      <c r="Z16" s="185" t="s">
        <v>1257</v>
      </c>
      <c r="AA16" s="185" t="s">
        <v>1257</v>
      </c>
      <c r="AB16" s="185" t="s">
        <v>1257</v>
      </c>
      <c r="AC16" s="185" t="s">
        <v>1257</v>
      </c>
      <c r="AD16" s="185" t="s">
        <v>1257</v>
      </c>
      <c r="AE16" s="185">
        <v>0</v>
      </c>
      <c r="AF16" s="185" t="s">
        <v>1257</v>
      </c>
      <c r="AG16" s="185" t="s">
        <v>1257</v>
      </c>
      <c r="AH16" s="185" t="s">
        <v>1257</v>
      </c>
      <c r="AI16" s="185" t="s">
        <v>1257</v>
      </c>
      <c r="AJ16" s="48">
        <v>0</v>
      </c>
      <c r="AK16" s="48">
        <v>0</v>
      </c>
      <c r="AL16" s="48">
        <v>0</v>
      </c>
      <c r="AM16" s="48" t="s">
        <v>1257</v>
      </c>
      <c r="AN16" s="48" t="s">
        <v>1257</v>
      </c>
    </row>
    <row r="17" spans="2:40">
      <c r="B17" s="48" t="s">
        <v>1232</v>
      </c>
      <c r="C17" s="48">
        <v>15</v>
      </c>
      <c r="D17" s="48" t="s">
        <v>2292</v>
      </c>
      <c r="E17" s="95">
        <v>45513</v>
      </c>
      <c r="F17" s="48">
        <v>1</v>
      </c>
      <c r="G17" s="98">
        <v>1</v>
      </c>
      <c r="H17" s="183" t="s">
        <v>1266</v>
      </c>
      <c r="I17" s="48" t="s">
        <v>1257</v>
      </c>
      <c r="J17" s="48" t="s">
        <v>1257</v>
      </c>
      <c r="K17" s="48" t="s">
        <v>1257</v>
      </c>
      <c r="L17" s="48" t="s">
        <v>1257</v>
      </c>
      <c r="M17" s="48" t="s">
        <v>1257</v>
      </c>
      <c r="N17" s="48" t="s">
        <v>1257</v>
      </c>
      <c r="O17" s="48" t="s">
        <v>1257</v>
      </c>
      <c r="P17" s="48" t="s">
        <v>1257</v>
      </c>
      <c r="Q17" s="48" t="s">
        <v>1257</v>
      </c>
      <c r="R17" s="48" t="s">
        <v>1257</v>
      </c>
      <c r="S17" s="48" t="s">
        <v>1257</v>
      </c>
      <c r="T17" s="48" t="s">
        <v>1257</v>
      </c>
      <c r="U17" s="48" t="s">
        <v>1257</v>
      </c>
      <c r="V17" s="48" t="s">
        <v>1257</v>
      </c>
      <c r="W17" s="48" t="s">
        <v>1257</v>
      </c>
      <c r="X17" s="48" t="s">
        <v>1257</v>
      </c>
      <c r="Y17" s="48" t="s">
        <v>1257</v>
      </c>
      <c r="Z17" s="185" t="s">
        <v>1257</v>
      </c>
      <c r="AA17" s="185" t="s">
        <v>1257</v>
      </c>
      <c r="AB17" s="185" t="s">
        <v>1257</v>
      </c>
      <c r="AC17" s="185" t="s">
        <v>1257</v>
      </c>
      <c r="AD17" s="185" t="s">
        <v>1257</v>
      </c>
      <c r="AE17" s="185" t="s">
        <v>1257</v>
      </c>
      <c r="AF17" s="185" t="s">
        <v>1257</v>
      </c>
      <c r="AG17" s="185" t="s">
        <v>1257</v>
      </c>
      <c r="AH17" s="185" t="s">
        <v>1257</v>
      </c>
      <c r="AI17" s="185" t="s">
        <v>1257</v>
      </c>
      <c r="AJ17" s="48" t="s">
        <v>1257</v>
      </c>
      <c r="AK17" s="48" t="s">
        <v>1257</v>
      </c>
      <c r="AL17" s="48" t="s">
        <v>1257</v>
      </c>
      <c r="AM17" s="48" t="s">
        <v>1257</v>
      </c>
      <c r="AN17" s="48" t="s">
        <v>1257</v>
      </c>
    </row>
    <row r="18" spans="2:40">
      <c r="B18" s="48" t="s">
        <v>1234</v>
      </c>
      <c r="C18" s="48">
        <v>16</v>
      </c>
      <c r="D18" s="48" t="s">
        <v>2292</v>
      </c>
      <c r="E18" s="95">
        <v>45513</v>
      </c>
      <c r="F18" s="48">
        <v>1</v>
      </c>
      <c r="G18" s="98">
        <v>1</v>
      </c>
      <c r="H18" s="183" t="s">
        <v>1266</v>
      </c>
      <c r="I18" s="48" t="s">
        <v>1257</v>
      </c>
      <c r="J18" s="48" t="s">
        <v>1257</v>
      </c>
      <c r="K18" s="48" t="s">
        <v>1257</v>
      </c>
      <c r="L18" s="48" t="s">
        <v>1257</v>
      </c>
      <c r="M18" s="48" t="s">
        <v>1257</v>
      </c>
      <c r="N18" s="48" t="s">
        <v>1257</v>
      </c>
      <c r="O18" s="48" t="s">
        <v>1257</v>
      </c>
      <c r="P18" s="48" t="s">
        <v>1257</v>
      </c>
      <c r="Q18" s="48" t="s">
        <v>1257</v>
      </c>
      <c r="R18" s="48" t="s">
        <v>1257</v>
      </c>
      <c r="S18" s="48" t="s">
        <v>1257</v>
      </c>
      <c r="T18" s="48" t="s">
        <v>1257</v>
      </c>
      <c r="U18" s="48" t="s">
        <v>1257</v>
      </c>
      <c r="V18" s="48" t="s">
        <v>1257</v>
      </c>
      <c r="W18" s="48" t="s">
        <v>1257</v>
      </c>
      <c r="X18" s="48" t="s">
        <v>1257</v>
      </c>
      <c r="Y18" s="48" t="s">
        <v>1257</v>
      </c>
      <c r="Z18" s="185" t="s">
        <v>1257</v>
      </c>
      <c r="AA18" s="185" t="s">
        <v>1257</v>
      </c>
      <c r="AB18" s="185" t="s">
        <v>1257</v>
      </c>
      <c r="AC18" s="185" t="s">
        <v>1257</v>
      </c>
      <c r="AD18" s="185" t="s">
        <v>1257</v>
      </c>
      <c r="AE18" s="185" t="s">
        <v>1257</v>
      </c>
      <c r="AF18" s="185" t="s">
        <v>1257</v>
      </c>
      <c r="AG18" s="185" t="s">
        <v>1257</v>
      </c>
      <c r="AH18" s="185" t="s">
        <v>1257</v>
      </c>
      <c r="AI18" s="185" t="s">
        <v>1257</v>
      </c>
      <c r="AJ18" s="48" t="s">
        <v>1257</v>
      </c>
      <c r="AK18" s="48" t="s">
        <v>1257</v>
      </c>
      <c r="AL18" s="48" t="s">
        <v>1257</v>
      </c>
      <c r="AM18" s="48" t="s">
        <v>1257</v>
      </c>
      <c r="AN18" s="48" t="s">
        <v>1257</v>
      </c>
    </row>
    <row r="19" spans="2:40">
      <c r="B19" s="48" t="s">
        <v>1236</v>
      </c>
      <c r="C19" s="48">
        <v>17</v>
      </c>
      <c r="D19" s="48" t="s">
        <v>2293</v>
      </c>
      <c r="E19" s="95">
        <v>45513</v>
      </c>
      <c r="F19" s="48">
        <v>1</v>
      </c>
      <c r="G19" s="48" t="s">
        <v>2294</v>
      </c>
      <c r="H19" s="239" t="s">
        <v>2295</v>
      </c>
      <c r="I19" s="48" t="s">
        <v>1257</v>
      </c>
      <c r="J19" s="48" t="s">
        <v>1257</v>
      </c>
      <c r="K19" s="48" t="s">
        <v>1257</v>
      </c>
      <c r="L19" s="48" t="s">
        <v>1257</v>
      </c>
      <c r="M19" s="48" t="s">
        <v>1257</v>
      </c>
      <c r="N19" s="48" t="s">
        <v>1257</v>
      </c>
      <c r="O19" s="48" t="s">
        <v>1257</v>
      </c>
      <c r="P19" s="48" t="s">
        <v>1257</v>
      </c>
      <c r="Q19" s="97" t="s">
        <v>1257</v>
      </c>
      <c r="R19" s="48" t="s">
        <v>1257</v>
      </c>
      <c r="S19" s="48" t="s">
        <v>1257</v>
      </c>
      <c r="T19" s="48" t="s">
        <v>1257</v>
      </c>
      <c r="U19" s="48" t="s">
        <v>1257</v>
      </c>
      <c r="V19" s="48" t="s">
        <v>1257</v>
      </c>
      <c r="W19" s="48" t="s">
        <v>1257</v>
      </c>
      <c r="X19" s="48" t="s">
        <v>1257</v>
      </c>
      <c r="Y19" s="48" t="s">
        <v>1257</v>
      </c>
      <c r="Z19" s="185" t="s">
        <v>1257</v>
      </c>
      <c r="AA19" s="185" t="s">
        <v>1257</v>
      </c>
      <c r="AB19" s="185" t="s">
        <v>1257</v>
      </c>
      <c r="AC19" s="185" t="s">
        <v>1257</v>
      </c>
      <c r="AD19" s="185" t="s">
        <v>1257</v>
      </c>
      <c r="AE19" s="185" t="s">
        <v>1257</v>
      </c>
      <c r="AF19" s="185" t="s">
        <v>1257</v>
      </c>
      <c r="AG19" s="185" t="s">
        <v>1257</v>
      </c>
      <c r="AH19" s="185" t="s">
        <v>1257</v>
      </c>
      <c r="AI19" s="185" t="s">
        <v>1257</v>
      </c>
      <c r="AJ19" s="48" t="s">
        <v>1257</v>
      </c>
      <c r="AK19" s="48" t="s">
        <v>1257</v>
      </c>
      <c r="AL19" s="48" t="s">
        <v>1257</v>
      </c>
      <c r="AM19" s="48" t="s">
        <v>1257</v>
      </c>
      <c r="AN19" s="48" t="s">
        <v>1257</v>
      </c>
    </row>
    <row r="20" spans="2:40">
      <c r="B20" s="48" t="s">
        <v>1238</v>
      </c>
      <c r="C20" s="48">
        <v>18</v>
      </c>
      <c r="D20" s="48" t="s">
        <v>2293</v>
      </c>
      <c r="E20" s="95">
        <v>45513</v>
      </c>
      <c r="F20" s="48">
        <v>1</v>
      </c>
      <c r="G20" s="208" t="s">
        <v>2296</v>
      </c>
      <c r="H20" s="251" t="s">
        <v>2297</v>
      </c>
      <c r="I20" s="48" t="s">
        <v>1257</v>
      </c>
      <c r="J20" s="48" t="s">
        <v>1257</v>
      </c>
      <c r="K20" s="48" t="s">
        <v>1257</v>
      </c>
      <c r="L20" s="48" t="s">
        <v>1257</v>
      </c>
      <c r="M20" s="48" t="s">
        <v>1257</v>
      </c>
      <c r="N20" s="48" t="s">
        <v>1257</v>
      </c>
      <c r="O20" s="48" t="s">
        <v>1257</v>
      </c>
      <c r="P20" s="48" t="s">
        <v>1257</v>
      </c>
      <c r="Q20" s="48" t="s">
        <v>1257</v>
      </c>
      <c r="R20" s="48" t="s">
        <v>1257</v>
      </c>
      <c r="S20" s="48" t="s">
        <v>1257</v>
      </c>
      <c r="T20" s="48" t="s">
        <v>1257</v>
      </c>
      <c r="U20" s="48" t="s">
        <v>1257</v>
      </c>
      <c r="V20" s="48" t="s">
        <v>1257</v>
      </c>
      <c r="W20" s="48" t="s">
        <v>1257</v>
      </c>
      <c r="X20" s="48" t="s">
        <v>1257</v>
      </c>
      <c r="Y20" s="48" t="s">
        <v>1257</v>
      </c>
      <c r="Z20" s="185" t="s">
        <v>1257</v>
      </c>
      <c r="AA20" s="185" t="s">
        <v>1257</v>
      </c>
      <c r="AB20" s="185" t="s">
        <v>1257</v>
      </c>
      <c r="AC20" s="185" t="s">
        <v>1257</v>
      </c>
      <c r="AD20" s="185" t="s">
        <v>1257</v>
      </c>
      <c r="AE20" s="185" t="s">
        <v>1257</v>
      </c>
      <c r="AF20" s="185" t="s">
        <v>1257</v>
      </c>
      <c r="AG20" s="185" t="s">
        <v>1257</v>
      </c>
      <c r="AH20" s="185" t="s">
        <v>1257</v>
      </c>
      <c r="AI20" s="185" t="s">
        <v>1257</v>
      </c>
      <c r="AJ20" s="48" t="s">
        <v>1257</v>
      </c>
      <c r="AK20" s="48" t="s">
        <v>1257</v>
      </c>
      <c r="AL20" s="48" t="s">
        <v>1257</v>
      </c>
      <c r="AM20" s="48" t="s">
        <v>1257</v>
      </c>
      <c r="AN20" s="48" t="s">
        <v>1257</v>
      </c>
    </row>
    <row r="21" spans="2:40">
      <c r="B21" s="48" t="s">
        <v>1240</v>
      </c>
      <c r="C21" s="48">
        <v>19</v>
      </c>
      <c r="D21" s="48" t="s">
        <v>2298</v>
      </c>
      <c r="E21" s="95">
        <v>45513</v>
      </c>
      <c r="F21" s="48">
        <v>1</v>
      </c>
      <c r="G21" s="207" cm="1">
        <f t="array" aca="1" ref="G21" ca="1">SUMPRODUCT(--(ISNUMBER((SEARCH(I27:AN27,I21:AN21)))))/COUNTA(I21:AN21)</f>
        <v>0.96875</v>
      </c>
      <c r="H21" s="183" t="s">
        <v>1266</v>
      </c>
      <c r="I21" s="48" t="s">
        <v>1291</v>
      </c>
      <c r="J21" s="48" t="s">
        <v>1291</v>
      </c>
      <c r="K21" s="48" t="s">
        <v>1291</v>
      </c>
      <c r="L21" s="48" t="s">
        <v>1291</v>
      </c>
      <c r="M21" s="48" t="s">
        <v>1291</v>
      </c>
      <c r="N21" s="48" t="s">
        <v>1291</v>
      </c>
      <c r="O21" s="48" t="s">
        <v>1291</v>
      </c>
      <c r="P21" s="48" t="s">
        <v>1291</v>
      </c>
      <c r="Q21" s="48" t="s">
        <v>1291</v>
      </c>
      <c r="R21" s="48" t="s">
        <v>1291</v>
      </c>
      <c r="S21" s="48" t="s">
        <v>1291</v>
      </c>
      <c r="T21" s="48" t="s">
        <v>1292</v>
      </c>
      <c r="U21" s="48" t="s">
        <v>1292</v>
      </c>
      <c r="V21" s="48" t="s">
        <v>1292</v>
      </c>
      <c r="W21" s="48" t="s">
        <v>1292</v>
      </c>
      <c r="X21" s="48" t="s">
        <v>1292</v>
      </c>
      <c r="Y21" s="48" t="s">
        <v>1292</v>
      </c>
      <c r="Z21" s="185" t="s">
        <v>1291</v>
      </c>
      <c r="AA21" s="185" t="s">
        <v>1291</v>
      </c>
      <c r="AB21" s="185" t="s">
        <v>1291</v>
      </c>
      <c r="AC21" s="185" t="s">
        <v>1291</v>
      </c>
      <c r="AD21" s="185" t="s">
        <v>1291</v>
      </c>
      <c r="AE21" s="185" t="s">
        <v>1291</v>
      </c>
      <c r="AF21" s="185" t="s">
        <v>1291</v>
      </c>
      <c r="AG21" s="185" t="s">
        <v>1291</v>
      </c>
      <c r="AH21" s="185" t="s">
        <v>1291</v>
      </c>
      <c r="AI21" s="185" t="s">
        <v>1291</v>
      </c>
      <c r="AJ21" s="48" t="s">
        <v>1291</v>
      </c>
      <c r="AK21" s="48" t="s">
        <v>1291</v>
      </c>
      <c r="AL21" s="48" t="s">
        <v>1291</v>
      </c>
      <c r="AM21" s="48" t="s">
        <v>1291</v>
      </c>
      <c r="AN21" s="48" t="s">
        <v>1293</v>
      </c>
    </row>
    <row r="22" spans="2:40">
      <c r="B22" s="48" t="s">
        <v>1243</v>
      </c>
      <c r="C22" s="48">
        <v>20</v>
      </c>
      <c r="D22" s="48"/>
      <c r="E22" s="95"/>
      <c r="F22" s="48">
        <v>1</v>
      </c>
      <c r="G22" s="191" t="e" cm="1" vm="1">
        <f t="array" ref="G22">SUM(IF(I2:AN2 = I26:AN26, 1, 0))/ COUNTA(I2:AN2)</f>
        <v>#VALUE!</v>
      </c>
      <c r="H22" s="48" t="s">
        <v>1257</v>
      </c>
      <c r="I22" s="48"/>
      <c r="J22" s="48"/>
      <c r="K22" s="48"/>
      <c r="L22" s="48"/>
      <c r="M22" s="48"/>
      <c r="N22" s="48"/>
      <c r="O22" s="48"/>
      <c r="P22" s="48"/>
      <c r="Q22" s="48"/>
      <c r="R22" s="48"/>
      <c r="S22" s="48"/>
      <c r="T22" s="48"/>
      <c r="U22" s="48"/>
      <c r="V22" s="48"/>
      <c r="W22" s="48"/>
      <c r="X22" s="48"/>
      <c r="Y22" s="48"/>
      <c r="Z22" s="185"/>
      <c r="AA22" s="185"/>
      <c r="AB22" s="185"/>
      <c r="AC22" s="185"/>
      <c r="AD22" s="185"/>
      <c r="AE22" s="185"/>
      <c r="AF22" s="185"/>
      <c r="AG22" s="185"/>
      <c r="AH22" s="185"/>
      <c r="AI22" s="185"/>
      <c r="AJ22" s="48"/>
      <c r="AK22" s="48"/>
      <c r="AL22" s="48"/>
      <c r="AM22" s="48"/>
      <c r="AN22" s="48"/>
    </row>
    <row r="23" spans="2:40">
      <c r="B23" s="48" t="s">
        <v>1246</v>
      </c>
      <c r="C23" s="48">
        <v>21</v>
      </c>
      <c r="D23" s="48"/>
      <c r="E23" s="95"/>
      <c r="F23" s="48">
        <v>1</v>
      </c>
      <c r="G23" s="191" t="e" cm="1">
        <f t="array" aca="1" ref="G23" ca="1">SUM(IF(IF(G3:G22="null",1,G3:G22)=1,1,0))/COUNT(IF(G3:G22="null",1,1))</f>
        <v>#DIV/0!</v>
      </c>
      <c r="H23" s="48" t="s">
        <v>1257</v>
      </c>
      <c r="I23" s="48"/>
      <c r="J23" s="48"/>
      <c r="K23" s="48"/>
      <c r="L23" s="48"/>
      <c r="M23" s="48"/>
      <c r="N23" s="48"/>
      <c r="O23" s="48"/>
      <c r="P23" s="48"/>
      <c r="Q23" s="48"/>
      <c r="R23" s="48"/>
      <c r="S23" s="48"/>
      <c r="T23" s="48"/>
      <c r="U23" s="48"/>
      <c r="V23" s="48"/>
      <c r="W23" s="48"/>
      <c r="X23" s="48"/>
      <c r="Y23" s="48"/>
      <c r="Z23" s="185"/>
      <c r="AA23" s="185"/>
      <c r="AB23" s="185"/>
      <c r="AC23" s="185"/>
      <c r="AD23" s="185"/>
      <c r="AE23" s="185"/>
      <c r="AF23" s="185"/>
      <c r="AG23" s="185"/>
      <c r="AH23" s="185"/>
      <c r="AI23" s="185"/>
      <c r="AJ23" s="48"/>
      <c r="AK23" s="48"/>
      <c r="AL23" s="48"/>
      <c r="AM23" s="48"/>
      <c r="AN23" s="48"/>
    </row>
    <row r="24" spans="2:40">
      <c r="B24" s="48"/>
      <c r="C24" s="48"/>
      <c r="D24" s="48"/>
      <c r="E24" s="95"/>
      <c r="F24" s="48"/>
      <c r="G24" s="48"/>
      <c r="H24" s="48"/>
      <c r="I24" s="48"/>
      <c r="J24" s="48"/>
      <c r="K24" s="48"/>
      <c r="L24" s="48"/>
      <c r="M24" s="48"/>
      <c r="N24" s="48"/>
      <c r="O24" s="48"/>
      <c r="P24" s="48"/>
      <c r="Q24" s="48"/>
      <c r="R24" s="48"/>
      <c r="S24" s="48"/>
    </row>
    <row r="25" spans="2:40">
      <c r="B25" s="129" t="s">
        <v>1364</v>
      </c>
    </row>
    <row r="26" spans="2:40">
      <c r="B26" s="127" t="s">
        <v>1249</v>
      </c>
      <c r="C26" s="128" t="s">
        <v>1250</v>
      </c>
      <c r="D26" s="128" t="s">
        <v>1251</v>
      </c>
      <c r="E26" s="128" t="s">
        <v>1252</v>
      </c>
      <c r="F26" s="128" t="s">
        <v>1253</v>
      </c>
      <c r="G26" s="128" t="s">
        <v>1254</v>
      </c>
      <c r="H26" s="128" t="s">
        <v>1255</v>
      </c>
      <c r="I26" s="128" t="e" cm="1" vm="2">
        <f t="array" ref="I26">TRANSPOSE(_xlfn.SORTBY(_xlfn._xlws.FILTER(Table3[NOME FÍSICO CAMPO],Table3[NOME FÍSICO TABELA]="loan_account"), _xlfn._xlws.FILTER(Table3[ORDEM], Table3[NOME FÍSICO TABELA]="loan_account"), 1))</f>
        <v>#VALUE!</v>
      </c>
      <c r="J26" s="128"/>
      <c r="K26" s="128"/>
      <c r="L26" s="128"/>
      <c r="M26" s="128"/>
      <c r="N26" s="274"/>
      <c r="O26" s="274"/>
      <c r="P26" s="274"/>
      <c r="Q26" s="275"/>
      <c r="R26" s="275"/>
      <c r="S26" s="275"/>
      <c r="T26" s="275"/>
      <c r="U26" s="275"/>
      <c r="V26" s="273"/>
      <c r="W26" s="273"/>
      <c r="X26" s="273"/>
      <c r="Y26" s="273"/>
      <c r="Z26" s="273"/>
      <c r="AA26" s="273"/>
      <c r="AB26" s="273"/>
      <c r="AC26" s="273"/>
      <c r="AD26" s="273"/>
      <c r="AE26" s="273"/>
      <c r="AF26" s="273"/>
      <c r="AG26" s="273"/>
      <c r="AH26" s="273"/>
      <c r="AI26" s="273"/>
      <c r="AJ26" s="273"/>
      <c r="AK26" s="273"/>
      <c r="AL26" s="273"/>
      <c r="AM26" s="273"/>
      <c r="AN26" s="273"/>
    </row>
    <row r="27" spans="2:40">
      <c r="B27" s="106" t="s">
        <v>1294</v>
      </c>
      <c r="C27" s="109">
        <v>21</v>
      </c>
      <c r="D27" s="103" t="s">
        <v>1295</v>
      </c>
      <c r="E27" s="102" t="s">
        <v>1296</v>
      </c>
      <c r="F27" s="102" t="s">
        <v>124</v>
      </c>
      <c r="G27" s="102" t="s">
        <v>124</v>
      </c>
      <c r="H27" s="102" t="s">
        <v>124</v>
      </c>
      <c r="I27" s="102" t="e" cm="1" vm="2">
        <f t="array" aca="1" ref="I27" ca="1">TRANSPOSE(_xlfn.SORTBY(_xlfn._xlws.FILTER(IF(Table3[FORMATO]:Table3[COMP_ CAMPO]&lt;&gt;"",Table3[FORMATO]:Table3[COMP_ CAMPO],9999999),Table3[NOME FÍSICO TABELA]="loan_account"), _xlfn._xlws.FILTER(Table3[ORDEM], Table3[NOME FÍSICO TABELA]="loan_account"), 1))</f>
        <v>#VALUE!</v>
      </c>
      <c r="J27" s="102"/>
      <c r="K27" s="102"/>
      <c r="L27" s="102"/>
      <c r="M27" s="102"/>
      <c r="N27" s="104"/>
      <c r="O27" s="104"/>
      <c r="P27" s="104"/>
      <c r="Q27" s="104"/>
      <c r="R27" s="104"/>
      <c r="S27" s="104"/>
      <c r="T27" s="104"/>
      <c r="U27" s="104"/>
      <c r="V27" s="104"/>
      <c r="W27" s="104"/>
      <c r="X27" s="104"/>
      <c r="Y27" s="104"/>
      <c r="Z27" s="104"/>
      <c r="AA27" s="104"/>
      <c r="AB27" s="104"/>
      <c r="AC27" s="104"/>
      <c r="AD27" s="104"/>
      <c r="AE27" s="104"/>
      <c r="AF27" s="104"/>
      <c r="AG27" s="104"/>
      <c r="AH27" s="104"/>
      <c r="AI27" s="104"/>
      <c r="AJ27" s="104"/>
      <c r="AK27" s="104"/>
      <c r="AL27" s="104"/>
      <c r="AM27" s="104"/>
      <c r="AN27" s="104"/>
    </row>
    <row r="28" spans="2:40">
      <c r="B28" s="106" t="s">
        <v>1297</v>
      </c>
      <c r="C28" s="109">
        <v>7</v>
      </c>
      <c r="D28" s="103" t="s">
        <v>1295</v>
      </c>
      <c r="E28" s="102" t="s">
        <v>1296</v>
      </c>
      <c r="F28" s="104" t="s">
        <v>124</v>
      </c>
      <c r="G28" s="104" t="s">
        <v>124</v>
      </c>
      <c r="H28" s="104" t="s">
        <v>124</v>
      </c>
      <c r="I28" s="150"/>
      <c r="J28" s="150"/>
      <c r="K28" s="150"/>
      <c r="L28" s="150"/>
      <c r="M28" s="150"/>
      <c r="N28" s="109"/>
      <c r="O28" s="109"/>
      <c r="P28" s="109"/>
      <c r="Q28" s="109"/>
      <c r="R28" s="109"/>
      <c r="S28" s="109"/>
      <c r="T28" s="109"/>
      <c r="U28" s="109"/>
      <c r="V28" s="102"/>
      <c r="W28" s="102"/>
      <c r="X28" s="102"/>
      <c r="Y28" s="102"/>
      <c r="Z28" s="102"/>
      <c r="AA28" s="102"/>
      <c r="AB28" s="102"/>
      <c r="AC28" s="102"/>
      <c r="AD28" s="102"/>
      <c r="AE28" s="102"/>
      <c r="AF28" s="102"/>
      <c r="AG28" s="102"/>
      <c r="AH28" s="102"/>
      <c r="AI28" s="102"/>
      <c r="AJ28" s="102"/>
      <c r="AK28" s="102"/>
      <c r="AL28" s="102"/>
      <c r="AM28" s="102"/>
      <c r="AN28" s="102"/>
    </row>
    <row r="30" spans="2:40">
      <c r="B30" s="139" t="s">
        <v>1298</v>
      </c>
    </row>
    <row r="31" spans="2:40">
      <c r="B31" s="133" t="s">
        <v>1299</v>
      </c>
      <c r="C31" s="133" t="s">
        <v>1300</v>
      </c>
      <c r="D31" s="134" t="s">
        <v>1301</v>
      </c>
      <c r="E31" s="133" t="s">
        <v>1302</v>
      </c>
      <c r="F31" s="133" t="s">
        <v>1303</v>
      </c>
    </row>
    <row r="32" spans="2:40" ht="57.95">
      <c r="B32" s="136" t="s">
        <v>1421</v>
      </c>
      <c r="C32" s="137" t="s">
        <v>1803</v>
      </c>
      <c r="D32" s="231" t="s">
        <v>1422</v>
      </c>
      <c r="E32" s="146" t="s">
        <v>2299</v>
      </c>
      <c r="F32" s="196" t="s">
        <v>2300</v>
      </c>
    </row>
    <row r="33" spans="2:6" ht="57.95">
      <c r="B33" s="136" t="s">
        <v>1421</v>
      </c>
      <c r="C33" s="137" t="s">
        <v>577</v>
      </c>
      <c r="D33" s="231" t="s">
        <v>1422</v>
      </c>
      <c r="E33" s="146" t="s">
        <v>2299</v>
      </c>
      <c r="F33" s="196" t="s">
        <v>2300</v>
      </c>
    </row>
    <row r="34" spans="2:6" ht="57.95">
      <c r="B34" s="136" t="s">
        <v>1421</v>
      </c>
      <c r="C34" s="137" t="s">
        <v>600</v>
      </c>
      <c r="D34" s="231" t="s">
        <v>1422</v>
      </c>
      <c r="E34" s="146" t="s">
        <v>2299</v>
      </c>
      <c r="F34" s="196" t="s">
        <v>2300</v>
      </c>
    </row>
    <row r="35" spans="2:6" ht="57.95">
      <c r="B35" s="136" t="s">
        <v>1421</v>
      </c>
      <c r="C35" s="137" t="s">
        <v>608</v>
      </c>
      <c r="D35" s="231" t="s">
        <v>1422</v>
      </c>
      <c r="E35" s="146" t="s">
        <v>2299</v>
      </c>
      <c r="F35" s="196" t="s">
        <v>2300</v>
      </c>
    </row>
    <row r="36" spans="2:6" ht="57.95">
      <c r="B36" s="136" t="s">
        <v>1421</v>
      </c>
      <c r="C36" s="137" t="s">
        <v>617</v>
      </c>
      <c r="D36" s="231" t="s">
        <v>1422</v>
      </c>
      <c r="E36" s="146" t="s">
        <v>2299</v>
      </c>
      <c r="F36" s="196" t="s">
        <v>2300</v>
      </c>
    </row>
    <row r="37" spans="2:6" ht="57.95">
      <c r="B37" s="136" t="s">
        <v>1421</v>
      </c>
      <c r="C37" s="137" t="s">
        <v>626</v>
      </c>
      <c r="D37" s="231" t="s">
        <v>1422</v>
      </c>
      <c r="E37" s="146" t="s">
        <v>2299</v>
      </c>
      <c r="F37" s="196" t="s">
        <v>2300</v>
      </c>
    </row>
    <row r="38" spans="2:6" ht="57.95">
      <c r="B38" s="136" t="s">
        <v>1421</v>
      </c>
      <c r="C38" s="137" t="s">
        <v>644</v>
      </c>
      <c r="D38" s="231" t="s">
        <v>1422</v>
      </c>
      <c r="E38" s="146" t="s">
        <v>2299</v>
      </c>
      <c r="F38" s="196" t="s">
        <v>2300</v>
      </c>
    </row>
    <row r="39" spans="2:6" ht="57.95">
      <c r="B39" s="136" t="s">
        <v>1421</v>
      </c>
      <c r="C39" s="137" t="s">
        <v>652</v>
      </c>
      <c r="D39" s="231" t="s">
        <v>1422</v>
      </c>
      <c r="E39" s="146" t="s">
        <v>2299</v>
      </c>
      <c r="F39" s="196" t="s">
        <v>2300</v>
      </c>
    </row>
    <row r="40" spans="2:6" ht="57.95">
      <c r="B40" s="117" t="s">
        <v>1304</v>
      </c>
      <c r="C40" s="116" t="s">
        <v>203</v>
      </c>
      <c r="D40" s="122" t="s">
        <v>2301</v>
      </c>
      <c r="E40" s="145" t="s">
        <v>2302</v>
      </c>
      <c r="F40" s="135" t="s">
        <v>1307</v>
      </c>
    </row>
    <row r="41" spans="2:6">
      <c r="B41" s="136" t="s">
        <v>1314</v>
      </c>
      <c r="C41" s="137" t="s">
        <v>1315</v>
      </c>
      <c r="D41" s="231"/>
      <c r="E41" s="146" t="s">
        <v>2303</v>
      </c>
      <c r="F41" s="187"/>
    </row>
    <row r="42" spans="2:6">
      <c r="B42" s="136" t="s">
        <v>1373</v>
      </c>
      <c r="C42" s="137" t="s">
        <v>1315</v>
      </c>
      <c r="D42" s="231"/>
      <c r="E42" s="146" t="s">
        <v>2304</v>
      </c>
      <c r="F42" s="187"/>
    </row>
    <row r="43" spans="2:6" ht="72.599999999999994">
      <c r="B43" s="136" t="s">
        <v>1431</v>
      </c>
      <c r="C43" s="137" t="s">
        <v>589</v>
      </c>
      <c r="D43" s="138" t="s">
        <v>1432</v>
      </c>
      <c r="E43" s="146" t="s">
        <v>2299</v>
      </c>
      <c r="F43" s="196" t="s">
        <v>2300</v>
      </c>
    </row>
    <row r="44" spans="2:6" ht="72.599999999999994">
      <c r="B44" s="136" t="s">
        <v>1431</v>
      </c>
      <c r="C44" s="137" t="s">
        <v>600</v>
      </c>
      <c r="D44" s="231" t="s">
        <v>1432</v>
      </c>
      <c r="E44" s="146" t="s">
        <v>2299</v>
      </c>
      <c r="F44" s="187" t="s">
        <v>2300</v>
      </c>
    </row>
    <row r="45" spans="2:6" ht="72.599999999999994">
      <c r="B45" s="136" t="s">
        <v>1431</v>
      </c>
      <c r="C45" s="137" t="s">
        <v>608</v>
      </c>
      <c r="D45" s="231" t="s">
        <v>1432</v>
      </c>
      <c r="E45" s="146" t="s">
        <v>2299</v>
      </c>
      <c r="F45" s="187" t="s">
        <v>2300</v>
      </c>
    </row>
    <row r="46" spans="2:6" ht="72.599999999999994">
      <c r="B46" s="136" t="s">
        <v>1431</v>
      </c>
      <c r="C46" s="137" t="s">
        <v>636</v>
      </c>
      <c r="D46" s="231" t="s">
        <v>1432</v>
      </c>
      <c r="E46" s="146" t="s">
        <v>2299</v>
      </c>
      <c r="F46" s="187" t="s">
        <v>2300</v>
      </c>
    </row>
    <row r="47" spans="2:6" ht="72.599999999999994">
      <c r="B47" s="136" t="s">
        <v>1431</v>
      </c>
      <c r="C47" s="137" t="s">
        <v>644</v>
      </c>
      <c r="D47" s="231" t="s">
        <v>1432</v>
      </c>
      <c r="E47" s="146" t="s">
        <v>2299</v>
      </c>
      <c r="F47" s="187" t="s">
        <v>2300</v>
      </c>
    </row>
    <row r="48" spans="2:6" ht="72.599999999999994">
      <c r="B48" s="136" t="s">
        <v>1431</v>
      </c>
      <c r="C48" s="137" t="s">
        <v>652</v>
      </c>
      <c r="D48" s="231" t="s">
        <v>1432</v>
      </c>
      <c r="E48" s="146" t="s">
        <v>2299</v>
      </c>
      <c r="F48" s="187" t="s">
        <v>2300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6.42578125" bestFit="1" customWidth="1"/>
    <col min="19" max="19" width="34.42578125" bestFit="1" customWidth="1"/>
    <col min="20" max="20" width="32.28515625" customWidth="1"/>
    <col min="21" max="21" width="41.140625" customWidth="1"/>
    <col min="22" max="22" width="21.5703125" customWidth="1"/>
    <col min="23" max="23" width="27.7109375" customWidth="1"/>
    <col min="24" max="24" width="20.7109375" bestFit="1" customWidth="1"/>
    <col min="25" max="25" width="34.85546875" bestFit="1" customWidth="1"/>
    <col min="26" max="26" width="27.7109375" bestFit="1" customWidth="1"/>
    <col min="27" max="27" width="29.28515625" bestFit="1" customWidth="1"/>
    <col min="28" max="28" width="34.5703125" bestFit="1" customWidth="1"/>
    <col min="29" max="29" width="36" bestFit="1" customWidth="1"/>
    <col min="30" max="30" width="27.5703125" bestFit="1" customWidth="1"/>
    <col min="31" max="31" width="30.7109375" bestFit="1" customWidth="1"/>
    <col min="32" max="32" width="31.5703125" bestFit="1" customWidth="1"/>
    <col min="33" max="33" width="32.85546875" bestFit="1" customWidth="1"/>
    <col min="34" max="34" width="32.28515625" bestFit="1" customWidth="1"/>
    <col min="35" max="35" width="30.85546875" bestFit="1" customWidth="1"/>
    <col min="36" max="36" width="32.140625" bestFit="1" customWidth="1"/>
    <col min="37" max="37" width="34" bestFit="1" customWidth="1"/>
    <col min="38" max="38" width="30.85546875" bestFit="1" customWidth="1"/>
    <col min="39" max="39" width="33.140625" bestFit="1" customWidth="1"/>
    <col min="40" max="40" width="34.5703125" bestFit="1" customWidth="1"/>
    <col min="41" max="41" width="31.42578125" bestFit="1" customWidth="1"/>
    <col min="42" max="42" width="35.42578125" bestFit="1" customWidth="1"/>
    <col min="43" max="43" width="30.42578125" bestFit="1" customWidth="1"/>
    <col min="44" max="44" width="33" bestFit="1" customWidth="1"/>
    <col min="45" max="46" width="35" bestFit="1" customWidth="1"/>
    <col min="47" max="47" width="37.28515625" bestFit="1" customWidth="1"/>
    <col min="48" max="48" width="28.5703125" bestFit="1" customWidth="1"/>
    <col min="49" max="49" width="32.7109375" bestFit="1" customWidth="1"/>
    <col min="50" max="50" width="33.140625" bestFit="1" customWidth="1"/>
    <col min="51" max="51" width="33.28515625" bestFit="1" customWidth="1"/>
    <col min="52" max="52" width="32.5703125" bestFit="1" customWidth="1"/>
    <col min="53" max="53" width="34.5703125" bestFit="1" customWidth="1"/>
    <col min="54" max="54" width="32.85546875" bestFit="1" customWidth="1"/>
    <col min="55" max="55" width="30.5703125" bestFit="1" customWidth="1"/>
    <col min="56" max="56" width="24" bestFit="1" customWidth="1"/>
    <col min="57" max="57" width="26" bestFit="1" customWidth="1"/>
    <col min="58" max="58" width="22.28515625" bestFit="1" customWidth="1"/>
    <col min="59" max="59" width="28.140625" bestFit="1" customWidth="1"/>
    <col min="60" max="60" width="28.28515625" bestFit="1" customWidth="1"/>
    <col min="61" max="61" width="25.42578125" bestFit="1" customWidth="1"/>
    <col min="62" max="62" width="27.42578125" bestFit="1" customWidth="1"/>
    <col min="63" max="63" width="23.85546875" bestFit="1" customWidth="1"/>
    <col min="64" max="64" width="29.5703125" bestFit="1" customWidth="1"/>
    <col min="65" max="65" width="23" bestFit="1" customWidth="1"/>
    <col min="66" max="66" width="33.28515625" bestFit="1" customWidth="1"/>
    <col min="67" max="67" width="14.7109375" bestFit="1" customWidth="1"/>
    <col min="68" max="68" width="17.42578125" bestFit="1" customWidth="1"/>
    <col min="69" max="69" width="26.85546875" bestFit="1" customWidth="1"/>
  </cols>
  <sheetData>
    <row r="1" spans="2:69" ht="27.75" customHeight="1"/>
    <row r="2" spans="2:69">
      <c r="B2" s="77" t="s">
        <v>1375</v>
      </c>
      <c r="C2" s="77" t="s">
        <v>1250</v>
      </c>
      <c r="D2" s="77" t="s">
        <v>1251</v>
      </c>
      <c r="E2" s="77" t="s">
        <v>1252</v>
      </c>
      <c r="F2" s="77" t="s">
        <v>1253</v>
      </c>
      <c r="G2" s="77" t="s">
        <v>1254</v>
      </c>
      <c r="H2" s="77" t="s">
        <v>1255</v>
      </c>
      <c r="I2" s="77" t="s">
        <v>103</v>
      </c>
      <c r="J2" s="77" t="s">
        <v>134</v>
      </c>
      <c r="K2" s="77" t="s">
        <v>155</v>
      </c>
      <c r="L2" s="77" t="s">
        <v>162</v>
      </c>
      <c r="M2" s="77" t="s">
        <v>190</v>
      </c>
      <c r="N2" s="77" t="s">
        <v>176</v>
      </c>
      <c r="O2" s="77" t="s">
        <v>203</v>
      </c>
      <c r="P2" s="77" t="s">
        <v>227</v>
      </c>
      <c r="Q2" s="77" t="s">
        <v>2305</v>
      </c>
      <c r="R2" s="77" t="s">
        <v>2306</v>
      </c>
      <c r="S2" s="77" t="s">
        <v>2307</v>
      </c>
      <c r="T2" s="77" t="s">
        <v>2308</v>
      </c>
      <c r="U2" s="77" t="s">
        <v>289</v>
      </c>
      <c r="V2" s="77" t="s">
        <v>299</v>
      </c>
      <c r="W2" s="77" t="s">
        <v>314</v>
      </c>
      <c r="X2" s="77" t="s">
        <v>389</v>
      </c>
      <c r="Y2" s="77" t="s">
        <v>2032</v>
      </c>
      <c r="Z2" s="77" t="s">
        <v>331</v>
      </c>
      <c r="AA2" s="77" t="s">
        <v>349</v>
      </c>
      <c r="AB2" s="77" t="s">
        <v>2309</v>
      </c>
      <c r="AC2" s="77" t="s">
        <v>2310</v>
      </c>
      <c r="AD2" s="77" t="s">
        <v>429</v>
      </c>
      <c r="AE2" s="77" t="s">
        <v>453</v>
      </c>
      <c r="AF2" s="77" t="s">
        <v>468</v>
      </c>
      <c r="AG2" s="77" t="s">
        <v>2311</v>
      </c>
      <c r="AH2" s="77" t="s">
        <v>2312</v>
      </c>
      <c r="AI2" s="77" t="s">
        <v>2313</v>
      </c>
      <c r="AJ2" s="77" t="s">
        <v>482</v>
      </c>
      <c r="AK2" s="77" t="s">
        <v>2314</v>
      </c>
      <c r="AL2" s="77" t="s">
        <v>2315</v>
      </c>
      <c r="AM2" s="77" t="s">
        <v>2316</v>
      </c>
      <c r="AN2" s="77" t="s">
        <v>2317</v>
      </c>
      <c r="AO2" s="77" t="s">
        <v>512</v>
      </c>
      <c r="AP2" s="77" t="s">
        <v>1951</v>
      </c>
      <c r="AQ2" s="77" t="s">
        <v>1952</v>
      </c>
      <c r="AR2" s="77" t="s">
        <v>1953</v>
      </c>
      <c r="AS2" s="77" t="s">
        <v>2318</v>
      </c>
      <c r="AT2" s="77" t="s">
        <v>2319</v>
      </c>
      <c r="AU2" s="77" t="s">
        <v>2320</v>
      </c>
      <c r="AV2" s="77" t="s">
        <v>1954</v>
      </c>
      <c r="AW2" s="77" t="s">
        <v>1955</v>
      </c>
      <c r="AX2" s="77" t="s">
        <v>2321</v>
      </c>
      <c r="AY2" s="77" t="s">
        <v>2322</v>
      </c>
      <c r="AZ2" s="77" t="s">
        <v>2323</v>
      </c>
      <c r="BA2" s="77" t="s">
        <v>2324</v>
      </c>
      <c r="BB2" s="77" t="s">
        <v>1957</v>
      </c>
      <c r="BC2" s="77" t="s">
        <v>567</v>
      </c>
      <c r="BD2" s="77" t="s">
        <v>577</v>
      </c>
      <c r="BE2" s="77" t="s">
        <v>589</v>
      </c>
      <c r="BF2" s="77" t="s">
        <v>600</v>
      </c>
      <c r="BG2" s="77" t="s">
        <v>608</v>
      </c>
      <c r="BH2" s="77" t="s">
        <v>617</v>
      </c>
      <c r="BI2" s="77" t="s">
        <v>626</v>
      </c>
      <c r="BJ2" s="77" t="s">
        <v>636</v>
      </c>
      <c r="BK2" s="77" t="s">
        <v>644</v>
      </c>
      <c r="BL2" s="77" t="s">
        <v>652</v>
      </c>
      <c r="BM2" s="77" t="s">
        <v>669</v>
      </c>
      <c r="BN2" s="77" t="s">
        <v>678</v>
      </c>
      <c r="BO2" s="77" t="s">
        <v>214</v>
      </c>
      <c r="BP2" s="77" t="s">
        <v>234</v>
      </c>
      <c r="BQ2" s="77" t="s">
        <v>253</v>
      </c>
    </row>
    <row r="3" spans="2:69">
      <c r="B3" s="48" t="s">
        <v>1203</v>
      </c>
      <c r="C3" s="48">
        <v>1</v>
      </c>
      <c r="D3" s="48" t="s">
        <v>2325</v>
      </c>
      <c r="E3" s="95">
        <v>45534</v>
      </c>
      <c r="F3" s="48">
        <v>1</v>
      </c>
      <c r="G3" s="251">
        <v>1</v>
      </c>
      <c r="H3" s="180" t="s">
        <v>2326</v>
      </c>
      <c r="I3" s="48" t="s">
        <v>1257</v>
      </c>
      <c r="J3" s="48" t="s">
        <v>1257</v>
      </c>
      <c r="K3" s="48" t="s">
        <v>1257</v>
      </c>
      <c r="L3" s="48" t="s">
        <v>1257</v>
      </c>
      <c r="M3" s="48" t="s">
        <v>1257</v>
      </c>
      <c r="N3" s="48" t="s">
        <v>1257</v>
      </c>
      <c r="O3" s="48" t="s">
        <v>1257</v>
      </c>
      <c r="P3" s="48" t="s">
        <v>1257</v>
      </c>
      <c r="Q3" s="48" t="s">
        <v>1257</v>
      </c>
      <c r="R3" s="48" t="s">
        <v>1257</v>
      </c>
      <c r="S3" s="48" t="s">
        <v>1257</v>
      </c>
      <c r="T3" s="48" t="s">
        <v>1257</v>
      </c>
      <c r="U3" s="48" t="s">
        <v>1257</v>
      </c>
      <c r="V3" s="48" t="s">
        <v>1257</v>
      </c>
      <c r="W3" s="48" t="s">
        <v>1257</v>
      </c>
      <c r="X3" s="48" t="s">
        <v>1257</v>
      </c>
      <c r="Y3" s="48" t="s">
        <v>1257</v>
      </c>
      <c r="Z3" s="48" t="s">
        <v>1257</v>
      </c>
      <c r="AA3" s="48" t="s">
        <v>1257</v>
      </c>
      <c r="AB3" s="48" t="s">
        <v>1257</v>
      </c>
      <c r="AC3" s="48" t="s">
        <v>1257</v>
      </c>
      <c r="AD3" s="48" t="s">
        <v>1257</v>
      </c>
      <c r="AE3" s="48" t="s">
        <v>1257</v>
      </c>
      <c r="AF3" s="48" t="s">
        <v>1257</v>
      </c>
      <c r="AG3" s="48" t="s">
        <v>1257</v>
      </c>
      <c r="AH3" s="48" t="s">
        <v>1257</v>
      </c>
      <c r="AI3" s="48" t="s">
        <v>1257</v>
      </c>
      <c r="AJ3" s="48" t="s">
        <v>1257</v>
      </c>
      <c r="AK3" s="48" t="s">
        <v>1257</v>
      </c>
      <c r="AL3" s="48" t="s">
        <v>1257</v>
      </c>
      <c r="AM3" s="48" t="s">
        <v>1257</v>
      </c>
      <c r="AN3" s="48" t="s">
        <v>1257</v>
      </c>
      <c r="AO3" s="48" t="s">
        <v>1257</v>
      </c>
      <c r="AP3" s="48" t="s">
        <v>1257</v>
      </c>
      <c r="AQ3" s="48" t="s">
        <v>1257</v>
      </c>
      <c r="AR3" s="48" t="s">
        <v>1257</v>
      </c>
      <c r="AS3" s="48" t="s">
        <v>1257</v>
      </c>
      <c r="AT3" s="48" t="s">
        <v>1257</v>
      </c>
      <c r="AU3" s="48" t="s">
        <v>1257</v>
      </c>
      <c r="AV3" s="48" t="s">
        <v>1257</v>
      </c>
      <c r="AW3" s="48" t="s">
        <v>1257</v>
      </c>
      <c r="AX3" s="48" t="s">
        <v>1257</v>
      </c>
      <c r="AY3" s="48" t="s">
        <v>1257</v>
      </c>
      <c r="AZ3" s="48" t="s">
        <v>1257</v>
      </c>
      <c r="BA3" s="48" t="s">
        <v>1257</v>
      </c>
      <c r="BB3" s="48" t="s">
        <v>1257</v>
      </c>
      <c r="BC3" s="48" t="s">
        <v>1257</v>
      </c>
      <c r="BD3" s="48" t="s">
        <v>1257</v>
      </c>
      <c r="BE3" s="48" t="s">
        <v>1257</v>
      </c>
      <c r="BF3" s="48" t="s">
        <v>1257</v>
      </c>
      <c r="BG3" s="48" t="s">
        <v>1257</v>
      </c>
      <c r="BH3" s="48" t="s">
        <v>1257</v>
      </c>
      <c r="BI3" s="48" t="s">
        <v>1257</v>
      </c>
      <c r="BJ3" s="48" t="s">
        <v>1257</v>
      </c>
      <c r="BK3" s="48" t="s">
        <v>1257</v>
      </c>
      <c r="BL3" s="48" t="s">
        <v>1257</v>
      </c>
      <c r="BM3" s="48" t="s">
        <v>1257</v>
      </c>
      <c r="BN3" s="48" t="s">
        <v>1257</v>
      </c>
      <c r="BO3" s="48" t="s">
        <v>1257</v>
      </c>
      <c r="BP3" s="48" t="s">
        <v>1257</v>
      </c>
      <c r="BQ3" s="48" t="s">
        <v>1257</v>
      </c>
    </row>
    <row r="4" spans="2:69">
      <c r="B4" s="48" t="s">
        <v>1205</v>
      </c>
      <c r="C4" s="48">
        <v>2</v>
      </c>
      <c r="D4" s="48" t="s">
        <v>2327</v>
      </c>
      <c r="E4" s="95">
        <v>45534</v>
      </c>
      <c r="F4" s="48">
        <v>1</v>
      </c>
      <c r="G4" s="251">
        <v>1</v>
      </c>
      <c r="H4" s="98" t="s">
        <v>1266</v>
      </c>
      <c r="I4" s="48" t="s">
        <v>1257</v>
      </c>
      <c r="J4" s="48" t="s">
        <v>1257</v>
      </c>
      <c r="K4" s="48" t="s">
        <v>1257</v>
      </c>
      <c r="L4" s="48" t="s">
        <v>1257</v>
      </c>
      <c r="M4" s="48" t="s">
        <v>1257</v>
      </c>
      <c r="N4" s="48" t="s">
        <v>1257</v>
      </c>
      <c r="O4" s="48" t="s">
        <v>1257</v>
      </c>
      <c r="P4" s="48" t="s">
        <v>1257</v>
      </c>
      <c r="Q4" s="48" t="s">
        <v>1257</v>
      </c>
      <c r="R4" s="48" t="s">
        <v>1257</v>
      </c>
      <c r="S4" s="48" t="s">
        <v>1257</v>
      </c>
      <c r="T4" s="48" t="s">
        <v>1257</v>
      </c>
      <c r="U4" s="48" t="s">
        <v>1257</v>
      </c>
      <c r="V4" s="48" t="s">
        <v>1257</v>
      </c>
      <c r="W4" s="48" t="s">
        <v>1257</v>
      </c>
      <c r="X4" s="48" t="s">
        <v>1257</v>
      </c>
      <c r="Y4" s="48" t="s">
        <v>1257</v>
      </c>
      <c r="Z4" s="48" t="s">
        <v>1257</v>
      </c>
      <c r="AA4" s="48" t="s">
        <v>1257</v>
      </c>
      <c r="AB4" s="48" t="s">
        <v>1257</v>
      </c>
      <c r="AC4" s="48" t="s">
        <v>1257</v>
      </c>
      <c r="AD4" s="48" t="s">
        <v>1257</v>
      </c>
      <c r="AE4" s="48" t="s">
        <v>1257</v>
      </c>
      <c r="AF4" s="48" t="s">
        <v>1257</v>
      </c>
      <c r="AG4" s="48" t="s">
        <v>1257</v>
      </c>
      <c r="AH4" s="48" t="s">
        <v>1257</v>
      </c>
      <c r="AI4" s="48" t="s">
        <v>1257</v>
      </c>
      <c r="AJ4" s="48" t="s">
        <v>1257</v>
      </c>
      <c r="AK4" s="48" t="s">
        <v>1257</v>
      </c>
      <c r="AL4" s="48" t="s">
        <v>1257</v>
      </c>
      <c r="AM4" s="48" t="s">
        <v>1257</v>
      </c>
      <c r="AN4" s="48" t="s">
        <v>1257</v>
      </c>
      <c r="AO4" s="48" t="s">
        <v>1257</v>
      </c>
      <c r="AP4" s="48" t="s">
        <v>1257</v>
      </c>
      <c r="AQ4" s="48" t="s">
        <v>1257</v>
      </c>
      <c r="AR4" s="48" t="s">
        <v>1257</v>
      </c>
      <c r="AS4" s="48" t="s">
        <v>1257</v>
      </c>
      <c r="AT4" s="48" t="s">
        <v>1257</v>
      </c>
      <c r="AU4" s="48" t="s">
        <v>1257</v>
      </c>
      <c r="AV4" s="48" t="s">
        <v>1257</v>
      </c>
      <c r="AW4" s="48" t="s">
        <v>1257</v>
      </c>
      <c r="AX4" s="48" t="s">
        <v>1257</v>
      </c>
      <c r="AY4" s="48" t="s">
        <v>1257</v>
      </c>
      <c r="AZ4" s="48" t="s">
        <v>1257</v>
      </c>
      <c r="BA4" s="48" t="s">
        <v>1257</v>
      </c>
      <c r="BB4" s="48" t="s">
        <v>1257</v>
      </c>
      <c r="BC4" s="48" t="s">
        <v>1257</v>
      </c>
      <c r="BD4" s="48" t="s">
        <v>1257</v>
      </c>
      <c r="BE4" s="48" t="s">
        <v>1257</v>
      </c>
      <c r="BF4" s="48" t="s">
        <v>1257</v>
      </c>
      <c r="BG4" s="48" t="s">
        <v>1257</v>
      </c>
      <c r="BH4" s="48" t="s">
        <v>1257</v>
      </c>
      <c r="BI4" s="48" t="s">
        <v>1257</v>
      </c>
      <c r="BJ4" s="48" t="s">
        <v>1257</v>
      </c>
      <c r="BK4" s="48" t="s">
        <v>1257</v>
      </c>
      <c r="BL4" s="48" t="s">
        <v>1257</v>
      </c>
      <c r="BM4" s="48" t="s">
        <v>1257</v>
      </c>
      <c r="BN4" s="48" t="s">
        <v>1257</v>
      </c>
      <c r="BO4" s="48" t="s">
        <v>1257</v>
      </c>
      <c r="BP4" s="48" t="s">
        <v>1257</v>
      </c>
      <c r="BQ4" s="48" t="s">
        <v>1257</v>
      </c>
    </row>
    <row r="5" spans="2:69">
      <c r="B5" s="48" t="s">
        <v>1207</v>
      </c>
      <c r="C5" s="48">
        <v>3</v>
      </c>
      <c r="D5" s="48" t="s">
        <v>2328</v>
      </c>
      <c r="E5" s="95">
        <v>45534</v>
      </c>
      <c r="F5" s="48">
        <v>1</v>
      </c>
      <c r="G5" s="251">
        <v>1</v>
      </c>
      <c r="H5" s="98" t="s">
        <v>1266</v>
      </c>
      <c r="I5" s="48">
        <v>0</v>
      </c>
      <c r="J5" s="48">
        <v>0</v>
      </c>
      <c r="K5" s="48" t="s">
        <v>1257</v>
      </c>
      <c r="L5" s="48" t="s">
        <v>1257</v>
      </c>
      <c r="M5" s="48" t="s">
        <v>1257</v>
      </c>
      <c r="N5" s="48" t="s">
        <v>1257</v>
      </c>
      <c r="O5" s="48" t="s">
        <v>1257</v>
      </c>
      <c r="P5" s="48" t="s">
        <v>1257</v>
      </c>
      <c r="Q5" s="48" t="s">
        <v>1257</v>
      </c>
      <c r="R5" s="48" t="s">
        <v>1257</v>
      </c>
      <c r="S5" s="48" t="s">
        <v>1257</v>
      </c>
      <c r="T5" s="48" t="s">
        <v>1257</v>
      </c>
      <c r="U5" s="48" t="s">
        <v>1257</v>
      </c>
      <c r="V5" s="48" t="s">
        <v>1257</v>
      </c>
      <c r="W5" s="48" t="s">
        <v>1257</v>
      </c>
      <c r="X5" s="48" t="s">
        <v>1257</v>
      </c>
      <c r="Y5" s="48" t="s">
        <v>1257</v>
      </c>
      <c r="Z5" s="48" t="s">
        <v>1257</v>
      </c>
      <c r="AA5" s="48" t="s">
        <v>1257</v>
      </c>
      <c r="AB5" s="48" t="s">
        <v>1257</v>
      </c>
      <c r="AC5" s="48" t="s">
        <v>1257</v>
      </c>
      <c r="AD5" s="48" t="s">
        <v>1257</v>
      </c>
      <c r="AE5" s="48" t="s">
        <v>1257</v>
      </c>
      <c r="AF5" s="48" t="s">
        <v>1257</v>
      </c>
      <c r="AG5" s="48" t="s">
        <v>1257</v>
      </c>
      <c r="AH5" s="48" t="s">
        <v>1257</v>
      </c>
      <c r="AI5" s="48" t="s">
        <v>1257</v>
      </c>
      <c r="AJ5" s="48" t="s">
        <v>1257</v>
      </c>
      <c r="AK5" s="48" t="s">
        <v>1257</v>
      </c>
      <c r="AL5" s="48" t="s">
        <v>1257</v>
      </c>
      <c r="AM5" s="48" t="s">
        <v>1257</v>
      </c>
      <c r="AN5" s="48" t="s">
        <v>1257</v>
      </c>
      <c r="AO5" s="48" t="s">
        <v>1257</v>
      </c>
      <c r="AP5" s="48" t="s">
        <v>1257</v>
      </c>
      <c r="AQ5" s="48" t="s">
        <v>1257</v>
      </c>
      <c r="AR5" s="48" t="s">
        <v>1257</v>
      </c>
      <c r="AS5" s="48" t="s">
        <v>1257</v>
      </c>
      <c r="AT5" s="48" t="s">
        <v>1257</v>
      </c>
      <c r="AU5" s="48" t="s">
        <v>1257</v>
      </c>
      <c r="AV5" s="48" t="s">
        <v>1257</v>
      </c>
      <c r="AW5" s="48" t="s">
        <v>1257</v>
      </c>
      <c r="AX5" s="48" t="s">
        <v>1257</v>
      </c>
      <c r="AY5" s="48" t="s">
        <v>1257</v>
      </c>
      <c r="AZ5" s="48" t="s">
        <v>1257</v>
      </c>
      <c r="BA5" s="48" t="s">
        <v>1257</v>
      </c>
      <c r="BB5" s="48" t="s">
        <v>1257</v>
      </c>
      <c r="BC5" s="48" t="s">
        <v>1257</v>
      </c>
      <c r="BD5" s="48" t="s">
        <v>1257</v>
      </c>
      <c r="BE5" s="48" t="s">
        <v>1257</v>
      </c>
      <c r="BF5" s="48" t="s">
        <v>1257</v>
      </c>
      <c r="BG5" s="48" t="s">
        <v>1257</v>
      </c>
      <c r="BH5" s="48" t="s">
        <v>1257</v>
      </c>
      <c r="BI5" s="48" t="s">
        <v>1257</v>
      </c>
      <c r="BJ5" s="48" t="s">
        <v>1257</v>
      </c>
      <c r="BK5" s="48" t="s">
        <v>1257</v>
      </c>
      <c r="BL5" s="48" t="s">
        <v>1257</v>
      </c>
      <c r="BM5" s="48" t="s">
        <v>1257</v>
      </c>
      <c r="BN5" s="48" t="s">
        <v>1257</v>
      </c>
      <c r="BO5" s="48" t="s">
        <v>1257</v>
      </c>
      <c r="BP5" s="48">
        <v>0</v>
      </c>
      <c r="BQ5" s="48" t="s">
        <v>1257</v>
      </c>
    </row>
    <row r="6" spans="2:69">
      <c r="B6" s="97" t="s">
        <v>1209</v>
      </c>
      <c r="C6" s="48">
        <v>4</v>
      </c>
      <c r="D6" s="48" t="s">
        <v>1260</v>
      </c>
      <c r="E6" s="95" t="s">
        <v>1257</v>
      </c>
      <c r="F6" s="48">
        <v>1</v>
      </c>
      <c r="G6" s="95" t="s">
        <v>1257</v>
      </c>
      <c r="H6" s="98" t="s">
        <v>1257</v>
      </c>
      <c r="I6" s="48" t="s">
        <v>1257</v>
      </c>
      <c r="J6" s="48" t="s">
        <v>1257</v>
      </c>
      <c r="K6" s="48" t="s">
        <v>1257</v>
      </c>
      <c r="L6" s="48" t="s">
        <v>1257</v>
      </c>
      <c r="M6" s="48" t="s">
        <v>1257</v>
      </c>
      <c r="N6" s="48" t="s">
        <v>1257</v>
      </c>
      <c r="O6" s="48" t="s">
        <v>1257</v>
      </c>
      <c r="P6" s="48" t="s">
        <v>1257</v>
      </c>
      <c r="Q6" s="48" t="s">
        <v>1257</v>
      </c>
      <c r="R6" s="48" t="s">
        <v>1257</v>
      </c>
      <c r="S6" s="48" t="s">
        <v>1257</v>
      </c>
      <c r="T6" s="48" t="s">
        <v>1257</v>
      </c>
      <c r="U6" s="48" t="s">
        <v>1257</v>
      </c>
      <c r="V6" s="48" t="s">
        <v>1257</v>
      </c>
      <c r="W6" s="48" t="s">
        <v>1257</v>
      </c>
      <c r="X6" s="48" t="s">
        <v>1257</v>
      </c>
      <c r="Y6" s="48" t="s">
        <v>1257</v>
      </c>
      <c r="Z6" s="48" t="s">
        <v>1257</v>
      </c>
      <c r="AA6" s="48" t="s">
        <v>1257</v>
      </c>
      <c r="AB6" s="48" t="s">
        <v>1257</v>
      </c>
      <c r="AC6" s="48" t="s">
        <v>1257</v>
      </c>
      <c r="AD6" s="48" t="s">
        <v>1257</v>
      </c>
      <c r="AE6" s="48" t="s">
        <v>1257</v>
      </c>
      <c r="AF6" s="48" t="s">
        <v>1257</v>
      </c>
      <c r="AG6" s="48" t="s">
        <v>1257</v>
      </c>
      <c r="AH6" s="48" t="s">
        <v>1257</v>
      </c>
      <c r="AI6" s="48" t="s">
        <v>1257</v>
      </c>
      <c r="AJ6" s="48" t="s">
        <v>1257</v>
      </c>
      <c r="AK6" s="48" t="s">
        <v>1257</v>
      </c>
      <c r="AL6" s="48" t="s">
        <v>1257</v>
      </c>
      <c r="AM6" s="48" t="s">
        <v>1257</v>
      </c>
      <c r="AN6" s="48" t="s">
        <v>1257</v>
      </c>
      <c r="AO6" s="48" t="s">
        <v>1257</v>
      </c>
      <c r="AP6" s="48" t="s">
        <v>1257</v>
      </c>
      <c r="AQ6" s="48" t="s">
        <v>1257</v>
      </c>
      <c r="AR6" s="48" t="s">
        <v>1257</v>
      </c>
      <c r="AS6" s="48" t="s">
        <v>1257</v>
      </c>
      <c r="AT6" s="48" t="s">
        <v>1257</v>
      </c>
      <c r="AU6" s="48" t="s">
        <v>1257</v>
      </c>
      <c r="AV6" s="48" t="s">
        <v>1257</v>
      </c>
      <c r="AW6" s="48" t="s">
        <v>1257</v>
      </c>
      <c r="AX6" s="48" t="s">
        <v>1257</v>
      </c>
      <c r="AY6" s="48" t="s">
        <v>1257</v>
      </c>
      <c r="AZ6" s="48" t="s">
        <v>1257</v>
      </c>
      <c r="BA6" s="48" t="s">
        <v>1257</v>
      </c>
      <c r="BB6" s="48" t="s">
        <v>1257</v>
      </c>
      <c r="BC6" s="48" t="s">
        <v>1257</v>
      </c>
      <c r="BD6" s="48" t="s">
        <v>1257</v>
      </c>
      <c r="BE6" s="48" t="s">
        <v>1257</v>
      </c>
      <c r="BF6" s="48" t="s">
        <v>1257</v>
      </c>
      <c r="BG6" s="48" t="s">
        <v>1257</v>
      </c>
      <c r="BH6" s="48" t="s">
        <v>1257</v>
      </c>
      <c r="BI6" s="48" t="s">
        <v>1257</v>
      </c>
      <c r="BJ6" s="48" t="s">
        <v>1257</v>
      </c>
      <c r="BK6" s="48" t="s">
        <v>1257</v>
      </c>
      <c r="BL6" s="48" t="s">
        <v>1257</v>
      </c>
      <c r="BM6" s="48" t="s">
        <v>1257</v>
      </c>
      <c r="BN6" s="48" t="s">
        <v>1257</v>
      </c>
      <c r="BO6" s="48" t="s">
        <v>1257</v>
      </c>
      <c r="BP6" s="48" t="s">
        <v>1257</v>
      </c>
      <c r="BQ6" s="48" t="s">
        <v>1257</v>
      </c>
    </row>
    <row r="7" spans="2:69">
      <c r="B7" s="48" t="s">
        <v>1211</v>
      </c>
      <c r="C7" s="48">
        <v>5</v>
      </c>
      <c r="D7" s="48" t="s">
        <v>1260</v>
      </c>
      <c r="E7" s="95" t="s">
        <v>1257</v>
      </c>
      <c r="F7" s="48">
        <v>1</v>
      </c>
      <c r="G7" s="95" t="s">
        <v>1257</v>
      </c>
      <c r="H7" s="98" t="s">
        <v>1257</v>
      </c>
      <c r="I7" s="48" t="s">
        <v>1257</v>
      </c>
      <c r="J7" s="48" t="s">
        <v>1257</v>
      </c>
      <c r="K7" s="48" t="s">
        <v>1257</v>
      </c>
      <c r="L7" s="48" t="s">
        <v>1257</v>
      </c>
      <c r="M7" s="48" t="s">
        <v>1257</v>
      </c>
      <c r="N7" s="48" t="s">
        <v>1257</v>
      </c>
      <c r="O7" s="48" t="s">
        <v>1257</v>
      </c>
      <c r="P7" s="48" t="s">
        <v>1257</v>
      </c>
      <c r="Q7" s="48" t="s">
        <v>1257</v>
      </c>
      <c r="R7" s="48" t="s">
        <v>1257</v>
      </c>
      <c r="S7" s="48" t="s">
        <v>1257</v>
      </c>
      <c r="T7" s="48" t="s">
        <v>1257</v>
      </c>
      <c r="U7" s="48" t="s">
        <v>1257</v>
      </c>
      <c r="V7" s="48" t="s">
        <v>1257</v>
      </c>
      <c r="W7" s="48" t="s">
        <v>1257</v>
      </c>
      <c r="X7" s="48" t="s">
        <v>1257</v>
      </c>
      <c r="Y7" s="48" t="s">
        <v>1257</v>
      </c>
      <c r="Z7" s="48" t="s">
        <v>1257</v>
      </c>
      <c r="AA7" s="48" t="s">
        <v>1257</v>
      </c>
      <c r="AB7" s="48" t="s">
        <v>1257</v>
      </c>
      <c r="AC7" s="48" t="s">
        <v>1257</v>
      </c>
      <c r="AD7" s="48" t="s">
        <v>1257</v>
      </c>
      <c r="AE7" s="48" t="s">
        <v>1257</v>
      </c>
      <c r="AF7" s="48" t="s">
        <v>1257</v>
      </c>
      <c r="AG7" s="48" t="s">
        <v>1257</v>
      </c>
      <c r="AH7" s="48" t="s">
        <v>1257</v>
      </c>
      <c r="AI7" s="48" t="s">
        <v>1257</v>
      </c>
      <c r="AJ7" s="48" t="s">
        <v>1257</v>
      </c>
      <c r="AK7" s="48" t="s">
        <v>1257</v>
      </c>
      <c r="AL7" s="48" t="s">
        <v>1257</v>
      </c>
      <c r="AM7" s="48" t="s">
        <v>1257</v>
      </c>
      <c r="AN7" s="48" t="s">
        <v>1257</v>
      </c>
      <c r="AO7" s="48" t="s">
        <v>1257</v>
      </c>
      <c r="AP7" s="48" t="s">
        <v>1257</v>
      </c>
      <c r="AQ7" s="48" t="s">
        <v>1257</v>
      </c>
      <c r="AR7" s="48" t="s">
        <v>1257</v>
      </c>
      <c r="AS7" s="48" t="s">
        <v>1257</v>
      </c>
      <c r="AT7" s="48" t="s">
        <v>1257</v>
      </c>
      <c r="AU7" s="48" t="s">
        <v>1257</v>
      </c>
      <c r="AV7" s="48" t="s">
        <v>1257</v>
      </c>
      <c r="AW7" s="48" t="s">
        <v>1257</v>
      </c>
      <c r="AX7" s="48" t="s">
        <v>1257</v>
      </c>
      <c r="AY7" s="48" t="s">
        <v>1257</v>
      </c>
      <c r="AZ7" s="48" t="s">
        <v>1257</v>
      </c>
      <c r="BA7" s="48" t="s">
        <v>1257</v>
      </c>
      <c r="BB7" s="48" t="s">
        <v>1257</v>
      </c>
      <c r="BC7" s="48" t="s">
        <v>1257</v>
      </c>
      <c r="BD7" s="48" t="s">
        <v>1257</v>
      </c>
      <c r="BE7" s="48" t="s">
        <v>1257</v>
      </c>
      <c r="BF7" s="48" t="s">
        <v>1257</v>
      </c>
      <c r="BG7" s="48" t="s">
        <v>1257</v>
      </c>
      <c r="BH7" s="48" t="s">
        <v>1257</v>
      </c>
      <c r="BI7" s="48" t="s">
        <v>1257</v>
      </c>
      <c r="BJ7" s="48" t="s">
        <v>1257</v>
      </c>
      <c r="BK7" s="48" t="s">
        <v>1257</v>
      </c>
      <c r="BL7" s="48" t="s">
        <v>1257</v>
      </c>
      <c r="BM7" s="48" t="s">
        <v>1257</v>
      </c>
      <c r="BN7" s="48" t="s">
        <v>1257</v>
      </c>
      <c r="BO7" s="48" t="s">
        <v>1257</v>
      </c>
      <c r="BP7" s="48" t="s">
        <v>1257</v>
      </c>
      <c r="BQ7" s="48" t="s">
        <v>1257</v>
      </c>
    </row>
    <row r="8" spans="2:69">
      <c r="B8" s="97" t="s">
        <v>1212</v>
      </c>
      <c r="C8" s="48">
        <v>6</v>
      </c>
      <c r="D8" s="48" t="s">
        <v>2329</v>
      </c>
      <c r="E8" s="95">
        <v>45534</v>
      </c>
      <c r="F8" s="48">
        <v>1</v>
      </c>
      <c r="G8" s="207" cm="1">
        <f t="array" ref="G8">SUMPRODUCT(--(I8:BQ8&gt;0))/COUNTA(I8:BQ8)</f>
        <v>1</v>
      </c>
      <c r="H8" s="98" t="s">
        <v>1266</v>
      </c>
      <c r="I8" s="48">
        <v>2</v>
      </c>
      <c r="J8" s="48">
        <v>30</v>
      </c>
      <c r="K8" s="48">
        <v>3</v>
      </c>
      <c r="L8" s="48">
        <v>3</v>
      </c>
      <c r="M8" s="48">
        <v>3</v>
      </c>
      <c r="N8" s="48">
        <v>2</v>
      </c>
      <c r="O8" s="48">
        <v>30</v>
      </c>
      <c r="P8" s="48">
        <v>25</v>
      </c>
      <c r="Q8" s="48">
        <v>1</v>
      </c>
      <c r="R8" s="48">
        <v>4</v>
      </c>
      <c r="S8" s="48">
        <v>4</v>
      </c>
      <c r="T8" s="48">
        <v>1</v>
      </c>
      <c r="U8" s="48">
        <v>10</v>
      </c>
      <c r="V8" s="48">
        <v>10</v>
      </c>
      <c r="W8" s="48">
        <v>3</v>
      </c>
      <c r="X8" s="48">
        <v>1</v>
      </c>
      <c r="Y8" s="48">
        <v>1</v>
      </c>
      <c r="Z8" s="48">
        <v>8</v>
      </c>
      <c r="AA8" s="48">
        <v>8</v>
      </c>
      <c r="AB8" s="48">
        <v>8</v>
      </c>
      <c r="AC8" s="48">
        <v>8</v>
      </c>
      <c r="AD8" s="48">
        <v>8</v>
      </c>
      <c r="AE8" s="48">
        <v>8</v>
      </c>
      <c r="AF8" s="48">
        <v>8</v>
      </c>
      <c r="AG8" s="48">
        <v>8</v>
      </c>
      <c r="AH8" s="48">
        <v>8</v>
      </c>
      <c r="AI8" s="48">
        <v>8</v>
      </c>
      <c r="AJ8" s="48">
        <v>8</v>
      </c>
      <c r="AK8" s="48">
        <v>8</v>
      </c>
      <c r="AL8" s="48">
        <v>8</v>
      </c>
      <c r="AM8" s="48">
        <v>8</v>
      </c>
      <c r="AN8" s="48">
        <v>8</v>
      </c>
      <c r="AO8" s="48">
        <v>10</v>
      </c>
      <c r="AP8" s="48">
        <v>8</v>
      </c>
      <c r="AQ8" s="48">
        <v>10</v>
      </c>
      <c r="AR8" s="48">
        <v>8</v>
      </c>
      <c r="AS8" s="48">
        <v>8</v>
      </c>
      <c r="AT8" s="48">
        <v>8</v>
      </c>
      <c r="AU8" s="48">
        <v>8</v>
      </c>
      <c r="AV8" s="48">
        <v>10</v>
      </c>
      <c r="AW8" s="48">
        <v>8</v>
      </c>
      <c r="AX8" s="48">
        <v>8</v>
      </c>
      <c r="AY8" s="48">
        <v>8</v>
      </c>
      <c r="AZ8" s="48">
        <v>10</v>
      </c>
      <c r="BA8" s="48">
        <v>8</v>
      </c>
      <c r="BB8" s="48">
        <v>1</v>
      </c>
      <c r="BC8" s="48">
        <v>1</v>
      </c>
      <c r="BD8" s="48">
        <v>3</v>
      </c>
      <c r="BE8" s="48">
        <v>8</v>
      </c>
      <c r="BF8" s="48">
        <v>8</v>
      </c>
      <c r="BG8" s="48">
        <v>8</v>
      </c>
      <c r="BH8" s="48">
        <v>1</v>
      </c>
      <c r="BI8" s="48">
        <v>3</v>
      </c>
      <c r="BJ8" s="48">
        <v>8</v>
      </c>
      <c r="BK8" s="48">
        <v>8</v>
      </c>
      <c r="BL8" s="48">
        <v>8</v>
      </c>
      <c r="BM8" s="48">
        <v>3</v>
      </c>
      <c r="BN8" s="48">
        <v>3</v>
      </c>
      <c r="BO8" s="48">
        <v>2</v>
      </c>
      <c r="BP8" s="48">
        <v>10</v>
      </c>
      <c r="BQ8" s="48">
        <v>23</v>
      </c>
    </row>
    <row r="9" spans="2:69">
      <c r="B9" s="48" t="s">
        <v>1215</v>
      </c>
      <c r="C9" s="48">
        <v>7</v>
      </c>
      <c r="D9" s="48" t="s">
        <v>2330</v>
      </c>
      <c r="E9" s="95">
        <v>45534</v>
      </c>
      <c r="F9" s="48">
        <v>1</v>
      </c>
      <c r="G9" s="207" t="e" cm="1">
        <f t="array" ref="G9">SUMPRODUCT(--(I9:BQ9 &lt;= I28:BQ28))/COUNTA(I28:BQ28)</f>
        <v>#DIV/0!</v>
      </c>
      <c r="H9" s="98" t="s">
        <v>1266</v>
      </c>
      <c r="I9" s="48">
        <v>2</v>
      </c>
      <c r="J9" s="48">
        <v>30</v>
      </c>
      <c r="K9" s="48">
        <v>3</v>
      </c>
      <c r="L9" s="48">
        <v>3</v>
      </c>
      <c r="M9" s="48">
        <v>3</v>
      </c>
      <c r="N9" s="48">
        <v>2</v>
      </c>
      <c r="O9" s="48">
        <v>30</v>
      </c>
      <c r="P9" s="48">
        <v>26</v>
      </c>
      <c r="Q9" s="48">
        <v>21</v>
      </c>
      <c r="R9" s="48">
        <v>4</v>
      </c>
      <c r="S9" s="48">
        <v>4</v>
      </c>
      <c r="T9" s="48">
        <v>15</v>
      </c>
      <c r="U9" s="48">
        <v>10</v>
      </c>
      <c r="V9" s="48">
        <v>10</v>
      </c>
      <c r="W9" s="48">
        <v>3</v>
      </c>
      <c r="X9" s="48">
        <v>1</v>
      </c>
      <c r="Y9" s="48">
        <v>3</v>
      </c>
      <c r="Z9" s="48">
        <v>15</v>
      </c>
      <c r="AA9" s="48">
        <v>15</v>
      </c>
      <c r="AB9" s="48">
        <v>15</v>
      </c>
      <c r="AC9" s="48">
        <v>15</v>
      </c>
      <c r="AD9" s="48">
        <v>14</v>
      </c>
      <c r="AE9" s="48">
        <v>15</v>
      </c>
      <c r="AF9" s="48">
        <v>13</v>
      </c>
      <c r="AG9" s="48">
        <v>13</v>
      </c>
      <c r="AH9" s="48">
        <v>12</v>
      </c>
      <c r="AI9" s="48">
        <v>13</v>
      </c>
      <c r="AJ9" s="48">
        <v>13</v>
      </c>
      <c r="AK9" s="48">
        <v>15</v>
      </c>
      <c r="AL9" s="48">
        <v>14</v>
      </c>
      <c r="AM9" s="48">
        <v>12</v>
      </c>
      <c r="AN9" s="48">
        <v>10</v>
      </c>
      <c r="AO9" s="48">
        <v>10</v>
      </c>
      <c r="AP9" s="48">
        <v>13</v>
      </c>
      <c r="AQ9" s="48">
        <v>10</v>
      </c>
      <c r="AR9" s="48">
        <v>13</v>
      </c>
      <c r="AS9" s="48">
        <v>12</v>
      </c>
      <c r="AT9" s="48">
        <v>11</v>
      </c>
      <c r="AU9" s="48">
        <v>13</v>
      </c>
      <c r="AV9" s="48">
        <v>10</v>
      </c>
      <c r="AW9" s="48">
        <v>14</v>
      </c>
      <c r="AX9" s="48">
        <v>13</v>
      </c>
      <c r="AY9" s="48">
        <v>11</v>
      </c>
      <c r="AZ9" s="48">
        <v>10</v>
      </c>
      <c r="BA9" s="48">
        <v>13</v>
      </c>
      <c r="BB9" s="48">
        <v>3</v>
      </c>
      <c r="BC9" s="48">
        <v>1</v>
      </c>
      <c r="BD9" s="48">
        <v>3</v>
      </c>
      <c r="BE9" s="48">
        <v>9</v>
      </c>
      <c r="BF9" s="48">
        <v>9</v>
      </c>
      <c r="BG9" s="48">
        <v>9</v>
      </c>
      <c r="BH9" s="48">
        <v>1</v>
      </c>
      <c r="BI9" s="48">
        <v>3</v>
      </c>
      <c r="BJ9" s="48">
        <v>9</v>
      </c>
      <c r="BK9" s="48">
        <v>9</v>
      </c>
      <c r="BL9" s="48">
        <v>9</v>
      </c>
      <c r="BM9" s="48">
        <v>3</v>
      </c>
      <c r="BN9" s="48">
        <v>3</v>
      </c>
      <c r="BO9" s="48">
        <v>2</v>
      </c>
      <c r="BP9" s="48">
        <v>10</v>
      </c>
      <c r="BQ9" s="48">
        <v>23</v>
      </c>
    </row>
    <row r="10" spans="2:69">
      <c r="B10" s="48" t="s">
        <v>1218</v>
      </c>
      <c r="C10" s="48">
        <v>8</v>
      </c>
      <c r="D10" s="48" t="s">
        <v>2331</v>
      </c>
      <c r="E10" s="95">
        <v>45534</v>
      </c>
      <c r="F10" s="48">
        <v>1</v>
      </c>
      <c r="G10" s="95" t="s">
        <v>1257</v>
      </c>
      <c r="H10" s="98" t="s">
        <v>1266</v>
      </c>
      <c r="I10" s="48">
        <v>90</v>
      </c>
      <c r="J10" s="48">
        <v>2.5690004500003999E+18</v>
      </c>
      <c r="K10" s="48" t="s">
        <v>2332</v>
      </c>
      <c r="L10" s="48">
        <v>0</v>
      </c>
      <c r="M10" s="48">
        <v>3</v>
      </c>
      <c r="N10" s="95">
        <v>31</v>
      </c>
      <c r="O10" s="48">
        <v>2.569E+18</v>
      </c>
      <c r="P10" s="48" t="s">
        <v>2333</v>
      </c>
      <c r="Q10" s="48">
        <v>0</v>
      </c>
      <c r="R10" s="48">
        <v>0</v>
      </c>
      <c r="S10" s="48">
        <v>0</v>
      </c>
      <c r="T10" s="48">
        <v>0</v>
      </c>
      <c r="U10" s="95">
        <v>33756</v>
      </c>
      <c r="V10" s="95">
        <v>34669</v>
      </c>
      <c r="W10" s="48">
        <v>978</v>
      </c>
      <c r="X10" s="48">
        <v>0</v>
      </c>
      <c r="Y10" s="48">
        <v>0</v>
      </c>
      <c r="Z10" s="48" t="s">
        <v>1266</v>
      </c>
      <c r="AA10" s="48" t="s">
        <v>1266</v>
      </c>
      <c r="AB10" s="48" t="s">
        <v>1266</v>
      </c>
      <c r="AC10" s="48" t="s">
        <v>1266</v>
      </c>
      <c r="AD10" s="180" t="s">
        <v>2334</v>
      </c>
      <c r="AE10" s="48" t="s">
        <v>1266</v>
      </c>
      <c r="AF10" s="48" t="s">
        <v>1266</v>
      </c>
      <c r="AG10" s="48" t="s">
        <v>1266</v>
      </c>
      <c r="AH10" s="48" t="s">
        <v>1266</v>
      </c>
      <c r="AI10" s="48" t="s">
        <v>1266</v>
      </c>
      <c r="AJ10" s="48" t="s">
        <v>1266</v>
      </c>
      <c r="AK10" s="48" t="s">
        <v>2335</v>
      </c>
      <c r="AL10" s="48" t="s">
        <v>1266</v>
      </c>
      <c r="AM10" s="98">
        <v>-2480000</v>
      </c>
      <c r="AN10" s="48" t="s">
        <v>1266</v>
      </c>
      <c r="AO10" s="95">
        <v>45535</v>
      </c>
      <c r="AP10" s="48" t="s">
        <v>1266</v>
      </c>
      <c r="AQ10" s="95">
        <v>34684</v>
      </c>
      <c r="AR10" s="48" t="s">
        <v>1266</v>
      </c>
      <c r="AS10" s="48" t="s">
        <v>1266</v>
      </c>
      <c r="AT10" s="48" t="s">
        <v>1266</v>
      </c>
      <c r="AU10" s="48" t="s">
        <v>1266</v>
      </c>
      <c r="AV10" s="95">
        <v>37553</v>
      </c>
      <c r="AW10" s="48" t="s">
        <v>1456</v>
      </c>
      <c r="AX10" s="48" t="s">
        <v>1266</v>
      </c>
      <c r="AY10" s="48" t="s">
        <v>1266</v>
      </c>
      <c r="AZ10" s="95">
        <v>36708</v>
      </c>
      <c r="BA10" s="48" t="s">
        <v>1266</v>
      </c>
      <c r="BB10" s="48">
        <v>0</v>
      </c>
      <c r="BC10" s="48" t="s">
        <v>2336</v>
      </c>
      <c r="BD10" s="48" t="s">
        <v>2337</v>
      </c>
      <c r="BE10" s="48" t="s">
        <v>1266</v>
      </c>
      <c r="BF10" s="48" t="s">
        <v>1266</v>
      </c>
      <c r="BG10" s="48" t="s">
        <v>1266</v>
      </c>
      <c r="BH10" s="48" t="s">
        <v>2336</v>
      </c>
      <c r="BI10" s="48" t="s">
        <v>2337</v>
      </c>
      <c r="BJ10" s="48" t="s">
        <v>1266</v>
      </c>
      <c r="BK10" s="48" t="s">
        <v>1266</v>
      </c>
      <c r="BL10" s="48" t="s">
        <v>1266</v>
      </c>
      <c r="BM10" s="48" t="s">
        <v>1267</v>
      </c>
      <c r="BN10" s="48" t="s">
        <v>1970</v>
      </c>
      <c r="BO10" s="48" t="s">
        <v>2338</v>
      </c>
      <c r="BP10" s="95">
        <v>45534</v>
      </c>
      <c r="BQ10" s="48" t="s">
        <v>2339</v>
      </c>
    </row>
    <row r="11" spans="2:69">
      <c r="B11" s="48" t="s">
        <v>1220</v>
      </c>
      <c r="C11" s="48">
        <v>9</v>
      </c>
      <c r="D11" s="48" t="s">
        <v>2340</v>
      </c>
      <c r="E11" s="95">
        <v>45534</v>
      </c>
      <c r="F11" s="48">
        <v>1</v>
      </c>
      <c r="G11" s="95" t="s">
        <v>1257</v>
      </c>
      <c r="H11" s="98" t="s">
        <v>1266</v>
      </c>
      <c r="I11" s="48">
        <v>90</v>
      </c>
      <c r="J11" s="48">
        <v>2.5690004500003999E+18</v>
      </c>
      <c r="K11" s="48"/>
      <c r="L11" s="48">
        <v>0</v>
      </c>
      <c r="M11" s="48">
        <v>3</v>
      </c>
      <c r="N11" s="95"/>
      <c r="O11" s="97">
        <v>2.569E+18</v>
      </c>
      <c r="P11" s="48" t="s">
        <v>2333</v>
      </c>
      <c r="Q11" s="48">
        <v>0</v>
      </c>
      <c r="R11" s="48">
        <v>0</v>
      </c>
      <c r="S11" s="48">
        <v>0</v>
      </c>
      <c r="T11" s="48">
        <v>0</v>
      </c>
      <c r="U11" s="48">
        <v>19920601</v>
      </c>
      <c r="V11" s="48">
        <v>19941201</v>
      </c>
      <c r="W11" s="48">
        <v>978</v>
      </c>
      <c r="X11" s="48">
        <v>0</v>
      </c>
      <c r="Y11" s="48">
        <v>0</v>
      </c>
      <c r="Z11" s="48" t="s">
        <v>1343</v>
      </c>
      <c r="AA11" s="48" t="s">
        <v>1343</v>
      </c>
      <c r="AB11" s="48" t="s">
        <v>1343</v>
      </c>
      <c r="AC11" s="48" t="s">
        <v>1343</v>
      </c>
      <c r="AD11" s="48" t="s">
        <v>2341</v>
      </c>
      <c r="AE11" s="48" t="s">
        <v>1343</v>
      </c>
      <c r="AF11" s="48" t="s">
        <v>1343</v>
      </c>
      <c r="AG11" s="48" t="s">
        <v>1343</v>
      </c>
      <c r="AH11" s="48" t="s">
        <v>1343</v>
      </c>
      <c r="AI11" s="48" t="s">
        <v>1343</v>
      </c>
      <c r="AJ11" s="48" t="s">
        <v>1343</v>
      </c>
      <c r="AK11" s="48" t="s">
        <v>2342</v>
      </c>
      <c r="AL11" s="48" t="s">
        <v>1343</v>
      </c>
      <c r="AM11" s="48" t="s">
        <v>2343</v>
      </c>
      <c r="AN11" s="48" t="s">
        <v>1343</v>
      </c>
      <c r="AO11" s="48">
        <v>20240831</v>
      </c>
      <c r="AP11" s="48" t="s">
        <v>1343</v>
      </c>
      <c r="AQ11" s="48">
        <v>19941216</v>
      </c>
      <c r="AR11" s="48" t="s">
        <v>1343</v>
      </c>
      <c r="AS11" s="48" t="s">
        <v>1343</v>
      </c>
      <c r="AT11" s="48" t="s">
        <v>1343</v>
      </c>
      <c r="AU11" s="48" t="s">
        <v>1343</v>
      </c>
      <c r="AV11" s="48">
        <v>20011120</v>
      </c>
      <c r="AW11" s="48" t="s">
        <v>1461</v>
      </c>
      <c r="AX11" s="48" t="s">
        <v>1343</v>
      </c>
      <c r="AY11" s="48" t="s">
        <v>1343</v>
      </c>
      <c r="AZ11" s="48">
        <v>20000515</v>
      </c>
      <c r="BA11" s="48" t="s">
        <v>1343</v>
      </c>
      <c r="BB11" s="48">
        <v>0</v>
      </c>
      <c r="BC11" s="48" t="s">
        <v>2336</v>
      </c>
      <c r="BD11" s="48" t="s">
        <v>2337</v>
      </c>
      <c r="BE11" s="48" t="s">
        <v>2344</v>
      </c>
      <c r="BF11" s="48" t="s">
        <v>2344</v>
      </c>
      <c r="BG11" s="48" t="s">
        <v>2344</v>
      </c>
      <c r="BH11" s="48" t="s">
        <v>2336</v>
      </c>
      <c r="BI11" s="48" t="s">
        <v>2337</v>
      </c>
      <c r="BJ11" s="48" t="s">
        <v>2344</v>
      </c>
      <c r="BK11" s="48" t="s">
        <v>2344</v>
      </c>
      <c r="BL11" s="48" t="s">
        <v>2344</v>
      </c>
      <c r="BM11" s="48">
        <v>1</v>
      </c>
      <c r="BN11" s="48" t="s">
        <v>2345</v>
      </c>
      <c r="BO11" s="48" t="s">
        <v>2338</v>
      </c>
      <c r="BP11" s="95">
        <v>45534</v>
      </c>
      <c r="BQ11" s="48" t="s">
        <v>2346</v>
      </c>
    </row>
    <row r="12" spans="2:69">
      <c r="B12" s="97" t="s">
        <v>1222</v>
      </c>
      <c r="C12" s="48">
        <v>10</v>
      </c>
      <c r="D12" s="48" t="s">
        <v>2347</v>
      </c>
      <c r="E12" s="95">
        <v>45534</v>
      </c>
      <c r="F12" s="48">
        <v>1</v>
      </c>
      <c r="G12" s="95" t="s">
        <v>1257</v>
      </c>
      <c r="H12" s="98" t="s">
        <v>1266</v>
      </c>
      <c r="I12" s="48">
        <v>90</v>
      </c>
      <c r="J12" s="48">
        <v>2.3020041000509998E+22</v>
      </c>
      <c r="K12" s="48" t="s">
        <v>2332</v>
      </c>
      <c r="L12" s="48">
        <v>0</v>
      </c>
      <c r="M12" s="48" t="s">
        <v>2348</v>
      </c>
      <c r="N12" s="95">
        <v>31</v>
      </c>
      <c r="O12" s="48">
        <v>2.3020041E+22</v>
      </c>
      <c r="P12" s="48" t="s">
        <v>2349</v>
      </c>
      <c r="Q12" s="48">
        <v>9.9999999740799995E+20</v>
      </c>
      <c r="R12" s="48">
        <v>9999</v>
      </c>
      <c r="S12" s="48">
        <v>9999</v>
      </c>
      <c r="T12" s="48">
        <v>99999999999999</v>
      </c>
      <c r="U12" s="95">
        <v>45519</v>
      </c>
      <c r="V12" s="95">
        <v>54056</v>
      </c>
      <c r="W12" s="48">
        <v>978</v>
      </c>
      <c r="X12" s="48">
        <v>1</v>
      </c>
      <c r="Y12" s="48">
        <v>281</v>
      </c>
      <c r="Z12" s="180" t="s">
        <v>2350</v>
      </c>
      <c r="AA12" s="180" t="s">
        <v>2350</v>
      </c>
      <c r="AB12" s="180" t="s">
        <v>2350</v>
      </c>
      <c r="AC12" s="180" t="s">
        <v>2350</v>
      </c>
      <c r="AD12" s="180" t="s">
        <v>2351</v>
      </c>
      <c r="AE12" s="180" t="s">
        <v>2352</v>
      </c>
      <c r="AF12" s="180" t="s">
        <v>2353</v>
      </c>
      <c r="AG12" s="180" t="s">
        <v>2354</v>
      </c>
      <c r="AH12" s="180" t="s">
        <v>2355</v>
      </c>
      <c r="AI12" s="180" t="s">
        <v>2356</v>
      </c>
      <c r="AJ12" s="180" t="s">
        <v>2357</v>
      </c>
      <c r="AK12" s="180" t="s">
        <v>2358</v>
      </c>
      <c r="AL12" s="180" t="s">
        <v>2359</v>
      </c>
      <c r="AM12" s="180" t="s">
        <v>2360</v>
      </c>
      <c r="AN12" s="180" t="s">
        <v>2361</v>
      </c>
      <c r="AO12" s="95">
        <v>45898</v>
      </c>
      <c r="AP12" s="180" t="s">
        <v>2362</v>
      </c>
      <c r="AQ12" s="95">
        <v>45534</v>
      </c>
      <c r="AR12" s="180" t="s">
        <v>2363</v>
      </c>
      <c r="AS12" s="180" t="s">
        <v>2364</v>
      </c>
      <c r="AT12" s="180" t="s">
        <v>2365</v>
      </c>
      <c r="AU12" s="180" t="s">
        <v>2366</v>
      </c>
      <c r="AV12" s="95">
        <v>45533</v>
      </c>
      <c r="AW12" s="180" t="s">
        <v>2367</v>
      </c>
      <c r="AX12" s="180" t="s">
        <v>2368</v>
      </c>
      <c r="AY12" s="180" t="s">
        <v>2369</v>
      </c>
      <c r="AZ12" s="95">
        <v>45534</v>
      </c>
      <c r="BA12" s="180" t="s">
        <v>2370</v>
      </c>
      <c r="BB12" s="48">
        <v>281</v>
      </c>
      <c r="BC12" s="48" t="s">
        <v>2371</v>
      </c>
      <c r="BD12" s="48" t="s">
        <v>2372</v>
      </c>
      <c r="BE12" s="180" t="s">
        <v>2373</v>
      </c>
      <c r="BF12" s="180" t="s">
        <v>2374</v>
      </c>
      <c r="BG12" s="180" t="s">
        <v>2375</v>
      </c>
      <c r="BH12" s="48" t="s">
        <v>2371</v>
      </c>
      <c r="BI12" s="48" t="s">
        <v>2372</v>
      </c>
      <c r="BJ12" s="180" t="s">
        <v>2376</v>
      </c>
      <c r="BK12" s="180" t="s">
        <v>2377</v>
      </c>
      <c r="BL12" s="180" t="s">
        <v>2375</v>
      </c>
      <c r="BM12" s="48" t="s">
        <v>1276</v>
      </c>
      <c r="BN12" s="48" t="s">
        <v>1469</v>
      </c>
      <c r="BO12" s="48" t="s">
        <v>2338</v>
      </c>
      <c r="BP12" s="95">
        <v>45534</v>
      </c>
      <c r="BQ12" s="48" t="s">
        <v>2339</v>
      </c>
    </row>
    <row r="13" spans="2:69">
      <c r="B13" s="48" t="s">
        <v>1224</v>
      </c>
      <c r="C13" s="48">
        <v>11</v>
      </c>
      <c r="D13" s="48" t="s">
        <v>2378</v>
      </c>
      <c r="E13" s="95">
        <v>45534</v>
      </c>
      <c r="F13" s="48">
        <v>1</v>
      </c>
      <c r="G13" s="95" t="s">
        <v>1257</v>
      </c>
      <c r="H13" s="98" t="s">
        <v>1266</v>
      </c>
      <c r="I13" s="48">
        <v>90</v>
      </c>
      <c r="J13" s="48">
        <v>2.3020041000509998E+22</v>
      </c>
      <c r="K13" s="48"/>
      <c r="L13" s="48">
        <v>0</v>
      </c>
      <c r="M13" s="48" t="s">
        <v>2348</v>
      </c>
      <c r="N13" s="95"/>
      <c r="O13" s="48">
        <v>2.3020041E+22</v>
      </c>
      <c r="P13" s="48" t="s">
        <v>2349</v>
      </c>
      <c r="Q13" s="48">
        <v>9.9999999740799995E+20</v>
      </c>
      <c r="R13" s="48">
        <v>9999</v>
      </c>
      <c r="S13" s="48">
        <v>9999</v>
      </c>
      <c r="T13" s="48">
        <v>99999999999999</v>
      </c>
      <c r="U13" s="48">
        <v>20240815</v>
      </c>
      <c r="V13" s="48">
        <v>20471230</v>
      </c>
      <c r="W13" s="48">
        <v>978</v>
      </c>
      <c r="X13" s="48">
        <v>1</v>
      </c>
      <c r="Y13" s="48">
        <v>281</v>
      </c>
      <c r="Z13" s="48" t="s">
        <v>2379</v>
      </c>
      <c r="AA13" s="48" t="s">
        <v>2379</v>
      </c>
      <c r="AB13" s="48" t="s">
        <v>2379</v>
      </c>
      <c r="AC13" s="48" t="s">
        <v>2379</v>
      </c>
      <c r="AD13" s="48" t="s">
        <v>2380</v>
      </c>
      <c r="AE13" s="48" t="s">
        <v>2381</v>
      </c>
      <c r="AF13" s="48" t="s">
        <v>2382</v>
      </c>
      <c r="AG13" s="48" t="s">
        <v>2383</v>
      </c>
      <c r="AH13" s="48" t="s">
        <v>2384</v>
      </c>
      <c r="AI13" s="48" t="s">
        <v>2385</v>
      </c>
      <c r="AJ13" s="48" t="s">
        <v>2386</v>
      </c>
      <c r="AK13" s="48" t="s">
        <v>2387</v>
      </c>
      <c r="AL13" s="48" t="s">
        <v>2388</v>
      </c>
      <c r="AM13" s="48" t="s">
        <v>2389</v>
      </c>
      <c r="AN13" s="48" t="s">
        <v>2390</v>
      </c>
      <c r="AO13" s="48">
        <v>20250829</v>
      </c>
      <c r="AP13" s="48" t="s">
        <v>2391</v>
      </c>
      <c r="AQ13" s="48">
        <v>20240830</v>
      </c>
      <c r="AR13" s="48" t="s">
        <v>2392</v>
      </c>
      <c r="AS13" s="48" t="s">
        <v>2393</v>
      </c>
      <c r="AT13" s="48" t="s">
        <v>2394</v>
      </c>
      <c r="AU13" s="48" t="s">
        <v>2395</v>
      </c>
      <c r="AV13" s="48">
        <v>20240829</v>
      </c>
      <c r="AW13" s="48" t="s">
        <v>2396</v>
      </c>
      <c r="AX13" s="48" t="s">
        <v>2397</v>
      </c>
      <c r="AY13" s="48" t="s">
        <v>2398</v>
      </c>
      <c r="AZ13" s="48">
        <v>20240830</v>
      </c>
      <c r="BA13" s="48" t="s">
        <v>2399</v>
      </c>
      <c r="BB13" s="48">
        <v>281</v>
      </c>
      <c r="BC13" s="48" t="s">
        <v>2371</v>
      </c>
      <c r="BD13" s="48" t="s">
        <v>2372</v>
      </c>
      <c r="BE13" s="180" t="s">
        <v>2400</v>
      </c>
      <c r="BF13" s="180" t="s">
        <v>2401</v>
      </c>
      <c r="BG13" s="180" t="s">
        <v>2402</v>
      </c>
      <c r="BH13" s="48" t="s">
        <v>2371</v>
      </c>
      <c r="BI13" s="48" t="s">
        <v>2372</v>
      </c>
      <c r="BJ13" s="180" t="s">
        <v>2403</v>
      </c>
      <c r="BK13" s="180" t="s">
        <v>2404</v>
      </c>
      <c r="BL13" s="180" t="s">
        <v>2402</v>
      </c>
      <c r="BM13" s="48">
        <v>5</v>
      </c>
      <c r="BN13" s="48" t="s">
        <v>2405</v>
      </c>
      <c r="BO13" s="48" t="s">
        <v>2338</v>
      </c>
      <c r="BP13" s="95">
        <v>45534</v>
      </c>
      <c r="BQ13" s="48" t="s">
        <v>2406</v>
      </c>
    </row>
    <row r="14" spans="2:69">
      <c r="B14" s="48" t="s">
        <v>1226</v>
      </c>
      <c r="C14" s="48">
        <v>12</v>
      </c>
      <c r="D14" s="48" t="s">
        <v>2407</v>
      </c>
      <c r="E14" s="95">
        <v>45534</v>
      </c>
      <c r="F14" s="48">
        <v>1</v>
      </c>
      <c r="G14" s="251" t="s">
        <v>2408</v>
      </c>
      <c r="H14" s="98" t="s">
        <v>1266</v>
      </c>
      <c r="I14" s="48">
        <v>0</v>
      </c>
      <c r="J14" s="48">
        <v>0</v>
      </c>
      <c r="K14" s="48">
        <v>0</v>
      </c>
      <c r="L14" s="48">
        <v>0</v>
      </c>
      <c r="M14" s="48">
        <v>0</v>
      </c>
      <c r="N14" s="48">
        <v>0</v>
      </c>
      <c r="O14" s="48">
        <v>0</v>
      </c>
      <c r="P14" s="48">
        <v>21</v>
      </c>
      <c r="Q14" s="48">
        <v>2</v>
      </c>
      <c r="R14" s="48">
        <v>0</v>
      </c>
      <c r="S14" s="48">
        <v>0</v>
      </c>
      <c r="T14" s="48">
        <v>2</v>
      </c>
      <c r="U14" s="48">
        <v>0</v>
      </c>
      <c r="V14" s="48">
        <v>0</v>
      </c>
      <c r="W14" s="48">
        <v>0</v>
      </c>
      <c r="X14" s="48">
        <v>0</v>
      </c>
      <c r="Y14" s="48">
        <v>0</v>
      </c>
      <c r="Z14" s="48">
        <v>0</v>
      </c>
      <c r="AA14" s="48">
        <v>0</v>
      </c>
      <c r="AB14" s="48">
        <v>0</v>
      </c>
      <c r="AC14" s="48">
        <v>0</v>
      </c>
      <c r="AD14" s="48">
        <v>0</v>
      </c>
      <c r="AE14" s="48">
        <v>0</v>
      </c>
      <c r="AF14" s="48">
        <v>0</v>
      </c>
      <c r="AG14" s="48">
        <v>0</v>
      </c>
      <c r="AH14" s="48">
        <v>0</v>
      </c>
      <c r="AI14" s="48">
        <v>0</v>
      </c>
      <c r="AJ14" s="48">
        <v>0</v>
      </c>
      <c r="AK14" s="48">
        <v>0</v>
      </c>
      <c r="AL14" s="48">
        <v>0</v>
      </c>
      <c r="AM14" s="48">
        <v>0</v>
      </c>
      <c r="AN14" s="48">
        <v>0</v>
      </c>
      <c r="AO14" s="48">
        <v>2014</v>
      </c>
      <c r="AP14" s="48">
        <v>0</v>
      </c>
      <c r="AQ14" s="48">
        <v>1337</v>
      </c>
      <c r="AR14" s="48">
        <v>0</v>
      </c>
      <c r="AS14" s="48">
        <v>0</v>
      </c>
      <c r="AT14" s="48">
        <v>0</v>
      </c>
      <c r="AU14" s="48">
        <v>0</v>
      </c>
      <c r="AV14" s="48">
        <v>28102</v>
      </c>
      <c r="AW14" s="48">
        <v>0</v>
      </c>
      <c r="AX14" s="48">
        <v>0</v>
      </c>
      <c r="AY14" s="48">
        <v>0</v>
      </c>
      <c r="AZ14" s="48">
        <v>1500</v>
      </c>
      <c r="BA14" s="48">
        <v>0</v>
      </c>
      <c r="BB14" s="48">
        <v>0</v>
      </c>
      <c r="BC14" s="48">
        <v>0</v>
      </c>
      <c r="BD14" s="48">
        <v>437</v>
      </c>
      <c r="BE14" s="48">
        <v>0</v>
      </c>
      <c r="BF14" s="48">
        <v>0</v>
      </c>
      <c r="BG14" s="48">
        <v>0</v>
      </c>
      <c r="BH14" s="48">
        <v>0</v>
      </c>
      <c r="BI14" s="48">
        <v>437</v>
      </c>
      <c r="BJ14" s="48">
        <v>0</v>
      </c>
      <c r="BK14" s="48">
        <v>0</v>
      </c>
      <c r="BL14" s="48">
        <v>0</v>
      </c>
      <c r="BM14" s="48">
        <v>0</v>
      </c>
      <c r="BN14" s="48">
        <v>3641</v>
      </c>
      <c r="BO14" s="48">
        <v>0</v>
      </c>
      <c r="BP14" s="48">
        <v>0</v>
      </c>
      <c r="BQ14" s="48">
        <v>0</v>
      </c>
    </row>
    <row r="15" spans="2:69">
      <c r="B15" s="48" t="s">
        <v>1228</v>
      </c>
      <c r="C15" s="48">
        <v>13</v>
      </c>
      <c r="D15" s="48" t="s">
        <v>2409</v>
      </c>
      <c r="E15" s="95">
        <v>45534</v>
      </c>
      <c r="F15" s="48">
        <v>1</v>
      </c>
      <c r="G15" s="251">
        <v>1</v>
      </c>
      <c r="H15" s="98" t="s">
        <v>1266</v>
      </c>
      <c r="I15" s="48" t="s">
        <v>1257</v>
      </c>
      <c r="J15" s="48" t="s">
        <v>1257</v>
      </c>
      <c r="K15" s="48" t="s">
        <v>1257</v>
      </c>
      <c r="L15" s="48" t="s">
        <v>1257</v>
      </c>
      <c r="M15" s="48" t="s">
        <v>1257</v>
      </c>
      <c r="N15" s="95" t="s">
        <v>1257</v>
      </c>
      <c r="O15" s="95" t="s">
        <v>1257</v>
      </c>
      <c r="P15" s="48" t="s">
        <v>1257</v>
      </c>
      <c r="Q15" s="48" t="s">
        <v>1257</v>
      </c>
      <c r="R15" s="48" t="s">
        <v>1257</v>
      </c>
      <c r="S15" s="48" t="s">
        <v>1257</v>
      </c>
      <c r="T15" s="48" t="s">
        <v>1257</v>
      </c>
      <c r="U15" s="48">
        <v>0</v>
      </c>
      <c r="V15" s="48">
        <v>0</v>
      </c>
      <c r="W15" s="48" t="s">
        <v>1257</v>
      </c>
      <c r="X15" s="48" t="s">
        <v>1257</v>
      </c>
      <c r="Y15" s="48" t="s">
        <v>1257</v>
      </c>
      <c r="Z15" s="48" t="s">
        <v>1257</v>
      </c>
      <c r="AA15" s="48" t="s">
        <v>1257</v>
      </c>
      <c r="AB15" s="48" t="s">
        <v>1257</v>
      </c>
      <c r="AC15" s="48" t="s">
        <v>1257</v>
      </c>
      <c r="AD15" s="48" t="s">
        <v>1257</v>
      </c>
      <c r="AE15" s="48" t="s">
        <v>1257</v>
      </c>
      <c r="AF15" s="48" t="s">
        <v>1257</v>
      </c>
      <c r="AG15" s="48" t="s">
        <v>1257</v>
      </c>
      <c r="AH15" s="48" t="s">
        <v>1257</v>
      </c>
      <c r="AI15" s="48" t="s">
        <v>1257</v>
      </c>
      <c r="AJ15" s="48" t="s">
        <v>1257</v>
      </c>
      <c r="AK15" s="48" t="s">
        <v>1257</v>
      </c>
      <c r="AL15" s="48" t="s">
        <v>1257</v>
      </c>
      <c r="AM15" s="48" t="s">
        <v>1257</v>
      </c>
      <c r="AN15" s="48" t="s">
        <v>1257</v>
      </c>
      <c r="AO15" s="48">
        <v>0</v>
      </c>
      <c r="AP15" s="48" t="s">
        <v>1257</v>
      </c>
      <c r="AQ15" s="48">
        <v>0</v>
      </c>
      <c r="AR15" s="48" t="s">
        <v>1257</v>
      </c>
      <c r="AS15" s="48" t="s">
        <v>1257</v>
      </c>
      <c r="AT15" s="48" t="s">
        <v>1257</v>
      </c>
      <c r="AU15" s="48" t="s">
        <v>1257</v>
      </c>
      <c r="AV15" s="48">
        <v>0</v>
      </c>
      <c r="AW15" s="48" t="s">
        <v>1257</v>
      </c>
      <c r="AX15" s="48" t="s">
        <v>1257</v>
      </c>
      <c r="AY15" s="48" t="s">
        <v>1257</v>
      </c>
      <c r="AZ15" s="48">
        <v>0</v>
      </c>
      <c r="BA15" s="48" t="s">
        <v>1257</v>
      </c>
      <c r="BB15" s="48" t="s">
        <v>1257</v>
      </c>
      <c r="BC15" s="48" t="s">
        <v>1257</v>
      </c>
      <c r="BD15" s="48" t="s">
        <v>1257</v>
      </c>
      <c r="BE15" s="48" t="s">
        <v>1257</v>
      </c>
      <c r="BF15" s="48" t="s">
        <v>1257</v>
      </c>
      <c r="BG15" s="48" t="s">
        <v>1257</v>
      </c>
      <c r="BH15" s="48" t="s">
        <v>1257</v>
      </c>
      <c r="BI15" s="48" t="s">
        <v>1257</v>
      </c>
      <c r="BJ15" s="48" t="s">
        <v>1257</v>
      </c>
      <c r="BK15" s="48" t="s">
        <v>1257</v>
      </c>
      <c r="BL15" s="48" t="s">
        <v>1257</v>
      </c>
      <c r="BM15" s="48" t="s">
        <v>1257</v>
      </c>
      <c r="BN15" s="48" t="s">
        <v>1257</v>
      </c>
      <c r="BO15" s="48" t="s">
        <v>1257</v>
      </c>
      <c r="BP15" s="48" t="s">
        <v>1257</v>
      </c>
      <c r="BQ15" s="48" t="s">
        <v>1257</v>
      </c>
    </row>
    <row r="16" spans="2:69">
      <c r="B16" s="48" t="s">
        <v>1230</v>
      </c>
      <c r="C16" s="48">
        <v>14</v>
      </c>
      <c r="D16" s="48" t="s">
        <v>2410</v>
      </c>
      <c r="E16" s="95">
        <v>45534</v>
      </c>
      <c r="F16" s="48">
        <v>1</v>
      </c>
      <c r="G16" s="251">
        <v>1</v>
      </c>
      <c r="H16" s="98" t="s">
        <v>1266</v>
      </c>
      <c r="I16" s="48">
        <v>0</v>
      </c>
      <c r="J16" s="48">
        <v>0</v>
      </c>
      <c r="K16" s="48">
        <v>0</v>
      </c>
      <c r="L16" s="48" t="s">
        <v>1257</v>
      </c>
      <c r="M16" s="48">
        <v>0</v>
      </c>
      <c r="N16" s="48">
        <v>0</v>
      </c>
      <c r="O16" s="48">
        <v>0</v>
      </c>
      <c r="P16" s="48" t="s">
        <v>1257</v>
      </c>
      <c r="Q16" s="48" t="s">
        <v>1257</v>
      </c>
      <c r="R16" s="48">
        <v>0</v>
      </c>
      <c r="S16" s="48">
        <v>0</v>
      </c>
      <c r="T16" s="48" t="s">
        <v>1257</v>
      </c>
      <c r="U16" s="48" t="s">
        <v>1257</v>
      </c>
      <c r="V16" s="48" t="s">
        <v>1257</v>
      </c>
      <c r="W16" s="48">
        <v>0</v>
      </c>
      <c r="X16" s="48" t="s">
        <v>1257</v>
      </c>
      <c r="Y16" s="48" t="s">
        <v>1257</v>
      </c>
      <c r="Z16" s="48" t="s">
        <v>1257</v>
      </c>
      <c r="AA16" s="48" t="s">
        <v>1257</v>
      </c>
      <c r="AB16" s="48" t="s">
        <v>1257</v>
      </c>
      <c r="AC16" s="48" t="s">
        <v>1257</v>
      </c>
      <c r="AD16" s="48" t="s">
        <v>1257</v>
      </c>
      <c r="AE16" s="48" t="s">
        <v>1257</v>
      </c>
      <c r="AF16" s="48" t="s">
        <v>1257</v>
      </c>
      <c r="AG16" s="48" t="s">
        <v>1257</v>
      </c>
      <c r="AH16" s="48" t="s">
        <v>1257</v>
      </c>
      <c r="AI16" s="48" t="s">
        <v>1257</v>
      </c>
      <c r="AJ16" s="48" t="s">
        <v>1257</v>
      </c>
      <c r="AK16" s="48" t="s">
        <v>1257</v>
      </c>
      <c r="AL16" s="48" t="s">
        <v>1257</v>
      </c>
      <c r="AM16" s="48" t="s">
        <v>1257</v>
      </c>
      <c r="AN16" s="48" t="s">
        <v>1257</v>
      </c>
      <c r="AO16" s="48" t="s">
        <v>1257</v>
      </c>
      <c r="AP16" s="48" t="s">
        <v>1257</v>
      </c>
      <c r="AQ16" s="48" t="s">
        <v>1257</v>
      </c>
      <c r="AR16" s="48" t="s">
        <v>1257</v>
      </c>
      <c r="AS16" s="48" t="s">
        <v>1257</v>
      </c>
      <c r="AT16" s="48" t="s">
        <v>1257</v>
      </c>
      <c r="AU16" s="48" t="s">
        <v>1257</v>
      </c>
      <c r="AV16" s="48" t="s">
        <v>1257</v>
      </c>
      <c r="AW16" s="48" t="s">
        <v>1257</v>
      </c>
      <c r="AX16" s="48" t="s">
        <v>1257</v>
      </c>
      <c r="AY16" s="48" t="s">
        <v>1257</v>
      </c>
      <c r="AZ16" s="48" t="s">
        <v>1257</v>
      </c>
      <c r="BA16" s="48" t="s">
        <v>1257</v>
      </c>
      <c r="BB16" s="48" t="s">
        <v>1257</v>
      </c>
      <c r="BC16" s="48" t="s">
        <v>1257</v>
      </c>
      <c r="BD16" s="48" t="s">
        <v>1257</v>
      </c>
      <c r="BE16" s="48" t="s">
        <v>1257</v>
      </c>
      <c r="BF16" s="48" t="s">
        <v>1257</v>
      </c>
      <c r="BG16" s="48" t="s">
        <v>1257</v>
      </c>
      <c r="BH16" s="48">
        <v>0</v>
      </c>
      <c r="BI16" s="48" t="s">
        <v>1257</v>
      </c>
      <c r="BJ16" s="48" t="s">
        <v>1257</v>
      </c>
      <c r="BK16" s="48" t="s">
        <v>1257</v>
      </c>
      <c r="BL16" s="48" t="s">
        <v>1257</v>
      </c>
      <c r="BM16" s="48">
        <v>0</v>
      </c>
      <c r="BN16" s="48">
        <v>0</v>
      </c>
      <c r="BO16" s="48">
        <v>0</v>
      </c>
      <c r="BP16" s="48" t="s">
        <v>1257</v>
      </c>
      <c r="BQ16" s="48" t="s">
        <v>1257</v>
      </c>
    </row>
    <row r="17" spans="2:69">
      <c r="B17" s="48" t="s">
        <v>1232</v>
      </c>
      <c r="C17" s="48">
        <v>15</v>
      </c>
      <c r="D17" s="48" t="s">
        <v>2411</v>
      </c>
      <c r="E17" s="95">
        <v>45534</v>
      </c>
      <c r="F17" s="48">
        <v>1</v>
      </c>
      <c r="G17" s="251">
        <v>1</v>
      </c>
      <c r="H17" s="98" t="s">
        <v>1266</v>
      </c>
      <c r="I17" s="48" t="s">
        <v>1257</v>
      </c>
      <c r="J17" s="48" t="s">
        <v>1257</v>
      </c>
      <c r="K17" s="48" t="s">
        <v>1257</v>
      </c>
      <c r="L17" s="48" t="s">
        <v>1257</v>
      </c>
      <c r="M17" s="48" t="s">
        <v>1257</v>
      </c>
      <c r="N17" s="97" t="s">
        <v>1257</v>
      </c>
      <c r="O17" s="97" t="s">
        <v>1257</v>
      </c>
      <c r="P17" s="48" t="s">
        <v>1257</v>
      </c>
      <c r="Q17" s="48" t="s">
        <v>1257</v>
      </c>
      <c r="R17" s="48" t="s">
        <v>1257</v>
      </c>
      <c r="S17" s="48" t="s">
        <v>1257</v>
      </c>
      <c r="T17" s="48" t="s">
        <v>1257</v>
      </c>
      <c r="U17" s="48" t="s">
        <v>1257</v>
      </c>
      <c r="V17" s="48" t="s">
        <v>1257</v>
      </c>
      <c r="W17" s="48" t="s">
        <v>1257</v>
      </c>
      <c r="X17" s="48" t="s">
        <v>1257</v>
      </c>
      <c r="Y17" s="48" t="s">
        <v>1257</v>
      </c>
      <c r="Z17" s="48" t="s">
        <v>1257</v>
      </c>
      <c r="AA17" s="48" t="s">
        <v>1257</v>
      </c>
      <c r="AB17" s="48" t="s">
        <v>1257</v>
      </c>
      <c r="AC17" s="48" t="s">
        <v>1257</v>
      </c>
      <c r="AD17" s="48" t="s">
        <v>1257</v>
      </c>
      <c r="AE17" s="48" t="s">
        <v>1257</v>
      </c>
      <c r="AF17" s="48" t="s">
        <v>1257</v>
      </c>
      <c r="AG17" s="48" t="s">
        <v>1257</v>
      </c>
      <c r="AH17" s="48" t="s">
        <v>1257</v>
      </c>
      <c r="AI17" s="48" t="s">
        <v>1257</v>
      </c>
      <c r="AJ17" s="48" t="s">
        <v>1257</v>
      </c>
      <c r="AK17" s="48" t="s">
        <v>1257</v>
      </c>
      <c r="AL17" s="48" t="s">
        <v>1257</v>
      </c>
      <c r="AM17" s="48" t="s">
        <v>1257</v>
      </c>
      <c r="AN17" s="48" t="s">
        <v>1257</v>
      </c>
      <c r="AO17" s="48" t="s">
        <v>1257</v>
      </c>
      <c r="AP17" s="48" t="s">
        <v>1257</v>
      </c>
      <c r="AQ17" s="48" t="s">
        <v>1257</v>
      </c>
      <c r="AR17" s="48" t="s">
        <v>1257</v>
      </c>
      <c r="AS17" s="48" t="s">
        <v>1257</v>
      </c>
      <c r="AT17" s="48" t="s">
        <v>1257</v>
      </c>
      <c r="AU17" s="48" t="s">
        <v>1257</v>
      </c>
      <c r="AV17" s="48" t="s">
        <v>1257</v>
      </c>
      <c r="AW17" s="48" t="s">
        <v>1257</v>
      </c>
      <c r="AX17" s="48" t="s">
        <v>1257</v>
      </c>
      <c r="AY17" s="48" t="s">
        <v>1257</v>
      </c>
      <c r="AZ17" s="48" t="s">
        <v>1257</v>
      </c>
      <c r="BA17" s="48" t="s">
        <v>1257</v>
      </c>
      <c r="BB17" s="48" t="s">
        <v>1257</v>
      </c>
      <c r="BC17" s="48" t="s">
        <v>1257</v>
      </c>
      <c r="BD17" s="48" t="s">
        <v>1257</v>
      </c>
      <c r="BE17" s="48" t="s">
        <v>1257</v>
      </c>
      <c r="BF17" s="48" t="s">
        <v>1257</v>
      </c>
      <c r="BG17" s="48" t="s">
        <v>1257</v>
      </c>
      <c r="BH17" s="48" t="s">
        <v>1257</v>
      </c>
      <c r="BI17" s="48" t="s">
        <v>1257</v>
      </c>
      <c r="BJ17" s="48" t="s">
        <v>1257</v>
      </c>
      <c r="BK17" s="48" t="s">
        <v>1257</v>
      </c>
      <c r="BL17" s="48" t="s">
        <v>1257</v>
      </c>
      <c r="BM17" s="48" t="s">
        <v>1257</v>
      </c>
      <c r="BN17" s="48" t="s">
        <v>1257</v>
      </c>
      <c r="BO17" s="48" t="s">
        <v>1257</v>
      </c>
      <c r="BP17" s="48" t="s">
        <v>1257</v>
      </c>
      <c r="BQ17" s="48" t="s">
        <v>1257</v>
      </c>
    </row>
    <row r="18" spans="2:69">
      <c r="B18" s="48" t="s">
        <v>1234</v>
      </c>
      <c r="C18" s="48">
        <v>16</v>
      </c>
      <c r="D18" s="48" t="s">
        <v>2411</v>
      </c>
      <c r="E18" s="95">
        <v>45534</v>
      </c>
      <c r="F18" s="48">
        <v>1</v>
      </c>
      <c r="G18" s="251">
        <v>1</v>
      </c>
      <c r="H18" s="98" t="s">
        <v>1266</v>
      </c>
      <c r="I18" s="48" t="s">
        <v>1257</v>
      </c>
      <c r="J18" s="48" t="s">
        <v>1257</v>
      </c>
      <c r="K18" s="48" t="s">
        <v>1257</v>
      </c>
      <c r="L18" s="48" t="s">
        <v>1257</v>
      </c>
      <c r="M18" s="48" t="s">
        <v>1257</v>
      </c>
      <c r="N18" s="97" t="s">
        <v>1257</v>
      </c>
      <c r="O18" s="97" t="s">
        <v>1257</v>
      </c>
      <c r="P18" s="48" t="s">
        <v>1257</v>
      </c>
      <c r="Q18" s="48" t="s">
        <v>1257</v>
      </c>
      <c r="R18" s="48" t="s">
        <v>1257</v>
      </c>
      <c r="S18" s="48" t="s">
        <v>1257</v>
      </c>
      <c r="T18" s="48" t="s">
        <v>1257</v>
      </c>
      <c r="U18" s="48" t="s">
        <v>1257</v>
      </c>
      <c r="V18" s="48" t="s">
        <v>1257</v>
      </c>
      <c r="W18" s="48" t="s">
        <v>1257</v>
      </c>
      <c r="X18" s="48" t="s">
        <v>1257</v>
      </c>
      <c r="Y18" s="48" t="s">
        <v>1257</v>
      </c>
      <c r="Z18" s="48" t="s">
        <v>1257</v>
      </c>
      <c r="AA18" s="48" t="s">
        <v>1257</v>
      </c>
      <c r="AB18" s="48" t="s">
        <v>1257</v>
      </c>
      <c r="AC18" s="48" t="s">
        <v>1257</v>
      </c>
      <c r="AD18" s="48" t="s">
        <v>1257</v>
      </c>
      <c r="AE18" s="48" t="s">
        <v>1257</v>
      </c>
      <c r="AF18" s="48" t="s">
        <v>1257</v>
      </c>
      <c r="AG18" s="48" t="s">
        <v>1257</v>
      </c>
      <c r="AH18" s="48" t="s">
        <v>1257</v>
      </c>
      <c r="AI18" s="48" t="s">
        <v>1257</v>
      </c>
      <c r="AJ18" s="48" t="s">
        <v>1257</v>
      </c>
      <c r="AK18" s="48" t="s">
        <v>1257</v>
      </c>
      <c r="AL18" s="48" t="s">
        <v>1257</v>
      </c>
      <c r="AM18" s="48" t="s">
        <v>1257</v>
      </c>
      <c r="AN18" s="48" t="s">
        <v>1257</v>
      </c>
      <c r="AO18" s="48" t="s">
        <v>1257</v>
      </c>
      <c r="AP18" s="48" t="s">
        <v>1257</v>
      </c>
      <c r="AQ18" s="48" t="s">
        <v>1257</v>
      </c>
      <c r="AR18" s="48" t="s">
        <v>1257</v>
      </c>
      <c r="AS18" s="48" t="s">
        <v>1257</v>
      </c>
      <c r="AT18" s="48" t="s">
        <v>1257</v>
      </c>
      <c r="AU18" s="48" t="s">
        <v>1257</v>
      </c>
      <c r="AV18" s="48" t="s">
        <v>1257</v>
      </c>
      <c r="AW18" s="48" t="s">
        <v>1257</v>
      </c>
      <c r="AX18" s="48" t="s">
        <v>1257</v>
      </c>
      <c r="AY18" s="48" t="s">
        <v>1257</v>
      </c>
      <c r="AZ18" s="48" t="s">
        <v>1257</v>
      </c>
      <c r="BA18" s="48" t="s">
        <v>1257</v>
      </c>
      <c r="BB18" s="48" t="s">
        <v>1257</v>
      </c>
      <c r="BC18" s="48" t="s">
        <v>1257</v>
      </c>
      <c r="BD18" s="48" t="s">
        <v>1257</v>
      </c>
      <c r="BE18" s="48" t="s">
        <v>1257</v>
      </c>
      <c r="BF18" s="48" t="s">
        <v>1257</v>
      </c>
      <c r="BG18" s="48" t="s">
        <v>1257</v>
      </c>
      <c r="BH18" s="48" t="s">
        <v>1257</v>
      </c>
      <c r="BI18" s="48" t="s">
        <v>1257</v>
      </c>
      <c r="BJ18" s="48" t="s">
        <v>1257</v>
      </c>
      <c r="BK18" s="48" t="s">
        <v>1257</v>
      </c>
      <c r="BL18" s="48" t="s">
        <v>1257</v>
      </c>
      <c r="BM18" s="48" t="s">
        <v>1257</v>
      </c>
      <c r="BN18" s="48" t="s">
        <v>1257</v>
      </c>
      <c r="BO18" s="48" t="s">
        <v>1257</v>
      </c>
      <c r="BP18" s="48" t="s">
        <v>1257</v>
      </c>
      <c r="BQ18" s="48" t="s">
        <v>1257</v>
      </c>
    </row>
    <row r="19" spans="2:69">
      <c r="B19" s="48" t="s">
        <v>1236</v>
      </c>
      <c r="C19" s="48">
        <v>17</v>
      </c>
      <c r="D19" s="48" t="s">
        <v>2412</v>
      </c>
      <c r="E19" s="95">
        <v>45534</v>
      </c>
      <c r="F19" s="48">
        <v>1</v>
      </c>
      <c r="G19" s="251" t="s">
        <v>2413</v>
      </c>
      <c r="H19" s="180" t="s">
        <v>2414</v>
      </c>
      <c r="I19" s="48" t="s">
        <v>1257</v>
      </c>
      <c r="J19" s="48" t="s">
        <v>1257</v>
      </c>
      <c r="K19" s="48" t="s">
        <v>1257</v>
      </c>
      <c r="L19" s="48" t="s">
        <v>1257</v>
      </c>
      <c r="M19" s="48" t="s">
        <v>1257</v>
      </c>
      <c r="N19" s="48" t="s">
        <v>1257</v>
      </c>
      <c r="O19" s="48" t="s">
        <v>1257</v>
      </c>
      <c r="P19" s="48" t="s">
        <v>1257</v>
      </c>
      <c r="Q19" s="48" t="s">
        <v>1257</v>
      </c>
      <c r="R19" s="48" t="s">
        <v>1257</v>
      </c>
      <c r="S19" s="48" t="s">
        <v>1257</v>
      </c>
      <c r="T19" s="48" t="s">
        <v>1257</v>
      </c>
      <c r="U19" s="48" t="s">
        <v>1257</v>
      </c>
      <c r="V19" s="48" t="s">
        <v>1257</v>
      </c>
      <c r="W19" s="48" t="s">
        <v>1257</v>
      </c>
      <c r="X19" s="48" t="s">
        <v>1257</v>
      </c>
      <c r="Y19" s="48" t="s">
        <v>1257</v>
      </c>
      <c r="Z19" s="48" t="s">
        <v>1257</v>
      </c>
      <c r="AA19" s="48" t="s">
        <v>1257</v>
      </c>
      <c r="AB19" s="48" t="s">
        <v>1257</v>
      </c>
      <c r="AC19" s="48" t="s">
        <v>1257</v>
      </c>
      <c r="AD19" s="48" t="s">
        <v>1257</v>
      </c>
      <c r="AE19" s="48" t="s">
        <v>1257</v>
      </c>
      <c r="AF19" s="48" t="s">
        <v>1257</v>
      </c>
      <c r="AG19" s="48" t="s">
        <v>1257</v>
      </c>
      <c r="AH19" s="48" t="s">
        <v>1257</v>
      </c>
      <c r="AI19" s="48" t="s">
        <v>1257</v>
      </c>
      <c r="AJ19" s="48" t="s">
        <v>1257</v>
      </c>
      <c r="AK19" s="48" t="s">
        <v>1257</v>
      </c>
      <c r="AL19" s="48" t="s">
        <v>1257</v>
      </c>
      <c r="AM19" s="48" t="s">
        <v>1257</v>
      </c>
      <c r="AN19" s="48" t="s">
        <v>1257</v>
      </c>
      <c r="AO19" s="48" t="s">
        <v>1257</v>
      </c>
      <c r="AP19" s="48" t="s">
        <v>1257</v>
      </c>
      <c r="AQ19" s="48" t="s">
        <v>1257</v>
      </c>
      <c r="AR19" s="48" t="s">
        <v>1257</v>
      </c>
      <c r="AS19" s="48" t="s">
        <v>1257</v>
      </c>
      <c r="AT19" s="48" t="s">
        <v>1257</v>
      </c>
      <c r="AU19" s="48" t="s">
        <v>1257</v>
      </c>
      <c r="AV19" s="48" t="s">
        <v>1257</v>
      </c>
      <c r="AW19" s="48" t="s">
        <v>1257</v>
      </c>
      <c r="AX19" s="48" t="s">
        <v>1257</v>
      </c>
      <c r="AY19" s="48" t="s">
        <v>1257</v>
      </c>
      <c r="AZ19" s="48" t="s">
        <v>1257</v>
      </c>
      <c r="BA19" s="48" t="s">
        <v>1257</v>
      </c>
      <c r="BB19" s="48" t="s">
        <v>1257</v>
      </c>
      <c r="BC19" s="48" t="s">
        <v>1257</v>
      </c>
      <c r="BD19" s="48" t="s">
        <v>1257</v>
      </c>
      <c r="BE19" s="48" t="s">
        <v>1257</v>
      </c>
      <c r="BF19" s="48" t="s">
        <v>1257</v>
      </c>
      <c r="BG19" s="48" t="s">
        <v>1257</v>
      </c>
      <c r="BH19" s="48" t="s">
        <v>1257</v>
      </c>
      <c r="BI19" s="48" t="s">
        <v>1257</v>
      </c>
      <c r="BJ19" s="48" t="s">
        <v>1257</v>
      </c>
      <c r="BK19" s="48" t="s">
        <v>1257</v>
      </c>
      <c r="BL19" s="48" t="s">
        <v>1257</v>
      </c>
      <c r="BM19" s="48" t="s">
        <v>1257</v>
      </c>
      <c r="BN19" s="48" t="s">
        <v>1257</v>
      </c>
      <c r="BO19" s="48" t="s">
        <v>1257</v>
      </c>
      <c r="BP19" s="48" t="s">
        <v>1257</v>
      </c>
      <c r="BQ19" s="48" t="s">
        <v>1257</v>
      </c>
    </row>
    <row r="20" spans="2:69">
      <c r="B20" s="48" t="s">
        <v>1238</v>
      </c>
      <c r="C20" s="48">
        <v>18</v>
      </c>
      <c r="D20" s="48" t="s">
        <v>2412</v>
      </c>
      <c r="E20" s="95">
        <v>45534</v>
      </c>
      <c r="F20" s="48">
        <v>1</v>
      </c>
      <c r="G20" s="251" t="s">
        <v>2415</v>
      </c>
      <c r="H20" s="180" t="s">
        <v>2416</v>
      </c>
      <c r="I20" s="48" t="s">
        <v>1257</v>
      </c>
      <c r="J20" s="48" t="s">
        <v>1257</v>
      </c>
      <c r="K20" s="48" t="s">
        <v>1257</v>
      </c>
      <c r="L20" s="48" t="s">
        <v>1257</v>
      </c>
      <c r="M20" s="48" t="s">
        <v>1257</v>
      </c>
      <c r="N20" s="48" t="s">
        <v>1257</v>
      </c>
      <c r="O20" s="48" t="s">
        <v>1257</v>
      </c>
      <c r="P20" s="48" t="s">
        <v>1257</v>
      </c>
      <c r="Q20" s="48" t="s">
        <v>1257</v>
      </c>
      <c r="R20" s="48" t="s">
        <v>1257</v>
      </c>
      <c r="S20" s="48" t="s">
        <v>1257</v>
      </c>
      <c r="T20" s="48" t="s">
        <v>1257</v>
      </c>
      <c r="U20" s="48" t="s">
        <v>1257</v>
      </c>
      <c r="V20" s="48" t="s">
        <v>1257</v>
      </c>
      <c r="W20" s="48" t="s">
        <v>1257</v>
      </c>
      <c r="X20" s="48" t="s">
        <v>1257</v>
      </c>
      <c r="Y20" s="48" t="s">
        <v>1257</v>
      </c>
      <c r="Z20" s="48" t="s">
        <v>1257</v>
      </c>
      <c r="AA20" s="48" t="s">
        <v>1257</v>
      </c>
      <c r="AB20" s="48" t="s">
        <v>1257</v>
      </c>
      <c r="AC20" s="48" t="s">
        <v>1257</v>
      </c>
      <c r="AD20" s="48" t="s">
        <v>1257</v>
      </c>
      <c r="AE20" s="48" t="s">
        <v>1257</v>
      </c>
      <c r="AF20" s="48" t="s">
        <v>1257</v>
      </c>
      <c r="AG20" s="48" t="s">
        <v>1257</v>
      </c>
      <c r="AH20" s="48" t="s">
        <v>1257</v>
      </c>
      <c r="AI20" s="48" t="s">
        <v>1257</v>
      </c>
      <c r="AJ20" s="48" t="s">
        <v>1257</v>
      </c>
      <c r="AK20" s="48" t="s">
        <v>1257</v>
      </c>
      <c r="AL20" s="48" t="s">
        <v>1257</v>
      </c>
      <c r="AM20" s="48" t="s">
        <v>1257</v>
      </c>
      <c r="AN20" s="48" t="s">
        <v>1257</v>
      </c>
      <c r="AO20" s="48" t="s">
        <v>1257</v>
      </c>
      <c r="AP20" s="48" t="s">
        <v>1257</v>
      </c>
      <c r="AQ20" s="48" t="s">
        <v>1257</v>
      </c>
      <c r="AR20" s="48" t="s">
        <v>1257</v>
      </c>
      <c r="AS20" s="48" t="s">
        <v>1257</v>
      </c>
      <c r="AT20" s="48" t="s">
        <v>1257</v>
      </c>
      <c r="AU20" s="48" t="s">
        <v>1257</v>
      </c>
      <c r="AV20" s="48" t="s">
        <v>1257</v>
      </c>
      <c r="AW20" s="48" t="s">
        <v>1257</v>
      </c>
      <c r="AX20" s="48" t="s">
        <v>1257</v>
      </c>
      <c r="AY20" s="48" t="s">
        <v>1257</v>
      </c>
      <c r="AZ20" s="48" t="s">
        <v>1257</v>
      </c>
      <c r="BA20" s="48" t="s">
        <v>1257</v>
      </c>
      <c r="BB20" s="48" t="s">
        <v>1257</v>
      </c>
      <c r="BC20" s="48" t="s">
        <v>1257</v>
      </c>
      <c r="BD20" s="48" t="s">
        <v>1257</v>
      </c>
      <c r="BE20" s="48" t="s">
        <v>1257</v>
      </c>
      <c r="BF20" s="48" t="s">
        <v>1257</v>
      </c>
      <c r="BG20" s="48" t="s">
        <v>1257</v>
      </c>
      <c r="BH20" s="48" t="s">
        <v>1257</v>
      </c>
      <c r="BI20" s="48" t="s">
        <v>1257</v>
      </c>
      <c r="BJ20" s="48" t="s">
        <v>1257</v>
      </c>
      <c r="BK20" s="48" t="s">
        <v>1257</v>
      </c>
      <c r="BL20" s="48" t="s">
        <v>1257</v>
      </c>
      <c r="BM20" s="48" t="s">
        <v>1257</v>
      </c>
      <c r="BN20" s="48" t="s">
        <v>1257</v>
      </c>
      <c r="BO20" s="48" t="s">
        <v>1257</v>
      </c>
      <c r="BP20" s="48" t="s">
        <v>1257</v>
      </c>
      <c r="BQ20" s="48" t="s">
        <v>1257</v>
      </c>
    </row>
    <row r="21" spans="2:69">
      <c r="B21" s="48" t="s">
        <v>1240</v>
      </c>
      <c r="C21" s="48">
        <v>19</v>
      </c>
      <c r="D21" s="48" t="s">
        <v>2417</v>
      </c>
      <c r="E21" s="95">
        <v>45534</v>
      </c>
      <c r="F21" s="48">
        <v>1</v>
      </c>
      <c r="G21" s="251" cm="1">
        <f t="array" aca="1" ref="G21" ca="1">SUMPRODUCT(--(ISNUMBER((SEARCH(I27:BQ27,I21:BQ21)))))/COUNTA(I21:BQ21)</f>
        <v>0.98360655737704916</v>
      </c>
      <c r="H21" s="98" t="s">
        <v>1266</v>
      </c>
      <c r="I21" s="48" t="s">
        <v>1291</v>
      </c>
      <c r="J21" s="48" t="s">
        <v>1291</v>
      </c>
      <c r="K21" s="48" t="s">
        <v>1291</v>
      </c>
      <c r="L21" s="48" t="s">
        <v>1291</v>
      </c>
      <c r="M21" s="48" t="s">
        <v>1291</v>
      </c>
      <c r="N21" s="48" t="s">
        <v>1291</v>
      </c>
      <c r="O21" s="48" t="s">
        <v>1291</v>
      </c>
      <c r="P21" s="48" t="s">
        <v>1291</v>
      </c>
      <c r="Q21" s="48" t="s">
        <v>1291</v>
      </c>
      <c r="R21" s="48" t="s">
        <v>1291</v>
      </c>
      <c r="S21" s="48" t="s">
        <v>1291</v>
      </c>
      <c r="T21" s="48" t="s">
        <v>1291</v>
      </c>
      <c r="U21" s="48" t="s">
        <v>1291</v>
      </c>
      <c r="V21" s="48" t="s">
        <v>1291</v>
      </c>
      <c r="W21" s="48" t="s">
        <v>1291</v>
      </c>
      <c r="X21" s="48" t="s">
        <v>1291</v>
      </c>
      <c r="Y21" s="48" t="s">
        <v>1717</v>
      </c>
      <c r="Z21" s="48" t="s">
        <v>1292</v>
      </c>
      <c r="AA21" s="48" t="s">
        <v>1292</v>
      </c>
      <c r="AB21" s="48" t="s">
        <v>1292</v>
      </c>
      <c r="AC21" s="48" t="s">
        <v>1292</v>
      </c>
      <c r="AD21" s="48" t="s">
        <v>1292</v>
      </c>
      <c r="AE21" s="48" t="s">
        <v>1292</v>
      </c>
      <c r="AF21" s="48" t="s">
        <v>1292</v>
      </c>
      <c r="AG21" s="48" t="s">
        <v>1292</v>
      </c>
      <c r="AH21" s="48" t="s">
        <v>1292</v>
      </c>
      <c r="AI21" s="48" t="s">
        <v>1292</v>
      </c>
      <c r="AJ21" s="48" t="s">
        <v>1292</v>
      </c>
      <c r="AK21" s="48" t="s">
        <v>1292</v>
      </c>
      <c r="AL21" s="48" t="s">
        <v>1292</v>
      </c>
      <c r="AM21" s="48" t="s">
        <v>1292</v>
      </c>
      <c r="AN21" s="48" t="s">
        <v>1292</v>
      </c>
      <c r="AO21" s="48" t="s">
        <v>1291</v>
      </c>
      <c r="AP21" s="48" t="s">
        <v>1292</v>
      </c>
      <c r="AQ21" s="48" t="s">
        <v>1291</v>
      </c>
      <c r="AR21" s="48" t="s">
        <v>1292</v>
      </c>
      <c r="AS21" s="48" t="s">
        <v>1292</v>
      </c>
      <c r="AT21" s="48" t="s">
        <v>1292</v>
      </c>
      <c r="AU21" s="48" t="s">
        <v>1292</v>
      </c>
      <c r="AV21" s="48" t="s">
        <v>1291</v>
      </c>
      <c r="AW21" s="48" t="s">
        <v>1292</v>
      </c>
      <c r="AX21" s="48" t="s">
        <v>1292</v>
      </c>
      <c r="AY21" s="48" t="s">
        <v>1292</v>
      </c>
      <c r="AZ21" s="48" t="s">
        <v>1291</v>
      </c>
      <c r="BA21" s="48" t="s">
        <v>1292</v>
      </c>
      <c r="BB21" s="48" t="s">
        <v>1717</v>
      </c>
      <c r="BC21" s="48" t="s">
        <v>1291</v>
      </c>
      <c r="BD21" s="48" t="s">
        <v>1291</v>
      </c>
      <c r="BE21" s="48" t="s">
        <v>1292</v>
      </c>
      <c r="BF21" s="48" t="s">
        <v>1292</v>
      </c>
      <c r="BG21" s="48" t="s">
        <v>1292</v>
      </c>
      <c r="BH21" s="48" t="s">
        <v>1291</v>
      </c>
      <c r="BI21" s="48" t="s">
        <v>1291</v>
      </c>
      <c r="BJ21" s="48" t="s">
        <v>1292</v>
      </c>
      <c r="BK21" s="48" t="s">
        <v>1292</v>
      </c>
      <c r="BL21" s="48" t="s">
        <v>1292</v>
      </c>
      <c r="BM21" s="48" t="s">
        <v>1291</v>
      </c>
      <c r="BN21" s="48" t="s">
        <v>1291</v>
      </c>
      <c r="BO21" s="48" t="s">
        <v>1291</v>
      </c>
      <c r="BP21" s="48" t="s">
        <v>1291</v>
      </c>
      <c r="BQ21" s="48" t="s">
        <v>1293</v>
      </c>
    </row>
    <row r="22" spans="2:69">
      <c r="B22" s="48" t="s">
        <v>1243</v>
      </c>
      <c r="C22" s="48">
        <v>20</v>
      </c>
      <c r="D22" s="48"/>
      <c r="E22" s="95"/>
      <c r="F22" s="48"/>
      <c r="G22" s="191" t="e" cm="1" vm="1">
        <f t="array" ref="G22">SUM(IF(I2:O2 = I26:O26, 1, 0))/ COUNTA(I2:O2)</f>
        <v>#VALUE!</v>
      </c>
      <c r="H22" s="48"/>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c r="BM22" s="48"/>
      <c r="BN22" s="48"/>
      <c r="BO22" s="48"/>
      <c r="BP22" s="48"/>
      <c r="BQ22" s="48"/>
    </row>
    <row r="23" spans="2:69">
      <c r="B23" s="48" t="s">
        <v>1246</v>
      </c>
      <c r="C23" s="48">
        <v>21</v>
      </c>
      <c r="D23" s="48"/>
      <c r="E23" s="95"/>
      <c r="F23" s="48"/>
      <c r="G23" s="191" t="e" cm="1">
        <f t="array" aca="1" ref="G23" ca="1">SUM(IF(IF(G3:G22="null",1,G3:G22)=1,1,0))/COUNT(IF(G3:G22="null",1,1))</f>
        <v>#DIV/0!</v>
      </c>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row>
    <row r="25" spans="2:69">
      <c r="B25" s="129" t="s">
        <v>1364</v>
      </c>
    </row>
    <row r="26" spans="2:69">
      <c r="B26" s="127" t="s">
        <v>1249</v>
      </c>
      <c r="C26" s="128" t="s">
        <v>1250</v>
      </c>
      <c r="D26" s="128" t="s">
        <v>1251</v>
      </c>
      <c r="E26" s="128" t="s">
        <v>1252</v>
      </c>
      <c r="F26" s="128" t="s">
        <v>1253</v>
      </c>
      <c r="G26" s="128" t="s">
        <v>1254</v>
      </c>
      <c r="H26" s="128" t="s">
        <v>1255</v>
      </c>
      <c r="I26" s="128" t="e" cm="1" vm="2">
        <f t="array" ref="I26">TRANSPOSE(_xlfn.SORTBY(_xlfn._xlws.FILTER(Table3[NOME FÍSICO CAMPO],Table3[NOME FÍSICO TABELA]="leasing"), _xlfn._xlws.FILTER(Table3[ORDEM], Table3[NOME FÍSICO TABELA]="leasing"), 1))</f>
        <v>#VALUE!</v>
      </c>
      <c r="J26" s="128"/>
      <c r="K26" s="128"/>
      <c r="L26" s="128"/>
      <c r="M26" s="128"/>
      <c r="N26" s="128"/>
      <c r="O26" s="128"/>
      <c r="P26" s="128"/>
      <c r="Q26" s="128"/>
      <c r="R26" s="128"/>
      <c r="S26" s="128"/>
      <c r="T26" s="278"/>
      <c r="U26" s="278"/>
      <c r="V26" s="278"/>
      <c r="W26" s="278"/>
      <c r="X26" s="278"/>
      <c r="Y26" s="279"/>
      <c r="Z26" s="279"/>
      <c r="AA26" s="279"/>
      <c r="AB26" s="279"/>
      <c r="AC26" s="279"/>
      <c r="AD26" s="279"/>
      <c r="AE26" s="279"/>
      <c r="AF26" s="279"/>
      <c r="AG26" s="279"/>
      <c r="AH26" s="279"/>
      <c r="AI26" s="279"/>
      <c r="AJ26" s="279"/>
      <c r="AK26" s="279"/>
      <c r="AL26" s="279"/>
      <c r="AM26" s="279"/>
      <c r="AN26" s="279"/>
      <c r="AO26" s="279"/>
      <c r="AP26" s="279"/>
      <c r="AQ26" s="279"/>
      <c r="AR26" s="279"/>
      <c r="AS26" s="279"/>
      <c r="AT26" s="279"/>
      <c r="AU26" s="279"/>
      <c r="AV26" s="279"/>
      <c r="AW26" s="279"/>
      <c r="AX26" s="279"/>
      <c r="AY26" s="279"/>
      <c r="AZ26" s="279"/>
      <c r="BA26" s="279"/>
      <c r="BB26" s="279"/>
      <c r="BC26" s="279"/>
      <c r="BD26" s="279"/>
      <c r="BE26" s="279"/>
      <c r="BF26" s="279"/>
      <c r="BG26" s="279"/>
      <c r="BH26" s="279"/>
      <c r="BI26" s="279"/>
      <c r="BJ26" s="279"/>
      <c r="BK26" s="279"/>
      <c r="BL26" s="279"/>
      <c r="BM26" s="279"/>
      <c r="BN26" s="279"/>
      <c r="BO26" s="279"/>
      <c r="BP26" s="279"/>
      <c r="BQ26" s="214"/>
    </row>
    <row r="27" spans="2:69">
      <c r="B27" s="106" t="s">
        <v>1294</v>
      </c>
      <c r="C27" s="94">
        <v>21</v>
      </c>
      <c r="D27" s="93" t="s">
        <v>1295</v>
      </c>
      <c r="E27" t="s">
        <v>1296</v>
      </c>
      <c r="F27" t="s">
        <v>124</v>
      </c>
      <c r="G27" t="s">
        <v>124</v>
      </c>
      <c r="H27" t="s">
        <v>124</v>
      </c>
      <c r="I27" t="e" cm="1" vm="2">
        <f t="array" aca="1" ref="I27" ca="1">TRANSPOSE(_xlfn.SORTBY(_xlfn._xlws.FILTER(IF(Table3[FORMATO]:Table3[COMP_ CAMPO]&lt;&gt;"",Table3[FORMATO]:Table3[COMP_ CAMPO],9999999),Table3[NOME FÍSICO TABELA]="leasing"), _xlfn._xlws.FILTER(Table3[ORDEM], Table3[NOME FÍSICO TABELA]="leasing"), 1))</f>
        <v>#VALUE!</v>
      </c>
      <c r="T27" s="104"/>
      <c r="U27" s="104"/>
      <c r="V27" s="104"/>
      <c r="W27" s="104"/>
      <c r="X27" s="104"/>
      <c r="Y27" s="104"/>
      <c r="Z27" s="104"/>
      <c r="AA27" s="104"/>
      <c r="AB27" s="104"/>
      <c r="AC27" s="104"/>
      <c r="AD27" s="104"/>
      <c r="AE27" s="104"/>
      <c r="AF27" s="104"/>
      <c r="AG27" s="104"/>
      <c r="AH27" s="104"/>
      <c r="AI27" s="104"/>
      <c r="AJ27" s="104"/>
      <c r="AK27" s="104"/>
      <c r="AL27" s="104"/>
      <c r="AM27" s="104"/>
      <c r="AN27" s="104"/>
      <c r="AO27" s="104"/>
      <c r="AP27" s="104"/>
      <c r="AQ27" s="104"/>
      <c r="AR27" s="104"/>
      <c r="AS27" s="104"/>
      <c r="AT27" s="104"/>
      <c r="AU27" s="104"/>
      <c r="AV27" s="104"/>
      <c r="AW27" s="104"/>
      <c r="AX27" s="104"/>
      <c r="AY27" s="104"/>
      <c r="AZ27" s="104"/>
      <c r="BA27" s="104"/>
      <c r="BB27" s="104"/>
      <c r="BC27" s="104"/>
      <c r="BD27" s="104"/>
      <c r="BE27" s="104"/>
      <c r="BF27" s="104"/>
      <c r="BG27" s="104"/>
      <c r="BH27" s="104"/>
      <c r="BI27" s="104"/>
      <c r="BJ27" s="104"/>
      <c r="BK27" s="104"/>
      <c r="BL27" s="104"/>
      <c r="BM27" s="104"/>
      <c r="BN27" s="104"/>
      <c r="BO27" s="104"/>
      <c r="BP27" s="104"/>
      <c r="BQ27" s="107"/>
    </row>
    <row r="28" spans="2:69">
      <c r="B28" s="106" t="s">
        <v>1297</v>
      </c>
      <c r="C28" s="150">
        <v>7</v>
      </c>
      <c r="D28" s="105" t="s">
        <v>1295</v>
      </c>
      <c r="E28" s="104" t="s">
        <v>1296</v>
      </c>
      <c r="F28" s="104" t="s">
        <v>124</v>
      </c>
      <c r="G28" s="104" t="s">
        <v>124</v>
      </c>
      <c r="H28" s="104" t="s">
        <v>124</v>
      </c>
      <c r="I28" s="150"/>
      <c r="J28" s="150"/>
      <c r="K28" s="150"/>
      <c r="L28" s="150"/>
      <c r="M28" s="150"/>
      <c r="N28" s="150"/>
      <c r="O28" s="150"/>
      <c r="P28" s="150"/>
      <c r="Q28" s="150"/>
      <c r="R28" s="150"/>
      <c r="S28" s="150"/>
      <c r="T28" s="150"/>
      <c r="U28" s="150"/>
      <c r="V28" s="150"/>
      <c r="W28" s="150"/>
      <c r="X28" s="150"/>
      <c r="Y28" s="150"/>
      <c r="Z28" s="150"/>
      <c r="AA28" s="150"/>
      <c r="AB28" s="150"/>
      <c r="AC28" s="150"/>
      <c r="AD28" s="150"/>
      <c r="AE28" s="150"/>
      <c r="AF28" s="150"/>
      <c r="AG28" s="150"/>
      <c r="AH28" s="150"/>
      <c r="AI28" s="150"/>
      <c r="AJ28" s="150"/>
      <c r="AK28" s="150"/>
      <c r="AL28" s="150"/>
      <c r="AM28" s="150"/>
      <c r="AN28" s="150"/>
      <c r="AO28" s="150"/>
      <c r="AP28" s="150"/>
      <c r="AQ28" s="150"/>
      <c r="AR28" s="150"/>
      <c r="AS28" s="150"/>
      <c r="AT28" s="150"/>
      <c r="AU28" s="150"/>
      <c r="AV28" s="150"/>
      <c r="AW28" s="150"/>
      <c r="AX28" s="150"/>
      <c r="AY28" s="150"/>
      <c r="AZ28" s="150"/>
      <c r="BA28" s="150"/>
      <c r="BB28" s="150"/>
      <c r="BC28" s="150"/>
      <c r="BD28" s="150"/>
      <c r="BE28" s="150"/>
      <c r="BF28" s="150"/>
      <c r="BG28" s="150"/>
      <c r="BH28" s="150"/>
      <c r="BI28" s="150"/>
      <c r="BJ28" s="150"/>
      <c r="BK28" s="150"/>
      <c r="BL28" s="150"/>
      <c r="BM28" s="150"/>
      <c r="BN28" s="150"/>
      <c r="BO28" s="150"/>
      <c r="BP28" s="150"/>
      <c r="BQ28" s="151"/>
    </row>
    <row r="30" spans="2:69">
      <c r="B30" s="139" t="s">
        <v>1298</v>
      </c>
    </row>
    <row r="31" spans="2:69">
      <c r="B31" s="133" t="s">
        <v>1299</v>
      </c>
      <c r="C31" s="133" t="s">
        <v>1300</v>
      </c>
      <c r="D31" s="134" t="s">
        <v>1301</v>
      </c>
      <c r="E31" s="133" t="s">
        <v>1302</v>
      </c>
      <c r="F31" s="133" t="s">
        <v>1303</v>
      </c>
    </row>
    <row r="32" spans="2:69" ht="29.1">
      <c r="B32" s="110" t="s">
        <v>1421</v>
      </c>
      <c r="C32" s="114" t="s">
        <v>227</v>
      </c>
      <c r="D32" s="51" t="s">
        <v>2418</v>
      </c>
      <c r="E32" s="152" t="s">
        <v>2419</v>
      </c>
      <c r="F32" s="135" t="s">
        <v>1310</v>
      </c>
    </row>
    <row r="33" spans="2:6" ht="29.1">
      <c r="B33" s="136" t="s">
        <v>1304</v>
      </c>
      <c r="C33" s="137" t="s">
        <v>227</v>
      </c>
      <c r="D33" s="138" t="s">
        <v>2420</v>
      </c>
      <c r="E33" s="97" t="s">
        <v>2421</v>
      </c>
      <c r="F33" s="187" t="s">
        <v>1310</v>
      </c>
    </row>
    <row r="34" spans="2:6" ht="29.1">
      <c r="B34" s="136" t="s">
        <v>1304</v>
      </c>
      <c r="C34" s="137" t="s">
        <v>2305</v>
      </c>
      <c r="D34" s="138" t="s">
        <v>2420</v>
      </c>
      <c r="E34" s="97" t="s">
        <v>2422</v>
      </c>
      <c r="F34" s="187" t="s">
        <v>1310</v>
      </c>
    </row>
    <row r="35" spans="2:6" ht="29.1">
      <c r="B35" s="136" t="s">
        <v>1304</v>
      </c>
      <c r="C35" s="137" t="s">
        <v>2308</v>
      </c>
      <c r="D35" s="138" t="s">
        <v>2420</v>
      </c>
      <c r="E35" s="97" t="s">
        <v>2422</v>
      </c>
      <c r="F35" s="187" t="s">
        <v>1310</v>
      </c>
    </row>
    <row r="36" spans="2:6" ht="29.1">
      <c r="B36" s="136" t="s">
        <v>1304</v>
      </c>
      <c r="C36" s="137" t="s">
        <v>512</v>
      </c>
      <c r="D36" s="138" t="s">
        <v>2420</v>
      </c>
      <c r="E36" s="97" t="s">
        <v>2423</v>
      </c>
      <c r="F36" s="187" t="s">
        <v>1310</v>
      </c>
    </row>
    <row r="37" spans="2:6" ht="29.1">
      <c r="B37" s="136" t="s">
        <v>1304</v>
      </c>
      <c r="C37" s="137" t="s">
        <v>1952</v>
      </c>
      <c r="D37" s="138" t="s">
        <v>2420</v>
      </c>
      <c r="E37" s="97" t="s">
        <v>2424</v>
      </c>
      <c r="F37" s="187" t="s">
        <v>1310</v>
      </c>
    </row>
    <row r="38" spans="2:6" ht="29.1">
      <c r="B38" s="136" t="s">
        <v>1304</v>
      </c>
      <c r="C38" s="137" t="s">
        <v>1954</v>
      </c>
      <c r="D38" s="138" t="s">
        <v>2420</v>
      </c>
      <c r="E38" s="97" t="s">
        <v>2425</v>
      </c>
      <c r="F38" s="187" t="s">
        <v>1310</v>
      </c>
    </row>
    <row r="39" spans="2:6" ht="29.1">
      <c r="B39" s="136" t="s">
        <v>1304</v>
      </c>
      <c r="C39" s="137" t="s">
        <v>2323</v>
      </c>
      <c r="D39" s="138" t="s">
        <v>2420</v>
      </c>
      <c r="E39" s="97" t="s">
        <v>2426</v>
      </c>
      <c r="F39" s="187" t="s">
        <v>1310</v>
      </c>
    </row>
    <row r="40" spans="2:6" ht="29.1">
      <c r="B40" s="136" t="s">
        <v>1304</v>
      </c>
      <c r="C40" s="137" t="s">
        <v>577</v>
      </c>
      <c r="D40" s="138" t="s">
        <v>2420</v>
      </c>
      <c r="E40" s="97" t="s">
        <v>2427</v>
      </c>
      <c r="F40" s="187" t="s">
        <v>1310</v>
      </c>
    </row>
    <row r="41" spans="2:6" ht="29.1">
      <c r="B41" s="136" t="s">
        <v>1304</v>
      </c>
      <c r="C41" s="137" t="s">
        <v>626</v>
      </c>
      <c r="D41" s="138" t="s">
        <v>2420</v>
      </c>
      <c r="E41" s="97" t="s">
        <v>2427</v>
      </c>
      <c r="F41" s="187" t="s">
        <v>1310</v>
      </c>
    </row>
    <row r="42" spans="2:6" ht="43.5">
      <c r="B42" s="136" t="s">
        <v>1304</v>
      </c>
      <c r="C42" s="137" t="s">
        <v>678</v>
      </c>
      <c r="D42" s="138" t="s">
        <v>2428</v>
      </c>
      <c r="E42" s="97" t="s">
        <v>2429</v>
      </c>
      <c r="F42" s="187" t="s">
        <v>1310</v>
      </c>
    </row>
    <row r="43" spans="2:6" ht="72.599999999999994">
      <c r="B43" s="136" t="s">
        <v>1314</v>
      </c>
      <c r="C43" s="137" t="s">
        <v>2151</v>
      </c>
      <c r="D43" s="138" t="s">
        <v>2430</v>
      </c>
      <c r="E43" s="97" t="s">
        <v>2431</v>
      </c>
      <c r="F43" s="187" t="s">
        <v>1307</v>
      </c>
    </row>
    <row r="44" spans="2:6" ht="29.1">
      <c r="B44" s="136" t="s">
        <v>1373</v>
      </c>
      <c r="C44" s="137" t="s">
        <v>2151</v>
      </c>
      <c r="D44" s="138" t="s">
        <v>2432</v>
      </c>
      <c r="E44" s="97" t="s">
        <v>2433</v>
      </c>
      <c r="F44" s="187" t="s">
        <v>1313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0213E48E-4DFB-42D7-9082-697126B6EC38}"/>
</file>

<file path=customXml/itemProps2.xml><?xml version="1.0" encoding="utf-8"?>
<ds:datastoreItem xmlns:ds="http://schemas.openxmlformats.org/officeDocument/2006/customXml" ds:itemID="{222E066E-E667-444D-B7E8-226754C02B84}"/>
</file>

<file path=customXml/itemProps3.xml><?xml version="1.0" encoding="utf-8"?>
<ds:datastoreItem xmlns:ds="http://schemas.openxmlformats.org/officeDocument/2006/customXml" ds:itemID="{FEAB6715-D769-4E20-B024-B67BB68334F0}"/>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2025-12-19T16:48:20Z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2025-09-05T15:46:53Z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43fcf742-b7bf-450d-8fc8-0194ca33d612</vt:lpwstr>
  </property>
  <property fmtid="{D5CDD505-2E9C-101B-9397-08002B2CF9AE}" pid="12" name="MSIP_Label_3c41c091-3cbc-4dba-8b59-ce62f19500db_ContentBits">
    <vt:lpwstr>1</vt:lpwstr>
  </property>
</Properties>
</file>