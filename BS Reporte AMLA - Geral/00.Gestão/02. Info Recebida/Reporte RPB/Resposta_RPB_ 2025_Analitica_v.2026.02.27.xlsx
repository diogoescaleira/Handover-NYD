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santandernet.sharepoint.com/sites/BSReporteAMLA/Shared Documents/Geral/01.Recebida/Reporte RPB/"/>
    </mc:Choice>
  </mc:AlternateContent>
  <xr:revisionPtr revIDLastSave="126" documentId="8_{F95E1B11-6B39-4D57-94B1-237F435D969F}" xr6:coauthVersionLast="47" xr6:coauthVersionMax="47" xr10:uidLastSave="{F3351C75-1813-42EA-9395-71C11DE905EE}"/>
  <bookViews>
    <workbookView xWindow="-120" yWindow="-16320" windowWidth="29040" windowHeight="15720" tabRatio="865" activeTab="1" xr2:uid="{00000000-000D-0000-FFFF-FFFF00000000}"/>
  </bookViews>
  <sheets>
    <sheet name="2. RISCO INERENTE AO CLIENTE" sheetId="2" r:id="rId1"/>
    <sheet name="3. RISCO INERENTE PROD,SERV,OP" sheetId="3" r:id="rId2"/>
    <sheet name="5. RISCO INERENTE À GEOGRAFIA " sheetId="4" r:id="rId3"/>
    <sheet name="6. MODELO DE GESTÃO DE RISCO" sheetId="12" r:id="rId4"/>
    <sheet name="7. MONITORIZAÇÃO CONTINUA" sheetId="14" r:id="rId5"/>
    <sheet name="C. DEVER DE EXAME" sheetId="11" r:id="rId6"/>
    <sheet name="8. REGISTOS INFORMATIZADOS E CE" sheetId="5" r:id="rId7"/>
    <sheet name="B. DEVER DE IDENTIFICAÇÃO E DIL" sheetId="6" r:id="rId8"/>
  </sheets>
  <definedNames>
    <definedName name="_xlnm._FilterDatabase" localSheetId="0" hidden="1">'2. RISCO INERENTE AO CLIENTE'!$A$2:$C$202</definedName>
    <definedName name="_xlnm._FilterDatabase" localSheetId="1" hidden="1">'3. RISCO INERENTE PROD,SERV,OP'!$A$2:$I$451</definedName>
    <definedName name="_xlnm._FilterDatabase" localSheetId="2" hidden="1">'5. RISCO INERENTE À GEOGRAFIA '!#REF!</definedName>
    <definedName name="_xlnm._FilterDatabase" localSheetId="4" hidden="1">'7. MONITORIZAÇÃO CONTINUA'!$A$2:$B$22</definedName>
    <definedName name="_xlnm._FilterDatabase" localSheetId="6" hidden="1">'8. REGISTOS INFORMATIZADOS E CE'!$A$2:$B$11</definedName>
    <definedName name="_xlnm._FilterDatabase" localSheetId="7" hidden="1">'B. DEVER DE IDENTIFICAÇÃO E DIL'!$A$2:$C$52</definedName>
    <definedName name="_xlnm._FilterDatabase" localSheetId="5" hidden="1">'C. DEVER DE EXAME'!$A$2:$B$7</definedName>
    <definedName name="OLE_LINK1" localSheetId="0">'2. RISCO INERENTE AO CLIENTE'!#REF!</definedName>
    <definedName name="_xlnm.Print_Titles" localSheetId="0">'2. RISCO INERENTE AO CLIENTE'!#REF!</definedName>
    <definedName name="RITM019011789" localSheetId="1">'3. RISCO INERENTE PROD,SERV,OP'!#REF!</definedName>
    <definedName name="RITM019011789">'3. RISCO INERENTE PROD,SERV,OP'!#REF!</definedName>
    <definedName name="TítuloColuna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92" i="3" l="1"/>
  <c r="F393" i="3"/>
  <c r="F394" i="3"/>
  <c r="F395" i="3"/>
  <c r="F396" i="3"/>
  <c r="F397" i="3"/>
  <c r="F398" i="3"/>
  <c r="F391" i="3"/>
  <c r="E392" i="3"/>
  <c r="E393" i="3"/>
  <c r="E394" i="3"/>
  <c r="E395" i="3"/>
  <c r="E396" i="3"/>
  <c r="E397" i="3"/>
  <c r="E398" i="3"/>
  <c r="E391" i="3"/>
  <c r="D392" i="3"/>
  <c r="D393" i="3"/>
  <c r="D394" i="3"/>
  <c r="D395" i="3"/>
  <c r="D396" i="3"/>
  <c r="D397" i="3"/>
  <c r="D398" i="3"/>
  <c r="D391" i="3"/>
  <c r="C392" i="3"/>
  <c r="C393" i="3"/>
  <c r="C394" i="3"/>
  <c r="C395" i="3"/>
  <c r="C396" i="3"/>
  <c r="C397" i="3"/>
  <c r="C398" i="3"/>
  <c r="C391" i="3"/>
  <c r="B398" i="3"/>
  <c r="B392" i="3"/>
  <c r="B393" i="3"/>
  <c r="B394" i="3"/>
  <c r="B395" i="3"/>
  <c r="B396" i="3"/>
  <c r="B397" i="3"/>
  <c r="B391" i="3"/>
  <c r="A154" i="2"/>
  <c r="A152" i="2"/>
  <c r="A150" i="2"/>
  <c r="A148" i="2"/>
  <c r="A145" i="2"/>
  <c r="A7" i="11"/>
  <c r="A5" i="11"/>
  <c r="A8" i="14"/>
  <c r="B197" i="2"/>
  <c r="A20" i="14"/>
  <c r="A22" i="14"/>
  <c r="A163" i="2"/>
  <c r="A161" i="2"/>
  <c r="A159" i="2"/>
  <c r="A157" i="2"/>
</calcChain>
</file>

<file path=xl/sharedStrings.xml><?xml version="1.0" encoding="utf-8"?>
<sst xmlns="http://schemas.openxmlformats.org/spreadsheetml/2006/main" count="1074" uniqueCount="532">
  <si>
    <t>2. RISCO INERENTE AO CLIENTE</t>
  </si>
  <si>
    <t>3. RISCO INERENTE A PRODUTOS, SERVIÇOS OU OPERAÇÕES</t>
  </si>
  <si>
    <t xml:space="preserve">5. RISCO INERENTE À GEOGRAFIA </t>
  </si>
  <si>
    <t>6. MODELO DE GESTÃO DE RISCO</t>
  </si>
  <si>
    <t>C. DEVER DE EXAME</t>
  </si>
  <si>
    <t>Owner: Interno|FCC/Analytics</t>
  </si>
  <si>
    <t xml:space="preserve">Observações </t>
  </si>
  <si>
    <t>2.1 Informação geral à data do termo do período de referência do RPB (31 de dezembro)</t>
  </si>
  <si>
    <t>a) Número total de clientes; [Resposta: campo numérico]</t>
  </si>
  <si>
    <t>b) Número de clientes “pessoas singulares”; [Resposta: campo numérico]</t>
  </si>
  <si>
    <t>c) Número de clientes “pessoas coletivas”; [Resposta: campo numérico]</t>
  </si>
  <si>
    <t>d) Número de clientes “centros de interesses coletivos sem personalidade jurídica”. [Resposta: campo numérico]</t>
  </si>
  <si>
    <t>2.2 Informação sobre clientes “pessoas singulares” à data do termo do período de referência do RPB (31 de dezembro)</t>
  </si>
  <si>
    <t>2.2.1 Número de clientes “pessoas singulares” com nacionalidade portuguesa. [Resposta: campo numérico]</t>
  </si>
  <si>
    <t>2.2.2 Clientes “pessoas singulares” com nacionalidade estrangeira:</t>
  </si>
  <si>
    <t>a) Número de clientes com nacionalidade de Estado membro da União Europeia; [Resposta: campo numérico]</t>
  </si>
  <si>
    <t>b) Número de clientes com nacionalidade de país terceiro; [Resposta: campo numérico]</t>
  </si>
  <si>
    <t>c) Identificação dos 10 países ou jurisdições de nacionalidade mais relevantes, com indicação do número de clientes por país ou jurisdição.
[Resposta em linhas, com duas colunas: 1) escolha do país ou jurisdição a partir de uma lista pré-definida; 2) n.º de clientes nacionais desse país ou jurisdição]</t>
  </si>
  <si>
    <t>Pais</t>
  </si>
  <si>
    <t xml:space="preserve">Número de Clientes </t>
  </si>
  <si>
    <t>BR</t>
  </si>
  <si>
    <t>BRASIL</t>
  </si>
  <si>
    <t>GB</t>
  </si>
  <si>
    <t>REINO UNIDO</t>
  </si>
  <si>
    <t>AO</t>
  </si>
  <si>
    <t>ANGOLA</t>
  </si>
  <si>
    <t>CABO VERDE</t>
  </si>
  <si>
    <t>ES</t>
  </si>
  <si>
    <t>ESPANHA</t>
  </si>
  <si>
    <t>FR</t>
  </si>
  <si>
    <t>FRANCA</t>
  </si>
  <si>
    <t>US</t>
  </si>
  <si>
    <t>ESTADOS UNIDOS</t>
  </si>
  <si>
    <t>UA</t>
  </si>
  <si>
    <t>UCRANIA</t>
  </si>
  <si>
    <t>IT</t>
  </si>
  <si>
    <t>ITALIA</t>
  </si>
  <si>
    <t>ST</t>
  </si>
  <si>
    <t>SAO TOME E PRINCIPE</t>
  </si>
  <si>
    <t>2.2.3 Número de clientes “pessoas singulares” com residência permanente em Portugal. [Resposta: campo numérico]</t>
  </si>
  <si>
    <t>2.2.4 Clientes “pessoas singulares” com residência permanente no estrangeiro:</t>
  </si>
  <si>
    <t>a)Número total de clientes; [Resposta: campo numérico]</t>
  </si>
  <si>
    <t>b) Número de clientes com residência permanente em Estado membro da União Europeia; [Resposta: campo numérico]</t>
  </si>
  <si>
    <t>c) Número de clientes com residência permanente em país terceiro; [Resposta: campo numérico]</t>
  </si>
  <si>
    <t>d) Identificação dos 10 países ou jurisdições de residência permanente mais relevantes, com indicação do número de clientes por país ou jurisdição; [Resposta em linhas, com duas colunas: 1) escolha do país ou jurisdição a partir de uma lista pré-definida; 2) n.º de clientes com residência permanente nesse país ou jurisdição]</t>
  </si>
  <si>
    <t>CH</t>
  </si>
  <si>
    <t>SUICA</t>
  </si>
  <si>
    <t>VE</t>
  </si>
  <si>
    <t>VENEZUELA</t>
  </si>
  <si>
    <t>CA</t>
  </si>
  <si>
    <t>CANADA</t>
  </si>
  <si>
    <t>DE</t>
  </si>
  <si>
    <t>ALEMANHA</t>
  </si>
  <si>
    <t>ZA</t>
  </si>
  <si>
    <t>AFRICA DO SUL</t>
  </si>
  <si>
    <t>2.3 Informação sobre clientes “pessoas coletivas” e “centros de interesses coletivos sem personalidade jurídica” à data do termo do período de referência do RPB (31 de dezembro)</t>
  </si>
  <si>
    <t xml:space="preserve"> 2.3.1. Número de Clientes "pessoas coletivas" e "centros de interesses coletivos sem presonalidade jurídica"  com sede em Portugal</t>
  </si>
  <si>
    <t>2.3.2. Número de clientes “pessoas coletivas” e “centros de interesses coletivos sem personalidade jurídica” com sede no estrangeiro:</t>
  </si>
  <si>
    <t>b) Número de clientes com sede em Estado membro da União Europeia; [Resposta: campo numérico]</t>
  </si>
  <si>
    <t>c) Número de clientes com sede em país terceiro; [Resposta: campo numérico]</t>
  </si>
  <si>
    <t>d) Identificação dos 10 países ou jurisdições de local da sede mais relevantes, com indicação do número de clientes por país ou jurisdição. [Resposta em linhas, com duas colunas: 1) escolha do país ou jurisdição a partir de uma lista pré-definida; 2) n.º de clientes com sede nesse país ou jurisdição]</t>
  </si>
  <si>
    <t>LUXEMBURGO</t>
  </si>
  <si>
    <t>PAISES BAIXOS</t>
  </si>
  <si>
    <t>IRLANDA</t>
  </si>
  <si>
    <t>2.4. Informação sobre beneficiários efetivos à data do termo do período de referência do RPB (31 de dezembro)</t>
  </si>
  <si>
    <t>2.4.1 Número total de beneficiários efetivos. [Resposta: campo numérico]</t>
  </si>
  <si>
    <t>2.4.2 Número de beneficiários efetivos com nacionalidade portuguesa. [Resposta: campo numérico]</t>
  </si>
  <si>
    <t>2.4.3 Beneficiários efetivos com nacionalidade estrangeira:</t>
  </si>
  <si>
    <t>a) Número de beneficiários efetivos com nacionalidade de Estado membro da União Europeia; [Resposta: campo numérico]</t>
  </si>
  <si>
    <t>b) Número de beneficiários efetivos com nacionalidade de país terceiro; [Resposta: campo numérico]</t>
  </si>
  <si>
    <t>c) Identificação dos 10 países ou jurisdições de nacionalidade mais relevantes, com indicação do número de beneficiários efetivos por país ou jurisdição. 
[Resposta em linhas, com duas colunas: 1) escolha do país ou jurisdição a partir de uma lista pré-definida; 2) n.º de beneficiários efetivos nacionais desse país ou jurisdição]</t>
  </si>
  <si>
    <t>País</t>
  </si>
  <si>
    <t>Nº de Beneficiários</t>
  </si>
  <si>
    <t>REPUBLICA POPULAR DA CHINA</t>
  </si>
  <si>
    <t>BELGICA</t>
  </si>
  <si>
    <t>2.4.4 Número de beneficiários efetivos com residência permanente em Portugal. [Resposta: campo numérico]</t>
  </si>
  <si>
    <t>2.4.5 Beneficiários efetivos com residência permanente no estrangeiro:</t>
  </si>
  <si>
    <t>a) Número de beneficiários efetivos com residência permanente em Estado membro da União Europeia; [Resposta: campo numérico]</t>
  </si>
  <si>
    <t>b) Número de beneficiários efetivos com residência permanente em país terceiro; [Resposta: campo numérico]</t>
  </si>
  <si>
    <t>c)	Identificação dos 10 países ou jurisdições de residência permanente mais relevantes, com indicação do número de beneficiários efetivos por país ou jurisdição. 
[Resposta em linhas, com duas colunas: 1) escolha do país ou jurisdição de uma lista pré-definida; 2) n.º de beneficiários efetivos com residência permanente nesse país ou jurisdição]</t>
  </si>
  <si>
    <t>Nº beneficiarios</t>
  </si>
  <si>
    <t>2.5 Informação sobre clientes e beneficiários efetivos com a qualidade de “Pessoa politicamente exposta” (“PEP”) ou outras qualidades relevantes à data do termo do período de referência do RPB (31 de dezembro)</t>
  </si>
  <si>
    <t>2.5.1 Que representem o Estado Português</t>
  </si>
  <si>
    <t>a) Número total de clientes com a qualidade de “PEP”. [Resposta: campo numérico]</t>
  </si>
  <si>
    <t>b) Número total de beneficiários efetivos com a qualidade de “PEP”. [Resposta: campo numérico]</t>
  </si>
  <si>
    <t>2.5.2 Que representem país ou jurisdição estrangeira ou instituição/organização internacional</t>
  </si>
  <si>
    <t>a) Número total de clientes com a qualidade de “PEP” que representem país ou jurisdição estrangeira; [Resposta: campo numérico];</t>
  </si>
  <si>
    <t>b)	Identificação dos 10 países ou jurisdições de representação mais relevantes, com indica-ção do número de clientes com a qualidade de “PEP” que representem esse país ou jurisdi-ção; 
[Resposta em linhas, com duas colunas: 1) escolha do país ou jurisdição a partir de uma lista pré-definida; 2) n.º de clientes com qualidade de “PEP” que representem esse país ou jurisdição]</t>
  </si>
  <si>
    <t>Nº Clientes</t>
  </si>
  <si>
    <t>GW</t>
  </si>
  <si>
    <t>GUINE BISSAU</t>
  </si>
  <si>
    <t>MOCAMBIQUE</t>
  </si>
  <si>
    <t>c) Número total de clientes com a qualidade de “PEP” que representem instituição/organização internacional; [Resposta: campo numérico]</t>
  </si>
  <si>
    <t>d) Número total de beneficiários efetivos com a qualidade de “PEP”. [Resposta: campo numérico]</t>
  </si>
  <si>
    <t>2.5.3 Relativamente ao período de referência, indicação:</t>
  </si>
  <si>
    <t>a) Do número de relações de negócio estabelecidas com clientes com a qualidade de “PEP”; [Resposta: campo numérico]</t>
  </si>
  <si>
    <t>b) Percentagem que o número indicado em a) representa face ao total de relações de negócio estabelecidas no mesmo período. [Resposta: campo numérico]</t>
  </si>
  <si>
    <t>2.5.4 Identificação da percentagem de clientes que, face ao total de clientes, detêm a qualidade de:</t>
  </si>
  <si>
    <t>a) “PEP”; [Resposta: campo numérico]</t>
  </si>
  <si>
    <t>b) “Membro próximo da família”; [Resposta: campo numérico]</t>
  </si>
  <si>
    <t>c) “Pessoa reconhecida como estreitamente associada”; [Resposta: campo numérico]</t>
  </si>
  <si>
    <t>d) “Titular de outro cargo político ou público”. [Resposta: campo numérico]</t>
  </si>
  <si>
    <t>2.5.5 Identificação da percentagem de beneficiários efetivos que, face ao total de beneficiários efetivos, detêm a qualidade de:</t>
  </si>
  <si>
    <t>2.6 Informações sobre certas categorias de clientes</t>
  </si>
  <si>
    <t>2.6.1 Clientes com um “elevado património líquido” Número total de clientes com um elevado património líquido à data do termo do período de referência do RPB (31 de dezembro). [Resposta: campo numérico]</t>
  </si>
  <si>
    <t>2.6.2 Clientes “organizações sem fins lucrativos”</t>
  </si>
  <si>
    <t>b) Número de clientes “organizações sem fins lucrativos” com sede em Estado membro da União Europeia à data do termo do período de referência do RPB (31 de dezembro); [Resposta: campo numérico]</t>
  </si>
  <si>
    <t>c) Número de clientes “organizações sem fins lucrativos” com sede em país terceiro à data do termo do período de referência do RPB (31 de dezembro). [Resposta: campo numérico]</t>
  </si>
  <si>
    <t xml:space="preserve">2.6.3 Clientes com autorização de residência para atividade de investimento em Portugal (“ARI”) ou candidatos a “ARI”: </t>
  </si>
  <si>
    <t>a) Número total de clientes detentores de “ARI” à data do termo do período de referência do RPB (31 de dezembro); [Resposta: campo numérico]</t>
  </si>
  <si>
    <t>b) Número total de clientes candidatos a “ARI” à data do termo do período de referência do RPB (31 de dezembro); [Resposta: campo numérico]</t>
  </si>
  <si>
    <t>c) Número de clientes que adquiriram “ARI” durante o período de referência; [Resposta: campo numérico]</t>
  </si>
  <si>
    <t>N/A</t>
  </si>
  <si>
    <t>d) Número de clientes que se candidataram a “ARI” durante o período de referência. [Resposta: campo numérico]</t>
  </si>
  <si>
    <t>2.6.4 Clientes que realizaram depósitos em numerário de forma intensiva</t>
  </si>
  <si>
    <t>Número total de clientes que realizaram depósitos em numerário de forma intensiva no período de referência. [Resposta: campo numérico]</t>
  </si>
  <si>
    <t>2.6.5 Clientes que prossigam atividades em áreas de negócio de risco mais elevado</t>
  </si>
  <si>
    <t>Número total de clientes que prossigam atividades em áreas de negócio de risco mais elevado, por área de negócio, à data do termo do período de referência do RPB (31 de dezembro). 
[Resposta em linhas, com duas colunas: 1) escolha da área de negócio de a partir de uma lista pré-definida; 2) n.º de clientes]</t>
  </si>
  <si>
    <t>Área de Negócio</t>
  </si>
  <si>
    <t>2.6.6 Clientes com uma estrutura de propriedade complexa</t>
  </si>
  <si>
    <t>a) Número total de clientes com uma estrutura de propriedade complexa à data do termo do período de referência do RPB (31 de dezembro). [Resposta: campo numérico]</t>
  </si>
  <si>
    <t>b) Indicação dos critérios internamente definidos pela entidade financeira para qualificação dos clientes como tendo uma estrutura de propriedade complexa.</t>
  </si>
  <si>
    <t>Observações</t>
  </si>
  <si>
    <t>3.1 Contas Bancárias</t>
  </si>
  <si>
    <t xml:space="preserve">3.1.1 Informação geral </t>
  </si>
  <si>
    <t>a) Número total de contas bancárias à data do termo do período de referência do RPB (31 de dezembro); [Resposta: campo numérico]</t>
  </si>
  <si>
    <t xml:space="preserve">b) Número total de clientes titulares de contas bancárias à data do termo do período de referência do RPB (31 de dezembro); [Resposta: campo numérico] </t>
  </si>
  <si>
    <t>c) Montante agregado, em euros, dos saldos das contas bancárias à data do termo do período de referência do RPB (31 de dezembro). [Resposta: campo numérico]</t>
  </si>
  <si>
    <t xml:space="preserve">3.1.2 Clientes “pessoas singulares” </t>
  </si>
  <si>
    <t xml:space="preserve">a) Número total de clientes titulares de contas bancárias à data do termo do período de referência do RPB (31 de dezembro); [Resposta: campo numérico] </t>
  </si>
  <si>
    <t>b) Montante agregado, em euros, dos saldos das contas bancárias à data do termo do período de referência do reporte (31 de dezembro). [Resposta: campo numérico]</t>
  </si>
  <si>
    <t xml:space="preserve">3.1.3 Clientes “pessoas coletivas” e “centros de interesses coletivos sem personalidade jurídica” </t>
  </si>
  <si>
    <t>a) Número total de clientes titulares de contas bancárias à data do termo do período de referência do RPB (31 de dezembro); [Resposta: campo numérico]</t>
  </si>
  <si>
    <t>b) Montante agregado, em euros, dos saldos das contas bancárias à data do termo do período de referência do RPB (31 de dezembro). [Resposta: campo numérico]</t>
  </si>
  <si>
    <t>3.1.4 Depósitos em numerário:</t>
  </si>
  <si>
    <t xml:space="preserve">a) Número de depósitos em numerário de valor unitário igual ou superior a €100.000 realizados no período de referência em contas tituladas por: 
i. Clientes “pessoas singulares”; [Resposta: campo numérico] 
                                                                                                                                                                                                                                              </t>
  </si>
  <si>
    <t xml:space="preserve">ii. Clientes “pessoas coletivas” e “centros de interesses coletivos sem personalidade jurídica”; [Resposta: campo numérico] </t>
  </si>
  <si>
    <t xml:space="preserve">b) Clientes que tenham realizado depósitos em numerário de forma intensiva no período de referência identificados na questão 2.6.4 da Parte 2: 
i. Número de clientes com depósitos em numerário realizados; [Resposta: campo numérico]
</t>
  </si>
  <si>
    <t>ii. Número de depósitos em numerário realizados; [Resposta: campo numérico]</t>
  </si>
  <si>
    <t>iii. Montante agregado, em euros, dos fundos depositados. [Resposta: campo numérico]</t>
  </si>
  <si>
    <t xml:space="preserve">3.1.5 Contas jumbo: </t>
  </si>
  <si>
    <t>a) Número total de contas jumbo à data do termo do período de referência do RPB (31 de dezembro); [Resposta: campo numérico]</t>
  </si>
  <si>
    <t>-</t>
  </si>
  <si>
    <t xml:space="preserve">b) Montante agregado, em euros, dos saldos das contas jumbo à data do termo do período de referência do RPB (31 de dezembro). [Resposta: campo numérico] </t>
  </si>
  <si>
    <t xml:space="preserve">3.1.6 Pooled accounts: </t>
  </si>
  <si>
    <t xml:space="preserve">a) Número total de pooled accounts à data do termo do período de referência do RPB (31 de dezembro); [Resposta: campo numérico] </t>
  </si>
  <si>
    <t>b) Montante agregado, em euros, dos saldos das pooled accounts à data do termo do período de referência do RPB (31 de dezembro). [Resposta: campo numérico]</t>
  </si>
  <si>
    <t xml:space="preserve">3.2. CONTAS DE PAGAMENTO </t>
  </si>
  <si>
    <t xml:space="preserve">3.2.1. Informação geral </t>
  </si>
  <si>
    <t>a) Número total de contas de pagamento à data do termo do período de referência do RPB (31 de dezembro); [Resposta: campo numérico]</t>
  </si>
  <si>
    <t xml:space="preserve">b) Número total de clientes titulares de contas de pagamento à data do termo do período de referência do RPB (31 de dezembro); [Resposta: campo numérico] </t>
  </si>
  <si>
    <t>c) Montante agregado, em euros, dos saldos das contas de pagamento à data do termo do período de referência do RPB (31 de dezembro). [Resposta: campo numérico]</t>
  </si>
  <si>
    <t xml:space="preserve">3.2.2. Clientes “pessoas singulares”: </t>
  </si>
  <si>
    <t xml:space="preserve">a) Número total de clientes titulares de contas de pagamento à data do termo do período de referência do RPB (31 de dezembro); [Resposta: campo numérico] </t>
  </si>
  <si>
    <t xml:space="preserve">3.2.3. Clientes “pessoas coletivas” e “centros de interesses coletivos sem personalidade jurídica”: </t>
  </si>
  <si>
    <t>b) Montante agregado, em euros, dos saldos das contas de pagamento à data do termo do período de referência do RPB (31 de dezembro). [Resposta: campo numérico]</t>
  </si>
  <si>
    <t xml:space="preserve">3.2.4. Depósitos em numerário: </t>
  </si>
  <si>
    <t>a) Número de depósitos em numerário de valor unitário igual ou superior a €100.000 realizados durante o período de referência em contas tituladas por:
i. Clientes “pessoas singulares”; [Resposta: campo numérico]</t>
  </si>
  <si>
    <t xml:space="preserve">ii. Clientes “pessoas coletivas” e “centros de interesses coletivos sem personalidade jurídica”. [Resposta: campo numérico] </t>
  </si>
  <si>
    <t xml:space="preserve">b) Clientes que tenham realizado depósitos em numerário de forma intensiva no período de referência identificados na questão 2.6.4 da Parte 2: 
 i. Número de clientes; [Resposta: campo numérico] </t>
  </si>
  <si>
    <t>ii.Número de depósitos em numerário realizados; [Resposta: campo numérico]</t>
  </si>
  <si>
    <t>3.3. Operações de Crédito</t>
  </si>
  <si>
    <t xml:space="preserve">3.3.1 Clientes-mutuários </t>
  </si>
  <si>
    <t xml:space="preserve">a) Número total de clientes-mutuários à data do termo do período de referência do RPB (31 de dezembro); [Resposta: campo numérico] </t>
  </si>
  <si>
    <t xml:space="preserve">b) Número de clientes-mutuários “pessoas singulares” à data do termo do período de referência do RPB (31 de dezembro):
i. Com residência permanente em Portugal; [Resposta: campo numérico] 
</t>
  </si>
  <si>
    <t xml:space="preserve">ii. Com residência permanente no estrangeiro. [Resposta: campo numérico] </t>
  </si>
  <si>
    <t xml:space="preserve">c) Número de clientes-mutuários “pessoas coletivas” e “centros de interesses coletivos sem personalidade jurídica” à data do termo do período de referência do RPB (31 de dezem-bro):
i. Com sede em Portugal; [Resposta: campo numérico]
</t>
  </si>
  <si>
    <t>ii. Com sede no estrangeiro. [Resposta: campo numérico]</t>
  </si>
  <si>
    <t>3.3.2 Operações de crédito contratadas durante o período de referência:</t>
  </si>
  <si>
    <t>a) Número de operações de crédito contratadas; [Resposta: campo numérico]</t>
  </si>
  <si>
    <t>b) Montante agregado, em euros, do capital mutuado nas operações de crédito contratadas; [Resposta: campo numérico]</t>
  </si>
  <si>
    <t xml:space="preserve">c) Por referência ao valor indicado em b), indicação da percentagem do capital mutuado no período de referência referente a operações de crédito contratadas com: 
i. Clientes-mutuários “pessoas singulares”; [Resposta: campo numérico]
</t>
  </si>
  <si>
    <t xml:space="preserve">ii. Clientes-mutuários “pessoas coletivas” e “centros de interesses coletivos sem personalidade jurídica”; [Resposta: campo numérico] </t>
  </si>
  <si>
    <t xml:space="preserve">d) Número de operações contratadas com valor igual ou inferior a €50.000; [Resposta: campo numérico] </t>
  </si>
  <si>
    <t xml:space="preserve">e) Montante agregado, em euros, do capital mutuado nas operações de crédito de valor igual ou inferior a €50 000; [Resposta: campo numérico] </t>
  </si>
  <si>
    <t>f) Número de operações contratadas com valor superior a €50.000; Resposta: campo numérico]</t>
  </si>
  <si>
    <t>g) Montante agregado, em euros, do capital mutuado nas operações de crédito de valor superior a €50.000. [Resposta: campo numérico]</t>
  </si>
  <si>
    <t xml:space="preserve">3.4 Private Banking </t>
  </si>
  <si>
    <t xml:space="preserve">3.4.1 Número total de clientes de serviços de private banking à data do termo do período de referência do RPB (31 de dezembro); [Resposta: campo numérico] </t>
  </si>
  <si>
    <t xml:space="preserve">3.4.2 Número de operações associadas a serviços private banking realizadas no período de referência; [Resposta: campo numérico] </t>
  </si>
  <si>
    <t>3.4.3 Montante agregado, em euros, das operações associadas a serviços private banking realizadas no período de referência. [Resposta: campo numérico]</t>
  </si>
  <si>
    <t>3.4.4. Indicação dos critérios internamente definidos pela entidade financeira para considerar um cliente como de private banking, incluindo a definição interna de elevado património líquido</t>
  </si>
  <si>
    <t>3.5 Trade Finance</t>
  </si>
  <si>
    <t>3.5.1 Número total de clientes de trade finance à data do termo do período de referência do RPB (31 de dezembro); [Resposta: campo numérico]</t>
  </si>
  <si>
    <t>3.5.2 Número de operações associadas a serviços de trade finance realizadas no período
de referência;</t>
  </si>
  <si>
    <t>3.5.3 Montante agregado, em euros, das operações associadas a serviços de trade finance realizadas no período de referência. [Resposta: campo numérico]</t>
  </si>
  <si>
    <t>3.6 Transferências de fundos</t>
  </si>
  <si>
    <t>3.6.1 Informação geral</t>
  </si>
  <si>
    <t>a) Transferências de fundos recebidas no período de referência:
i. Número total; [Resposta: campo numérico]</t>
  </si>
  <si>
    <t>ii. Montante agregado, em euros, dos fundos recebidos; [Resposta: campo numérico]</t>
  </si>
  <si>
    <t>iii. Número de clientes-beneficiários das operações; [Resposta: campo numérico]</t>
  </si>
  <si>
    <t>ii. Montante agregado, em euros, dos fundos enviados; [Resposta: campo numérico]</t>
  </si>
  <si>
    <t>iii. Número de clientes-ordenantes das operações; [Resposta: campo numérico]</t>
  </si>
  <si>
    <t>3.6.2.1 Clientes “pessoas singulares” (dados agregados):</t>
  </si>
  <si>
    <t xml:space="preserve">a) Transferências de fundos recebidas no período de referência:
i. Número total; [Resposta: campo numérico]
</t>
  </si>
  <si>
    <t xml:space="preserve">b) Transferências de fundos enviadas no período de referência:
i. Número total; [Resposta: campo numérico]
</t>
  </si>
  <si>
    <t xml:space="preserve"> 3.6.2.2 Clientes “pessoas singulares” com residência permanente em Portugal:</t>
  </si>
  <si>
    <t xml:space="preserve">a) Transferências de fundos recebidas no período de referência: 
i. Número total; [Resposta: campo numérico]
</t>
  </si>
  <si>
    <t xml:space="preserve">b) Transferências de fundos enviadas no período de referência: 
i.Número total; [Resposta: campo numérico]
</t>
  </si>
  <si>
    <t>iii.Número de clientes-ordenantes das operações; [Resposta: campo numérico]</t>
  </si>
  <si>
    <t xml:space="preserve">3.6.2.3 Clientes “pessoas singulares” com residência permanente no estrangeiro: </t>
  </si>
  <si>
    <t xml:space="preserve">b) Transferências de fundos enviadas no período de referência: 
i. Número total; [Resposta: campo numérico]
</t>
  </si>
  <si>
    <t>iii. Número de clientes-ordenantes das operações. [Resposta: campo numérico]</t>
  </si>
  <si>
    <t>3.6.3 Informação sobre clientes “pessoas coletivas” e “centros de interesses coletivos sem personalidade jurídica”</t>
  </si>
  <si>
    <t>3.6.3.1 Clientes “pessoas coletivas” e “centros de interesses coletivos sem personalidade jurídica (dados agregados)</t>
  </si>
  <si>
    <t xml:space="preserve">a) Transferências de fundos recebidas no período de referência: 
i. Número total; [Resposta: campo numérico]
</t>
  </si>
  <si>
    <t>b) Transferências de fundos enviadas no período de referência: 
i. Número total; [Resposta: campo numérico]</t>
  </si>
  <si>
    <t>3.6.3.2 Clientes “pessoas coletivas” e “centros de interesses coletivos sem personalidade jurídica” com sede em Portugal:</t>
  </si>
  <si>
    <t>3.6.3.3 Clientes “pessoas coletivas” e “centros de interesses coletivos sem personalidade jurídica” com sede no estrangeiro:</t>
  </si>
  <si>
    <t>3.6.4 Informação sobre clientes com a qualidade de “PEP”</t>
  </si>
  <si>
    <t>3.6.4.1 Clientes com a qualidade de “PEP” que representem o Estado Português:</t>
  </si>
  <si>
    <t xml:space="preserve">a) Transferências de fundos recebidas no período de referência: 
i. Número total; [Resposta: campo numérico]
ii. Montante agregado, em euros, dos fundos recebidos; [Resposta: campo numérico]
</t>
  </si>
  <si>
    <t>iii. Número de clientes-Beneficiários das operações. [Resposta: campo numérico]</t>
  </si>
  <si>
    <t xml:space="preserve">3.6.4.2 Clientes com a qualidade de “PEP” que representem país ou jurisdição estrangeira: Indicação, para cada um dos 10 países ou jurisdições de representação mais relevantes identificados na questão 2.5.2. b) da Parte 2: </t>
  </si>
  <si>
    <t xml:space="preserve">a) Transferências de fundos recebidas no período de referência com origem no país ou jurisdição identificada: 
i. Número total;
</t>
  </si>
  <si>
    <t>Código</t>
  </si>
  <si>
    <t>Nº transações</t>
  </si>
  <si>
    <t>ii. Montante agregado, em euros, dos fundos recebidos;</t>
  </si>
  <si>
    <t xml:space="preserve">Pais </t>
  </si>
  <si>
    <t>Montantes</t>
  </si>
  <si>
    <t>iii. Número de clientes-beneficiários das operações;</t>
  </si>
  <si>
    <t>Nº clientes beneficiários.</t>
  </si>
  <si>
    <t>b) Transferências de fundos enviadas no período de referência no período de referência com destino ao país ou jurisdição identificada: 
i. Número total;</t>
  </si>
  <si>
    <t>Nº Transações</t>
  </si>
  <si>
    <t>ii. Montante agregado, em euros, dos fundos enviados;</t>
  </si>
  <si>
    <t>iii. Número de clientes-ordenantes das operações. [Resposta em linhas, com cinco colunas: 1) escolha do país ou jurisdição previamente identificado; 2) n.º de transferências de fundos recebidas; 3) montante agregado, em euros, dos fundos recebidos; 4) n.º de clientesbeneficiários das operações; 5) n.º de transferências de fundos enviadas; 4) montante agregado, em euros, dos fundos enviados; 7) n.º de clientesordenantes das operações;]</t>
  </si>
  <si>
    <t>Enviadas</t>
  </si>
  <si>
    <t>codigo</t>
  </si>
  <si>
    <t>Nº cientes ordenantes</t>
  </si>
  <si>
    <t xml:space="preserve">Nº Transações  </t>
  </si>
  <si>
    <t xml:space="preserve">Montantes </t>
  </si>
  <si>
    <t>Nº clientes beneficiários</t>
  </si>
  <si>
    <t>3.6.5 Informação sobre operações associadas a certas categorias de clientes</t>
  </si>
  <si>
    <t>3.6.5.1. Clientes com um “elevado património líquido”:</t>
  </si>
  <si>
    <t xml:space="preserve">a) Transferências de fundos recebidas no período de referência: 
 i. Número total; [Resposta: campo numérico]
</t>
  </si>
  <si>
    <t>3.6.5.2. Clientes “organizações sem fins lucrativos”:</t>
  </si>
  <si>
    <t xml:space="preserve">a) Transferências de fundos recebidas no período de referência: 
 i. Número total; [Resposta: campo numérico]
</t>
  </si>
  <si>
    <t xml:space="preserve">b) Transferências de fundos enviadas no período de referência: 
 i. Número total; [Resposta: campo numérico]
</t>
  </si>
  <si>
    <t>3.6.5.3. Clientes detentores de “ARI”:</t>
  </si>
  <si>
    <t xml:space="preserve">b) Transferências de fundos enviadas no período de referência:
 i. Número total; [Resposta: campo numérico]
</t>
  </si>
  <si>
    <t>3.6.5.4. Clientes que prossigam atividades em áreas de negócio de risco mais elevado</t>
  </si>
  <si>
    <t xml:space="preserve">a) Transferências de fundos recebidas no período de referência, por área de negócio de risco mais elevado identificada na questão 2.6.5 da Parte 2: 
 i. Número total;
</t>
  </si>
  <si>
    <t>Nº Transferência</t>
  </si>
  <si>
    <t>Nº clientes</t>
  </si>
  <si>
    <t xml:space="preserve">b) Transferências de fundos enviadas no período de referência, por área de negócio de risco mais elevado identificada na questão 2.6.5 da Parte 2: 
 i. Número total;
</t>
  </si>
  <si>
    <t>iii. Número de clientes-ordenantes das operações. [Resposta em linhas, com cinco colunas: 1) área de negócio de risco mais elevado previamente identificada; 2) n.º de transferências de fundos recebidas; 3) montante agregado, em euros, dos fundos recebidos; 4) n.º de clientesbeneficiários das operações; 5) n.º de transferências de fundos enviadas; 6) montante agregado, em euros, dos fundos enviados; 7) n.º de clientesordenantes das operações]</t>
  </si>
  <si>
    <t>Recebidas</t>
  </si>
  <si>
    <t>Montante</t>
  </si>
  <si>
    <t>3.6.5.5. Clientes com uma estrutura de propriedade complexa</t>
  </si>
  <si>
    <t>3.7 Produtos de moeda eletrónica e outros produtos pré-pagos</t>
  </si>
  <si>
    <t>3.7.1. Informação geral - Relativamente ao período em referência, e com indicação do número de clientes associados, informação sobre:</t>
  </si>
  <si>
    <t>a) Número de instrumentos de moeda eletrónica ou outros instrumentos prépagos emitidos; [Resposta: campo numérico]
1)Número de instrumentos de moeda eletrónica ou outros instrumentos pré-pagos emitidos; ]</t>
  </si>
  <si>
    <t xml:space="preserve"> 2) n.º de clientes associados</t>
  </si>
  <si>
    <t>b) Número de operações realizadas com instrumentos de moeda eletrónica ou outros instrumentos pré-pagos;
[Resposta: campo numérico, 1) Número de operações realizadas com instrumentos de moeda eletrónica ou outros instrumentos pré-pagos; 2) n.º de clientes associados]</t>
  </si>
  <si>
    <t>2) n.º de clientes associados</t>
  </si>
  <si>
    <t>c) Montante agregado, em euros, dos fundos transferidos de instrumentos de moeda eletrónica ou outros instrumentos pré-pagos; 
[Resposta: campo numérico, 1) Montante agregado, em euros, dos fundos transferidos de instrumentos de moeda eletrónica ou outros instrumentos pré-pagos; ]</t>
  </si>
  <si>
    <t>d) Montante agregado, em euros, dos fundos recebidos para instrumentos de moeda eletrónica ou outros instrumentos pré-pagos. 
[Resposta: campo numérico, 1) Montante agregado, em euros, dos fundos recebidos para instrumentos de moeda eletrónica ou outros instrumentos pré-pagos;]</t>
  </si>
  <si>
    <t>3.9 Operações de câmbio</t>
  </si>
  <si>
    <t>3.9.1. Número de operações de câmbio realizadas no período de referência. [Resposta: campo numérico] N/A</t>
  </si>
  <si>
    <t>3.9.2. Montante agregado, em euros, das operações de câmbio realizadas no período de referência. [Resposta: campo numérico] N/A</t>
  </si>
  <si>
    <t>3.9.3. Por referência à resposta anterior, indicação da percentagem a que corresponde</t>
  </si>
  <si>
    <t>a) As operações de câmbio manual realizadas (numerário contra numerário); N/A</t>
  </si>
  <si>
    <t>b) As operações de câmbio realizadas, ainda que parcialmente, por meios eletrónicos. N/A</t>
  </si>
  <si>
    <t>3.9.4. Identificação das 10 divisas estrangeiras objeto de maior volume de transação, com indicação do montante agregado, em euros, associado às mesmas. [Resposta em linhas, duas colunas: 1) escolha da divisa a partir de uma lista prédefinida; 2) indicação do montante associado] N/A</t>
  </si>
  <si>
    <t xml:space="preserve">5.1. Jurisdições de risco elevado, identificadas pela União Europeia ou pelo GAFI como tendo deficiências estratégicas em matéria de prevenção e combate ao BC, ao FT e ao financiamento da proliferação Indicação, para cada jurisdição, da seguinte informação: </t>
  </si>
  <si>
    <t xml:space="preserve">a) Transferências de fundos recebidas no período de referência: 
i. Número total; 
</t>
  </si>
  <si>
    <t xml:space="preserve">a) Transferências de fundos recebidas no período de referência: 
ii. Montante agregado, em euros, dos fundos recebidos; </t>
  </si>
  <si>
    <t xml:space="preserve">b) Transferências de fundos enviadas no período de referência: 
i. Número total; </t>
  </si>
  <si>
    <t>Country</t>
  </si>
  <si>
    <t xml:space="preserve">5.2. Jurisdições sujeitas a medidas restritivas adotadas pelo Conselho de Segurança das Nações Unidas ou pela União Europeia Indicação, para cada jurisdição, da seguinte informação: </t>
  </si>
  <si>
    <t xml:space="preserve">a) Transferências de fundos recebidas no período de referência: 
i. Número total; </t>
  </si>
  <si>
    <t>a) Transferências de fundos recebidas no período de referência: 
ii. Montante agregado, em euros, dos fundos recebidos;</t>
  </si>
  <si>
    <t>b) Transferências de fundos enviadas no período de referência: 
i.Número total;</t>
  </si>
  <si>
    <t>b) Transferências de fundos enviadas no período de referência: 
ii.Montante agregado, em euros, dos fundos enviados. 
[Resposta em linhas, com cinco colunas: 1) escolha do país ou jurisdição a partir de uma lista pré-definida; 2) n.º de transferências recebidas; 3) montante agregado, em euros, dos fundos recebidos; 4) n.º de transferências enviadas; 5) montante</t>
  </si>
  <si>
    <t>5.3. Informação relativa a clientes com residência permanente ou sede no estrangeiro</t>
  </si>
  <si>
    <t xml:space="preserve">5.3.1 Relativamente a clientes “pessoas singulares” com residência permanente no estrangeiro, indicação, para cada um dos 10 países ou jurisdições de residência permanente mais relevantes identificados na questão 2.2.4. d) da Parte 2: </t>
  </si>
  <si>
    <t xml:space="preserve"> Nº Transferências</t>
  </si>
  <si>
    <t xml:space="preserve">País </t>
  </si>
  <si>
    <t xml:space="preserve">b) Transferências de fundos enviadas no período de referência: 
i. Número total; 
</t>
  </si>
  <si>
    <t xml:space="preserve"> Nº Transferências </t>
  </si>
  <si>
    <t>b) Transferências de fundos enviadas no período de referência: 
ii. Montante agregado, em euros, dos fundos enviados.
[Resposta em linhas, com cinco colunas: 1) escolha o país ou jurisdição previamente identificado; 2) n.º de transferências recebidas; 3) montante agregado, em euros, dos fundos recebidos; 4) n.º de transferências enviadas; 5) montante agregado, em euros, dos fundos enviados]</t>
  </si>
  <si>
    <t xml:space="preserve">Nª transações </t>
  </si>
  <si>
    <t xml:space="preserve">5.3.2 Relativamente a clientes “pessoas coletivas” e “centros de interesses coletivos sem personalidade jurídica” com sede no estrangeiro, indicação, para cada um dos 10 países ou jurisdições de local da sede mais relevantes identificados na questão 2.3.2. d) da Parte 2: </t>
  </si>
  <si>
    <t>Nº Transferências</t>
  </si>
  <si>
    <t>b) Transferências de fundos enviadas no período de referência: 
i. Número total; 
[Resposta em linhas, com cinco colunas: 1) escolha o país ou jurisdição previamente identificado; 2) n.º de transferências recebidas; 3) montante agregado, em euros, dos fundos recebidos; 4) n.º de transferências enviadas; 5) montante agregado, em euros, dos fundos enviados]</t>
  </si>
  <si>
    <t>b) Transferências de fundos enviadas no período de referência: 
ii. Montante agregado, em euros, dos fundos enviados.                                                                                                                                                                                                                                                                                                                                                                                                               [Resposta em linhas, com cinco colunas: 1) escolha o país ou jurisdição previamente identificado; 2) n.º de transferências recebidas; 3) montante agregado, em euros, dos fundos recebidos; 4) n.º de transferências enviadas; 5) montante agregado, em euros, dos fundos enviados]</t>
  </si>
  <si>
    <t xml:space="preserve">Nº Transações </t>
  </si>
  <si>
    <t>6.4. Informação sobre perfis de risco</t>
  </si>
  <si>
    <t>6.4.1. Indicação se a entidade financeira atribui um perfil de risco BC/FT a todos os seus clientes. [Resposta: sim/não]</t>
  </si>
  <si>
    <t>6.4.2. Indicação se a entidade financeira possui um sistema automatizado para a classificação do perfil de risco BC/FT de cada um dos seus clientes. [Resposta: sim/não]</t>
  </si>
  <si>
    <t xml:space="preserve"> Sim, Norkom Customer Risk Assessment.</t>
  </si>
  <si>
    <t>6.4.3. Indicação se o perfil de risco BC/FT é recalculado automaticamente durante a relação de negócio:</t>
  </si>
  <si>
    <t xml:space="preserve">a) Sempre que a informação do cliente seja alterada; [Resposta: sim/não]
</t>
  </si>
  <si>
    <t>b) Em função de alterações ao padrão operativo do cliente. [Resposta: sim/não]</t>
  </si>
  <si>
    <t>6.4.4. Indicação se a entidade financeira possibilita a alteração manual do perfil de risco dos seus clientes. [Resposta: sim/não]</t>
  </si>
  <si>
    <t>6.4.5. Indicação se a entidade financeira mantém registo das alterações do perfil de risco. [Resposta: sim/não]</t>
  </si>
  <si>
    <t>6.4.6. Descrição dos perfis de risco, com indicação:</t>
  </si>
  <si>
    <t>a) Designação de cada perfil de risco;</t>
  </si>
  <si>
    <t>b) Caracterização de cada perfil de risco;</t>
  </si>
  <si>
    <t>São considerados aspetos relativos a factores demográficos e comportamentais do cliente.</t>
  </si>
  <si>
    <t>Factores Demográficos</t>
  </si>
  <si>
    <t>Baixo</t>
  </si>
  <si>
    <t>Médio-Baixo</t>
  </si>
  <si>
    <t>Médio</t>
  </si>
  <si>
    <t>Médio-Alto</t>
  </si>
  <si>
    <t>Alto</t>
  </si>
  <si>
    <t>Peso F</t>
  </si>
  <si>
    <t>Peso J</t>
  </si>
  <si>
    <t>País de Nacionalidade / Sede</t>
  </si>
  <si>
    <t>País de Residência</t>
  </si>
  <si>
    <t>País de Naturalidade</t>
  </si>
  <si>
    <t>Propósito da Relação de Negócio</t>
  </si>
  <si>
    <t>Antiguidade da Relação de Negócio</t>
  </si>
  <si>
    <t>Código de Atividade Económica (CAE)</t>
  </si>
  <si>
    <t>Atividade Profissional</t>
  </si>
  <si>
    <t>Data da Constituição de Empresa</t>
  </si>
  <si>
    <t>Estrutura Societária</t>
  </si>
  <si>
    <t>Complexidade da Estrutura Societária</t>
  </si>
  <si>
    <t>Canal de Contratação</t>
  </si>
  <si>
    <t>Produtos e Serviços contratados</t>
  </si>
  <si>
    <t>Factores Comportamentais</t>
  </si>
  <si>
    <t>Segmentação</t>
  </si>
  <si>
    <t>Contagem Depósitos em Numerário</t>
  </si>
  <si>
    <t>Soma valor Depósitos em Numerário</t>
  </si>
  <si>
    <t>Contagem Transferências países alto risco</t>
  </si>
  <si>
    <t>Soma valor Transferências países alto risco</t>
  </si>
  <si>
    <t>Contagem Transferências países offshore</t>
  </si>
  <si>
    <t>Soma valor Transferências países offshore</t>
  </si>
  <si>
    <t>Contagem Transferências internacionais</t>
  </si>
  <si>
    <t>Soma valor Transferências internacionais</t>
  </si>
  <si>
    <t>Contagem Levantamentos em Numerário</t>
  </si>
  <si>
    <t>Soma valor Levantamentos em Numerário</t>
  </si>
  <si>
    <t>Risco Automático</t>
  </si>
  <si>
    <t>Risco</t>
  </si>
  <si>
    <t>Entidade do Estado</t>
  </si>
  <si>
    <t>Clientes Private</t>
  </si>
  <si>
    <t>ONGs e Organizações Religiosas</t>
  </si>
  <si>
    <t>Residência em Países "Altamente Restringidos", "Restringido" e "Proibidos"</t>
  </si>
  <si>
    <t>TOCPP</t>
  </si>
  <si>
    <t>PEP</t>
  </si>
  <si>
    <t>Clientes com SAR &lt; 5 anos</t>
  </si>
  <si>
    <t>Risco Demográfico &gt;= 35 e &lt;40</t>
  </si>
  <si>
    <t>Risco Demográfico &gt;= 40</t>
  </si>
  <si>
    <t>c) Percentagem de clientes associada a cada perfil de risco face ao número total de clientes à data do termo do período de referência do RPB (31 de dezembro);</t>
  </si>
  <si>
    <t>d) Periodicidade da atualização da informação para cada perfil de risco.
[Resposta em linhas, com 5 colunas: 1) designação do perfil de risco; 2) caracterização; 3) percentagem de clientes; 4) periodicidade da atualização da informação; 5) observações]</t>
  </si>
  <si>
    <t>designação do perfil de risco</t>
  </si>
  <si>
    <t>caracterização</t>
  </si>
  <si>
    <t xml:space="preserve"> percentagem de clientes</t>
  </si>
  <si>
    <t>periodicidade atualização da info.</t>
  </si>
  <si>
    <t>observações</t>
  </si>
  <si>
    <t>6.4.7. Indicação se o cálculo da classificação do perfil de risco dos clientes:</t>
  </si>
  <si>
    <t xml:space="preserve">a) Considera a seguinte informação sobre os clientes:
i. O cliente ser “pessoa coletiva”; [Resposta: sim/não]
</t>
  </si>
  <si>
    <t xml:space="preserve">a) Considera a seguinte informação sobre os clientes:
ii. O cliente ser “centro de interesses coletivos sem personalidade jurídica”; [Resposta: sim/não]
</t>
  </si>
  <si>
    <t>iii. O cliente ter a qualidade de “PEP”; [Resposta: sim/não]</t>
  </si>
  <si>
    <t>iv. O cliente ser “membro próximo da família” de “PEP”; [Resposta: sim/não]</t>
  </si>
  <si>
    <t>v. O cliente ser “pessoa reconhecida como estreitamente associada” a “PEP”; [Resposta: sim/não]</t>
  </si>
  <si>
    <t>vi. No caso de clientes “pessoas singulares”, a nacionalidade; [Resposta: sim/não]</t>
  </si>
  <si>
    <t>vii. No caso de clientes “pessoas singulares”, o local da residência permanente; [Resposta: sim/não]</t>
  </si>
  <si>
    <t>viii. No caso clientes “pessoas coletivas” ou “centro de interesses coletivos sem personalidade jurídica”, o local da sede; [Resposta: sim/não]</t>
  </si>
  <si>
    <t>ix. A atividade desenvolvida. [Resposta: sim/não]</t>
  </si>
  <si>
    <t>b) Considera separadamente o risco de BC e o risco de FT; [Resposta: sim/não]</t>
  </si>
  <si>
    <t>c) Considera os produtos, serviços e canais de distribuição utilizados pelo cliente; [Resposta: sim/não]</t>
  </si>
  <si>
    <t>d) Considera o risco associado a operações. [Resposta: sim/não]</t>
  </si>
  <si>
    <t>7. MONITORIZAÇÃO CONTÍNUA</t>
  </si>
  <si>
    <t>7.1.8. Indicação, relativamente ao período de referência, do número total de alertas gerados:</t>
  </si>
  <si>
    <t>a) Pelos sistemas informáticos de filtragem; [Resposta: campo numérico]</t>
  </si>
  <si>
    <t>b) Pelos sistemas informáticos de monitorização, relativamente à deteção de operações cujos elementos caraterizadores as tornem suscetíveis de poderem estar relacionadas com fundos ou outros bens que:                                                                                                                                                                    i. Provenham de atividades criminosas; [Resposta: campo numérico]</t>
  </si>
  <si>
    <t xml:space="preserve">ii. Estejam relacionados com o FT; [Resposta: campo numérico] </t>
  </si>
  <si>
    <t xml:space="preserve">iii. Estejam relacionados com o financiamento da proliferação de armas de destruição em massa. [Resposta: campo numérico] </t>
  </si>
  <si>
    <t>7.1.9. Indicação, relativamente ao período de referência, do número total de alertas encerrados:</t>
  </si>
  <si>
    <t xml:space="preserve">a) Pelos sistemas informáticos de filtragem, que:                                                                                                                                                                                                                                                                                                                                                                  i. Desencadearam o dever de exame; [Resposta: campo numérico]                                                                                   </t>
  </si>
  <si>
    <t xml:space="preserve">ii. Não desencadearam o dever de exame. [Resposta: campo numérico] </t>
  </si>
  <si>
    <t>b) Pelos sistemas informáticos de monitorização, que:</t>
  </si>
  <si>
    <t xml:space="preserve">i. Desencadearam o dever de exame; [Resposta: campo numérico] </t>
  </si>
  <si>
    <t>8. REGISTOS INFORMATIZADOS E CENTRALIZADOS</t>
  </si>
  <si>
    <t>8.1. Depósitos em numerário realizados por terceiros em contas tituladas por clientes</t>
  </si>
  <si>
    <t>8.1.1. Indicação do número de depósitos em numerário realizados por terceiros em contas tituladas por clientes no período de referência. [Resposta: campo numérico]</t>
  </si>
  <si>
    <t xml:space="preserve">8.1.3. Indicação do intervalo temporal entre a realização do depósito em numerário e a atualização do registo informatizado e centralizado, com informação sobre:
a) Se as atualizações são em tempo real; [Resposta: sim/não]
</t>
  </si>
  <si>
    <t>b) Caso não sejam em tempo real, a sua periodicidade (em horas). [Resposta: campo numérico]</t>
  </si>
  <si>
    <t>D. Dever de Identificação e Diligência</t>
  </si>
  <si>
    <t>1. COMPROVAÇÃO DOS ELEMENTOS IDENTIFICATIVOS</t>
  </si>
  <si>
    <t>1.3. Procedimentos de identificação de beneficiários efetivos</t>
  </si>
  <si>
    <t>1.3.1. Indicação do número total de relações de negócio com clientes “pessoas coletivas” e “centros de interesses coletivos sem personalidade jurídica” sem beneficiários efetivos identificados. [Resposta: campo numérico]</t>
  </si>
  <si>
    <t xml:space="preserve">b) Com beneficiários efetivos identificados através de declaração emitida pelo cliente ou pelo seu representante legal; [Resposta: campo numérico]
</t>
  </si>
  <si>
    <t>c) Com beneficiários efetivos identificados através de recolha de informação oriunda de fonte idónea e independente. [Resposta: campo numérico]”pessoas coletivas” e “centros de interesses coletivos sem personalidade jurídica”:</t>
  </si>
  <si>
    <t xml:space="preserve">1.4. Procedimentos complementares de diligência
Relativamente ao período em referência, indicação do número de relações de negócio estabelecidas e respetiva percentagem face ao total de relações de negócio estabelecidas nesse período:                 </t>
  </si>
  <si>
    <t>a) Em que foi recolhida informação sobre a finalidade e a natureza da relação; [Resposta: campo numérico]</t>
  </si>
  <si>
    <t>b) Em que foi recolhida informação sobre a origem e destino dos fundos. [Resposta: campo numérico]</t>
  </si>
  <si>
    <t>2. ATUALIZAÇÃO DA INFORMAÇÃO</t>
  </si>
  <si>
    <t>2.1. A periodicidade da atualização da informação para cada perfil de risco identificado na questão 6.4. da Parte 3 (em meses). [Resposta: campo numérico]</t>
  </si>
  <si>
    <t>2.2. Indicação se à data do termo do período de referência do RPB (31 de dezembro) existia um backlog na atualização de informação; [Resposta: sim/não]</t>
  </si>
  <si>
    <t>Sim</t>
  </si>
  <si>
    <t>2.3. [Em caso de resposta afirmativa à questão 2.2.] Indicação, por perfil de risco, do número de clientes nesta situação. [Resposta em linhas, com 2 colunas: 1) Perfil de risco; 2) Número de clientes</t>
  </si>
  <si>
    <t>3. DILIGÊNCIA REFORÇADA</t>
  </si>
  <si>
    <t>3.1 Informações gerais</t>
  </si>
  <si>
    <t>3.1.1. Indicação do número de relações de negócio sujeitas a medidas de diligência reforçada à data do termo do período de referência do RPB (31 de dezembro). [Resposta: campo numérico]</t>
  </si>
  <si>
    <t>3.1.2. Indicação do número de relações de negócio que, no período de referência, foram sujeitas a medidas de diligência reforçadas, decorrente da aferição da existência de:
a) Risco de BC;[Resposta de escolha múltipla em rádio]</t>
  </si>
  <si>
    <t>b) Risco de FT;</t>
  </si>
  <si>
    <t>c) Simultaneamente, riscos de BC/FT.</t>
  </si>
  <si>
    <t>3.2 Jurisdições de risco</t>
  </si>
  <si>
    <t>b) Jurisdições sujeitas a medidas restritivas adotadas pelo Conselho de Segurança das Nações Unidas ou pela União Europeia. [Resposta: campo numérico]</t>
  </si>
  <si>
    <t>b) Clientes “pessoas singulares” com residência permanente no estrangeiro; [Resposta: campo numérico]</t>
  </si>
  <si>
    <t>c) Clientes “pessoas coletivas” ou “centro de interesses coletivos sem personalidade jurídica” com sede no estrangeiro. [Resposta: campo numérico]</t>
  </si>
  <si>
    <t>OPERAÇÕES OBJETO DO DEVER DE EXAME</t>
  </si>
  <si>
    <t>1.1. Indicação do número das operações examinadas no período de referência. [Resposta: campo numérico]</t>
  </si>
  <si>
    <t>1.2. Indicação do montante agregado, em euros, das operações examinadas no período de referência. [Resposta: campo numérico]</t>
  </si>
  <si>
    <t>EMIRADOS ARABES UNIDOS</t>
  </si>
  <si>
    <t>BOSNIA E HERZEGOVINA</t>
  </si>
  <si>
    <t>BARBADOS</t>
  </si>
  <si>
    <t>BURKINA FASO</t>
  </si>
  <si>
    <t>BULGARIA</t>
  </si>
  <si>
    <t>BURUNDI</t>
  </si>
  <si>
    <t>BOLIVIA</t>
  </si>
  <si>
    <t>BIELORRUSSIA</t>
  </si>
  <si>
    <t>CENTRO-AFRICANA,REPUBLICA</t>
  </si>
  <si>
    <t>REPUBLICA DEMOCRATICA DO CONGO</t>
  </si>
  <si>
    <t>COSTA DO MARFIM</t>
  </si>
  <si>
    <t>CAMAROES</t>
  </si>
  <si>
    <t>ARGELIA</t>
  </si>
  <si>
    <t>GILBRALTAR</t>
  </si>
  <si>
    <t>GUATEMALA</t>
  </si>
  <si>
    <t>GUINE</t>
  </si>
  <si>
    <t>CROACIA</t>
  </si>
  <si>
    <t>HAITI</t>
  </si>
  <si>
    <t>IN</t>
  </si>
  <si>
    <t>INDIA</t>
  </si>
  <si>
    <t>IRAQUE</t>
  </si>
  <si>
    <t>JAMAICA</t>
  </si>
  <si>
    <t>QUENIA</t>
  </si>
  <si>
    <t>LIBANO</t>
  </si>
  <si>
    <t>LAOS</t>
  </si>
  <si>
    <t>LIBIA</t>
  </si>
  <si>
    <t>MONACO</t>
  </si>
  <si>
    <t>MOLDOVIA (REPUBLICA DA )</t>
  </si>
  <si>
    <t>MALI</t>
  </si>
  <si>
    <t>MYANMAR</t>
  </si>
  <si>
    <t>NAMIBIA</t>
  </si>
  <si>
    <t>NIGER</t>
  </si>
  <si>
    <t>NIGERIA</t>
  </si>
  <si>
    <t>NICARAGUA</t>
  </si>
  <si>
    <t>NEPAL</t>
  </si>
  <si>
    <t>PANAMA</t>
  </si>
  <si>
    <t>FILIPINAS</t>
  </si>
  <si>
    <t>RUSSIA (FEDERACAO DA)</t>
  </si>
  <si>
    <t>SENEGAL</t>
  </si>
  <si>
    <t>TUNISIA</t>
  </si>
  <si>
    <t>TURQUIA</t>
  </si>
  <si>
    <t>TRINDADE E TOBAGO</t>
  </si>
  <si>
    <t>TANZANIA (REPUBLICA UNIDA DA)</t>
  </si>
  <si>
    <t>UGANDA</t>
  </si>
  <si>
    <t>ILHAS VIRGENS (BRITANICAS)</t>
  </si>
  <si>
    <t>VIETNAME</t>
  </si>
  <si>
    <t>VANUATU</t>
  </si>
  <si>
    <t>IEMEN</t>
  </si>
  <si>
    <t>ZIMBABWE</t>
  </si>
  <si>
    <t>MONTENEGRO</t>
  </si>
  <si>
    <t>SERVIA</t>
  </si>
  <si>
    <t>SUDAO DO SUL</t>
  </si>
  <si>
    <t xml:space="preserve">8.1.2. Montante agregado, em euros, dos depósitos em numerário realizados por terceiros em contas tituladas por clientes no período de referência. [Resposta: campo numérico] </t>
  </si>
  <si>
    <t xml:space="preserve">Cliente “private banking” é aquele que: i) seja maior de idade; ii) não tenha incidentes registados no Banco de Portugal ou no Banco Santander Totta, S.A. e iii) tenha um elevado património de acordo com os critérios a cada momento definidos pelo Banco para acesso ao segmento “private banking”.
Definição interna de “elevado património líquido”: património financeiro líquido depositado no Banco Santander Totta, S.A. superior a 500.000€.     </t>
  </si>
  <si>
    <t>Total</t>
  </si>
  <si>
    <r>
      <t xml:space="preserve">1.3.2. Indicação do número de relações de negócio estabelecidas durante o período de referência com clientes
</t>
    </r>
    <r>
      <rPr>
        <sz val="11"/>
        <color theme="3"/>
        <rFont val="Santander Headline"/>
        <family val="2"/>
      </rPr>
      <t>a) Sem beneficiários efetivos identificados; [Resposta: campo numérico]</t>
    </r>
  </si>
  <si>
    <r>
      <t xml:space="preserve">3.2.3. Indicação do número de relações de negócio que, no período de referência, foram sujeitas a medidas de diligência reforçada associadas a:
</t>
    </r>
    <r>
      <rPr>
        <sz val="11"/>
        <color theme="3"/>
        <rFont val="Santander Headline"/>
        <family val="2"/>
      </rPr>
      <t>a) Clientes “pessoas singulares” com nacionalidade estrangeira; [Resposta: campo numérico]</t>
    </r>
  </si>
  <si>
    <t>3.2.1. Indicação do número de relações de negócio que, no período de referência, foram sujeitas a medidas de diligência reforçada associadas a:
a) Jurisdições de risco elevado, identificadas pela União Europeia ou pelo GAFI com tendo deficiências estratégicas em matéria de prevenção e combate ao BC, ao FT e ao financiamento da proliferação ; [Resposta: campo numérico]</t>
  </si>
  <si>
    <t>[10,20]</t>
  </si>
  <si>
    <t xml:space="preserve">5 anos </t>
  </si>
  <si>
    <t>]20,30]</t>
  </si>
  <si>
    <t>3 anos</t>
  </si>
  <si>
    <t>]30,50]</t>
  </si>
  <si>
    <t>1 anos</t>
  </si>
  <si>
    <r>
      <t xml:space="preserve">3.2.2. Indicação do número transações ocasionais que, no período de referência, foram sujeitas a medidas de diligência reforçada associadas a:
</t>
    </r>
    <r>
      <rPr>
        <sz val="11"/>
        <color theme="3"/>
        <rFont val="Santander Headline"/>
        <family val="2"/>
      </rPr>
      <t>a) Jurisdições de risco elevado, identificadas pela União Europeia ou pelo GAFI com tendo deficiências estratégicas em matéria de prevenção e combate ao BC, ao FT e ao financiamento da proliferação; [Resposta: campo numérico]</t>
    </r>
  </si>
  <si>
    <t>Top 5 Países com Atividade (apenas ENIs)</t>
  </si>
  <si>
    <t>Nacionalidade/Residência/Naturalidade Russa e Bieolurrussa</t>
  </si>
  <si>
    <t>CAEs Restringidos</t>
  </si>
  <si>
    <t>Estrurura Societária Muito Complexa</t>
  </si>
  <si>
    <t>F - Outros</t>
  </si>
  <si>
    <t>J - Outros</t>
  </si>
  <si>
    <t>F - Private</t>
  </si>
  <si>
    <t>a) Número de clientes “organizações sem fins lucrativos” com sede em Portugal à data do termo do período de referência do RPB (31 de dezembro); [Resposta: campo numérico]</t>
  </si>
  <si>
    <t>O modelo de cálculo de risco de cliente divide-se em 2 submodelos, Onboarding e Ongoing. Estes aplicam uma lógica diferente, sendo que o Onboarding tem em conta para o cálculo de risco final a pontuação dos fatores demográficos, enquanto o Ongoing aplica uma ponderação de 40% da pontuação dos fatores demográficos e 60% sobre os fatores comportamentais. O cliente é considerado de risco baixo se o seu score final for superior a 10 (mínimo) e inferior ou igual a 20, risco médio se o score final for superior a 20 e inferior ou igual a 30 e risco alto se for superior a 30 e inferior ou igual a 50 (máximo).
Cada fator demográfico tem um peso associado, o qual é depois multiplicado pelo score de risco do fator. A soma de todos estes fatores ponderados, resulta no score final dos fatores demográficos.
Os fatores de risco comportamental dividem-se em diferentes tipologias de transações (ver tabela abaixo), as quais se distinguem entre contagem e soma do montante das transações (dos últimos 6 meses) agrupadas por estas tipologias. Com base nessas contagens e somas é atribuído um score de risco a cada tipologia, sendo escolhido máximo entre a contagem e a soma de cada tipologia. Posteriormente, é feita a média dos scores dos diferentes tipos de transações.
Existem fatores críticos que remetem o cliente de imediato para o risco alto (auto-high), nomeadamente, ser personalidade politicamente exposta, ser titular de outro cargo político ou público, ter nacionalidade ou residência fiscal em países considerados corporativamente com restrições ou necessidade de EDD (de acordo com a Política de Risco País), ter uma comunicação às autoridades ou ainda ter um risco demográfico superior a 40 pontos.
Por fim, o modelo preconiza o contágio do risco. Este contágio acontece de 2 formas: quando o titular da conta é um PEP de 1º grau e na mesma conta existem outros clientes com as seguintes intervenções em conta i) Titular; ii) Autorizado; iii) Progenitor/Representante Legal; iv) Procurador; e, v) Representante Legal; ou quando 1º  titular da conta é uma empresa e o seu BEF tem um risco calculado superior ao atribuído para a empresa.</t>
  </si>
  <si>
    <t>Para efeitos de reporte ao RPB, nomeadamente no que diz respeito ao conceito de universo de Clientes, considera-se “Cliente” relação directa com o Banco enquanto entidade singular / jurídica que seja titular de uma Conta DO. Neste contexto, BEFs, representantes legais, procuradores, e outras relações, são excluídos do conceito de clientes.</t>
  </si>
  <si>
    <t>Para efeitos de reporte ao RPB, nomeadamente sobre o conceito de cliente desatualizado, não foi considerado o modelo de atualização tácito.</t>
  </si>
  <si>
    <t>O modelo aplica distinção entre entidade singular, jurídica e ENI. No entanto, a resposta a esta pergunta em 2024 foi a "Sim", pelo que sugerimos corrigir e dar esse enquadramento ao BdP.</t>
  </si>
  <si>
    <t>O modelo tem em consideração o perfil comportamental do cliente - transacional - sempre que existe recalculo do perfil de risco. Não obstante, as alterações de perfil comportamental não são trigger para o recalculo do perfil de risco. No entanto, a resposta a esta pergunta em 2024 foi a "Sim", pelo que sugerimos corrigir e dar esse enquadramento ao BdP.</t>
  </si>
  <si>
    <t>Para o modelo, as entidades classificadas com este estado são identificados como “PEP”. Neste contexto, o modelo não aplica distinção entre “PEP” e “membro próximo da família” de “PEP” / “pessoa reconhecida como estreitamente associada” a “PEP”. No entanto, visto que o modelo tem aplica o mesmo comportamento que aplica em entidades “PEP”, sugerimos manter a resposta a “Sim”, tal como no RPB de 2024.</t>
  </si>
  <si>
    <t>Não</t>
  </si>
  <si>
    <t>Nota: O factor de risco "Top 5 Países com Atividade" é aplicado apenas sobre clientes ENIs. Neste contexto, o respetivo ponderador é retirado ao ponderador "Atividade Profissional", de modo a que o total seja 100% nos pesos aplicados.</t>
  </si>
  <si>
    <t>Atividades Imobiliárias exercidas por entidades não financeiras</t>
  </si>
  <si>
    <t>Atividades de importação e exportação de diamantes ou pedras preciosas, ou de ouro ou outros metais preciosos</t>
  </si>
  <si>
    <t>Organizações sem fins lucrativos</t>
  </si>
  <si>
    <t>Atividade leiloeira ou prestamista</t>
  </si>
  <si>
    <t>Atividades relacionadas com comercio de arte ou antiguidades</t>
  </si>
  <si>
    <t>Atividades associadas a operações de alienação e aquisição de direitos sobre praticantes de atividades desportivas profissionais</t>
  </si>
  <si>
    <t>Atividades de transporte, tratamento e distribuição de fundo de valores</t>
  </si>
  <si>
    <t>Atividades associadas a jogo</t>
  </si>
  <si>
    <t>Universo de alertas apurados:
Norkom : 23 183
Oracle - 134 910 Clientes + 105 560 Transações</t>
  </si>
  <si>
    <t>Universo de alertas apurados:
Norkom - 30 200
Thetaray -76 383 -  via extração CoE</t>
  </si>
  <si>
    <t>Universo de alertas de screening escalados para N2:
Norkom : 121
Oracle - 17 873 Clientes + 5193 Transações</t>
  </si>
  <si>
    <t>Universo de alertas de screening classificados como Falsos Positivos:
Norkom : 25 712
Oracle - 134 997 Clientes + 96 255 Transações</t>
  </si>
  <si>
    <t>Universo de alertas de TM que originaram Casos de Investigação:
NORKOM - 2 746  
Thetaray - 969 - Extração CoE</t>
  </si>
  <si>
    <t>Universo de alertas de TM classificados como Falsos Positivos:
NORKOM - 17 629
Thetaray - 58 531 - Extração CoE</t>
  </si>
  <si>
    <t>Consideradas todos as transações associadas aos alertas que geraram Caso de Investiação. Importa considerar que, no caso do cenário de Rutura de Perfil e do Thetaray, foram consideradas todas as transações do cliente que gerou o alerta que consequentemente gerou o Caso, uma vez que para esta casuística é analisado o comportamento anual</t>
  </si>
  <si>
    <t>Fonte de dados considerada diz respeito ao MCD, cuja origem é o BankTeller.</t>
  </si>
  <si>
    <t>Para a definição de Cliente, no âmbito do presente RPB, ficou decidido que deve ser considerado qualquer pessoa singular e pessoa coletiva, que tenha relação “directa” com o Banco, por via da titularidade de uma conta DO. Este critério apresenta divergência face ao critério de 2024 (&lt;1%), uma vez que em 2024 foram consideradas relações de entidades com produtos para além de contas DO.</t>
  </si>
  <si>
    <t>Para o apuramento do universo de clientes foram considerados Clientes cujo CAE são ('64300','68322') "Trust Funds e Condominios" e Tipo de Sociedades (18,19) "Herança Jacentes e Massas Insolventes".</t>
  </si>
  <si>
    <t>Montante Agregado</t>
  </si>
  <si>
    <t xml:space="preserve">Nº Clientes Beneficiário </t>
  </si>
  <si>
    <t>Nº Clientes Ordenantes</t>
  </si>
  <si>
    <t>Para o apuramento do universo de BEFs, foram consideradas as seguintes relações de Cliente, alinhadas com os requisitos definidos para o XFile Empresas
26 - EMP.C/BE/CONTROLO POR OUTROS MEIOS
27 - EMP.C/BE/DIREÇÃO DE TOPO
A3 - EMP.C/BE/DETENTOR DE PARTICIPACAO NO CAPITAL &gt;25 %
A4 - DIREÇÃO DE TOPO E/OU OUTRO TIPO DE CONTROLO</t>
  </si>
  <si>
    <t>Para a identificação do universo de clientes e BEFs enquadrados em 2.5.1 e 2.5.2 foi realizada uma análise recorrendo ao chatGPT, bem como uma revisão manual, tendo por consideração o país de residência, o país de nacionalidade e a entidade patronal registada no Central.</t>
  </si>
  <si>
    <t>Para o apuramento dos clientes com estrutura de propriedade complexa, foi considerada a informação proveniente do Central, criada no âmbito do Projeto XFile Empresas</t>
  </si>
  <si>
    <t>No âmbito do projeto estrutural XFile Empresas, foi definido um campo novo implementado ao nível do Canal de abertura e manutenção de dados de Cliente. Neste contexto, o preenchimento da informação relativa à estrutura de propriedade complexa passou a ser auto-declarativa desde a implementação do novo modelo de atualização de dados de cliente.</t>
  </si>
  <si>
    <t>No que diz respeito aos clientes Particulares e Empresas, a periodicidade da atualização da informação varia para cada perfil de risco, tendo em consideração a data da última atualização de dados conhecida, nomeadamente:
• Risco Baixo –  60 meses;
• Risco Médio – 36 meses; e,
• Risco Alto – 12 meses.
Adicionalmente, a data de expiração do documento de identificação é trigger para despoletar o processo de atualização de dados, aplicável apenas para clientes Particulares.</t>
  </si>
  <si>
    <t>Para efeitos de apuramento de universos considerou-se todos os tipos de relações de negócio existentes no Banco (inclui BEFs, representantes, procuradores, e outros).</t>
  </si>
  <si>
    <t>Para efeitos de apuramento de universo de clientes considerou-se clientes de risco alto à data do termo e durante o período, tendo sido considerados os factores de risco: país nacionalidade, país residência, país de naturalidade, país origem e outra nacionalidade, contra a lista de países em vigor.</t>
  </si>
  <si>
    <t>À semelhança do ano anterior, foi verificado que as transações ocasionais são apenas Troco e Destroco, sendo feito apenas a Clientes. As operações relativas a Depósitos em Numerário ou em Contas de Terceiros, foram contabilizados nas perguntas referentes a depósitos.</t>
  </si>
  <si>
    <t>b) Transferências de fundos enviadas no período de referência: 
ii. Montante agregado, em euros, dos fundos enviados. [Resposta em linhas, com cinco colunas: 
1) escolha do país ou jurisdição a partir de uma lista pré-definida; 
2) n.º de transferências recebidas; 
3) montante agregado, em euros, dos fundos recebidos; 
4) n.º de transferências enviadas; 
5) montante agregado, em euros, dos fundos enviados]</t>
  </si>
  <si>
    <t>Recbidas</t>
  </si>
  <si>
    <t>De acordo com informação apurada internamente, o Banco não comercializa este tipo de produto.</t>
  </si>
  <si>
    <t>Para apuramento do universo de Contas de Pagamento, foram consideradas as Contas de Encerramento e Cartões de Crédito.</t>
  </si>
  <si>
    <t>Para apuramento de universo, foi considerado o seguinte universo:
- Depósitos à ordem
- Depósitos com pré-aviso
- Depósitos a prazo
- Depósitos a prazo não mobilizáveis antecipadamente 
- Depósitos constituídos em regime especial (ex: contas poupança-habitação, conta poupança-reformado e outros que o Banco possa ter criado ao longo do tempo) 
CRP (Contas Rendimento Poupança) - são uma categoria criada pelo Banco e que normalmente correspondem a depósitos à ordem. Quando não são DO, são DP pelo que devem ser consideradas.
Conforme referido nas instruções de preenchimento, se um subproduto corresponder a uma destas modalidades de depósitos, apenas poderá ser excluído se for uma conta jumbo (conta tituladas pelo Banco e que o Banco utilize por conta dos seus clientes ou contrapartes) ou uma conta titulada por um banco central.
Adicionalmente, não estão a ser consideradas Contas de Encerramento.</t>
  </si>
  <si>
    <t>Divisa</t>
  </si>
  <si>
    <t>IENE JAPONES</t>
  </si>
  <si>
    <t>FORINT DA HUNGRIA</t>
  </si>
  <si>
    <t>DOLAR AMERICANO</t>
  </si>
  <si>
    <t>RAND SUL AFRICANO</t>
  </si>
  <si>
    <t>LIBRA INGLESA</t>
  </si>
  <si>
    <t>DOLAR CANADIANO</t>
  </si>
  <si>
    <t>FRANCO SUICO</t>
  </si>
  <si>
    <t>COROA CHECA</t>
  </si>
  <si>
    <t>REAL</t>
  </si>
  <si>
    <t>DOLAR AUSTRALIANO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</si>
</sst>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42" formatCode="_-* #,##0\ &quot;€&quot;_-;\-* #,##0\ &quot;€&quot;_-;_-* &quot;-&quot;\ &quot;€&quot;_-;_-@_-"/>
    <numFmt numFmtId="44" formatCode="_-* #,##0.00\ &quot;€&quot;_-;\-* #,##0.00\ &quot;€&quot;_-;_-* &quot;-&quot;??\ &quot;€&quot;_-;_-@_-"/>
    <numFmt numFmtId="164" formatCode="_(* #,##0_);_(* \(#,##0\);_(* &quot;-&quot;_);_(@_)"/>
    <numFmt numFmtId="165" formatCode="_(* #,##0.00_);_(* \(#,##0.00\);_(* &quot;-&quot;??_);_(@_)"/>
    <numFmt numFmtId="166" formatCode="#,##0\ _€"/>
    <numFmt numFmtId="167" formatCode="#,##0.00\ &quot;€&quot;"/>
    <numFmt numFmtId="168" formatCode="_-* #,##0\ _€_-;\-* #,##0\ _€_-;_-* &quot;-&quot;\ _€_-;_-@_-"/>
    <numFmt numFmtId="169" formatCode="0.000%"/>
    <numFmt numFmtId="170" formatCode="0.0%"/>
    <numFmt numFmtId="171" formatCode="_-* #,##0\ &quot;€&quot;_-;\-* #,##0\ &quot;€&quot;_-;_-* &quot;-&quot;??\ &quot;€&quot;_-;_-@_-"/>
  </numFmts>
  <fonts count="48" x14ac:knownFonts="1">
    <font>
      <sz val="11"/>
      <name val="Arial"/>
      <family val="2"/>
      <scheme val="minor"/>
    </font>
    <font>
      <sz val="11"/>
      <color theme="1"/>
      <name val="Arial"/>
      <family val="2"/>
      <scheme val="minor"/>
    </font>
    <font>
      <sz val="11"/>
      <color theme="1"/>
      <name val="Arial"/>
      <family val="2"/>
      <scheme val="minor"/>
    </font>
    <font>
      <b/>
      <sz val="16"/>
      <name val="Arial"/>
      <family val="2"/>
      <scheme val="minor"/>
    </font>
    <font>
      <b/>
      <sz val="12"/>
      <name val="Arial"/>
      <family val="2"/>
      <scheme val="minor"/>
    </font>
    <font>
      <sz val="11"/>
      <name val="Arial"/>
      <family val="2"/>
      <scheme val="minor"/>
    </font>
    <font>
      <b/>
      <sz val="16"/>
      <name val="Arial"/>
      <family val="2"/>
      <scheme val="major"/>
    </font>
    <font>
      <sz val="12"/>
      <name val="Arial"/>
      <family val="2"/>
      <scheme val="minor"/>
    </font>
    <font>
      <sz val="11"/>
      <color rgb="FF006100"/>
      <name val="Arial"/>
      <family val="2"/>
      <scheme val="minor"/>
    </font>
    <font>
      <sz val="11"/>
      <color rgb="FF9C0006"/>
      <name val="Arial"/>
      <family val="2"/>
      <scheme val="minor"/>
    </font>
    <font>
      <sz val="11"/>
      <color rgb="FF9C57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b/>
      <sz val="11"/>
      <color theme="1"/>
      <name val="Arial"/>
      <family val="2"/>
      <scheme val="minor"/>
    </font>
    <font>
      <sz val="11"/>
      <color theme="0"/>
      <name val="Arial"/>
      <family val="2"/>
      <scheme val="minor"/>
    </font>
    <font>
      <sz val="10"/>
      <name val="Santander Headline"/>
      <family val="2"/>
    </font>
    <font>
      <sz val="10"/>
      <color rgb="FFFF0000"/>
      <name val="Santander Headline"/>
      <family val="2"/>
    </font>
    <font>
      <b/>
      <sz val="11"/>
      <color theme="0"/>
      <name val="Santander Headline"/>
      <family val="2"/>
    </font>
    <font>
      <sz val="11"/>
      <color rgb="FF002060"/>
      <name val="Santander Headline"/>
      <family val="2"/>
    </font>
    <font>
      <sz val="11"/>
      <name val="Santander Headline"/>
      <family val="2"/>
    </font>
    <font>
      <b/>
      <sz val="11"/>
      <name val="Santander Headline"/>
      <family val="2"/>
    </font>
    <font>
      <b/>
      <sz val="11"/>
      <color theme="3"/>
      <name val="Santander Headline"/>
      <family val="2"/>
    </font>
    <font>
      <u/>
      <sz val="11"/>
      <color theme="10"/>
      <name val="Arial"/>
      <family val="2"/>
      <scheme val="minor"/>
    </font>
    <font>
      <sz val="11"/>
      <color theme="3"/>
      <name val="Santander Headline"/>
      <family val="2"/>
    </font>
    <font>
      <b/>
      <sz val="11"/>
      <color rgb="FF002060"/>
      <name val="Santander Headline"/>
      <family val="2"/>
    </font>
    <font>
      <sz val="11"/>
      <color rgb="FFFF0000"/>
      <name val="Santander Headline"/>
      <family val="2"/>
    </font>
    <font>
      <sz val="11"/>
      <color theme="0"/>
      <name val="Santander Headline"/>
      <family val="2"/>
    </font>
    <font>
      <u/>
      <sz val="11"/>
      <color theme="10"/>
      <name val="Santander Headline"/>
      <family val="2"/>
    </font>
    <font>
      <u/>
      <sz val="11"/>
      <color rgb="FF002060"/>
      <name val="Santander Headline"/>
      <family val="2"/>
    </font>
    <font>
      <b/>
      <sz val="11"/>
      <color rgb="FF424242"/>
      <name val="Santander Headline"/>
      <family val="2"/>
    </font>
    <font>
      <sz val="9"/>
      <color rgb="FF000000"/>
      <name val="Calibri"/>
      <family val="2"/>
    </font>
    <font>
      <sz val="18"/>
      <color theme="3"/>
      <name val="Arial"/>
      <family val="2"/>
      <scheme val="major"/>
    </font>
    <font>
      <b/>
      <sz val="15"/>
      <color theme="3"/>
      <name val="Arial"/>
      <family val="2"/>
      <scheme val="minor"/>
    </font>
    <font>
      <b/>
      <sz val="13"/>
      <color theme="3"/>
      <name val="Arial"/>
      <family val="2"/>
      <scheme val="minor"/>
    </font>
    <font>
      <b/>
      <sz val="11"/>
      <color theme="3"/>
      <name val="Arial"/>
      <family val="2"/>
      <scheme val="minor"/>
    </font>
    <font>
      <i/>
      <sz val="11"/>
      <color rgb="FF7F7F7F"/>
      <name val="Arial"/>
      <family val="2"/>
      <scheme val="minor"/>
    </font>
    <font>
      <sz val="8"/>
      <name val="Arial"/>
      <family val="2"/>
      <scheme val="minor"/>
    </font>
    <font>
      <sz val="11"/>
      <color rgb="FF00B050"/>
      <name val="Santander Headline"/>
      <family val="2"/>
    </font>
    <font>
      <b/>
      <sz val="11"/>
      <color theme="1"/>
      <name val="Santander Headline"/>
      <family val="2"/>
    </font>
    <font>
      <sz val="11"/>
      <color theme="3"/>
      <name val="Santander Headline"/>
    </font>
    <font>
      <b/>
      <sz val="11"/>
      <name val="Santander Headline"/>
    </font>
    <font>
      <b/>
      <sz val="11"/>
      <color theme="3"/>
      <name val="Santander Headline"/>
    </font>
    <font>
      <sz val="11"/>
      <color rgb="FF002060"/>
      <name val="Santander Headline"/>
    </font>
    <font>
      <sz val="11"/>
      <name val="Santander Headline"/>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FF0000"/>
        <bgColor indexed="64"/>
      </patternFill>
    </fill>
    <fill>
      <patternFill patternType="solid">
        <fgColor indexed="9"/>
        <bgColor indexed="64"/>
      </patternFill>
    </fill>
    <fill>
      <patternFill patternType="solid">
        <fgColor rgb="FF002060"/>
        <bgColor indexed="64"/>
      </patternFill>
    </fill>
    <fill>
      <patternFill patternType="solid">
        <fgColor rgb="FFC00000"/>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6" tint="0.79998168889431442"/>
        <bgColor indexed="64"/>
      </patternFill>
    </fill>
  </fills>
  <borders count="30">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indexed="64"/>
      </left>
      <right style="thin">
        <color indexed="64"/>
      </right>
      <top/>
      <bottom style="thin">
        <color indexed="64"/>
      </bottom>
      <diagonal/>
    </border>
    <border>
      <left/>
      <right/>
      <top style="thin">
        <color auto="1"/>
      </top>
      <bottom style="thin">
        <color auto="1"/>
      </bottom>
      <diagonal/>
    </border>
    <border>
      <left style="thin">
        <color indexed="64"/>
      </left>
      <right style="thin">
        <color indexed="64"/>
      </right>
      <top/>
      <bottom/>
      <diagonal/>
    </border>
    <border>
      <left style="thin">
        <color auto="1"/>
      </left>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diagonal/>
    </border>
    <border>
      <left/>
      <right style="thin">
        <color auto="1"/>
      </right>
      <top style="thin">
        <color auto="1"/>
      </top>
      <bottom/>
      <diagonal/>
    </border>
    <border>
      <left/>
      <right style="thin">
        <color indexed="64"/>
      </right>
      <top/>
      <bottom/>
      <diagonal/>
    </border>
    <border>
      <left/>
      <right/>
      <top/>
      <bottom style="thin">
        <color auto="1"/>
      </bottom>
      <diagonal/>
    </border>
    <border>
      <left style="thin">
        <color auto="1"/>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000000"/>
      </left>
      <right/>
      <top style="thin">
        <color rgb="FF000000"/>
      </top>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s>
  <cellStyleXfs count="76">
    <xf numFmtId="0" fontId="0" fillId="0" borderId="0">
      <alignment vertical="top" wrapText="1"/>
    </xf>
    <xf numFmtId="0" fontId="6" fillId="0" borderId="0" applyNumberFormat="0" applyFill="0" applyBorder="0" applyAlignment="0" applyProtection="0"/>
    <xf numFmtId="0" fontId="3" fillId="0" borderId="0" applyNumberFormat="0" applyFill="0" applyProtection="0">
      <alignment vertical="center"/>
    </xf>
    <xf numFmtId="0" fontId="4" fillId="0" borderId="0" applyNumberFormat="0" applyFill="0" applyProtection="0">
      <alignment horizontal="left" vertical="center" wrapText="1"/>
    </xf>
    <xf numFmtId="0" fontId="4" fillId="0" borderId="0" applyNumberFormat="0" applyFill="0" applyProtection="0">
      <alignment horizontal="center" vertical="center" wrapText="1"/>
    </xf>
    <xf numFmtId="0" fontId="5" fillId="0" borderId="0" applyNumberFormat="0" applyFill="0" applyBorder="0" applyProtection="0">
      <alignment horizontal="left" vertical="center" wrapText="1"/>
    </xf>
    <xf numFmtId="14" fontId="7" fillId="0" borderId="0" applyFont="0" applyFill="0" applyBorder="0">
      <alignment horizontal="center" vertical="top" wrapText="1"/>
    </xf>
    <xf numFmtId="0" fontId="5" fillId="0" borderId="0" applyFont="0" applyFill="0" applyBorder="0">
      <alignment horizontal="center" vertical="top" wrapText="1"/>
    </xf>
    <xf numFmtId="0" fontId="7" fillId="0" borderId="0" applyNumberFormat="0" applyFill="0" applyBorder="0" applyProtection="0">
      <alignment horizontal="center" vertical="center"/>
    </xf>
    <xf numFmtId="165" fontId="5" fillId="0" borderId="0" applyFont="0" applyFill="0" applyBorder="0" applyAlignment="0" applyProtection="0"/>
    <xf numFmtId="164" fontId="5" fillId="0" borderId="0" applyFont="0" applyFill="0" applyBorder="0" applyAlignment="0" applyProtection="0"/>
    <xf numFmtId="44" fontId="5" fillId="0" borderId="0" applyFont="0" applyFill="0" applyBorder="0" applyAlignment="0" applyProtection="0"/>
    <xf numFmtId="42" fontId="5" fillId="0" borderId="0" applyFont="0" applyFill="0" applyBorder="0" applyAlignment="0" applyProtection="0"/>
    <xf numFmtId="9" fontId="5" fillId="0" borderId="0" applyFon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1" applyNumberFormat="0" applyAlignment="0" applyProtection="0"/>
    <xf numFmtId="0" fontId="12" fillId="6" borderId="2" applyNumberFormat="0" applyAlignment="0" applyProtection="0"/>
    <xf numFmtId="0" fontId="13" fillId="6" borderId="1" applyNumberFormat="0" applyAlignment="0" applyProtection="0"/>
    <xf numFmtId="0" fontId="14" fillId="0" borderId="3" applyNumberFormat="0" applyFill="0" applyAlignment="0" applyProtection="0"/>
    <xf numFmtId="0" fontId="15" fillId="7" borderId="4" applyNumberFormat="0" applyAlignment="0" applyProtection="0"/>
    <xf numFmtId="0" fontId="16" fillId="0" borderId="0" applyNumberFormat="0" applyFill="0" applyBorder="0" applyAlignment="0" applyProtection="0"/>
    <xf numFmtId="0" fontId="5" fillId="8" borderId="5" applyNumberFormat="0" applyFont="0" applyAlignment="0" applyProtection="0"/>
    <xf numFmtId="0" fontId="17" fillId="0" borderId="6"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6" fillId="0" borderId="0" applyNumberFormat="0" applyFill="0" applyBorder="0" applyAlignment="0" applyProtection="0">
      <alignment vertical="top" wrapText="1"/>
    </xf>
    <xf numFmtId="0" fontId="1" fillId="0" borderId="0"/>
    <xf numFmtId="0" fontId="35" fillId="0" borderId="0" applyNumberFormat="0" applyFill="0" applyBorder="0" applyAlignment="0" applyProtection="0"/>
    <xf numFmtId="0" fontId="36" fillId="0" borderId="24" applyNumberFormat="0" applyFill="0" applyAlignment="0" applyProtection="0"/>
    <xf numFmtId="0" fontId="37" fillId="0" borderId="25" applyNumberFormat="0" applyFill="0" applyAlignment="0" applyProtection="0"/>
    <xf numFmtId="0" fontId="38" fillId="0" borderId="26" applyNumberFormat="0" applyFill="0" applyAlignment="0" applyProtection="0"/>
    <xf numFmtId="0" fontId="38" fillId="0" borderId="0" applyNumberFormat="0" applyFill="0" applyBorder="0" applyAlignment="0" applyProtection="0"/>
    <xf numFmtId="0" fontId="1" fillId="8" borderId="5" applyNumberFormat="0" applyFont="0" applyAlignment="0" applyProtection="0"/>
    <xf numFmtId="0" fontId="39" fillId="0" borderId="0" applyNumberForma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03">
    <xf numFmtId="0" fontId="0" fillId="0" borderId="0" xfId="0">
      <alignment vertical="top" wrapText="1"/>
    </xf>
    <xf numFmtId="0" fontId="19" fillId="0" borderId="0" xfId="0" applyFont="1">
      <alignment vertical="top" wrapText="1"/>
    </xf>
    <xf numFmtId="0" fontId="21" fillId="36" borderId="8" xfId="0" applyFont="1" applyFill="1" applyBorder="1" applyAlignment="1">
      <alignment horizontal="center" vertical="center" wrapText="1"/>
    </xf>
    <xf numFmtId="0" fontId="19" fillId="33" borderId="0" xfId="0" applyFont="1" applyFill="1">
      <alignment vertical="top" wrapText="1"/>
    </xf>
    <xf numFmtId="0" fontId="21" fillId="36" borderId="8" xfId="0" applyFont="1" applyFill="1" applyBorder="1" applyAlignment="1">
      <alignment horizontal="center" vertical="center"/>
    </xf>
    <xf numFmtId="0" fontId="0" fillId="0" borderId="8" xfId="0" applyBorder="1" applyAlignment="1"/>
    <xf numFmtId="0" fontId="21" fillId="37" borderId="10" xfId="1" applyFont="1" applyFill="1" applyBorder="1" applyAlignment="1">
      <alignment horizontal="center" vertical="center"/>
    </xf>
    <xf numFmtId="0" fontId="21" fillId="37" borderId="14" xfId="1" applyFont="1" applyFill="1" applyBorder="1" applyAlignment="1">
      <alignment horizontal="center" vertical="center"/>
    </xf>
    <xf numFmtId="0" fontId="25" fillId="0" borderId="0" xfId="0" applyFont="1">
      <alignment vertical="top" wrapText="1"/>
    </xf>
    <xf numFmtId="0" fontId="23" fillId="0" borderId="0" xfId="0" applyFont="1">
      <alignment vertical="top" wrapText="1"/>
    </xf>
    <xf numFmtId="0" fontId="25" fillId="0" borderId="8" xfId="0" applyFont="1" applyBorder="1" applyAlignment="1">
      <alignment vertical="center" wrapText="1"/>
    </xf>
    <xf numFmtId="4" fontId="23" fillId="0" borderId="0" xfId="0" applyNumberFormat="1" applyFont="1">
      <alignment vertical="top" wrapText="1"/>
    </xf>
    <xf numFmtId="0" fontId="21" fillId="37" borderId="10" xfId="1" applyFont="1" applyFill="1" applyBorder="1" applyAlignment="1">
      <alignment horizontal="center" vertical="center" wrapText="1"/>
    </xf>
    <xf numFmtId="0" fontId="27" fillId="0" borderId="8" xfId="0" applyFont="1" applyBorder="1" applyAlignment="1">
      <alignment vertical="center" wrapText="1"/>
    </xf>
    <xf numFmtId="0" fontId="27" fillId="0" borderId="0" xfId="0" applyFont="1" applyAlignment="1">
      <alignment vertical="center" wrapText="1"/>
    </xf>
    <xf numFmtId="0" fontId="25" fillId="0" borderId="0" xfId="0" applyFont="1" applyAlignment="1">
      <alignment vertical="center" wrapText="1"/>
    </xf>
    <xf numFmtId="0" fontId="25" fillId="0" borderId="9" xfId="0" applyFont="1" applyBorder="1" applyAlignment="1">
      <alignment vertical="center" wrapText="1"/>
    </xf>
    <xf numFmtId="0" fontId="27" fillId="0" borderId="0" xfId="0" applyFont="1" applyAlignment="1">
      <alignment horizontal="left" vertical="center" wrapText="1"/>
    </xf>
    <xf numFmtId="0" fontId="21" fillId="37" borderId="14" xfId="1" applyFont="1" applyFill="1" applyBorder="1" applyAlignment="1">
      <alignment horizontal="left" vertical="center"/>
    </xf>
    <xf numFmtId="0" fontId="23" fillId="0" borderId="0" xfId="0" applyFont="1" applyAlignment="1">
      <alignment horizontal="center" vertical="center" wrapText="1"/>
    </xf>
    <xf numFmtId="0" fontId="22" fillId="0" borderId="0" xfId="0" applyFont="1">
      <alignment vertical="top" wrapText="1"/>
    </xf>
    <xf numFmtId="166" fontId="25" fillId="0" borderId="8" xfId="0" applyNumberFormat="1" applyFont="1" applyBorder="1" applyAlignment="1">
      <alignment horizontal="center" vertical="center" wrapText="1"/>
    </xf>
    <xf numFmtId="0" fontId="22" fillId="0" borderId="8" xfId="0" applyFont="1" applyBorder="1" applyAlignment="1">
      <alignment vertical="center" wrapText="1"/>
    </xf>
    <xf numFmtId="0" fontId="28" fillId="0" borderId="8" xfId="0" applyFont="1" applyBorder="1" applyAlignment="1">
      <alignment horizontal="left" vertical="center"/>
    </xf>
    <xf numFmtId="0" fontId="22" fillId="0" borderId="8" xfId="0" applyFont="1" applyBorder="1" applyAlignment="1">
      <alignment horizontal="left" vertical="center" wrapText="1"/>
    </xf>
    <xf numFmtId="0" fontId="21" fillId="36" borderId="22" xfId="0" applyFont="1" applyFill="1" applyBorder="1" applyAlignment="1">
      <alignment horizontal="center" vertical="center" wrapText="1"/>
    </xf>
    <xf numFmtId="0" fontId="27" fillId="0" borderId="8" xfId="0" applyFont="1" applyBorder="1" applyAlignment="1">
      <alignment horizontal="center" vertical="center" wrapText="1"/>
    </xf>
    <xf numFmtId="3" fontId="27" fillId="0" borderId="0" xfId="0" applyNumberFormat="1" applyFont="1" applyAlignment="1">
      <alignment vertical="center" wrapText="1"/>
    </xf>
    <xf numFmtId="3" fontId="22" fillId="0" borderId="0" xfId="0" applyNumberFormat="1" applyFont="1">
      <alignment vertical="top" wrapText="1"/>
    </xf>
    <xf numFmtId="0" fontId="25" fillId="0" borderId="9" xfId="0" applyFont="1" applyBorder="1" applyAlignment="1">
      <alignment horizontal="left" vertical="top" wrapText="1"/>
    </xf>
    <xf numFmtId="0" fontId="25" fillId="0" borderId="12" xfId="0" applyFont="1" applyBorder="1" applyAlignment="1">
      <alignment horizontal="left" vertical="top" wrapText="1"/>
    </xf>
    <xf numFmtId="0" fontId="25" fillId="0" borderId="8" xfId="0" applyFont="1" applyBorder="1" applyAlignment="1">
      <alignment horizontal="left" vertical="top" wrapText="1"/>
    </xf>
    <xf numFmtId="0" fontId="25" fillId="0" borderId="7" xfId="0" applyFont="1" applyBorder="1" applyAlignment="1">
      <alignment horizontal="left" vertical="top" wrapText="1"/>
    </xf>
    <xf numFmtId="0" fontId="25" fillId="0" borderId="8" xfId="0" applyFont="1" applyBorder="1" applyAlignment="1">
      <alignment horizontal="left" vertical="center" wrapText="1"/>
    </xf>
    <xf numFmtId="0" fontId="27" fillId="0" borderId="8" xfId="0" applyFont="1" applyBorder="1" applyAlignment="1">
      <alignment horizontal="left" vertical="center" wrapText="1"/>
    </xf>
    <xf numFmtId="0" fontId="28" fillId="0" borderId="0" xfId="0" applyFont="1">
      <alignment vertical="top" wrapText="1"/>
    </xf>
    <xf numFmtId="0" fontId="28" fillId="33" borderId="8" xfId="0" applyFont="1" applyFill="1" applyBorder="1" applyAlignment="1">
      <alignment vertical="center" wrapText="1"/>
    </xf>
    <xf numFmtId="166" fontId="22" fillId="0" borderId="8" xfId="0" applyNumberFormat="1" applyFont="1" applyBorder="1" applyAlignment="1">
      <alignment vertical="center" wrapText="1"/>
    </xf>
    <xf numFmtId="44" fontId="22" fillId="0" borderId="8" xfId="11" applyFont="1" applyFill="1" applyBorder="1" applyAlignment="1">
      <alignment vertical="center" wrapText="1"/>
    </xf>
    <xf numFmtId="0" fontId="21" fillId="37" borderId="7" xfId="1" applyFont="1" applyFill="1" applyBorder="1" applyAlignment="1">
      <alignment horizontal="center" vertical="center" wrapText="1"/>
    </xf>
    <xf numFmtId="0" fontId="22" fillId="0" borderId="0" xfId="0" applyFont="1" applyAlignment="1">
      <alignment vertical="center" wrapText="1"/>
    </xf>
    <xf numFmtId="0" fontId="22" fillId="0" borderId="0" xfId="0" applyFont="1" applyAlignment="1">
      <alignment horizontal="left" vertical="center" wrapText="1"/>
    </xf>
    <xf numFmtId="0" fontId="28" fillId="0" borderId="7" xfId="0" applyFont="1" applyBorder="1" applyAlignment="1">
      <alignment horizontal="left" vertical="center"/>
    </xf>
    <xf numFmtId="0" fontId="22" fillId="33" borderId="8" xfId="0" applyFont="1" applyFill="1" applyBorder="1" applyAlignment="1">
      <alignment horizontal="left" vertical="center"/>
    </xf>
    <xf numFmtId="0" fontId="22" fillId="0" borderId="8" xfId="0" applyFont="1" applyBorder="1" applyAlignment="1">
      <alignment horizontal="center" vertical="center" wrapText="1"/>
    </xf>
    <xf numFmtId="0" fontId="28" fillId="0" borderId="8" xfId="0" applyFont="1" applyBorder="1" applyAlignment="1">
      <alignment vertical="center" wrapText="1"/>
    </xf>
    <xf numFmtId="0" fontId="22" fillId="0" borderId="9" xfId="0" applyFont="1" applyBorder="1" applyAlignment="1">
      <alignment vertical="center" wrapText="1"/>
    </xf>
    <xf numFmtId="0" fontId="21" fillId="36" borderId="9" xfId="0" applyFont="1" applyFill="1" applyBorder="1" applyAlignment="1">
      <alignment horizontal="center" vertical="center" wrapText="1"/>
    </xf>
    <xf numFmtId="0" fontId="22" fillId="0" borderId="11" xfId="0" applyFont="1" applyBorder="1" applyAlignment="1">
      <alignment vertical="top"/>
    </xf>
    <xf numFmtId="0" fontId="32" fillId="0" borderId="10" xfId="49" applyFont="1" applyFill="1" applyBorder="1" applyAlignment="1">
      <alignment horizontal="center" vertical="center" wrapText="1"/>
    </xf>
    <xf numFmtId="0" fontId="32" fillId="0" borderId="8" xfId="49" applyFont="1" applyFill="1" applyBorder="1" applyAlignment="1">
      <alignment horizontal="center" vertical="center" wrapText="1"/>
    </xf>
    <xf numFmtId="0" fontId="28" fillId="0" borderId="0" xfId="0" applyFont="1" applyAlignment="1">
      <alignment horizontal="left" vertical="center" wrapText="1"/>
    </xf>
    <xf numFmtId="0" fontId="21" fillId="37" borderId="10" xfId="0" applyFont="1" applyFill="1" applyBorder="1" applyAlignment="1">
      <alignment horizontal="center" vertical="center" wrapText="1"/>
    </xf>
    <xf numFmtId="0" fontId="28" fillId="0" borderId="8" xfId="2" applyFont="1" applyFill="1" applyBorder="1" applyAlignment="1">
      <alignment vertical="center" wrapText="1"/>
    </xf>
    <xf numFmtId="0" fontId="28" fillId="0" borderId="8" xfId="2" applyFont="1" applyFill="1" applyBorder="1">
      <alignment vertical="center"/>
    </xf>
    <xf numFmtId="0" fontId="22" fillId="0" borderId="0" xfId="0" applyFont="1" applyAlignment="1">
      <alignment vertical="center"/>
    </xf>
    <xf numFmtId="0" fontId="22" fillId="0" borderId="8" xfId="0" applyFont="1" applyBorder="1" applyAlignment="1">
      <alignment horizontal="left" vertical="center"/>
    </xf>
    <xf numFmtId="0" fontId="28" fillId="33" borderId="8" xfId="2" applyFont="1" applyFill="1" applyBorder="1" applyAlignment="1">
      <alignment vertical="center" wrapText="1"/>
    </xf>
    <xf numFmtId="0" fontId="30" fillId="36" borderId="8" xfId="0" applyFont="1" applyFill="1" applyBorder="1" applyAlignment="1">
      <alignment horizontal="center" vertical="center" wrapText="1"/>
    </xf>
    <xf numFmtId="0" fontId="23" fillId="0" borderId="0" xfId="0" applyFont="1" applyAlignment="1">
      <alignment vertical="center" wrapText="1"/>
    </xf>
    <xf numFmtId="0" fontId="23" fillId="0" borderId="0" xfId="0" applyFont="1" applyAlignment="1">
      <alignment horizontal="left" vertical="center" wrapText="1"/>
    </xf>
    <xf numFmtId="166" fontId="23" fillId="0" borderId="0" xfId="0" applyNumberFormat="1" applyFont="1" applyAlignment="1">
      <alignment vertical="center" wrapText="1"/>
    </xf>
    <xf numFmtId="44" fontId="33" fillId="0" borderId="8" xfId="11" applyFont="1" applyFill="1" applyBorder="1" applyAlignment="1">
      <alignment vertical="center" wrapText="1"/>
    </xf>
    <xf numFmtId="44" fontId="23" fillId="0" borderId="0" xfId="11" applyFont="1" applyFill="1" applyAlignment="1">
      <alignment vertical="center" wrapText="1"/>
    </xf>
    <xf numFmtId="3" fontId="22" fillId="0" borderId="8" xfId="0" applyNumberFormat="1" applyFont="1" applyBorder="1" applyAlignment="1">
      <alignment vertical="center" wrapText="1"/>
    </xf>
    <xf numFmtId="44" fontId="23" fillId="0" borderId="8" xfId="11" applyFont="1" applyFill="1" applyBorder="1" applyAlignment="1">
      <alignment vertical="center" wrapText="1"/>
    </xf>
    <xf numFmtId="9" fontId="23" fillId="0" borderId="0" xfId="13" applyFont="1" applyFill="1" applyAlignment="1">
      <alignment vertical="center" wrapText="1"/>
    </xf>
    <xf numFmtId="0" fontId="21" fillId="37" borderId="8" xfId="0" applyFont="1" applyFill="1" applyBorder="1" applyAlignment="1">
      <alignment horizontal="center" vertical="center" wrapText="1"/>
    </xf>
    <xf numFmtId="0" fontId="27" fillId="0" borderId="8" xfId="0" applyFont="1" applyBorder="1" applyAlignment="1">
      <alignment horizontal="left" vertical="center"/>
    </xf>
    <xf numFmtId="0" fontId="23" fillId="0" borderId="0" xfId="0" applyFont="1" applyAlignment="1">
      <alignment vertical="center"/>
    </xf>
    <xf numFmtId="0" fontId="23" fillId="0" borderId="0" xfId="0" applyFont="1" applyAlignment="1">
      <alignment horizontal="center" vertical="center"/>
    </xf>
    <xf numFmtId="0" fontId="23" fillId="0" borderId="0" xfId="0" applyFont="1" applyAlignment="1">
      <alignment horizontal="left" vertical="center"/>
    </xf>
    <xf numFmtId="0" fontId="31" fillId="0" borderId="0" xfId="49" applyFont="1" applyFill="1" applyAlignment="1">
      <alignment vertical="center"/>
    </xf>
    <xf numFmtId="0" fontId="29" fillId="0" borderId="0" xfId="0" applyFont="1" applyAlignment="1">
      <alignment horizontal="left" vertical="center"/>
    </xf>
    <xf numFmtId="166" fontId="22" fillId="0" borderId="0" xfId="0" applyNumberFormat="1" applyFont="1">
      <alignment vertical="top" wrapText="1"/>
    </xf>
    <xf numFmtId="3" fontId="28" fillId="0" borderId="0" xfId="0" applyNumberFormat="1" applyFont="1">
      <alignment vertical="top" wrapText="1"/>
    </xf>
    <xf numFmtId="3" fontId="25" fillId="0" borderId="0" xfId="0" applyNumberFormat="1" applyFont="1" applyAlignment="1">
      <alignment vertical="center" wrapText="1"/>
    </xf>
    <xf numFmtId="0" fontId="34" fillId="0" borderId="0" xfId="0" applyFont="1" applyAlignment="1">
      <alignment horizontal="center" vertical="center"/>
    </xf>
    <xf numFmtId="0" fontId="27" fillId="0" borderId="11" xfId="0" applyFont="1" applyBorder="1" applyAlignment="1">
      <alignment horizontal="center" vertical="center" wrapText="1"/>
    </xf>
    <xf numFmtId="0" fontId="27" fillId="0" borderId="13" xfId="0" applyFont="1" applyBorder="1" applyAlignment="1">
      <alignment horizontal="center" vertical="center" wrapText="1"/>
    </xf>
    <xf numFmtId="0" fontId="25" fillId="0" borderId="14" xfId="0" applyFont="1" applyBorder="1" applyAlignment="1">
      <alignment horizontal="left" vertical="center" wrapText="1"/>
    </xf>
    <xf numFmtId="0" fontId="25" fillId="0" borderId="18" xfId="0" applyFont="1" applyBorder="1" applyAlignment="1">
      <alignment horizontal="left" vertical="center" wrapText="1"/>
    </xf>
    <xf numFmtId="0" fontId="0" fillId="0" borderId="0" xfId="0" applyAlignment="1"/>
    <xf numFmtId="0" fontId="25" fillId="0" borderId="17" xfId="0" applyFont="1" applyBorder="1" applyAlignment="1">
      <alignment horizontal="left" vertical="center" wrapText="1"/>
    </xf>
    <xf numFmtId="0" fontId="27" fillId="0" borderId="11" xfId="0" applyFont="1" applyBorder="1" applyAlignment="1">
      <alignment vertical="center" wrapText="1"/>
    </xf>
    <xf numFmtId="0" fontId="25" fillId="0" borderId="0" xfId="0" applyFont="1" applyAlignment="1">
      <alignment horizontal="left" vertical="center" wrapText="1"/>
    </xf>
    <xf numFmtId="0" fontId="25" fillId="0" borderId="19" xfId="0" applyFont="1" applyBorder="1" applyAlignment="1">
      <alignment horizontal="left" vertical="center" wrapText="1"/>
    </xf>
    <xf numFmtId="44" fontId="27" fillId="0" borderId="8" xfId="11" applyFont="1" applyBorder="1" applyAlignment="1">
      <alignment horizontal="left" vertical="center" wrapText="1"/>
    </xf>
    <xf numFmtId="166" fontId="27" fillId="0" borderId="20" xfId="0" applyNumberFormat="1" applyFont="1" applyBorder="1" applyAlignment="1">
      <alignment vertical="center" wrapText="1"/>
    </xf>
    <xf numFmtId="166" fontId="27" fillId="0" borderId="16" xfId="0" applyNumberFormat="1" applyFont="1" applyBorder="1" applyAlignment="1">
      <alignment vertical="center" wrapText="1"/>
    </xf>
    <xf numFmtId="0" fontId="25" fillId="0" borderId="10" xfId="0" applyFont="1" applyBorder="1" applyAlignment="1">
      <alignment vertical="center" wrapText="1"/>
    </xf>
    <xf numFmtId="0" fontId="23" fillId="0" borderId="13" xfId="0" applyFont="1" applyBorder="1" applyAlignment="1">
      <alignment horizontal="left" vertical="center" wrapText="1"/>
    </xf>
    <xf numFmtId="0" fontId="21" fillId="36" borderId="10" xfId="0" applyFont="1" applyFill="1" applyBorder="1" applyAlignment="1">
      <alignment horizontal="left" vertical="center" wrapText="1"/>
    </xf>
    <xf numFmtId="0" fontId="24" fillId="39" borderId="8" xfId="0" applyFont="1" applyFill="1" applyBorder="1" applyAlignment="1">
      <alignment horizontal="center" vertical="center" wrapText="1"/>
    </xf>
    <xf numFmtId="0" fontId="23" fillId="0" borderId="8" xfId="0" applyFont="1" applyBorder="1" applyAlignment="1">
      <alignment horizontal="center" vertical="center" wrapText="1"/>
    </xf>
    <xf numFmtId="44" fontId="23" fillId="0" borderId="8" xfId="11" applyFont="1" applyBorder="1" applyAlignment="1">
      <alignment horizontal="left" vertical="center" wrapText="1"/>
    </xf>
    <xf numFmtId="44" fontId="33" fillId="0" borderId="8" xfId="11" applyFont="1" applyBorder="1" applyAlignment="1">
      <alignment vertical="center" wrapText="1"/>
    </xf>
    <xf numFmtId="3" fontId="27" fillId="40" borderId="8" xfId="0" applyNumberFormat="1" applyFont="1" applyFill="1" applyBorder="1" applyAlignment="1">
      <alignment vertical="center" wrapText="1"/>
    </xf>
    <xf numFmtId="0" fontId="27" fillId="40" borderId="9" xfId="0" applyFont="1" applyFill="1" applyBorder="1" applyAlignment="1">
      <alignment horizontal="right" vertical="center" wrapText="1"/>
    </xf>
    <xf numFmtId="44" fontId="27" fillId="40" borderId="8" xfId="11" applyFont="1" applyFill="1" applyBorder="1" applyAlignment="1">
      <alignment horizontal="left" vertical="center" wrapText="1" indent="8"/>
    </xf>
    <xf numFmtId="0" fontId="41" fillId="0" borderId="0" xfId="0" applyFont="1" applyAlignment="1">
      <alignment horizontal="left" vertical="center"/>
    </xf>
    <xf numFmtId="0" fontId="17" fillId="0" borderId="0" xfId="0" applyFont="1" applyAlignment="1"/>
    <xf numFmtId="3" fontId="17" fillId="40" borderId="8" xfId="0" applyNumberFormat="1" applyFont="1" applyFill="1" applyBorder="1" applyAlignment="1"/>
    <xf numFmtId="3" fontId="0" fillId="0" borderId="8" xfId="0" applyNumberFormat="1" applyBorder="1" applyAlignment="1"/>
    <xf numFmtId="170" fontId="17" fillId="40" borderId="8" xfId="13" applyNumberFormat="1" applyFont="1" applyFill="1" applyBorder="1"/>
    <xf numFmtId="170" fontId="0" fillId="0" borderId="8" xfId="13" applyNumberFormat="1" applyFont="1" applyBorder="1"/>
    <xf numFmtId="0" fontId="25" fillId="0" borderId="20" xfId="0" applyFont="1" applyBorder="1" applyAlignment="1">
      <alignment horizontal="left" vertical="center" wrapText="1"/>
    </xf>
    <xf numFmtId="0" fontId="25" fillId="0" borderId="16" xfId="0" applyFont="1" applyBorder="1" applyAlignment="1">
      <alignment horizontal="left" vertical="center" wrapText="1"/>
    </xf>
    <xf numFmtId="44" fontId="27" fillId="0" borderId="8" xfId="11" applyFont="1" applyFill="1" applyBorder="1" applyAlignment="1">
      <alignment horizontal="left" vertical="center" wrapText="1"/>
    </xf>
    <xf numFmtId="166" fontId="27" fillId="0" borderId="8" xfId="0" applyNumberFormat="1" applyFont="1" applyBorder="1" applyAlignment="1">
      <alignment horizontal="center" vertical="center" wrapText="1"/>
    </xf>
    <xf numFmtId="0" fontId="25" fillId="0" borderId="21" xfId="0" applyFont="1" applyBorder="1" applyAlignment="1">
      <alignment horizontal="left" vertical="center" wrapText="1"/>
    </xf>
    <xf numFmtId="44" fontId="23" fillId="0" borderId="0" xfId="0" applyNumberFormat="1" applyFont="1">
      <alignment vertical="top" wrapText="1"/>
    </xf>
    <xf numFmtId="44" fontId="23" fillId="0" borderId="0" xfId="11" applyFont="1" applyBorder="1" applyAlignment="1">
      <alignment vertical="top" wrapText="1"/>
    </xf>
    <xf numFmtId="0" fontId="27" fillId="33" borderId="9" xfId="0" applyFont="1" applyFill="1" applyBorder="1" applyAlignment="1">
      <alignment horizontal="left" vertical="center" wrapText="1"/>
    </xf>
    <xf numFmtId="0" fontId="27" fillId="33" borderId="12" xfId="0" applyFont="1" applyFill="1" applyBorder="1" applyAlignment="1">
      <alignment horizontal="left" vertical="center" wrapText="1"/>
    </xf>
    <xf numFmtId="0" fontId="27" fillId="33" borderId="7" xfId="0" applyFont="1" applyFill="1" applyBorder="1" applyAlignment="1">
      <alignment horizontal="left" vertical="center" wrapText="1"/>
    </xf>
    <xf numFmtId="3" fontId="27" fillId="33" borderId="9" xfId="0" applyNumberFormat="1" applyFont="1" applyFill="1" applyBorder="1" applyAlignment="1">
      <alignment horizontal="right" vertical="center" wrapText="1"/>
    </xf>
    <xf numFmtId="0" fontId="22" fillId="33" borderId="8" xfId="0" applyFont="1" applyFill="1" applyBorder="1" applyAlignment="1">
      <alignment horizontal="center" vertical="center" wrapText="1"/>
    </xf>
    <xf numFmtId="3" fontId="27" fillId="33" borderId="8" xfId="0" applyNumberFormat="1" applyFont="1" applyFill="1" applyBorder="1" applyAlignment="1">
      <alignment horizontal="right" vertical="center" wrapText="1"/>
    </xf>
    <xf numFmtId="0" fontId="27" fillId="33" borderId="10" xfId="0" applyFont="1" applyFill="1" applyBorder="1" applyAlignment="1">
      <alignment vertical="center" wrapText="1"/>
    </xf>
    <xf numFmtId="3" fontId="27" fillId="0" borderId="8" xfId="0" applyNumberFormat="1" applyFont="1" applyBorder="1" applyAlignment="1">
      <alignment horizontal="right" vertical="center" wrapText="1"/>
    </xf>
    <xf numFmtId="0" fontId="27" fillId="0" borderId="11" xfId="0" applyFont="1" applyBorder="1" applyAlignment="1">
      <alignment horizontal="justify" vertical="center" wrapText="1"/>
    </xf>
    <xf numFmtId="0" fontId="27" fillId="0" borderId="8" xfId="0" applyFont="1" applyBorder="1" applyAlignment="1">
      <alignment horizontal="justify" vertical="center" wrapText="1"/>
    </xf>
    <xf numFmtId="0" fontId="27" fillId="33" borderId="8" xfId="0" applyFont="1" applyFill="1" applyBorder="1" applyAlignment="1">
      <alignment horizontal="center" vertical="top" wrapText="1"/>
    </xf>
    <xf numFmtId="9" fontId="27" fillId="33" borderId="8" xfId="13" applyFont="1" applyFill="1" applyBorder="1" applyAlignment="1">
      <alignment horizontal="center" vertical="top" wrapText="1"/>
    </xf>
    <xf numFmtId="10" fontId="27" fillId="33" borderId="8" xfId="13" applyNumberFormat="1" applyFont="1" applyFill="1" applyBorder="1" applyAlignment="1">
      <alignment horizontal="center" vertical="top" wrapText="1"/>
    </xf>
    <xf numFmtId="166" fontId="27" fillId="33" borderId="8" xfId="0" applyNumberFormat="1" applyFont="1" applyFill="1" applyBorder="1" applyAlignment="1">
      <alignment horizontal="center" vertical="center" wrapText="1"/>
    </xf>
    <xf numFmtId="168" fontId="27" fillId="33" borderId="8" xfId="0" applyNumberFormat="1" applyFont="1" applyFill="1" applyBorder="1" applyAlignment="1">
      <alignment horizontal="center" vertical="top" wrapText="1"/>
    </xf>
    <xf numFmtId="0" fontId="27" fillId="33" borderId="10" xfId="0" applyFont="1" applyFill="1" applyBorder="1" applyAlignment="1">
      <alignment horizontal="center" vertical="center" wrapText="1"/>
    </xf>
    <xf numFmtId="0" fontId="27" fillId="33" borderId="8" xfId="0" applyFont="1" applyFill="1" applyBorder="1" applyAlignment="1">
      <alignment horizontal="center" vertical="center" wrapText="1"/>
    </xf>
    <xf numFmtId="0" fontId="27" fillId="33" borderId="8" xfId="0" applyFont="1" applyFill="1" applyBorder="1" applyAlignment="1">
      <alignment horizontal="justify" vertical="center" wrapText="1"/>
    </xf>
    <xf numFmtId="0" fontId="27" fillId="33" borderId="23" xfId="0" applyFont="1" applyFill="1" applyBorder="1" applyAlignment="1">
      <alignment horizontal="center" vertical="center" wrapText="1"/>
    </xf>
    <xf numFmtId="3" fontId="22" fillId="33" borderId="8" xfId="11" applyNumberFormat="1" applyFont="1" applyFill="1" applyBorder="1" applyAlignment="1">
      <alignment horizontal="right" vertical="top" wrapText="1"/>
    </xf>
    <xf numFmtId="44" fontId="22" fillId="33" borderId="8" xfId="11" applyFont="1" applyFill="1" applyBorder="1" applyAlignment="1">
      <alignment vertical="center" wrapText="1"/>
    </xf>
    <xf numFmtId="44" fontId="22" fillId="33" borderId="8" xfId="11" applyFont="1" applyFill="1" applyBorder="1" applyAlignment="1">
      <alignment horizontal="right" vertical="center" wrapText="1"/>
    </xf>
    <xf numFmtId="0" fontId="28" fillId="33" borderId="9" xfId="0" applyFont="1" applyFill="1" applyBorder="1" applyAlignment="1">
      <alignment vertical="center" wrapText="1"/>
    </xf>
    <xf numFmtId="0" fontId="22" fillId="33" borderId="9" xfId="0" applyFont="1" applyFill="1" applyBorder="1" applyAlignment="1">
      <alignment horizontal="center" vertical="center" wrapText="1"/>
    </xf>
    <xf numFmtId="166" fontId="22" fillId="33" borderId="8" xfId="0" applyNumberFormat="1" applyFont="1" applyFill="1" applyBorder="1" applyAlignment="1">
      <alignment vertical="center" wrapText="1"/>
    </xf>
    <xf numFmtId="3" fontId="22" fillId="33" borderId="8" xfId="0" applyNumberFormat="1" applyFont="1" applyFill="1" applyBorder="1" applyAlignment="1">
      <alignment horizontal="right" vertical="center" wrapText="1"/>
    </xf>
    <xf numFmtId="44" fontId="22" fillId="33" borderId="8" xfId="11" applyFont="1" applyFill="1" applyBorder="1" applyAlignment="1">
      <alignment horizontal="left" vertical="center" wrapText="1"/>
    </xf>
    <xf numFmtId="0" fontId="22" fillId="33" borderId="8" xfId="0" applyFont="1" applyFill="1" applyBorder="1" applyAlignment="1">
      <alignment horizontal="center" vertical="top" wrapText="1"/>
    </xf>
    <xf numFmtId="3" fontId="22" fillId="33" borderId="8" xfId="0" applyNumberFormat="1" applyFont="1" applyFill="1" applyBorder="1">
      <alignment vertical="top" wrapText="1"/>
    </xf>
    <xf numFmtId="44" fontId="22" fillId="33" borderId="8" xfId="11" applyFont="1" applyFill="1" applyBorder="1" applyAlignment="1">
      <alignment vertical="top" wrapText="1"/>
    </xf>
    <xf numFmtId="3" fontId="22" fillId="33" borderId="8" xfId="0" applyNumberFormat="1" applyFont="1" applyFill="1" applyBorder="1" applyAlignment="1">
      <alignment vertical="center" wrapText="1"/>
    </xf>
    <xf numFmtId="0" fontId="22" fillId="33" borderId="8" xfId="0" applyFont="1" applyFill="1" applyBorder="1" applyAlignment="1">
      <alignment vertical="center" wrapText="1"/>
    </xf>
    <xf numFmtId="0" fontId="25" fillId="0" borderId="12" xfId="0" applyFont="1" applyBorder="1" applyAlignment="1">
      <alignment horizontal="center" vertical="center" wrapText="1"/>
    </xf>
    <xf numFmtId="0" fontId="21" fillId="36" borderId="27" xfId="0" applyFont="1" applyFill="1" applyBorder="1" applyAlignment="1">
      <alignment horizontal="center" vertical="center" wrapText="1"/>
    </xf>
    <xf numFmtId="0" fontId="27" fillId="33" borderId="28" xfId="0" applyFont="1" applyFill="1" applyBorder="1" applyAlignment="1">
      <alignment horizontal="center" vertical="center" wrapText="1"/>
    </xf>
    <xf numFmtId="0" fontId="21" fillId="36" borderId="29" xfId="0" applyFont="1" applyFill="1" applyBorder="1" applyAlignment="1">
      <alignment horizontal="center" vertical="center" wrapText="1"/>
    </xf>
    <xf numFmtId="0" fontId="25" fillId="33" borderId="9" xfId="0" applyFont="1" applyFill="1" applyBorder="1" applyAlignment="1">
      <alignment horizontal="center" vertical="center" wrapText="1"/>
    </xf>
    <xf numFmtId="0" fontId="27" fillId="33" borderId="14" xfId="0" applyFont="1" applyFill="1" applyBorder="1" applyAlignment="1">
      <alignment horizontal="center" vertical="center" wrapText="1"/>
    </xf>
    <xf numFmtId="0" fontId="21" fillId="36" borderId="9" xfId="0" applyFont="1" applyFill="1" applyBorder="1" applyAlignment="1">
      <alignment horizontal="center" vertical="center"/>
    </xf>
    <xf numFmtId="0" fontId="27" fillId="33" borderId="9" xfId="0" applyFont="1" applyFill="1" applyBorder="1" applyAlignment="1">
      <alignment horizontal="center" vertical="center" wrapText="1"/>
    </xf>
    <xf numFmtId="44" fontId="27" fillId="33" borderId="8" xfId="11" applyFont="1" applyFill="1" applyBorder="1" applyAlignment="1">
      <alignment horizontal="center" vertical="center" wrapText="1"/>
    </xf>
    <xf numFmtId="171" fontId="27" fillId="33" borderId="8" xfId="11" applyNumberFormat="1" applyFont="1" applyFill="1" applyBorder="1" applyAlignment="1">
      <alignment horizontal="center" vertical="center" wrapText="1"/>
    </xf>
    <xf numFmtId="0" fontId="25" fillId="0" borderId="12" xfId="0" applyFont="1" applyBorder="1" applyAlignment="1">
      <alignment vertical="center" wrapText="1"/>
    </xf>
    <xf numFmtId="0" fontId="27" fillId="33" borderId="12" xfId="0" applyFont="1" applyFill="1" applyBorder="1" applyAlignment="1">
      <alignment horizontal="justify" vertical="center" wrapText="1"/>
    </xf>
    <xf numFmtId="0" fontId="27" fillId="33" borderId="12" xfId="0" applyFont="1" applyFill="1" applyBorder="1" applyAlignment="1">
      <alignment vertical="center" wrapText="1"/>
    </xf>
    <xf numFmtId="171" fontId="27" fillId="33" borderId="12" xfId="11" applyNumberFormat="1" applyFont="1" applyFill="1" applyBorder="1" applyAlignment="1">
      <alignment horizontal="center" vertical="center" wrapText="1"/>
    </xf>
    <xf numFmtId="0" fontId="27" fillId="33" borderId="10" xfId="0" applyFont="1" applyFill="1" applyBorder="1" applyAlignment="1">
      <alignment horizontal="justify" vertical="center" wrapText="1"/>
    </xf>
    <xf numFmtId="171" fontId="27" fillId="33" borderId="10" xfId="11" applyNumberFormat="1" applyFont="1" applyFill="1" applyBorder="1" applyAlignment="1">
      <alignment horizontal="center" vertical="center" wrapText="1"/>
    </xf>
    <xf numFmtId="0" fontId="21" fillId="36" borderId="11" xfId="0" applyFont="1" applyFill="1" applyBorder="1" applyAlignment="1">
      <alignment horizontal="center" vertical="center" wrapText="1"/>
    </xf>
    <xf numFmtId="0" fontId="19" fillId="0" borderId="12" xfId="0" applyFont="1" applyBorder="1" applyAlignment="1">
      <alignment horizontal="center" vertical="top" wrapText="1"/>
    </xf>
    <xf numFmtId="167" fontId="27" fillId="33" borderId="9" xfId="0" applyNumberFormat="1" applyFont="1" applyFill="1" applyBorder="1" applyAlignment="1">
      <alignment horizontal="right" vertical="center" wrapText="1"/>
    </xf>
    <xf numFmtId="44" fontId="22" fillId="33" borderId="8" xfId="11" applyFont="1" applyFill="1" applyBorder="1" applyAlignment="1">
      <alignment horizontal="right" vertical="top" wrapText="1"/>
    </xf>
    <xf numFmtId="166" fontId="27" fillId="0" borderId="8" xfId="0" applyNumberFormat="1" applyFont="1" applyBorder="1" applyAlignment="1">
      <alignment horizontal="right" vertical="center" wrapText="1"/>
    </xf>
    <xf numFmtId="0" fontId="25" fillId="33" borderId="8" xfId="0" applyFont="1" applyFill="1" applyBorder="1" applyAlignment="1">
      <alignment horizontal="left" vertical="center" wrapText="1"/>
    </xf>
    <xf numFmtId="44" fontId="25" fillId="0" borderId="8" xfId="11" applyFont="1" applyBorder="1" applyAlignment="1">
      <alignment horizontal="center" vertical="center" wrapText="1"/>
    </xf>
    <xf numFmtId="44" fontId="27" fillId="0" borderId="8" xfId="11" applyFont="1" applyBorder="1" applyAlignment="1">
      <alignment horizontal="center" vertical="center" wrapText="1"/>
    </xf>
    <xf numFmtId="166" fontId="27" fillId="0" borderId="8" xfId="0" applyNumberFormat="1" applyFont="1" applyBorder="1" applyAlignment="1">
      <alignment vertical="center" wrapText="1"/>
    </xf>
    <xf numFmtId="44" fontId="45" fillId="0" borderId="8" xfId="11" applyFont="1" applyBorder="1" applyAlignment="1">
      <alignment horizontal="center" vertical="center" wrapText="1"/>
    </xf>
    <xf numFmtId="44" fontId="43" fillId="0" borderId="8" xfId="11" applyFont="1" applyBorder="1" applyAlignment="1">
      <alignment horizontal="center" vertical="center" wrapText="1"/>
    </xf>
    <xf numFmtId="166" fontId="27" fillId="33" borderId="8" xfId="0" applyNumberFormat="1" applyFont="1" applyFill="1" applyBorder="1" applyAlignment="1">
      <alignment horizontal="right" vertical="center" wrapText="1"/>
    </xf>
    <xf numFmtId="166" fontId="43" fillId="33" borderId="8" xfId="0" applyNumberFormat="1" applyFont="1" applyFill="1" applyBorder="1" applyAlignment="1">
      <alignment horizontal="right" vertical="center" wrapText="1"/>
    </xf>
    <xf numFmtId="0" fontId="24" fillId="0" borderId="8" xfId="0" applyFont="1" applyBorder="1" applyAlignment="1">
      <alignment vertical="center" wrapText="1"/>
    </xf>
    <xf numFmtId="0" fontId="44" fillId="0" borderId="8" xfId="0" applyFont="1" applyBorder="1" applyAlignment="1">
      <alignment vertical="center" wrapText="1"/>
    </xf>
    <xf numFmtId="44" fontId="46" fillId="33" borderId="8" xfId="11" applyFont="1" applyFill="1" applyBorder="1" applyAlignment="1">
      <alignment vertical="center" wrapText="1"/>
    </xf>
    <xf numFmtId="0" fontId="47" fillId="0" borderId="0" xfId="0" applyFont="1" applyAlignment="1">
      <alignment horizontal="left" vertical="center" wrapText="1"/>
    </xf>
    <xf numFmtId="166" fontId="43" fillId="0" borderId="7" xfId="0" applyNumberFormat="1" applyFont="1" applyBorder="1" applyAlignment="1">
      <alignment vertical="center" wrapText="1"/>
    </xf>
    <xf numFmtId="166" fontId="43" fillId="0" borderId="8" xfId="0" applyNumberFormat="1" applyFont="1" applyBorder="1" applyAlignment="1">
      <alignment vertical="center" wrapText="1"/>
    </xf>
    <xf numFmtId="3" fontId="27" fillId="0" borderId="8" xfId="0" applyNumberFormat="1" applyFont="1" applyBorder="1" applyAlignment="1">
      <alignment horizontal="center" vertical="center" wrapText="1"/>
    </xf>
    <xf numFmtId="0" fontId="27" fillId="33" borderId="8" xfId="0" applyFont="1" applyFill="1" applyBorder="1" applyAlignment="1">
      <alignment horizontal="left" vertical="center" wrapText="1"/>
    </xf>
    <xf numFmtId="3" fontId="25" fillId="33" borderId="8" xfId="0" applyNumberFormat="1" applyFont="1" applyFill="1" applyBorder="1" applyAlignment="1">
      <alignment horizontal="right" vertical="center" wrapText="1"/>
    </xf>
    <xf numFmtId="166" fontId="43" fillId="0" borderId="9" xfId="0" applyNumberFormat="1" applyFont="1" applyBorder="1" applyAlignment="1">
      <alignment vertical="center" wrapText="1"/>
    </xf>
    <xf numFmtId="166" fontId="43" fillId="0" borderId="12" xfId="0" applyNumberFormat="1" applyFont="1" applyBorder="1" applyAlignment="1">
      <alignment vertical="center" wrapText="1"/>
    </xf>
    <xf numFmtId="0" fontId="27" fillId="0" borderId="10" xfId="0" applyFont="1" applyBorder="1" applyAlignment="1">
      <alignment horizontal="left" vertical="center" wrapText="1"/>
    </xf>
    <xf numFmtId="0" fontId="27" fillId="0" borderId="11" xfId="0" applyFont="1" applyBorder="1" applyAlignment="1">
      <alignment horizontal="left" vertical="center" wrapText="1"/>
    </xf>
    <xf numFmtId="0" fontId="27" fillId="0" borderId="13" xfId="0" applyFont="1" applyBorder="1" applyAlignment="1">
      <alignment horizontal="left" vertical="center" wrapText="1"/>
    </xf>
    <xf numFmtId="0" fontId="27" fillId="0" borderId="10" xfId="0" applyFont="1" applyBorder="1" applyAlignment="1">
      <alignment horizontal="center" vertical="center" wrapText="1"/>
    </xf>
    <xf numFmtId="0" fontId="27" fillId="0" borderId="11" xfId="0" applyFont="1" applyBorder="1" applyAlignment="1">
      <alignment horizontal="center" vertical="center" wrapText="1"/>
    </xf>
    <xf numFmtId="0" fontId="27" fillId="0" borderId="13" xfId="0" applyFont="1" applyBorder="1" applyAlignment="1">
      <alignment horizontal="center" vertical="center" wrapText="1"/>
    </xf>
    <xf numFmtId="44" fontId="41" fillId="0" borderId="9" xfId="11" applyFont="1" applyFill="1" applyBorder="1" applyAlignment="1">
      <alignment horizontal="right" vertical="center" wrapText="1"/>
    </xf>
    <xf numFmtId="44" fontId="41" fillId="0" borderId="12" xfId="11" applyFont="1" applyFill="1" applyBorder="1" applyAlignment="1">
      <alignment horizontal="right" vertical="center" wrapText="1"/>
    </xf>
    <xf numFmtId="44" fontId="41" fillId="0" borderId="7" xfId="11" applyFont="1" applyFill="1" applyBorder="1" applyAlignment="1">
      <alignment horizontal="right" vertical="center" wrapText="1"/>
    </xf>
    <xf numFmtId="0" fontId="25" fillId="0" borderId="9" xfId="0" applyFont="1" applyBorder="1" applyAlignment="1">
      <alignment horizontal="center" vertical="center" wrapText="1"/>
    </xf>
    <xf numFmtId="0" fontId="25" fillId="0" borderId="12" xfId="0" applyFont="1" applyBorder="1" applyAlignment="1">
      <alignment horizontal="center" vertical="center" wrapText="1"/>
    </xf>
    <xf numFmtId="0" fontId="25" fillId="0" borderId="7" xfId="0" applyFont="1" applyBorder="1" applyAlignment="1">
      <alignment horizontal="center" vertical="center" wrapText="1"/>
    </xf>
    <xf numFmtId="0" fontId="25" fillId="38" borderId="9" xfId="0" applyFont="1" applyFill="1" applyBorder="1" applyAlignment="1">
      <alignment horizontal="left" vertical="center" wrapText="1"/>
    </xf>
    <xf numFmtId="0" fontId="25" fillId="38" borderId="12" xfId="0" applyFont="1" applyFill="1" applyBorder="1" applyAlignment="1">
      <alignment horizontal="left" vertical="center" wrapText="1"/>
    </xf>
    <xf numFmtId="0" fontId="25" fillId="38" borderId="7" xfId="0" applyFont="1" applyFill="1" applyBorder="1" applyAlignment="1">
      <alignment horizontal="left" vertical="center" wrapText="1"/>
    </xf>
    <xf numFmtId="0" fontId="25" fillId="0" borderId="9" xfId="0" applyFont="1" applyBorder="1" applyAlignment="1">
      <alignment horizontal="left" vertical="center" wrapText="1"/>
    </xf>
    <xf numFmtId="0" fontId="25" fillId="0" borderId="12" xfId="0" applyFont="1" applyBorder="1" applyAlignment="1">
      <alignment horizontal="left" vertical="center" wrapText="1"/>
    </xf>
    <xf numFmtId="0" fontId="25" fillId="0" borderId="7" xfId="0" applyFont="1" applyBorder="1" applyAlignment="1">
      <alignment horizontal="left" vertical="center" wrapText="1"/>
    </xf>
    <xf numFmtId="166" fontId="27" fillId="33" borderId="8" xfId="0" applyNumberFormat="1" applyFont="1" applyFill="1" applyBorder="1" applyAlignment="1">
      <alignment horizontal="right" vertical="center" wrapText="1"/>
    </xf>
    <xf numFmtId="0" fontId="27" fillId="0" borderId="9" xfId="0" applyFont="1" applyBorder="1" applyAlignment="1">
      <alignment horizontal="left" vertical="center" wrapText="1"/>
    </xf>
    <xf numFmtId="0" fontId="27" fillId="0" borderId="12" xfId="0" applyFont="1" applyBorder="1" applyAlignment="1">
      <alignment horizontal="left" vertical="center" wrapText="1"/>
    </xf>
    <xf numFmtId="0" fontId="27" fillId="0" borderId="7" xfId="0" applyFont="1" applyBorder="1" applyAlignment="1">
      <alignment horizontal="left" vertical="center" wrapText="1"/>
    </xf>
    <xf numFmtId="44" fontId="27" fillId="0" borderId="8" xfId="11" applyFont="1" applyFill="1" applyBorder="1" applyAlignment="1">
      <alignment horizontal="right" vertical="center" wrapText="1"/>
    </xf>
    <xf numFmtId="166" fontId="27" fillId="0" borderId="8" xfId="0" applyNumberFormat="1" applyFont="1" applyBorder="1" applyAlignment="1">
      <alignment horizontal="right" vertical="center" wrapText="1"/>
    </xf>
    <xf numFmtId="0" fontId="27" fillId="0" borderId="9" xfId="0" applyFont="1" applyBorder="1" applyAlignment="1">
      <alignment horizontal="left" vertical="top" wrapText="1"/>
    </xf>
    <xf numFmtId="0" fontId="27" fillId="0" borderId="12" xfId="0" applyFont="1" applyBorder="1" applyAlignment="1">
      <alignment horizontal="left" vertical="top" wrapText="1"/>
    </xf>
    <xf numFmtId="0" fontId="27" fillId="0" borderId="7" xfId="0" applyFont="1" applyBorder="1" applyAlignment="1">
      <alignment horizontal="left" vertical="top" wrapText="1"/>
    </xf>
    <xf numFmtId="0" fontId="25" fillId="0" borderId="8" xfId="0" applyFont="1" applyBorder="1" applyAlignment="1">
      <alignment horizontal="center" vertical="center" wrapText="1"/>
    </xf>
    <xf numFmtId="0" fontId="21" fillId="37" borderId="9" xfId="1" applyFont="1" applyFill="1" applyBorder="1" applyAlignment="1">
      <alignment horizontal="center" vertical="center" wrapText="1"/>
    </xf>
    <xf numFmtId="0" fontId="21" fillId="37" borderId="12" xfId="1" applyFont="1" applyFill="1" applyBorder="1" applyAlignment="1">
      <alignment horizontal="center" vertical="center" wrapText="1"/>
    </xf>
    <xf numFmtId="0" fontId="21" fillId="37" borderId="7" xfId="1" applyFont="1" applyFill="1" applyBorder="1" applyAlignment="1">
      <alignment horizontal="center" vertical="center" wrapText="1"/>
    </xf>
    <xf numFmtId="0" fontId="27" fillId="0" borderId="8" xfId="0" applyFont="1" applyBorder="1" applyAlignment="1">
      <alignment horizontal="left" vertical="center" wrapText="1"/>
    </xf>
    <xf numFmtId="0" fontId="44" fillId="0" borderId="10" xfId="0" applyFont="1" applyBorder="1" applyAlignment="1">
      <alignment horizontal="left" vertical="center" wrapText="1"/>
    </xf>
    <xf numFmtId="0" fontId="44" fillId="0" borderId="11" xfId="0" applyFont="1" applyBorder="1" applyAlignment="1">
      <alignment horizontal="left" vertical="center" wrapText="1"/>
    </xf>
    <xf numFmtId="0" fontId="24" fillId="0" borderId="8" xfId="0" applyFont="1" applyBorder="1" applyAlignment="1">
      <alignment horizontal="left" vertical="center" wrapText="1"/>
    </xf>
    <xf numFmtId="44" fontId="41" fillId="0" borderId="8" xfId="11" applyFont="1" applyFill="1" applyBorder="1" applyAlignment="1">
      <alignment horizontal="right" vertical="center" wrapText="1"/>
    </xf>
    <xf numFmtId="166" fontId="41" fillId="0" borderId="8" xfId="0" applyNumberFormat="1" applyFont="1" applyBorder="1" applyAlignment="1">
      <alignment horizontal="right" vertical="center" wrapText="1"/>
    </xf>
    <xf numFmtId="0" fontId="25" fillId="0" borderId="14" xfId="0" applyFont="1" applyBorder="1" applyAlignment="1">
      <alignment horizontal="left" vertical="center" wrapText="1"/>
    </xf>
    <xf numFmtId="0" fontId="25" fillId="0" borderId="17" xfId="0" applyFont="1" applyBorder="1" applyAlignment="1">
      <alignment horizontal="left" vertical="center" wrapText="1"/>
    </xf>
    <xf numFmtId="44" fontId="27" fillId="33" borderId="8" xfId="11" applyFont="1" applyFill="1" applyBorder="1" applyAlignment="1">
      <alignment horizontal="right" vertical="center" wrapText="1"/>
    </xf>
    <xf numFmtId="0" fontId="25" fillId="0" borderId="15" xfId="0" applyFont="1" applyBorder="1" applyAlignment="1">
      <alignment horizontal="left" vertical="center" wrapText="1"/>
    </xf>
    <xf numFmtId="0" fontId="25" fillId="0" borderId="20" xfId="0" applyFont="1" applyBorder="1" applyAlignment="1">
      <alignment horizontal="left" vertical="center" wrapText="1"/>
    </xf>
    <xf numFmtId="0" fontId="25" fillId="0" borderId="16" xfId="0" applyFont="1" applyBorder="1" applyAlignment="1">
      <alignment horizontal="left" vertical="center" wrapText="1"/>
    </xf>
    <xf numFmtId="0" fontId="21" fillId="36" borderId="14" xfId="0" applyFont="1" applyFill="1" applyBorder="1" applyAlignment="1">
      <alignment horizontal="center" vertical="center" wrapText="1"/>
    </xf>
    <xf numFmtId="0" fontId="21" fillId="36" borderId="17" xfId="0" applyFont="1" applyFill="1" applyBorder="1" applyAlignment="1">
      <alignment horizontal="center" vertical="center" wrapText="1"/>
    </xf>
    <xf numFmtId="0" fontId="21" fillId="36" borderId="18" xfId="0" applyFont="1" applyFill="1" applyBorder="1" applyAlignment="1">
      <alignment horizontal="center" vertical="center" wrapText="1"/>
    </xf>
    <xf numFmtId="0" fontId="25" fillId="0" borderId="14" xfId="0" applyFont="1" applyBorder="1" applyAlignment="1">
      <alignment horizontal="left" vertical="top" wrapText="1"/>
    </xf>
    <xf numFmtId="0" fontId="25" fillId="0" borderId="17" xfId="0" applyFont="1" applyBorder="1" applyAlignment="1">
      <alignment horizontal="left" vertical="top" wrapText="1"/>
    </xf>
    <xf numFmtId="0" fontId="25" fillId="0" borderId="12" xfId="0" applyFont="1" applyBorder="1" applyAlignment="1">
      <alignment horizontal="left" vertical="top" wrapText="1"/>
    </xf>
    <xf numFmtId="0" fontId="25" fillId="0" borderId="7" xfId="0" applyFont="1" applyBorder="1" applyAlignment="1">
      <alignment horizontal="left" vertical="top" wrapText="1"/>
    </xf>
    <xf numFmtId="0" fontId="27" fillId="33" borderId="9" xfId="0" applyFont="1" applyFill="1" applyBorder="1" applyAlignment="1">
      <alignment horizontal="left" vertical="center" wrapText="1"/>
    </xf>
    <xf numFmtId="0" fontId="27" fillId="33" borderId="12" xfId="0" applyFont="1" applyFill="1" applyBorder="1" applyAlignment="1">
      <alignment horizontal="left" vertical="center" wrapText="1"/>
    </xf>
    <xf numFmtId="0" fontId="27" fillId="33" borderId="7" xfId="0" applyFont="1" applyFill="1" applyBorder="1" applyAlignment="1">
      <alignment horizontal="left" vertical="center" wrapText="1"/>
    </xf>
    <xf numFmtId="166" fontId="41" fillId="0" borderId="8" xfId="0" quotePrefix="1" applyNumberFormat="1" applyFont="1" applyBorder="1" applyAlignment="1">
      <alignment horizontal="right" vertical="center" wrapText="1"/>
    </xf>
    <xf numFmtId="44" fontId="41" fillId="33" borderId="8" xfId="11" applyFont="1" applyFill="1" applyBorder="1" applyAlignment="1">
      <alignment horizontal="right" vertical="center" wrapText="1"/>
    </xf>
    <xf numFmtId="166" fontId="41" fillId="33" borderId="8" xfId="0" applyNumberFormat="1" applyFont="1" applyFill="1" applyBorder="1" applyAlignment="1">
      <alignment horizontal="right" vertical="center" wrapText="1"/>
    </xf>
    <xf numFmtId="10" fontId="41" fillId="0" borderId="8" xfId="13" applyNumberFormat="1" applyFont="1" applyFill="1" applyBorder="1" applyAlignment="1">
      <alignment horizontal="right" vertical="center" wrapText="1"/>
    </xf>
    <xf numFmtId="0" fontId="28" fillId="0" borderId="9" xfId="0" applyFont="1" applyBorder="1" applyAlignment="1">
      <alignment horizontal="left" vertical="center" wrapText="1"/>
    </xf>
    <xf numFmtId="0" fontId="28" fillId="0" borderId="12" xfId="0" applyFont="1" applyBorder="1" applyAlignment="1">
      <alignment horizontal="left" vertical="center" wrapText="1"/>
    </xf>
    <xf numFmtId="0" fontId="28" fillId="0" borderId="7" xfId="0" applyFont="1" applyBorder="1" applyAlignment="1">
      <alignment horizontal="left" vertical="center" wrapText="1"/>
    </xf>
    <xf numFmtId="0" fontId="24" fillId="0" borderId="10" xfId="0" applyFont="1" applyBorder="1" applyAlignment="1">
      <alignment horizontal="left" vertical="center" wrapText="1"/>
    </xf>
    <xf numFmtId="0" fontId="24" fillId="0" borderId="11" xfId="0" applyFont="1" applyBorder="1" applyAlignment="1">
      <alignment horizontal="left" vertical="center" wrapText="1"/>
    </xf>
    <xf numFmtId="166" fontId="27" fillId="34" borderId="8" xfId="0" applyNumberFormat="1" applyFont="1" applyFill="1" applyBorder="1" applyAlignment="1">
      <alignment horizontal="right" vertical="center" wrapText="1"/>
    </xf>
    <xf numFmtId="44" fontId="27" fillId="34" borderId="8" xfId="11" applyFont="1" applyFill="1" applyBorder="1" applyAlignment="1">
      <alignment horizontal="right" vertical="center" wrapText="1"/>
    </xf>
    <xf numFmtId="0" fontId="27" fillId="0" borderId="9" xfId="0" applyFont="1" applyBorder="1">
      <alignment vertical="top" wrapText="1"/>
    </xf>
    <xf numFmtId="0" fontId="27" fillId="0" borderId="12" xfId="0" applyFont="1" applyBorder="1">
      <alignment vertical="top" wrapText="1"/>
    </xf>
    <xf numFmtId="0" fontId="27" fillId="0" borderId="7" xfId="0" applyFont="1" applyBorder="1">
      <alignment vertical="top" wrapText="1"/>
    </xf>
    <xf numFmtId="0" fontId="28" fillId="38" borderId="9" xfId="0" applyFont="1" applyFill="1" applyBorder="1" applyAlignment="1">
      <alignment horizontal="left" vertical="center" wrapText="1"/>
    </xf>
    <xf numFmtId="0" fontId="28" fillId="38" borderId="12" xfId="0" applyFont="1" applyFill="1" applyBorder="1" applyAlignment="1">
      <alignment horizontal="left" vertical="center" wrapText="1"/>
    </xf>
    <xf numFmtId="0" fontId="28" fillId="38" borderId="7" xfId="0" applyFont="1" applyFill="1" applyBorder="1" applyAlignment="1">
      <alignment horizontal="left" vertical="center" wrapText="1"/>
    </xf>
    <xf numFmtId="0" fontId="27" fillId="0" borderId="9" xfId="0" applyFont="1" applyBorder="1" applyAlignment="1">
      <alignment horizontal="right" vertical="center" wrapText="1"/>
    </xf>
    <xf numFmtId="0" fontId="27" fillId="0" borderId="12" xfId="0" applyFont="1" applyBorder="1" applyAlignment="1">
      <alignment horizontal="right" vertical="center" wrapText="1"/>
    </xf>
    <xf numFmtId="0" fontId="27" fillId="0" borderId="7" xfId="0" applyFont="1" applyBorder="1" applyAlignment="1">
      <alignment horizontal="right" vertical="center" wrapText="1"/>
    </xf>
    <xf numFmtId="166" fontId="27" fillId="0" borderId="9" xfId="0" applyNumberFormat="1" applyFont="1" applyBorder="1" applyAlignment="1">
      <alignment horizontal="right" vertical="center" wrapText="1"/>
    </xf>
    <xf numFmtId="166" fontId="27" fillId="0" borderId="12" xfId="0" applyNumberFormat="1" applyFont="1" applyBorder="1" applyAlignment="1">
      <alignment horizontal="right" vertical="center" wrapText="1"/>
    </xf>
    <xf numFmtId="166" fontId="27" fillId="0" borderId="7" xfId="0" applyNumberFormat="1" applyFont="1" applyBorder="1" applyAlignment="1">
      <alignment horizontal="right" vertical="center" wrapText="1"/>
    </xf>
    <xf numFmtId="0" fontId="22" fillId="0" borderId="8" xfId="0" applyFont="1" applyBorder="1" applyAlignment="1">
      <alignment horizontal="center" vertical="center" wrapText="1"/>
    </xf>
    <xf numFmtId="0" fontId="28" fillId="0" borderId="8" xfId="0" applyFont="1" applyBorder="1" applyAlignment="1">
      <alignment horizontal="center" vertical="center" wrapText="1"/>
    </xf>
    <xf numFmtId="0" fontId="22" fillId="0" borderId="8" xfId="0" applyFont="1" applyBorder="1" applyAlignment="1">
      <alignment horizontal="left" vertical="center" wrapText="1"/>
    </xf>
    <xf numFmtId="166" fontId="27" fillId="0" borderId="8" xfId="0" applyNumberFormat="1" applyFont="1" applyBorder="1" applyAlignment="1">
      <alignment vertical="center" wrapText="1"/>
    </xf>
    <xf numFmtId="166" fontId="27" fillId="33" borderId="8" xfId="0" applyNumberFormat="1" applyFont="1" applyFill="1" applyBorder="1" applyAlignment="1">
      <alignment vertical="center" wrapText="1"/>
    </xf>
    <xf numFmtId="0" fontId="25" fillId="0" borderId="8" xfId="0" applyFont="1" applyBorder="1" applyAlignment="1">
      <alignment horizontal="left" vertical="center"/>
    </xf>
    <xf numFmtId="0" fontId="27" fillId="0" borderId="8" xfId="0" applyFont="1" applyBorder="1" applyAlignment="1">
      <alignment horizontal="left" vertical="center"/>
    </xf>
    <xf numFmtId="0" fontId="22" fillId="33" borderId="8" xfId="0" applyFont="1" applyFill="1" applyBorder="1" applyAlignment="1">
      <alignment horizontal="center" vertical="center" wrapText="1"/>
    </xf>
    <xf numFmtId="0" fontId="28" fillId="0" borderId="8" xfId="2" applyFont="1" applyFill="1" applyBorder="1" applyAlignment="1">
      <alignment horizontal="center" vertical="center" wrapText="1"/>
    </xf>
    <xf numFmtId="10" fontId="27" fillId="0" borderId="8" xfId="13" applyNumberFormat="1" applyFont="1" applyFill="1" applyBorder="1" applyAlignment="1">
      <alignment vertical="center" wrapText="1"/>
    </xf>
    <xf numFmtId="0" fontId="25" fillId="33" borderId="8" xfId="0" applyFont="1" applyFill="1" applyBorder="1" applyAlignment="1">
      <alignment horizontal="left" vertical="center"/>
    </xf>
    <xf numFmtId="0" fontId="27" fillId="33" borderId="8" xfId="0" applyFont="1" applyFill="1" applyBorder="1" applyAlignment="1">
      <alignment horizontal="left" vertical="center" wrapText="1"/>
    </xf>
    <xf numFmtId="0" fontId="22" fillId="33" borderId="8" xfId="0" applyFont="1" applyFill="1" applyBorder="1" applyAlignment="1">
      <alignment horizontal="left" vertical="center" wrapText="1"/>
    </xf>
    <xf numFmtId="0" fontId="27" fillId="33" borderId="8" xfId="0" applyFont="1" applyFill="1" applyBorder="1" applyAlignment="1">
      <alignment horizontal="left" vertical="center"/>
    </xf>
    <xf numFmtId="0" fontId="25" fillId="0" borderId="8" xfId="0" applyFont="1" applyBorder="1" applyAlignment="1">
      <alignment horizontal="left" vertical="center" wrapText="1"/>
    </xf>
    <xf numFmtId="0" fontId="28" fillId="0" borderId="8" xfId="0" applyFont="1" applyBorder="1" applyAlignment="1">
      <alignment horizontal="left" vertical="center" wrapText="1"/>
    </xf>
    <xf numFmtId="0" fontId="28" fillId="33" borderId="8" xfId="0" applyFont="1" applyFill="1" applyBorder="1" applyAlignment="1">
      <alignment horizontal="left" vertical="center" wrapText="1"/>
    </xf>
    <xf numFmtId="0" fontId="28" fillId="33" borderId="8" xfId="0" applyFont="1" applyFill="1" applyBorder="1" applyAlignment="1">
      <alignment horizontal="left" vertical="center"/>
    </xf>
    <xf numFmtId="169" fontId="27" fillId="0" borderId="8" xfId="13" applyNumberFormat="1" applyFont="1" applyFill="1" applyBorder="1" applyAlignment="1">
      <alignment vertical="center" wrapText="1"/>
    </xf>
    <xf numFmtId="0" fontId="28" fillId="33" borderId="8" xfId="2" applyFont="1" applyFill="1" applyBorder="1" applyAlignment="1">
      <alignment horizontal="center" vertical="center" wrapText="1"/>
    </xf>
    <xf numFmtId="0" fontId="22" fillId="0" borderId="8" xfId="0" applyFont="1" applyBorder="1" applyAlignment="1">
      <alignment horizontal="left" vertical="center"/>
    </xf>
    <xf numFmtId="169" fontId="27" fillId="33" borderId="8" xfId="13" applyNumberFormat="1" applyFont="1" applyFill="1" applyBorder="1" applyAlignment="1">
      <alignment vertical="center" wrapText="1"/>
    </xf>
    <xf numFmtId="166" fontId="22" fillId="0" borderId="8" xfId="0" applyNumberFormat="1" applyFont="1" applyBorder="1" applyAlignment="1">
      <alignment vertical="center" wrapText="1"/>
    </xf>
    <xf numFmtId="0" fontId="28" fillId="0" borderId="8" xfId="0" applyFont="1" applyBorder="1" applyAlignment="1">
      <alignment horizontal="left" vertical="center"/>
    </xf>
    <xf numFmtId="0" fontId="27" fillId="0" borderId="8" xfId="0" quotePrefix="1" applyFont="1" applyBorder="1" applyAlignment="1">
      <alignment horizontal="left" vertical="center" wrapText="1"/>
    </xf>
    <xf numFmtId="0" fontId="28" fillId="0" borderId="8" xfId="2" applyFont="1" applyFill="1" applyBorder="1" applyAlignment="1">
      <alignment horizontal="left" vertical="center"/>
    </xf>
    <xf numFmtId="0" fontId="24" fillId="33" borderId="8" xfId="0" applyFont="1" applyFill="1" applyBorder="1" applyAlignment="1">
      <alignment horizontal="left" vertical="center" wrapText="1"/>
    </xf>
    <xf numFmtId="0" fontId="21" fillId="37" borderId="9" xfId="1" applyFont="1" applyFill="1" applyBorder="1" applyAlignment="1">
      <alignment horizontal="center" vertical="center"/>
    </xf>
    <xf numFmtId="0" fontId="21" fillId="37" borderId="12" xfId="1" applyFont="1" applyFill="1" applyBorder="1" applyAlignment="1">
      <alignment horizontal="center" vertical="center"/>
    </xf>
    <xf numFmtId="0" fontId="32" fillId="0" borderId="8" xfId="49" applyFont="1" applyBorder="1" applyAlignment="1">
      <alignment horizontal="center" vertical="center" wrapText="1"/>
    </xf>
    <xf numFmtId="0" fontId="32" fillId="0" borderId="8" xfId="49" applyFont="1" applyFill="1" applyBorder="1" applyAlignment="1">
      <alignment horizontal="center" vertical="center" wrapText="1"/>
    </xf>
    <xf numFmtId="0" fontId="28" fillId="33" borderId="9" xfId="0" applyFont="1" applyFill="1" applyBorder="1" applyAlignment="1">
      <alignment horizontal="left" vertical="top" wrapText="1"/>
    </xf>
    <xf numFmtId="0" fontId="28" fillId="33" borderId="12" xfId="0" applyFont="1" applyFill="1" applyBorder="1" applyAlignment="1">
      <alignment horizontal="left" vertical="top" wrapText="1"/>
    </xf>
    <xf numFmtId="0" fontId="28" fillId="33" borderId="7" xfId="0" applyFont="1" applyFill="1" applyBorder="1" applyAlignment="1">
      <alignment horizontal="left" vertical="top" wrapText="1"/>
    </xf>
    <xf numFmtId="0" fontId="28" fillId="33" borderId="14" xfId="0" applyFont="1" applyFill="1" applyBorder="1" applyAlignment="1">
      <alignment horizontal="center" vertical="top" wrapText="1"/>
    </xf>
    <xf numFmtId="0" fontId="28" fillId="33" borderId="17" xfId="0" applyFont="1" applyFill="1" applyBorder="1" applyAlignment="1">
      <alignment horizontal="center" vertical="top" wrapText="1"/>
    </xf>
    <xf numFmtId="0" fontId="28" fillId="33" borderId="18" xfId="0" applyFont="1" applyFill="1" applyBorder="1" applyAlignment="1">
      <alignment horizontal="center" vertical="top" wrapText="1"/>
    </xf>
    <xf numFmtId="0" fontId="28" fillId="33" borderId="21" xfId="0" applyFont="1" applyFill="1" applyBorder="1" applyAlignment="1">
      <alignment horizontal="center" vertical="top" wrapText="1"/>
    </xf>
    <xf numFmtId="0" fontId="28" fillId="33" borderId="0" xfId="0" applyFont="1" applyFill="1" applyAlignment="1">
      <alignment horizontal="center" vertical="top" wrapText="1"/>
    </xf>
    <xf numFmtId="0" fontId="28" fillId="33" borderId="19" xfId="0" applyFont="1" applyFill="1" applyBorder="1" applyAlignment="1">
      <alignment horizontal="center" vertical="top" wrapText="1"/>
    </xf>
    <xf numFmtId="0" fontId="28" fillId="33" borderId="15" xfId="0" applyFont="1" applyFill="1" applyBorder="1" applyAlignment="1">
      <alignment horizontal="center" vertical="top" wrapText="1"/>
    </xf>
    <xf numFmtId="0" fontId="28" fillId="33" borderId="20" xfId="0" applyFont="1" applyFill="1" applyBorder="1" applyAlignment="1">
      <alignment horizontal="center" vertical="top" wrapText="1"/>
    </xf>
    <xf numFmtId="0" fontId="28" fillId="33" borderId="16" xfId="0" applyFont="1" applyFill="1" applyBorder="1" applyAlignment="1">
      <alignment horizontal="center" vertical="top" wrapText="1"/>
    </xf>
    <xf numFmtId="0" fontId="28" fillId="33" borderId="9" xfId="0" applyFont="1" applyFill="1" applyBorder="1" applyAlignment="1">
      <alignment horizontal="left" vertical="center" wrapText="1"/>
    </xf>
    <xf numFmtId="0" fontId="28" fillId="33" borderId="12" xfId="0" applyFont="1" applyFill="1" applyBorder="1" applyAlignment="1">
      <alignment horizontal="left" vertical="center" wrapText="1"/>
    </xf>
    <xf numFmtId="0" fontId="28" fillId="33" borderId="7" xfId="0" applyFont="1" applyFill="1" applyBorder="1" applyAlignment="1">
      <alignment horizontal="left" vertical="center" wrapText="1"/>
    </xf>
    <xf numFmtId="0" fontId="22" fillId="0" borderId="10" xfId="0" applyFont="1" applyBorder="1" applyAlignment="1">
      <alignment horizontal="left" vertical="center" wrapText="1"/>
    </xf>
    <xf numFmtId="0" fontId="22" fillId="0" borderId="11" xfId="0" applyFont="1" applyBorder="1" applyAlignment="1">
      <alignment horizontal="left" vertical="center" wrapText="1"/>
    </xf>
    <xf numFmtId="0" fontId="22" fillId="0" borderId="13" xfId="0" applyFont="1" applyBorder="1" applyAlignment="1">
      <alignment horizontal="left" vertical="center" wrapText="1"/>
    </xf>
    <xf numFmtId="0" fontId="28" fillId="33" borderId="14" xfId="0" applyFont="1" applyFill="1" applyBorder="1" applyAlignment="1">
      <alignment horizontal="center" vertical="center" wrapText="1"/>
    </xf>
    <xf numFmtId="0" fontId="28" fillId="33" borderId="18" xfId="0" applyFont="1" applyFill="1" applyBorder="1" applyAlignment="1">
      <alignment horizontal="center" vertical="center" wrapText="1"/>
    </xf>
    <xf numFmtId="0" fontId="28" fillId="33" borderId="21" xfId="0" applyFont="1" applyFill="1" applyBorder="1" applyAlignment="1">
      <alignment horizontal="center" vertical="center" wrapText="1"/>
    </xf>
    <xf numFmtId="0" fontId="28" fillId="33" borderId="19" xfId="0" applyFont="1" applyFill="1" applyBorder="1" applyAlignment="1">
      <alignment horizontal="center" vertical="center" wrapText="1"/>
    </xf>
    <xf numFmtId="0" fontId="28" fillId="33" borderId="15" xfId="0" applyFont="1" applyFill="1" applyBorder="1" applyAlignment="1">
      <alignment horizontal="center" vertical="center" wrapText="1"/>
    </xf>
    <xf numFmtId="0" fontId="28" fillId="33" borderId="16" xfId="0" applyFont="1" applyFill="1" applyBorder="1" applyAlignment="1">
      <alignment horizontal="center" vertical="center" wrapText="1"/>
    </xf>
    <xf numFmtId="0" fontId="22" fillId="0" borderId="10" xfId="0" applyFont="1" applyBorder="1" applyAlignment="1">
      <alignment horizontal="center" vertical="center" wrapText="1"/>
    </xf>
    <xf numFmtId="0" fontId="22" fillId="0" borderId="13" xfId="0" applyFont="1" applyBorder="1" applyAlignment="1">
      <alignment horizontal="center" vertical="center" wrapText="1"/>
    </xf>
    <xf numFmtId="0" fontId="22" fillId="0" borderId="11" xfId="0" applyFont="1" applyBorder="1" applyAlignment="1">
      <alignment horizontal="center" vertical="center" wrapText="1"/>
    </xf>
    <xf numFmtId="3" fontId="22" fillId="33" borderId="9" xfId="0" applyNumberFormat="1" applyFont="1" applyFill="1" applyBorder="1" applyAlignment="1">
      <alignment horizontal="right" vertical="center" wrapText="1"/>
    </xf>
    <xf numFmtId="3" fontId="22" fillId="33" borderId="12" xfId="0" applyNumberFormat="1" applyFont="1" applyFill="1" applyBorder="1" applyAlignment="1">
      <alignment horizontal="right" vertical="center" wrapText="1"/>
    </xf>
    <xf numFmtId="3" fontId="22" fillId="33" borderId="7" xfId="0" applyNumberFormat="1" applyFont="1" applyFill="1" applyBorder="1" applyAlignment="1">
      <alignment horizontal="right" vertical="center" wrapText="1"/>
    </xf>
    <xf numFmtId="166" fontId="22" fillId="33" borderId="9" xfId="0" applyNumberFormat="1" applyFont="1" applyFill="1" applyBorder="1" applyAlignment="1">
      <alignment horizontal="right" vertical="center"/>
    </xf>
    <xf numFmtId="166" fontId="22" fillId="33" borderId="12" xfId="0" applyNumberFormat="1" applyFont="1" applyFill="1" applyBorder="1" applyAlignment="1">
      <alignment horizontal="right" vertical="center"/>
    </xf>
    <xf numFmtId="166" fontId="22" fillId="33" borderId="7" xfId="0" applyNumberFormat="1" applyFont="1" applyFill="1" applyBorder="1" applyAlignment="1">
      <alignment horizontal="right" vertical="center"/>
    </xf>
    <xf numFmtId="0" fontId="28" fillId="33" borderId="8" xfId="0" applyFont="1" applyFill="1" applyBorder="1" applyAlignment="1">
      <alignment horizontal="center" vertical="center" wrapText="1"/>
    </xf>
    <xf numFmtId="0" fontId="28" fillId="33" borderId="8" xfId="0" applyFont="1" applyFill="1" applyBorder="1" applyAlignment="1">
      <alignment horizontal="left" vertical="top" wrapText="1"/>
    </xf>
    <xf numFmtId="44" fontId="22" fillId="33" borderId="9" xfId="11" applyFont="1" applyFill="1" applyBorder="1" applyAlignment="1">
      <alignment horizontal="center" vertical="center"/>
    </xf>
    <xf numFmtId="44" fontId="22" fillId="33" borderId="12" xfId="11" applyFont="1" applyFill="1" applyBorder="1" applyAlignment="1">
      <alignment horizontal="center" vertical="center"/>
    </xf>
    <xf numFmtId="44" fontId="22" fillId="33" borderId="7" xfId="11" applyFont="1" applyFill="1" applyBorder="1" applyAlignment="1">
      <alignment horizontal="center" vertical="center"/>
    </xf>
    <xf numFmtId="0" fontId="28" fillId="33" borderId="9" xfId="0" applyFont="1" applyFill="1" applyBorder="1" applyAlignment="1">
      <alignment horizontal="center" vertical="center" wrapText="1"/>
    </xf>
    <xf numFmtId="0" fontId="28" fillId="33" borderId="7" xfId="0" applyFont="1" applyFill="1" applyBorder="1" applyAlignment="1">
      <alignment horizontal="center" vertical="center" wrapText="1"/>
    </xf>
    <xf numFmtId="44" fontId="22" fillId="33" borderId="9" xfId="11" applyFont="1" applyFill="1" applyBorder="1" applyAlignment="1">
      <alignment horizontal="right" vertical="center" wrapText="1"/>
    </xf>
    <xf numFmtId="44" fontId="22" fillId="33" borderId="12" xfId="11" applyFont="1" applyFill="1" applyBorder="1" applyAlignment="1">
      <alignment horizontal="right" vertical="center" wrapText="1"/>
    </xf>
    <xf numFmtId="44" fontId="22" fillId="33" borderId="7" xfId="11" applyFont="1" applyFill="1" applyBorder="1" applyAlignment="1">
      <alignment horizontal="right" vertical="center" wrapText="1"/>
    </xf>
    <xf numFmtId="0" fontId="22" fillId="33" borderId="10" xfId="0" applyFont="1" applyFill="1" applyBorder="1" applyAlignment="1">
      <alignment horizontal="center" vertical="center"/>
    </xf>
    <xf numFmtId="0" fontId="22" fillId="33" borderId="13" xfId="0" applyFont="1" applyFill="1" applyBorder="1" applyAlignment="1">
      <alignment horizontal="center" vertical="center"/>
    </xf>
    <xf numFmtId="0" fontId="28" fillId="0" borderId="9" xfId="0" applyFont="1" applyBorder="1" applyAlignment="1">
      <alignment horizontal="center" vertical="center" wrapText="1"/>
    </xf>
    <xf numFmtId="0" fontId="28" fillId="0" borderId="7" xfId="0" applyFont="1" applyBorder="1" applyAlignment="1">
      <alignment horizontal="center" vertical="center" wrapText="1"/>
    </xf>
    <xf numFmtId="0" fontId="28" fillId="0" borderId="12" xfId="0" applyFont="1" applyBorder="1" applyAlignment="1">
      <alignment horizontal="center" vertical="center" wrapText="1"/>
    </xf>
    <xf numFmtId="0" fontId="27" fillId="0" borderId="8" xfId="0" applyFont="1" applyBorder="1" applyAlignment="1">
      <alignment horizontal="center" vertical="top" wrapText="1"/>
    </xf>
    <xf numFmtId="0" fontId="25" fillId="0" borderId="8" xfId="0" applyFont="1" applyBorder="1" applyAlignment="1">
      <alignment horizontal="left" vertical="top" wrapText="1"/>
    </xf>
    <xf numFmtId="0" fontId="25" fillId="0" borderId="10" xfId="0" applyFont="1" applyBorder="1" applyAlignment="1">
      <alignment horizontal="center" vertical="top" wrapText="1"/>
    </xf>
    <xf numFmtId="0" fontId="25" fillId="0" borderId="11" xfId="0" applyFont="1" applyBorder="1" applyAlignment="1">
      <alignment horizontal="center" vertical="top" wrapText="1"/>
    </xf>
    <xf numFmtId="0" fontId="42" fillId="0" borderId="8" xfId="0" applyFont="1" applyBorder="1" applyAlignment="1">
      <alignment horizontal="left" vertical="top" wrapText="1"/>
    </xf>
    <xf numFmtId="0" fontId="27" fillId="0" borderId="10" xfId="0" applyFont="1" applyBorder="1" applyAlignment="1">
      <alignment horizontal="center" vertical="top" wrapText="1"/>
    </xf>
    <xf numFmtId="0" fontId="27" fillId="0" borderId="11" xfId="0" applyFont="1" applyBorder="1" applyAlignment="1">
      <alignment horizontal="center" vertical="top" wrapText="1"/>
    </xf>
    <xf numFmtId="0" fontId="0" fillId="0" borderId="12" xfId="0" applyBorder="1" applyAlignment="1">
      <alignment horizontal="left" vertical="top" wrapText="1"/>
    </xf>
    <xf numFmtId="0" fontId="0" fillId="0" borderId="7" xfId="0" applyBorder="1" applyAlignment="1">
      <alignment horizontal="left" vertical="top" wrapText="1"/>
    </xf>
    <xf numFmtId="0" fontId="25" fillId="0" borderId="9" xfId="0" applyFont="1" applyBorder="1" applyAlignment="1">
      <alignment horizontal="left" vertical="top" wrapText="1"/>
    </xf>
    <xf numFmtId="0" fontId="25" fillId="33" borderId="9" xfId="0" applyFont="1" applyFill="1" applyBorder="1" applyAlignment="1">
      <alignment horizontal="left" vertical="top" wrapText="1"/>
    </xf>
    <xf numFmtId="0" fontId="0" fillId="33" borderId="12" xfId="0" applyFill="1" applyBorder="1" applyAlignment="1">
      <alignment horizontal="left" vertical="top" wrapText="1"/>
    </xf>
    <xf numFmtId="0" fontId="0" fillId="33" borderId="7" xfId="0" applyFill="1" applyBorder="1" applyAlignment="1">
      <alignment horizontal="left" vertical="top" wrapText="1"/>
    </xf>
    <xf numFmtId="0" fontId="27" fillId="33" borderId="9" xfId="0" applyFont="1" applyFill="1" applyBorder="1" applyAlignment="1">
      <alignment horizontal="left" vertical="top" wrapText="1"/>
    </xf>
    <xf numFmtId="0" fontId="27" fillId="33" borderId="12" xfId="0" applyFont="1" applyFill="1" applyBorder="1" applyAlignment="1">
      <alignment horizontal="left" vertical="top" wrapText="1"/>
    </xf>
    <xf numFmtId="0" fontId="43" fillId="0" borderId="9" xfId="0" applyFont="1" applyBorder="1" applyAlignment="1">
      <alignment horizontal="left" vertical="top" wrapText="1"/>
    </xf>
    <xf numFmtId="0" fontId="43" fillId="0" borderId="12" xfId="0" applyFont="1" applyBorder="1" applyAlignment="1">
      <alignment horizontal="left" vertical="top" wrapText="1"/>
    </xf>
    <xf numFmtId="0" fontId="25" fillId="0" borderId="8" xfId="0" applyFont="1" applyBorder="1" applyAlignment="1">
      <alignment horizontal="center" vertical="top" wrapText="1"/>
    </xf>
    <xf numFmtId="0" fontId="27" fillId="33" borderId="7" xfId="0" applyFont="1" applyFill="1" applyBorder="1" applyAlignment="1">
      <alignment horizontal="left" vertical="top" wrapText="1"/>
    </xf>
    <xf numFmtId="0" fontId="25" fillId="38" borderId="9" xfId="0" applyFont="1" applyFill="1" applyBorder="1" applyAlignment="1">
      <alignment horizontal="left" vertical="top" wrapText="1"/>
    </xf>
    <xf numFmtId="0" fontId="25" fillId="38" borderId="12" xfId="0" applyFont="1" applyFill="1" applyBorder="1" applyAlignment="1">
      <alignment horizontal="left" vertical="top" wrapText="1"/>
    </xf>
    <xf numFmtId="0" fontId="25" fillId="38" borderId="7" xfId="0" applyFont="1" applyFill="1" applyBorder="1" applyAlignment="1">
      <alignment horizontal="left" vertical="top" wrapText="1"/>
    </xf>
    <xf numFmtId="0" fontId="24" fillId="0" borderId="10" xfId="0" applyFont="1" applyBorder="1" applyAlignment="1">
      <alignment horizontal="left" vertical="top" wrapText="1"/>
    </xf>
    <xf numFmtId="0" fontId="24" fillId="0" borderId="13" xfId="0" applyFont="1" applyBorder="1" applyAlignment="1">
      <alignment horizontal="left" vertical="top" wrapText="1"/>
    </xf>
    <xf numFmtId="0" fontId="24" fillId="0" borderId="11" xfId="0" applyFont="1" applyBorder="1" applyAlignment="1">
      <alignment horizontal="left" vertical="top" wrapText="1"/>
    </xf>
    <xf numFmtId="0" fontId="20" fillId="0" borderId="10" xfId="0" applyFont="1" applyBorder="1" applyAlignment="1">
      <alignment horizontal="center" vertical="center" wrapText="1"/>
    </xf>
    <xf numFmtId="0" fontId="20" fillId="0" borderId="11" xfId="0" applyFont="1" applyBorder="1" applyAlignment="1">
      <alignment horizontal="center" vertical="center" wrapText="1"/>
    </xf>
    <xf numFmtId="0" fontId="27" fillId="33" borderId="10" xfId="0" applyFont="1" applyFill="1" applyBorder="1" applyAlignment="1">
      <alignment horizontal="center" vertical="center" wrapText="1"/>
    </xf>
    <xf numFmtId="0" fontId="27" fillId="33" borderId="13" xfId="0" applyFont="1" applyFill="1" applyBorder="1" applyAlignment="1">
      <alignment horizontal="center" vertical="center" wrapText="1"/>
    </xf>
    <xf numFmtId="0" fontId="27" fillId="33" borderId="11" xfId="0" applyFont="1" applyFill="1" applyBorder="1" applyAlignment="1">
      <alignment horizontal="center" vertical="center" wrapText="1"/>
    </xf>
    <xf numFmtId="0" fontId="27" fillId="33" borderId="14" xfId="0" applyFont="1" applyFill="1" applyBorder="1" applyAlignment="1">
      <alignment horizontal="left" vertical="top" wrapText="1"/>
    </xf>
    <xf numFmtId="0" fontId="27" fillId="33" borderId="17" xfId="0" applyFont="1" applyFill="1" applyBorder="1" applyAlignment="1">
      <alignment horizontal="left" vertical="top" wrapText="1"/>
    </xf>
    <xf numFmtId="0" fontId="44" fillId="0" borderId="10" xfId="0" applyFont="1" applyBorder="1" applyAlignment="1">
      <alignment horizontal="left" vertical="top" wrapText="1"/>
    </xf>
    <xf numFmtId="0" fontId="44" fillId="0" borderId="13" xfId="0" applyFont="1" applyBorder="1" applyAlignment="1">
      <alignment horizontal="left" vertical="top" wrapText="1"/>
    </xf>
    <xf numFmtId="0" fontId="44" fillId="0" borderId="11" xfId="0" applyFont="1" applyBorder="1" applyAlignment="1">
      <alignment horizontal="left" vertical="top" wrapText="1"/>
    </xf>
    <xf numFmtId="0" fontId="25" fillId="0" borderId="11" xfId="0" applyFont="1" applyBorder="1" applyAlignment="1">
      <alignment horizontal="left" vertical="top" wrapText="1"/>
    </xf>
    <xf numFmtId="0" fontId="27" fillId="0" borderId="20" xfId="0" applyFont="1" applyBorder="1" applyAlignment="1">
      <alignment horizontal="center" vertical="top" wrapText="1"/>
    </xf>
    <xf numFmtId="0" fontId="27" fillId="0" borderId="16" xfId="0" applyFont="1" applyBorder="1" applyAlignment="1">
      <alignment horizontal="center" vertical="top" wrapText="1"/>
    </xf>
    <xf numFmtId="0" fontId="25" fillId="0" borderId="14" xfId="0" applyFont="1" applyBorder="1" applyAlignment="1">
      <alignment horizontal="center" vertical="center" wrapText="1"/>
    </xf>
    <xf numFmtId="0" fontId="25" fillId="0" borderId="18" xfId="0" applyFont="1" applyBorder="1" applyAlignment="1">
      <alignment horizontal="center" vertical="center" wrapText="1"/>
    </xf>
    <xf numFmtId="0" fontId="25" fillId="0" borderId="21" xfId="0" applyFont="1" applyBorder="1" applyAlignment="1">
      <alignment horizontal="center" vertical="center" wrapText="1"/>
    </xf>
    <xf numFmtId="0" fontId="25" fillId="0" borderId="19" xfId="0" applyFont="1" applyBorder="1" applyAlignment="1">
      <alignment horizontal="center" vertical="center" wrapText="1"/>
    </xf>
    <xf numFmtId="0" fontId="24" fillId="0" borderId="8" xfId="0" applyFont="1" applyBorder="1" applyAlignment="1">
      <alignment horizontal="left" vertical="top" wrapText="1"/>
    </xf>
    <xf numFmtId="0" fontId="25" fillId="0" borderId="10" xfId="0" applyFont="1" applyBorder="1" applyAlignment="1">
      <alignment horizontal="center" vertical="center" wrapText="1"/>
    </xf>
    <xf numFmtId="0" fontId="25" fillId="0" borderId="13" xfId="0" applyFont="1" applyBorder="1" applyAlignment="1">
      <alignment horizontal="center" vertical="center" wrapText="1"/>
    </xf>
    <xf numFmtId="0" fontId="19" fillId="0" borderId="10" xfId="0" applyFont="1" applyBorder="1" applyAlignment="1">
      <alignment horizontal="center" vertical="top" wrapText="1"/>
    </xf>
    <xf numFmtId="0" fontId="19" fillId="0" borderId="13" xfId="0" applyFont="1" applyBorder="1" applyAlignment="1">
      <alignment horizontal="center" vertical="top" wrapText="1"/>
    </xf>
    <xf numFmtId="0" fontId="25" fillId="35" borderId="9" xfId="2" applyFont="1" applyFill="1" applyBorder="1" applyAlignment="1">
      <alignment horizontal="left" vertical="center" wrapText="1"/>
    </xf>
    <xf numFmtId="0" fontId="25" fillId="35" borderId="7" xfId="2" applyFont="1" applyFill="1" applyBorder="1" applyAlignment="1">
      <alignment horizontal="left" vertical="center" wrapText="1"/>
    </xf>
    <xf numFmtId="0" fontId="23" fillId="0" borderId="11" xfId="0" applyFont="1" applyBorder="1" applyAlignment="1">
      <alignment horizontal="left" vertical="center" wrapText="1"/>
    </xf>
    <xf numFmtId="0" fontId="24" fillId="0" borderId="13" xfId="0" applyFont="1" applyBorder="1" applyAlignment="1">
      <alignment horizontal="left" vertical="center" wrapText="1"/>
    </xf>
    <xf numFmtId="0" fontId="27" fillId="0" borderId="14" xfId="0" applyFont="1" applyBorder="1" applyAlignment="1">
      <alignment horizontal="left" vertical="center" wrapText="1"/>
    </xf>
    <xf numFmtId="0" fontId="27" fillId="0" borderId="18" xfId="0" applyFont="1" applyBorder="1" applyAlignment="1">
      <alignment horizontal="left" vertical="center" wrapText="1"/>
    </xf>
    <xf numFmtId="0" fontId="27" fillId="0" borderId="16" xfId="0" applyFont="1" applyBorder="1" applyAlignment="1">
      <alignment horizontal="left" vertical="center" wrapText="1"/>
    </xf>
    <xf numFmtId="0" fontId="25" fillId="0" borderId="18" xfId="0" applyFont="1" applyBorder="1" applyAlignment="1">
      <alignment horizontal="left" vertical="center" wrapText="1"/>
    </xf>
    <xf numFmtId="3" fontId="27" fillId="0" borderId="9" xfId="0" applyNumberFormat="1" applyFont="1" applyBorder="1" applyAlignment="1">
      <alignment horizontal="right" vertical="center" wrapText="1"/>
    </xf>
    <xf numFmtId="3" fontId="27" fillId="0" borderId="7" xfId="0" applyNumberFormat="1" applyFont="1" applyBorder="1" applyAlignment="1">
      <alignment horizontal="right" vertical="center" wrapText="1"/>
    </xf>
    <xf numFmtId="0" fontId="24" fillId="0" borderId="18" xfId="0" applyFont="1" applyBorder="1" applyAlignment="1">
      <alignment horizontal="left" vertical="center" wrapText="1"/>
    </xf>
    <xf numFmtId="0" fontId="24" fillId="0" borderId="16" xfId="0" applyFont="1" applyBorder="1" applyAlignment="1">
      <alignment horizontal="left" vertical="center" wrapText="1"/>
    </xf>
    <xf numFmtId="3" fontId="27" fillId="0" borderId="9" xfId="0" applyNumberFormat="1" applyFont="1" applyBorder="1" applyAlignment="1">
      <alignment horizontal="left" vertical="center" wrapText="1"/>
    </xf>
    <xf numFmtId="3" fontId="27" fillId="0" borderId="7" xfId="0" applyNumberFormat="1" applyFont="1" applyBorder="1" applyAlignment="1">
      <alignment horizontal="left" vertical="center" wrapText="1"/>
    </xf>
    <xf numFmtId="0" fontId="21" fillId="37" borderId="7" xfId="1" applyFont="1" applyFill="1" applyBorder="1" applyAlignment="1">
      <alignment horizontal="center" vertical="center"/>
    </xf>
    <xf numFmtId="0" fontId="25" fillId="0" borderId="14" xfId="0" quotePrefix="1" applyFont="1" applyBorder="1" applyAlignment="1">
      <alignment horizontal="left" vertical="center" wrapText="1"/>
    </xf>
  </cellXfs>
  <cellStyles count="76">
    <cellStyle name="20% - Accent1" xfId="26" builtinId="30" customBuiltin="1"/>
    <cellStyle name="20% - Accent1 2" xfId="58" xr:uid="{8D1DD00D-EFD2-47F7-85D2-E39DB8008922}"/>
    <cellStyle name="20% - Accent2" xfId="30" builtinId="34" customBuiltin="1"/>
    <cellStyle name="20% - Accent2 2" xfId="61" xr:uid="{50616E83-1455-4609-8E69-CEFA4EBD04E9}"/>
    <cellStyle name="20% - Accent3" xfId="34" builtinId="38" customBuiltin="1"/>
    <cellStyle name="20% - Accent3 2" xfId="64" xr:uid="{187A5BBE-F15E-43B7-BD25-A4F8B8A891DC}"/>
    <cellStyle name="20% - Accent4" xfId="38" builtinId="42" customBuiltin="1"/>
    <cellStyle name="20% - Accent4 2" xfId="67" xr:uid="{DBCF897D-959B-42AC-B002-733E81D9C02D}"/>
    <cellStyle name="20% - Accent5" xfId="42" builtinId="46" customBuiltin="1"/>
    <cellStyle name="20% - Accent5 2" xfId="70" xr:uid="{F334931C-0516-43D6-9C0B-F4776E0BC455}"/>
    <cellStyle name="20% - Accent6" xfId="46" builtinId="50" customBuiltin="1"/>
    <cellStyle name="20% - Accent6 2" xfId="73" xr:uid="{3E1E73C2-75B2-46CE-BFCD-FC6D3168B3DF}"/>
    <cellStyle name="40% - Accent1" xfId="27" builtinId="31" customBuiltin="1"/>
    <cellStyle name="40% - Accent1 2" xfId="59" xr:uid="{3879108F-6C6E-4ADA-A249-60AC57BECEAA}"/>
    <cellStyle name="40% - Accent2" xfId="31" builtinId="35" customBuiltin="1"/>
    <cellStyle name="40% - Accent2 2" xfId="62" xr:uid="{95B1A358-8124-485F-942D-6F29D777375D}"/>
    <cellStyle name="40% - Accent3" xfId="35" builtinId="39" customBuiltin="1"/>
    <cellStyle name="40% - Accent3 2" xfId="65" xr:uid="{303747D6-887B-40CF-B810-49313CD1466D}"/>
    <cellStyle name="40% - Accent4" xfId="39" builtinId="43" customBuiltin="1"/>
    <cellStyle name="40% - Accent4 2" xfId="68" xr:uid="{582C462D-DBD0-4A54-8F4E-CD6C25B62B52}"/>
    <cellStyle name="40% - Accent5" xfId="43" builtinId="47" customBuiltin="1"/>
    <cellStyle name="40% - Accent5 2" xfId="71" xr:uid="{B3739DBE-2689-44BF-B118-FACB734406AF}"/>
    <cellStyle name="40% - Accent6" xfId="47" builtinId="51" customBuiltin="1"/>
    <cellStyle name="40% - Accent6 2" xfId="74" xr:uid="{33FA8B9D-BE49-408B-BE0D-E1D86B0D6BC0}"/>
    <cellStyle name="60% - Accent1" xfId="28" builtinId="32" customBuiltin="1"/>
    <cellStyle name="60% - Accent1 2" xfId="60" xr:uid="{05F22D92-4C25-44EA-BD4F-E500C936F9FB}"/>
    <cellStyle name="60% - Accent2" xfId="32" builtinId="36" customBuiltin="1"/>
    <cellStyle name="60% - Accent2 2" xfId="63" xr:uid="{D602FB0A-FC41-4547-AE5C-D4D29DBE32DD}"/>
    <cellStyle name="60% - Accent3" xfId="36" builtinId="40" customBuiltin="1"/>
    <cellStyle name="60% - Accent3 2" xfId="66" xr:uid="{CC004EA6-37F5-4828-BAAE-33995BCFA357}"/>
    <cellStyle name="60% - Accent4" xfId="40" builtinId="44" customBuiltin="1"/>
    <cellStyle name="60% - Accent4 2" xfId="69" xr:uid="{138E197E-1D2C-4497-A143-2E7EA9F5ABEA}"/>
    <cellStyle name="60% - Accent5" xfId="44" builtinId="48" customBuiltin="1"/>
    <cellStyle name="60% - Accent5 2" xfId="72" xr:uid="{8CAE6AC6-91B3-4FDB-8E33-C9EC5F355BFA}"/>
    <cellStyle name="60% - Accent6" xfId="48" builtinId="52" customBuiltin="1"/>
    <cellStyle name="60% - Accent6 2" xfId="75" xr:uid="{217A4757-4D7C-4B77-B646-394222ECB217}"/>
    <cellStyle name="Accent1" xfId="25" builtinId="29" customBuiltin="1"/>
    <cellStyle name="Accent2" xfId="29" builtinId="33" customBuiltin="1"/>
    <cellStyle name="Accent3" xfId="33" builtinId="37" customBuiltin="1"/>
    <cellStyle name="Accent4" xfId="37" builtinId="41" customBuiltin="1"/>
    <cellStyle name="Accent5" xfId="41" builtinId="45" customBuiltin="1"/>
    <cellStyle name="Accent6" xfId="45" builtinId="49" customBuiltin="1"/>
    <cellStyle name="Bad" xfId="15" builtinId="27" customBuiltin="1"/>
    <cellStyle name="Calculation" xfId="19" builtinId="22" customBuiltin="1"/>
    <cellStyle name="Check Cell" xfId="21" builtinId="23" customBuiltin="1"/>
    <cellStyle name="Comma" xfId="9" builtinId="3" customBuiltin="1"/>
    <cellStyle name="Comma [0]" xfId="10" builtinId="6" customBuiltin="1"/>
    <cellStyle name="Currency" xfId="11" builtinId="4" customBuiltin="1"/>
    <cellStyle name="Currency [0]" xfId="12" builtinId="7" customBuiltin="1"/>
    <cellStyle name="Data" xfId="6" xr:uid="{00000000-0005-0000-0000-00001F000000}"/>
    <cellStyle name="Explanatory Text" xfId="5" builtinId="53" customBuiltin="1"/>
    <cellStyle name="Explanatory Text 2" xfId="57" xr:uid="{6B710DF4-4122-4C1C-988C-F40CD1076867}"/>
    <cellStyle name="Good" xfId="14" builtinId="26" customBuiltin="1"/>
    <cellStyle name="Heading 1" xfId="2" builtinId="16" customBuiltin="1"/>
    <cellStyle name="Heading 1 2" xfId="52" xr:uid="{346FF7D1-21CA-4463-892D-0F97225441FF}"/>
    <cellStyle name="Heading 2" xfId="3" builtinId="17" customBuiltin="1"/>
    <cellStyle name="Heading 2 2" xfId="53" xr:uid="{7B1DF035-CB98-473E-B07B-061FDD1CE72D}"/>
    <cellStyle name="Heading 3" xfId="4" builtinId="18" customBuiltin="1"/>
    <cellStyle name="Heading 3 2" xfId="54" xr:uid="{299D10E4-A66E-4B16-BDBA-B4D2AC97E2DA}"/>
    <cellStyle name="Heading 4" xfId="8" builtinId="19" customBuiltin="1"/>
    <cellStyle name="Heading 4 2" xfId="55" xr:uid="{ECFF45DC-AC17-4AE8-98D9-9447CD846328}"/>
    <cellStyle name="Hyperlink" xfId="49" builtinId="8"/>
    <cellStyle name="Input" xfId="17" builtinId="20" customBuiltin="1"/>
    <cellStyle name="Linked Cell" xfId="20" builtinId="24" customBuiltin="1"/>
    <cellStyle name="Neutral" xfId="16" builtinId="28" customBuiltin="1"/>
    <cellStyle name="Normal" xfId="0" builtinId="0" customBuiltin="1"/>
    <cellStyle name="Normal 2" xfId="50" xr:uid="{A861007F-8DA1-490E-B112-38471FB26E9F}"/>
    <cellStyle name="Note" xfId="23" builtinId="10" customBuiltin="1"/>
    <cellStyle name="Note 2" xfId="56" xr:uid="{847EFC38-5C08-4828-AF74-6C95FFAD3536}"/>
    <cellStyle name="Output" xfId="18" builtinId="21" customBuiltin="1"/>
    <cellStyle name="Percent" xfId="13" builtinId="5" customBuiltin="1"/>
    <cellStyle name="Proprietário" xfId="7" xr:uid="{00000000-0005-0000-0000-00002D000000}"/>
    <cellStyle name="Title" xfId="1" builtinId="15" customBuiltin="1"/>
    <cellStyle name="Title 2" xfId="51" xr:uid="{1C79C324-649D-4651-8694-BF0A3F2D2919}"/>
    <cellStyle name="Total" xfId="24" builtinId="25" customBuiltin="1"/>
    <cellStyle name="Warning Text" xfId="22" builtinId="11" customBuiltin="1"/>
  </cellStyles>
  <dxfs count="4">
    <dxf>
      <font>
        <b/>
        <i val="0"/>
      </font>
    </dxf>
    <dxf>
      <font>
        <b/>
        <i val="0"/>
      </font>
    </dxf>
    <dxf>
      <font>
        <b/>
        <i val="0"/>
      </font>
      <fill>
        <patternFill>
          <bgColor theme="4" tint="0.79998168889431442"/>
        </patternFill>
      </fill>
      <border>
        <left/>
        <right style="thin">
          <color theme="4" tint="0.79995117038483843"/>
        </right>
        <top/>
        <bottom/>
        <vertical/>
      </border>
    </dxf>
    <dxf>
      <font>
        <b val="0"/>
        <i val="0"/>
      </font>
      <border>
        <left/>
        <right/>
        <top/>
        <bottom/>
        <vertical style="thin">
          <color auto="1"/>
        </vertical>
        <horizontal style="thin">
          <color auto="1"/>
        </horizontal>
      </border>
    </dxf>
  </dxfs>
  <tableStyles count="1" defaultPivotStyle="PivotStyleLight16">
    <tableStyle name="Lista de Verificação de Plano Empresarial" pivot="0" count="4" xr9:uid="{00000000-0011-0000-FFFF-FFFF00000000}">
      <tableStyleElement type="wholeTable" dxfId="3"/>
      <tableStyleElement type="headerRow" dxfId="2"/>
      <tableStyleElement type="lastColumn" dxfId="1"/>
      <tableStyleElement type="secondColumnStripe" dxfId="0"/>
    </tableStyle>
  </tableStyles>
  <colors>
    <mruColors>
      <color rgb="FF00206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C202"/>
  <sheetViews>
    <sheetView showGridLines="0" zoomScale="86" zoomScaleNormal="98" workbookViewId="0">
      <pane ySplit="2" topLeftCell="A150" activePane="bottomLeft" state="frozen"/>
      <selection pane="bottomLeft" activeCell="C175" sqref="C175:C176"/>
    </sheetView>
  </sheetViews>
  <sheetFormatPr defaultColWidth="9" defaultRowHeight="18.75" x14ac:dyDescent="0.2"/>
  <cols>
    <col min="1" max="1" width="58.5" style="41" customWidth="1"/>
    <col min="2" max="2" width="28" style="41" customWidth="1"/>
    <col min="3" max="3" width="92.375" style="40" customWidth="1"/>
    <col min="4" max="16384" width="9" style="40"/>
  </cols>
  <sheetData>
    <row r="1" spans="1:3" x14ac:dyDescent="0.2">
      <c r="A1" s="51" t="s">
        <v>0</v>
      </c>
      <c r="B1" s="51"/>
    </row>
    <row r="2" spans="1:3" x14ac:dyDescent="0.2">
      <c r="A2" s="213" t="s">
        <v>5</v>
      </c>
      <c r="B2" s="215"/>
      <c r="C2" s="52" t="s">
        <v>6</v>
      </c>
    </row>
    <row r="3" spans="1:3" s="55" customFormat="1" x14ac:dyDescent="0.2">
      <c r="A3" s="286" t="s">
        <v>7</v>
      </c>
      <c r="B3" s="286"/>
      <c r="C3" s="54"/>
    </row>
    <row r="4" spans="1:3" x14ac:dyDescent="0.2">
      <c r="A4" s="263" t="s">
        <v>8</v>
      </c>
      <c r="B4" s="263"/>
      <c r="C4" s="287" t="s">
        <v>503</v>
      </c>
    </row>
    <row r="5" spans="1:3" x14ac:dyDescent="0.2">
      <c r="A5" s="264">
        <v>2840542</v>
      </c>
      <c r="B5" s="264"/>
      <c r="C5" s="287"/>
    </row>
    <row r="6" spans="1:3" x14ac:dyDescent="0.2">
      <c r="A6" s="267" t="s">
        <v>9</v>
      </c>
      <c r="B6" s="267"/>
      <c r="C6" s="261"/>
    </row>
    <row r="7" spans="1:3" x14ac:dyDescent="0.2">
      <c r="A7" s="264">
        <v>2659325</v>
      </c>
      <c r="B7" s="264"/>
      <c r="C7" s="261"/>
    </row>
    <row r="8" spans="1:3" x14ac:dyDescent="0.2">
      <c r="A8" s="267" t="s">
        <v>10</v>
      </c>
      <c r="B8" s="267"/>
      <c r="C8" s="261"/>
    </row>
    <row r="9" spans="1:3" x14ac:dyDescent="0.2">
      <c r="A9" s="264">
        <v>167055</v>
      </c>
      <c r="B9" s="264"/>
      <c r="C9" s="261"/>
    </row>
    <row r="10" spans="1:3" x14ac:dyDescent="0.2">
      <c r="A10" s="267" t="s">
        <v>11</v>
      </c>
      <c r="B10" s="267"/>
      <c r="C10" s="219" t="s">
        <v>504</v>
      </c>
    </row>
    <row r="11" spans="1:3" x14ac:dyDescent="0.2">
      <c r="A11" s="264">
        <v>14162</v>
      </c>
      <c r="B11" s="264"/>
      <c r="C11" s="219"/>
    </row>
    <row r="12" spans="1:3" x14ac:dyDescent="0.2">
      <c r="A12" s="276" t="s">
        <v>12</v>
      </c>
      <c r="B12" s="276"/>
      <c r="C12" s="53"/>
    </row>
    <row r="13" spans="1:3" x14ac:dyDescent="0.2">
      <c r="A13" s="267" t="s">
        <v>13</v>
      </c>
      <c r="B13" s="267"/>
      <c r="C13" s="280"/>
    </row>
    <row r="14" spans="1:3" x14ac:dyDescent="0.2">
      <c r="A14" s="264">
        <v>2381345</v>
      </c>
      <c r="B14" s="264"/>
      <c r="C14" s="280"/>
    </row>
    <row r="15" spans="1:3" x14ac:dyDescent="0.2">
      <c r="A15" s="267" t="s">
        <v>14</v>
      </c>
      <c r="B15" s="267"/>
      <c r="C15" s="57"/>
    </row>
    <row r="16" spans="1:3" x14ac:dyDescent="0.2">
      <c r="A16" s="267" t="s">
        <v>15</v>
      </c>
      <c r="B16" s="267"/>
      <c r="C16" s="268"/>
    </row>
    <row r="17" spans="1:3" x14ac:dyDescent="0.2">
      <c r="A17" s="264">
        <v>46513</v>
      </c>
      <c r="B17" s="264"/>
      <c r="C17" s="268"/>
    </row>
    <row r="18" spans="1:3" x14ac:dyDescent="0.2">
      <c r="A18" s="267" t="s">
        <v>16</v>
      </c>
      <c r="B18" s="267"/>
      <c r="C18" s="268"/>
    </row>
    <row r="19" spans="1:3" x14ac:dyDescent="0.2">
      <c r="A19" s="264">
        <v>231467</v>
      </c>
      <c r="B19" s="264"/>
      <c r="C19" s="268"/>
    </row>
    <row r="20" spans="1:3" x14ac:dyDescent="0.2">
      <c r="A20" s="263" t="s">
        <v>17</v>
      </c>
      <c r="B20" s="263"/>
      <c r="C20" s="268"/>
    </row>
    <row r="21" spans="1:3" x14ac:dyDescent="0.2">
      <c r="A21" s="2" t="s">
        <v>18</v>
      </c>
      <c r="B21" s="2" t="s">
        <v>19</v>
      </c>
      <c r="C21" s="268"/>
    </row>
    <row r="22" spans="1:3" x14ac:dyDescent="0.2">
      <c r="A22" s="26" t="s">
        <v>21</v>
      </c>
      <c r="B22" s="165">
        <v>96509</v>
      </c>
      <c r="C22" s="268"/>
    </row>
    <row r="23" spans="1:3" x14ac:dyDescent="0.2">
      <c r="A23" s="26" t="s">
        <v>25</v>
      </c>
      <c r="B23" s="165">
        <v>23083</v>
      </c>
      <c r="C23" s="268"/>
    </row>
    <row r="24" spans="1:3" x14ac:dyDescent="0.2">
      <c r="A24" s="26" t="s">
        <v>23</v>
      </c>
      <c r="B24" s="165">
        <v>19266</v>
      </c>
      <c r="C24" s="268"/>
    </row>
    <row r="25" spans="1:3" x14ac:dyDescent="0.2">
      <c r="A25" s="26" t="s">
        <v>26</v>
      </c>
      <c r="B25" s="165">
        <v>14860</v>
      </c>
      <c r="C25" s="268"/>
    </row>
    <row r="26" spans="1:3" x14ac:dyDescent="0.2">
      <c r="A26" s="26" t="s">
        <v>28</v>
      </c>
      <c r="B26" s="165">
        <v>9502</v>
      </c>
      <c r="C26" s="268"/>
    </row>
    <row r="27" spans="1:3" x14ac:dyDescent="0.2">
      <c r="A27" s="26" t="s">
        <v>30</v>
      </c>
      <c r="B27" s="165">
        <v>8840</v>
      </c>
      <c r="C27" s="268"/>
    </row>
    <row r="28" spans="1:3" x14ac:dyDescent="0.2">
      <c r="A28" s="26" t="s">
        <v>32</v>
      </c>
      <c r="B28" s="165">
        <v>7695</v>
      </c>
      <c r="C28" s="268"/>
    </row>
    <row r="29" spans="1:3" x14ac:dyDescent="0.2">
      <c r="A29" s="26" t="s">
        <v>38</v>
      </c>
      <c r="B29" s="165">
        <v>7266</v>
      </c>
      <c r="C29" s="268"/>
    </row>
    <row r="30" spans="1:3" x14ac:dyDescent="0.2">
      <c r="A30" s="26" t="s">
        <v>34</v>
      </c>
      <c r="B30" s="165">
        <v>7110</v>
      </c>
      <c r="C30" s="268"/>
    </row>
    <row r="31" spans="1:3" x14ac:dyDescent="0.2">
      <c r="A31" s="26" t="s">
        <v>90</v>
      </c>
      <c r="B31" s="165">
        <v>6136</v>
      </c>
      <c r="C31" s="268"/>
    </row>
    <row r="32" spans="1:3" x14ac:dyDescent="0.2">
      <c r="A32" s="276" t="s">
        <v>39</v>
      </c>
      <c r="B32" s="276"/>
      <c r="C32" s="262"/>
    </row>
    <row r="33" spans="1:3" x14ac:dyDescent="0.2">
      <c r="A33" s="264">
        <v>2514109</v>
      </c>
      <c r="B33" s="264"/>
      <c r="C33" s="262"/>
    </row>
    <row r="34" spans="1:3" x14ac:dyDescent="0.2">
      <c r="A34" s="266" t="s">
        <v>40</v>
      </c>
      <c r="B34" s="266"/>
      <c r="C34" s="45"/>
    </row>
    <row r="35" spans="1:3" x14ac:dyDescent="0.2">
      <c r="A35" s="267" t="s">
        <v>41</v>
      </c>
      <c r="B35" s="267"/>
      <c r="C35" s="268"/>
    </row>
    <row r="36" spans="1:3" x14ac:dyDescent="0.2">
      <c r="A36" s="264">
        <v>145216</v>
      </c>
      <c r="B36" s="264"/>
      <c r="C36" s="268"/>
    </row>
    <row r="37" spans="1:3" x14ac:dyDescent="0.2">
      <c r="A37" s="216" t="s">
        <v>42</v>
      </c>
      <c r="B37" s="216"/>
      <c r="C37" s="268"/>
    </row>
    <row r="38" spans="1:3" x14ac:dyDescent="0.2">
      <c r="A38" s="264">
        <v>53335</v>
      </c>
      <c r="B38" s="264"/>
      <c r="C38" s="268"/>
    </row>
    <row r="39" spans="1:3" x14ac:dyDescent="0.2">
      <c r="A39" s="267" t="s">
        <v>43</v>
      </c>
      <c r="B39" s="267"/>
      <c r="C39" s="268"/>
    </row>
    <row r="40" spans="1:3" x14ac:dyDescent="0.2">
      <c r="A40" s="264">
        <v>91881</v>
      </c>
      <c r="B40" s="264"/>
      <c r="C40" s="268"/>
    </row>
    <row r="41" spans="1:3" x14ac:dyDescent="0.2">
      <c r="A41" s="216" t="s">
        <v>44</v>
      </c>
      <c r="B41" s="216"/>
      <c r="C41" s="268"/>
    </row>
    <row r="42" spans="1:3" x14ac:dyDescent="0.2">
      <c r="A42" s="2" t="s">
        <v>18</v>
      </c>
      <c r="B42" s="2" t="s">
        <v>19</v>
      </c>
      <c r="C42" s="268"/>
    </row>
    <row r="43" spans="1:3" x14ac:dyDescent="0.2">
      <c r="A43" s="26" t="s">
        <v>30</v>
      </c>
      <c r="B43" s="109">
        <v>27841</v>
      </c>
      <c r="C43" s="268"/>
    </row>
    <row r="44" spans="1:3" x14ac:dyDescent="0.2">
      <c r="A44" s="26" t="s">
        <v>23</v>
      </c>
      <c r="B44" s="109">
        <v>21580</v>
      </c>
      <c r="C44" s="268"/>
    </row>
    <row r="45" spans="1:3" x14ac:dyDescent="0.2">
      <c r="A45" s="26" t="s">
        <v>46</v>
      </c>
      <c r="B45" s="109">
        <v>16988</v>
      </c>
      <c r="C45" s="268"/>
    </row>
    <row r="46" spans="1:3" x14ac:dyDescent="0.2">
      <c r="A46" s="26" t="s">
        <v>32</v>
      </c>
      <c r="B46" s="109">
        <v>14485</v>
      </c>
      <c r="C46" s="268"/>
    </row>
    <row r="47" spans="1:3" x14ac:dyDescent="0.2">
      <c r="A47" s="26" t="s">
        <v>48</v>
      </c>
      <c r="B47" s="109">
        <v>11399</v>
      </c>
      <c r="C47" s="268"/>
    </row>
    <row r="48" spans="1:3" x14ac:dyDescent="0.2">
      <c r="A48" s="26" t="s">
        <v>52</v>
      </c>
      <c r="B48" s="109">
        <v>7981</v>
      </c>
      <c r="C48" s="268"/>
    </row>
    <row r="49" spans="1:3" x14ac:dyDescent="0.2">
      <c r="A49" s="26" t="s">
        <v>50</v>
      </c>
      <c r="B49" s="109">
        <v>7860</v>
      </c>
      <c r="C49" s="268"/>
    </row>
    <row r="50" spans="1:3" x14ac:dyDescent="0.2">
      <c r="A50" s="26" t="s">
        <v>54</v>
      </c>
      <c r="B50" s="109">
        <v>6586</v>
      </c>
      <c r="C50" s="268"/>
    </row>
    <row r="51" spans="1:3" x14ac:dyDescent="0.2">
      <c r="A51" s="26" t="s">
        <v>21</v>
      </c>
      <c r="B51" s="109">
        <v>5901</v>
      </c>
      <c r="C51" s="268"/>
    </row>
    <row r="52" spans="1:3" x14ac:dyDescent="0.2">
      <c r="A52" s="26" t="s">
        <v>28</v>
      </c>
      <c r="B52" s="109">
        <v>5818</v>
      </c>
      <c r="C52" s="268"/>
    </row>
    <row r="53" spans="1:3" x14ac:dyDescent="0.2">
      <c r="A53" s="276" t="s">
        <v>55</v>
      </c>
      <c r="B53" s="276"/>
      <c r="C53" s="53"/>
    </row>
    <row r="54" spans="1:3" x14ac:dyDescent="0.2">
      <c r="A54" s="275" t="s">
        <v>56</v>
      </c>
      <c r="B54" s="275"/>
      <c r="C54" s="269"/>
    </row>
    <row r="55" spans="1:3" x14ac:dyDescent="0.2">
      <c r="A55" s="264">
        <v>179957</v>
      </c>
      <c r="B55" s="264"/>
      <c r="C55" s="269"/>
    </row>
    <row r="56" spans="1:3" x14ac:dyDescent="0.2">
      <c r="A56" s="275" t="s">
        <v>57</v>
      </c>
      <c r="B56" s="275"/>
      <c r="C56" s="45"/>
    </row>
    <row r="57" spans="1:3" x14ac:dyDescent="0.2">
      <c r="A57" s="266" t="s">
        <v>8</v>
      </c>
      <c r="B57" s="266"/>
      <c r="C57" s="261"/>
    </row>
    <row r="58" spans="1:3" x14ac:dyDescent="0.2">
      <c r="A58" s="264">
        <v>1260</v>
      </c>
      <c r="B58" s="264"/>
      <c r="C58" s="261"/>
    </row>
    <row r="59" spans="1:3" x14ac:dyDescent="0.2">
      <c r="A59" s="267" t="s">
        <v>58</v>
      </c>
      <c r="B59" s="267"/>
      <c r="C59" s="261"/>
    </row>
    <row r="60" spans="1:3" x14ac:dyDescent="0.2">
      <c r="A60" s="264">
        <v>886</v>
      </c>
      <c r="B60" s="264"/>
      <c r="C60" s="261"/>
    </row>
    <row r="61" spans="1:3" x14ac:dyDescent="0.2">
      <c r="A61" s="267" t="s">
        <v>59</v>
      </c>
      <c r="B61" s="267"/>
      <c r="C61" s="268"/>
    </row>
    <row r="62" spans="1:3" x14ac:dyDescent="0.2">
      <c r="A62" s="264">
        <v>374</v>
      </c>
      <c r="B62" s="264"/>
      <c r="C62" s="268"/>
    </row>
    <row r="63" spans="1:3" x14ac:dyDescent="0.2">
      <c r="A63" s="276" t="s">
        <v>60</v>
      </c>
      <c r="B63" s="276"/>
      <c r="C63" s="261"/>
    </row>
    <row r="64" spans="1:3" x14ac:dyDescent="0.2">
      <c r="A64" s="2" t="s">
        <v>18</v>
      </c>
      <c r="B64" s="2" t="s">
        <v>19</v>
      </c>
      <c r="C64" s="261"/>
    </row>
    <row r="65" spans="1:3" x14ac:dyDescent="0.2">
      <c r="A65" s="26" t="s">
        <v>28</v>
      </c>
      <c r="B65" s="109">
        <v>618</v>
      </c>
      <c r="C65" s="261"/>
    </row>
    <row r="66" spans="1:3" x14ac:dyDescent="0.2">
      <c r="A66" s="26" t="s">
        <v>23</v>
      </c>
      <c r="B66" s="109">
        <v>66</v>
      </c>
      <c r="C66" s="261"/>
    </row>
    <row r="67" spans="1:3" x14ac:dyDescent="0.2">
      <c r="A67" s="26" t="s">
        <v>32</v>
      </c>
      <c r="B67" s="109">
        <v>48</v>
      </c>
      <c r="C67" s="261"/>
    </row>
    <row r="68" spans="1:3" x14ac:dyDescent="0.2">
      <c r="A68" s="26" t="s">
        <v>61</v>
      </c>
      <c r="B68" s="109">
        <v>46</v>
      </c>
      <c r="C68" s="261"/>
    </row>
    <row r="69" spans="1:3" x14ac:dyDescent="0.2">
      <c r="A69" s="26" t="s">
        <v>62</v>
      </c>
      <c r="B69" s="109">
        <v>41</v>
      </c>
      <c r="C69" s="261"/>
    </row>
    <row r="70" spans="1:3" x14ac:dyDescent="0.2">
      <c r="A70" s="26" t="s">
        <v>30</v>
      </c>
      <c r="B70" s="109">
        <v>41</v>
      </c>
      <c r="C70" s="261"/>
    </row>
    <row r="71" spans="1:3" x14ac:dyDescent="0.2">
      <c r="A71" s="26" t="s">
        <v>21</v>
      </c>
      <c r="B71" s="109">
        <v>40</v>
      </c>
      <c r="C71" s="261"/>
    </row>
    <row r="72" spans="1:3" x14ac:dyDescent="0.2">
      <c r="A72" s="26" t="s">
        <v>48</v>
      </c>
      <c r="B72" s="109">
        <v>39</v>
      </c>
      <c r="C72" s="261"/>
    </row>
    <row r="73" spans="1:3" x14ac:dyDescent="0.2">
      <c r="A73" s="26" t="s">
        <v>63</v>
      </c>
      <c r="B73" s="109">
        <v>36</v>
      </c>
      <c r="C73" s="261"/>
    </row>
    <row r="74" spans="1:3" x14ac:dyDescent="0.2">
      <c r="A74" s="26" t="s">
        <v>52</v>
      </c>
      <c r="B74" s="109">
        <v>29</v>
      </c>
      <c r="C74" s="261"/>
    </row>
    <row r="75" spans="1:3" x14ac:dyDescent="0.2">
      <c r="A75" s="266" t="s">
        <v>64</v>
      </c>
      <c r="B75" s="266"/>
      <c r="C75" s="53"/>
    </row>
    <row r="76" spans="1:3" x14ac:dyDescent="0.2">
      <c r="A76" s="266" t="s">
        <v>65</v>
      </c>
      <c r="B76" s="266"/>
      <c r="C76" s="219" t="s">
        <v>508</v>
      </c>
    </row>
    <row r="77" spans="1:3" x14ac:dyDescent="0.2">
      <c r="A77" s="264">
        <v>175788</v>
      </c>
      <c r="B77" s="264"/>
      <c r="C77" s="263"/>
    </row>
    <row r="78" spans="1:3" x14ac:dyDescent="0.2">
      <c r="A78" s="266" t="s">
        <v>66</v>
      </c>
      <c r="B78" s="266"/>
      <c r="C78" s="262"/>
    </row>
    <row r="79" spans="1:3" x14ac:dyDescent="0.2">
      <c r="A79" s="264">
        <v>154563</v>
      </c>
      <c r="B79" s="264"/>
      <c r="C79" s="262"/>
    </row>
    <row r="80" spans="1:3" x14ac:dyDescent="0.2">
      <c r="A80" s="266" t="s">
        <v>67</v>
      </c>
      <c r="B80" s="266"/>
      <c r="C80" s="45"/>
    </row>
    <row r="81" spans="1:3" x14ac:dyDescent="0.2">
      <c r="A81" s="216" t="s">
        <v>68</v>
      </c>
      <c r="B81" s="216"/>
      <c r="C81" s="261"/>
    </row>
    <row r="82" spans="1:3" x14ac:dyDescent="0.2">
      <c r="A82" s="264">
        <v>9976</v>
      </c>
      <c r="B82" s="264"/>
      <c r="C82" s="261"/>
    </row>
    <row r="83" spans="1:3" x14ac:dyDescent="0.2">
      <c r="A83" s="267" t="s">
        <v>69</v>
      </c>
      <c r="B83" s="267"/>
      <c r="C83" s="261"/>
    </row>
    <row r="84" spans="1:3" x14ac:dyDescent="0.2">
      <c r="A84" s="264">
        <v>11249</v>
      </c>
      <c r="B84" s="264"/>
      <c r="C84" s="261"/>
    </row>
    <row r="85" spans="1:3" x14ac:dyDescent="0.2">
      <c r="A85" s="216" t="s">
        <v>70</v>
      </c>
      <c r="B85" s="216"/>
      <c r="C85" s="261"/>
    </row>
    <row r="86" spans="1:3" x14ac:dyDescent="0.2">
      <c r="A86" s="2" t="s">
        <v>18</v>
      </c>
      <c r="B86" s="2" t="s">
        <v>72</v>
      </c>
      <c r="C86" s="261"/>
    </row>
    <row r="87" spans="1:3" x14ac:dyDescent="0.2">
      <c r="A87" s="26" t="s">
        <v>21</v>
      </c>
      <c r="B87" s="180">
        <v>5161</v>
      </c>
      <c r="C87" s="261"/>
    </row>
    <row r="88" spans="1:3" x14ac:dyDescent="0.2">
      <c r="A88" s="26" t="s">
        <v>28</v>
      </c>
      <c r="B88" s="180">
        <v>4163</v>
      </c>
      <c r="C88" s="261"/>
    </row>
    <row r="89" spans="1:3" x14ac:dyDescent="0.2">
      <c r="A89" s="26" t="s">
        <v>30</v>
      </c>
      <c r="B89" s="180">
        <v>1583</v>
      </c>
      <c r="C89" s="261"/>
    </row>
    <row r="90" spans="1:3" x14ac:dyDescent="0.2">
      <c r="A90" s="26" t="s">
        <v>23</v>
      </c>
      <c r="B90" s="180">
        <v>1253</v>
      </c>
      <c r="C90" s="261"/>
    </row>
    <row r="91" spans="1:3" x14ac:dyDescent="0.2">
      <c r="A91" s="26" t="s">
        <v>36</v>
      </c>
      <c r="B91" s="180">
        <v>1030</v>
      </c>
      <c r="C91" s="261"/>
    </row>
    <row r="92" spans="1:3" x14ac:dyDescent="0.2">
      <c r="A92" s="26" t="s">
        <v>52</v>
      </c>
      <c r="B92" s="180">
        <v>817</v>
      </c>
      <c r="C92" s="261"/>
    </row>
    <row r="93" spans="1:3" x14ac:dyDescent="0.2">
      <c r="A93" s="26" t="s">
        <v>62</v>
      </c>
      <c r="B93" s="180">
        <v>548</v>
      </c>
      <c r="C93" s="261"/>
    </row>
    <row r="94" spans="1:3" x14ac:dyDescent="0.2">
      <c r="A94" s="26" t="s">
        <v>32</v>
      </c>
      <c r="B94" s="180">
        <v>412</v>
      </c>
      <c r="C94" s="261"/>
    </row>
    <row r="95" spans="1:3" x14ac:dyDescent="0.2">
      <c r="A95" s="26" t="s">
        <v>74</v>
      </c>
      <c r="B95" s="180">
        <v>348</v>
      </c>
      <c r="C95" s="261"/>
    </row>
    <row r="96" spans="1:3" x14ac:dyDescent="0.2">
      <c r="A96" s="26" t="s">
        <v>25</v>
      </c>
      <c r="B96" s="180">
        <v>321</v>
      </c>
      <c r="C96" s="261"/>
    </row>
    <row r="97" spans="1:3" x14ac:dyDescent="0.2">
      <c r="A97" s="278" t="s">
        <v>75</v>
      </c>
      <c r="B97" s="278"/>
      <c r="C97" s="262"/>
    </row>
    <row r="98" spans="1:3" x14ac:dyDescent="0.2">
      <c r="A98" s="264">
        <v>166251</v>
      </c>
      <c r="B98" s="264"/>
      <c r="C98" s="262"/>
    </row>
    <row r="99" spans="1:3" x14ac:dyDescent="0.2">
      <c r="A99" s="271" t="s">
        <v>76</v>
      </c>
      <c r="B99" s="271"/>
      <c r="C99" s="45"/>
    </row>
    <row r="100" spans="1:3" x14ac:dyDescent="0.2">
      <c r="A100" s="272" t="s">
        <v>77</v>
      </c>
      <c r="B100" s="272"/>
      <c r="C100" s="261"/>
    </row>
    <row r="101" spans="1:3" x14ac:dyDescent="0.2">
      <c r="A101" s="264">
        <v>6436</v>
      </c>
      <c r="B101" s="264"/>
      <c r="C101" s="261"/>
    </row>
    <row r="102" spans="1:3" x14ac:dyDescent="0.2">
      <c r="A102" s="267" t="s">
        <v>78</v>
      </c>
      <c r="B102" s="267"/>
      <c r="C102" s="261"/>
    </row>
    <row r="103" spans="1:3" x14ac:dyDescent="0.2">
      <c r="A103" s="264">
        <v>3101</v>
      </c>
      <c r="B103" s="264"/>
      <c r="C103" s="261"/>
    </row>
    <row r="104" spans="1:3" x14ac:dyDescent="0.2">
      <c r="A104" s="273" t="s">
        <v>79</v>
      </c>
      <c r="B104" s="273"/>
      <c r="C104" s="261"/>
    </row>
    <row r="105" spans="1:3" x14ac:dyDescent="0.2">
      <c r="A105" s="2" t="s">
        <v>18</v>
      </c>
      <c r="B105" s="2" t="s">
        <v>80</v>
      </c>
      <c r="C105" s="261"/>
    </row>
    <row r="106" spans="1:3" x14ac:dyDescent="0.2">
      <c r="A106" s="26" t="s">
        <v>28</v>
      </c>
      <c r="B106" s="26">
        <v>3661</v>
      </c>
      <c r="C106" s="261"/>
    </row>
    <row r="107" spans="1:3" x14ac:dyDescent="0.2">
      <c r="A107" s="26" t="s">
        <v>30</v>
      </c>
      <c r="B107" s="26">
        <v>951</v>
      </c>
      <c r="C107" s="261"/>
    </row>
    <row r="108" spans="1:3" x14ac:dyDescent="0.2">
      <c r="A108" s="26" t="s">
        <v>23</v>
      </c>
      <c r="B108" s="26">
        <v>802</v>
      </c>
      <c r="C108" s="261"/>
    </row>
    <row r="109" spans="1:3" x14ac:dyDescent="0.2">
      <c r="A109" s="26" t="s">
        <v>21</v>
      </c>
      <c r="B109" s="26">
        <v>662</v>
      </c>
      <c r="C109" s="261"/>
    </row>
    <row r="110" spans="1:3" x14ac:dyDescent="0.2">
      <c r="A110" s="26" t="s">
        <v>52</v>
      </c>
      <c r="B110" s="26">
        <v>447</v>
      </c>
      <c r="C110" s="261"/>
    </row>
    <row r="111" spans="1:3" x14ac:dyDescent="0.2">
      <c r="A111" s="26" t="s">
        <v>32</v>
      </c>
      <c r="B111" s="26">
        <v>375</v>
      </c>
      <c r="C111" s="261"/>
    </row>
    <row r="112" spans="1:3" x14ac:dyDescent="0.2">
      <c r="A112" s="26" t="s">
        <v>46</v>
      </c>
      <c r="B112" s="26">
        <v>371</v>
      </c>
      <c r="C112" s="261"/>
    </row>
    <row r="113" spans="1:3" x14ac:dyDescent="0.2">
      <c r="A113" s="26" t="s">
        <v>36</v>
      </c>
      <c r="B113" s="26">
        <v>269</v>
      </c>
      <c r="C113" s="261"/>
    </row>
    <row r="114" spans="1:3" x14ac:dyDescent="0.2">
      <c r="A114" s="26" t="s">
        <v>62</v>
      </c>
      <c r="B114" s="26">
        <v>268</v>
      </c>
      <c r="C114" s="261"/>
    </row>
    <row r="115" spans="1:3" x14ac:dyDescent="0.2">
      <c r="A115" s="26" t="s">
        <v>74</v>
      </c>
      <c r="B115" s="26">
        <v>197</v>
      </c>
      <c r="C115" s="261"/>
    </row>
    <row r="116" spans="1:3" x14ac:dyDescent="0.2">
      <c r="A116" s="277" t="s">
        <v>81</v>
      </c>
      <c r="B116" s="277"/>
      <c r="C116" s="53"/>
    </row>
    <row r="117" spans="1:3" ht="56.25" x14ac:dyDescent="0.2">
      <c r="A117" s="278" t="s">
        <v>82</v>
      </c>
      <c r="B117" s="278"/>
      <c r="C117" s="174" t="s">
        <v>509</v>
      </c>
    </row>
    <row r="118" spans="1:3" x14ac:dyDescent="0.2">
      <c r="A118" s="267" t="s">
        <v>83</v>
      </c>
      <c r="B118" s="267"/>
      <c r="C118" s="261"/>
    </row>
    <row r="119" spans="1:3" x14ac:dyDescent="0.2">
      <c r="A119" s="264">
        <v>2094</v>
      </c>
      <c r="B119" s="264"/>
      <c r="C119" s="261"/>
    </row>
    <row r="120" spans="1:3" x14ac:dyDescent="0.2">
      <c r="A120" s="267" t="s">
        <v>84</v>
      </c>
      <c r="B120" s="267"/>
      <c r="C120" s="261"/>
    </row>
    <row r="121" spans="1:3" x14ac:dyDescent="0.2">
      <c r="A121" s="264">
        <v>620</v>
      </c>
      <c r="B121" s="264"/>
      <c r="C121" s="261"/>
    </row>
    <row r="122" spans="1:3" ht="56.25" x14ac:dyDescent="0.2">
      <c r="A122" s="271" t="s">
        <v>85</v>
      </c>
      <c r="B122" s="271"/>
      <c r="C122" s="175" t="s">
        <v>509</v>
      </c>
    </row>
    <row r="123" spans="1:3" x14ac:dyDescent="0.2">
      <c r="A123" s="272" t="s">
        <v>86</v>
      </c>
      <c r="B123" s="272"/>
      <c r="C123" s="261"/>
    </row>
    <row r="124" spans="1:3" x14ac:dyDescent="0.2">
      <c r="A124" s="265">
        <v>307</v>
      </c>
      <c r="B124" s="265"/>
      <c r="C124" s="261"/>
    </row>
    <row r="125" spans="1:3" x14ac:dyDescent="0.2">
      <c r="A125" s="273" t="s">
        <v>87</v>
      </c>
      <c r="B125" s="273"/>
      <c r="C125" s="261"/>
    </row>
    <row r="126" spans="1:3" x14ac:dyDescent="0.2">
      <c r="A126" s="2" t="s">
        <v>18</v>
      </c>
      <c r="B126" s="2" t="s">
        <v>88</v>
      </c>
      <c r="C126" s="261"/>
    </row>
    <row r="127" spans="1:3" x14ac:dyDescent="0.2">
      <c r="A127" s="26" t="s">
        <v>25</v>
      </c>
      <c r="B127" s="26">
        <v>72</v>
      </c>
      <c r="C127" s="261"/>
    </row>
    <row r="128" spans="1:3" x14ac:dyDescent="0.2">
      <c r="A128" s="26" t="s">
        <v>21</v>
      </c>
      <c r="B128" s="26">
        <v>33</v>
      </c>
      <c r="C128" s="261"/>
    </row>
    <row r="129" spans="1:3" x14ac:dyDescent="0.2">
      <c r="A129" s="26" t="s">
        <v>23</v>
      </c>
      <c r="B129" s="26">
        <v>11</v>
      </c>
      <c r="C129" s="261"/>
    </row>
    <row r="130" spans="1:3" x14ac:dyDescent="0.2">
      <c r="A130" s="26" t="s">
        <v>28</v>
      </c>
      <c r="B130" s="26">
        <v>11</v>
      </c>
      <c r="C130" s="261"/>
    </row>
    <row r="131" spans="1:3" x14ac:dyDescent="0.2">
      <c r="A131" s="26" t="s">
        <v>90</v>
      </c>
      <c r="B131" s="26">
        <v>6</v>
      </c>
      <c r="C131" s="261"/>
    </row>
    <row r="132" spans="1:3" x14ac:dyDescent="0.2">
      <c r="A132" s="26" t="s">
        <v>425</v>
      </c>
      <c r="B132" s="26">
        <v>6</v>
      </c>
      <c r="C132" s="261"/>
    </row>
    <row r="133" spans="1:3" x14ac:dyDescent="0.2">
      <c r="A133" s="26" t="s">
        <v>38</v>
      </c>
      <c r="B133" s="26">
        <v>5</v>
      </c>
      <c r="C133" s="261"/>
    </row>
    <row r="134" spans="1:3" x14ac:dyDescent="0.2">
      <c r="A134" s="26" t="s">
        <v>34</v>
      </c>
      <c r="B134" s="26">
        <v>5</v>
      </c>
      <c r="C134" s="261"/>
    </row>
    <row r="135" spans="1:3" x14ac:dyDescent="0.2">
      <c r="A135" s="26" t="s">
        <v>36</v>
      </c>
      <c r="B135" s="26">
        <v>5</v>
      </c>
      <c r="C135" s="261"/>
    </row>
    <row r="136" spans="1:3" x14ac:dyDescent="0.2">
      <c r="A136" s="26" t="s">
        <v>32</v>
      </c>
      <c r="B136" s="26">
        <v>4</v>
      </c>
      <c r="C136" s="261"/>
    </row>
    <row r="137" spans="1:3" x14ac:dyDescent="0.2">
      <c r="A137" s="263" t="s">
        <v>92</v>
      </c>
      <c r="B137" s="263"/>
      <c r="C137" s="261"/>
    </row>
    <row r="138" spans="1:3" x14ac:dyDescent="0.2">
      <c r="A138" s="264">
        <v>94</v>
      </c>
      <c r="B138" s="264"/>
      <c r="C138" s="261"/>
    </row>
    <row r="139" spans="1:3" x14ac:dyDescent="0.2">
      <c r="A139" s="267" t="s">
        <v>93</v>
      </c>
      <c r="B139" s="267"/>
      <c r="C139" s="261"/>
    </row>
    <row r="140" spans="1:3" x14ac:dyDescent="0.2">
      <c r="A140" s="264">
        <v>79</v>
      </c>
      <c r="B140" s="264"/>
      <c r="C140" s="261"/>
    </row>
    <row r="141" spans="1:3" x14ac:dyDescent="0.2">
      <c r="A141" s="278" t="s">
        <v>94</v>
      </c>
      <c r="B141" s="278"/>
      <c r="C141" s="45"/>
    </row>
    <row r="142" spans="1:3" x14ac:dyDescent="0.2">
      <c r="A142" s="263" t="s">
        <v>95</v>
      </c>
      <c r="B142" s="263"/>
      <c r="C142" s="263"/>
    </row>
    <row r="143" spans="1:3" x14ac:dyDescent="0.2">
      <c r="A143" s="264">
        <v>232</v>
      </c>
      <c r="B143" s="264"/>
      <c r="C143" s="263"/>
    </row>
    <row r="144" spans="1:3" x14ac:dyDescent="0.2">
      <c r="A144" s="216" t="s">
        <v>96</v>
      </c>
      <c r="B144" s="216"/>
      <c r="C144" s="261"/>
    </row>
    <row r="145" spans="1:3" x14ac:dyDescent="0.2">
      <c r="A145" s="279">
        <f>232/355721</f>
        <v>6.5219652480455188E-4</v>
      </c>
      <c r="B145" s="279"/>
      <c r="C145" s="261"/>
    </row>
    <row r="146" spans="1:3" x14ac:dyDescent="0.2">
      <c r="A146" s="278" t="s">
        <v>97</v>
      </c>
      <c r="B146" s="278"/>
      <c r="C146" s="45"/>
    </row>
    <row r="147" spans="1:3" x14ac:dyDescent="0.2">
      <c r="A147" s="278" t="s">
        <v>98</v>
      </c>
      <c r="B147" s="278"/>
      <c r="C147" s="261"/>
    </row>
    <row r="148" spans="1:3" x14ac:dyDescent="0.2">
      <c r="A148" s="279">
        <f>1228/A5</f>
        <v>4.3231186160950976E-4</v>
      </c>
      <c r="B148" s="279"/>
      <c r="C148" s="261"/>
    </row>
    <row r="149" spans="1:3" x14ac:dyDescent="0.2">
      <c r="A149" s="274" t="s">
        <v>99</v>
      </c>
      <c r="B149" s="274"/>
      <c r="C149" s="261"/>
    </row>
    <row r="150" spans="1:3" x14ac:dyDescent="0.2">
      <c r="A150" s="282">
        <f>1126/A5</f>
        <v>3.9640322163868725E-4</v>
      </c>
      <c r="B150" s="282"/>
      <c r="C150" s="261"/>
    </row>
    <row r="151" spans="1:3" x14ac:dyDescent="0.2">
      <c r="A151" s="274" t="s">
        <v>100</v>
      </c>
      <c r="B151" s="274"/>
      <c r="C151" s="261"/>
    </row>
    <row r="152" spans="1:3" x14ac:dyDescent="0.2">
      <c r="A152" s="282">
        <f>47/A5</f>
        <v>1.6546138025771138E-5</v>
      </c>
      <c r="B152" s="282"/>
      <c r="C152" s="261"/>
    </row>
    <row r="153" spans="1:3" x14ac:dyDescent="0.2">
      <c r="A153" s="274" t="s">
        <v>101</v>
      </c>
      <c r="B153" s="274"/>
      <c r="C153" s="261"/>
    </row>
    <row r="154" spans="1:3" x14ac:dyDescent="0.2">
      <c r="A154" s="279">
        <f>394/A5</f>
        <v>1.3870592302454954E-4</v>
      </c>
      <c r="B154" s="279"/>
      <c r="C154" s="261"/>
    </row>
    <row r="155" spans="1:3" x14ac:dyDescent="0.2">
      <c r="A155" s="277" t="s">
        <v>102</v>
      </c>
      <c r="B155" s="277"/>
      <c r="C155" s="45"/>
    </row>
    <row r="156" spans="1:3" x14ac:dyDescent="0.2">
      <c r="A156" s="281" t="s">
        <v>98</v>
      </c>
      <c r="B156" s="281"/>
      <c r="C156" s="261"/>
    </row>
    <row r="157" spans="1:3" x14ac:dyDescent="0.2">
      <c r="A157" s="270">
        <f>493/A77</f>
        <v>2.804514528864314E-3</v>
      </c>
      <c r="B157" s="270"/>
      <c r="C157" s="261"/>
    </row>
    <row r="158" spans="1:3" x14ac:dyDescent="0.2">
      <c r="A158" s="267" t="s">
        <v>99</v>
      </c>
      <c r="B158" s="267"/>
      <c r="C158" s="261"/>
    </row>
    <row r="159" spans="1:3" x14ac:dyDescent="0.2">
      <c r="A159" s="270">
        <f>207/A77</f>
        <v>1.1775547818963753E-3</v>
      </c>
      <c r="B159" s="270"/>
      <c r="C159" s="261"/>
    </row>
    <row r="160" spans="1:3" x14ac:dyDescent="0.2">
      <c r="A160" s="267" t="s">
        <v>100</v>
      </c>
      <c r="B160" s="267"/>
      <c r="C160" s="261"/>
    </row>
    <row r="161" spans="1:3" x14ac:dyDescent="0.2">
      <c r="A161" s="270">
        <f>52/A77</f>
        <v>2.9581086308507978E-4</v>
      </c>
      <c r="B161" s="270"/>
      <c r="C161" s="261"/>
    </row>
    <row r="162" spans="1:3" x14ac:dyDescent="0.2">
      <c r="A162" s="267" t="s">
        <v>101</v>
      </c>
      <c r="B162" s="267"/>
      <c r="C162" s="261"/>
    </row>
    <row r="163" spans="1:3" x14ac:dyDescent="0.2">
      <c r="A163" s="270">
        <f>131/A77</f>
        <v>7.4521582815664322E-4</v>
      </c>
      <c r="B163" s="270"/>
      <c r="C163" s="261"/>
    </row>
    <row r="164" spans="1:3" x14ac:dyDescent="0.2">
      <c r="A164" s="284" t="s">
        <v>103</v>
      </c>
      <c r="B164" s="284"/>
      <c r="C164" s="53"/>
    </row>
    <row r="165" spans="1:3" x14ac:dyDescent="0.2">
      <c r="A165" s="276" t="s">
        <v>104</v>
      </c>
      <c r="B165" s="276"/>
      <c r="C165" s="262"/>
    </row>
    <row r="166" spans="1:3" x14ac:dyDescent="0.2">
      <c r="A166" s="264">
        <v>2250</v>
      </c>
      <c r="B166" s="264"/>
      <c r="C166" s="262"/>
    </row>
    <row r="167" spans="1:3" x14ac:dyDescent="0.2">
      <c r="A167" s="266" t="s">
        <v>105</v>
      </c>
      <c r="B167" s="266"/>
      <c r="C167" s="45"/>
    </row>
    <row r="168" spans="1:3" x14ac:dyDescent="0.2">
      <c r="A168" s="216" t="s">
        <v>478</v>
      </c>
      <c r="B168" s="216"/>
      <c r="C168" s="261"/>
    </row>
    <row r="169" spans="1:3" x14ac:dyDescent="0.2">
      <c r="A169" s="264">
        <v>3866</v>
      </c>
      <c r="B169" s="264"/>
      <c r="C169" s="261"/>
    </row>
    <row r="170" spans="1:3" x14ac:dyDescent="0.2">
      <c r="A170" s="216" t="s">
        <v>106</v>
      </c>
      <c r="B170" s="216"/>
      <c r="C170" s="261"/>
    </row>
    <row r="171" spans="1:3" x14ac:dyDescent="0.2">
      <c r="A171" s="264">
        <v>9</v>
      </c>
      <c r="B171" s="264"/>
      <c r="C171" s="261"/>
    </row>
    <row r="172" spans="1:3" x14ac:dyDescent="0.2">
      <c r="A172" s="216" t="s">
        <v>107</v>
      </c>
      <c r="B172" s="216"/>
      <c r="C172" s="261"/>
    </row>
    <row r="173" spans="1:3" x14ac:dyDescent="0.2">
      <c r="A173" s="264">
        <v>2</v>
      </c>
      <c r="B173" s="264"/>
      <c r="C173" s="261"/>
    </row>
    <row r="174" spans="1:3" x14ac:dyDescent="0.2">
      <c r="A174" s="276" t="s">
        <v>108</v>
      </c>
      <c r="B174" s="276"/>
      <c r="C174" s="45"/>
    </row>
    <row r="175" spans="1:3" x14ac:dyDescent="0.2">
      <c r="A175" s="263" t="s">
        <v>109</v>
      </c>
      <c r="B175" s="263"/>
      <c r="C175" s="261"/>
    </row>
    <row r="176" spans="1:3" x14ac:dyDescent="0.2">
      <c r="A176" s="264">
        <v>1203</v>
      </c>
      <c r="B176" s="264"/>
      <c r="C176" s="261"/>
    </row>
    <row r="177" spans="1:3" x14ac:dyDescent="0.2">
      <c r="A177" s="263" t="s">
        <v>110</v>
      </c>
      <c r="B177" s="263"/>
      <c r="C177" s="261"/>
    </row>
    <row r="178" spans="1:3" x14ac:dyDescent="0.2">
      <c r="A178" s="264">
        <v>52</v>
      </c>
      <c r="B178" s="264"/>
      <c r="C178" s="261"/>
    </row>
    <row r="179" spans="1:3" x14ac:dyDescent="0.2">
      <c r="A179" s="281" t="s">
        <v>111</v>
      </c>
      <c r="B179" s="281"/>
      <c r="C179" s="261"/>
    </row>
    <row r="180" spans="1:3" x14ac:dyDescent="0.2">
      <c r="A180" s="283" t="s">
        <v>112</v>
      </c>
      <c r="B180" s="283"/>
      <c r="C180" s="261"/>
    </row>
    <row r="181" spans="1:3" x14ac:dyDescent="0.2">
      <c r="A181" s="281" t="s">
        <v>113</v>
      </c>
      <c r="B181" s="281"/>
      <c r="C181" s="261"/>
    </row>
    <row r="182" spans="1:3" x14ac:dyDescent="0.2">
      <c r="A182" s="264">
        <v>61</v>
      </c>
      <c r="B182" s="264"/>
      <c r="C182" s="261"/>
    </row>
    <row r="183" spans="1:3" x14ac:dyDescent="0.2">
      <c r="A183" s="284" t="s">
        <v>114</v>
      </c>
      <c r="B183" s="284"/>
      <c r="C183" s="45"/>
    </row>
    <row r="184" spans="1:3" x14ac:dyDescent="0.2">
      <c r="A184" s="273" t="s">
        <v>115</v>
      </c>
      <c r="B184" s="273"/>
      <c r="C184" s="219" t="s">
        <v>502</v>
      </c>
    </row>
    <row r="185" spans="1:3" x14ac:dyDescent="0.2">
      <c r="A185" s="265">
        <v>426</v>
      </c>
      <c r="B185" s="265"/>
      <c r="C185" s="219"/>
    </row>
    <row r="186" spans="1:3" x14ac:dyDescent="0.2">
      <c r="A186" s="284" t="s">
        <v>116</v>
      </c>
      <c r="B186" s="284"/>
      <c r="C186" s="45"/>
    </row>
    <row r="187" spans="1:3" x14ac:dyDescent="0.2">
      <c r="A187" s="263" t="s">
        <v>117</v>
      </c>
      <c r="B187" s="263"/>
      <c r="C187" s="263"/>
    </row>
    <row r="188" spans="1:3" x14ac:dyDescent="0.2">
      <c r="A188" s="58" t="s">
        <v>118</v>
      </c>
      <c r="B188" s="58" t="s">
        <v>88</v>
      </c>
      <c r="C188" s="263"/>
    </row>
    <row r="189" spans="1:3" x14ac:dyDescent="0.2">
      <c r="A189" s="181" t="s">
        <v>487</v>
      </c>
      <c r="B189" s="118">
        <v>18035</v>
      </c>
      <c r="C189" s="263"/>
    </row>
    <row r="190" spans="1:3" ht="37.5" x14ac:dyDescent="0.2">
      <c r="A190" s="181" t="s">
        <v>488</v>
      </c>
      <c r="B190" s="118">
        <v>4422</v>
      </c>
      <c r="C190" s="263"/>
    </row>
    <row r="191" spans="1:3" x14ac:dyDescent="0.2">
      <c r="A191" s="181" t="s">
        <v>489</v>
      </c>
      <c r="B191" s="118">
        <v>3915</v>
      </c>
      <c r="C191" s="263"/>
    </row>
    <row r="192" spans="1:3" x14ac:dyDescent="0.2">
      <c r="A192" s="181" t="s">
        <v>490</v>
      </c>
      <c r="B192" s="118">
        <v>2965</v>
      </c>
      <c r="C192" s="263"/>
    </row>
    <row r="193" spans="1:3" x14ac:dyDescent="0.2">
      <c r="A193" s="181" t="s">
        <v>491</v>
      </c>
      <c r="B193" s="118">
        <v>2879</v>
      </c>
      <c r="C193" s="263"/>
    </row>
    <row r="194" spans="1:3" ht="37.5" x14ac:dyDescent="0.2">
      <c r="A194" s="181" t="s">
        <v>492</v>
      </c>
      <c r="B194" s="118">
        <v>1738</v>
      </c>
      <c r="C194" s="263"/>
    </row>
    <row r="195" spans="1:3" x14ac:dyDescent="0.2">
      <c r="A195" s="181" t="s">
        <v>493</v>
      </c>
      <c r="B195" s="118">
        <v>321</v>
      </c>
      <c r="C195" s="263"/>
    </row>
    <row r="196" spans="1:3" x14ac:dyDescent="0.2">
      <c r="A196" s="181" t="s">
        <v>494</v>
      </c>
      <c r="B196" s="118">
        <v>79</v>
      </c>
      <c r="C196" s="263"/>
    </row>
    <row r="197" spans="1:3" x14ac:dyDescent="0.2">
      <c r="A197" s="166" t="s">
        <v>460</v>
      </c>
      <c r="B197" s="182">
        <f>SUM(B189:B196)</f>
        <v>34354</v>
      </c>
      <c r="C197" s="263"/>
    </row>
    <row r="198" spans="1:3" x14ac:dyDescent="0.2">
      <c r="A198" s="284" t="s">
        <v>119</v>
      </c>
      <c r="B198" s="284"/>
      <c r="C198" s="24"/>
    </row>
    <row r="199" spans="1:3" x14ac:dyDescent="0.2">
      <c r="A199" s="263" t="s">
        <v>120</v>
      </c>
      <c r="B199" s="263"/>
      <c r="C199" s="219" t="s">
        <v>510</v>
      </c>
    </row>
    <row r="200" spans="1:3" x14ac:dyDescent="0.2">
      <c r="A200" s="265">
        <v>5773</v>
      </c>
      <c r="B200" s="265"/>
      <c r="C200" s="219"/>
    </row>
    <row r="201" spans="1:3" x14ac:dyDescent="0.2">
      <c r="A201" s="263" t="s">
        <v>121</v>
      </c>
      <c r="B201" s="263"/>
      <c r="C201" s="261"/>
    </row>
    <row r="202" spans="1:3" x14ac:dyDescent="0.2">
      <c r="A202" s="285" t="s">
        <v>511</v>
      </c>
      <c r="B202" s="285"/>
      <c r="C202" s="261"/>
    </row>
  </sheetData>
  <autoFilter ref="A2:C202" xr:uid="{00000000-0001-0000-0000-000000000000}">
    <filterColumn colId="0" showButton="0"/>
  </autoFilter>
  <mergeCells count="180">
    <mergeCell ref="C4:C5"/>
    <mergeCell ref="A6:B6"/>
    <mergeCell ref="A7:B7"/>
    <mergeCell ref="A9:B9"/>
    <mergeCell ref="A11:B11"/>
    <mergeCell ref="C6:C7"/>
    <mergeCell ref="C8:C9"/>
    <mergeCell ref="A8:B8"/>
    <mergeCell ref="A10:B10"/>
    <mergeCell ref="C10:C11"/>
    <mergeCell ref="A2:B2"/>
    <mergeCell ref="A3:B3"/>
    <mergeCell ref="A4:B4"/>
    <mergeCell ref="A5:B5"/>
    <mergeCell ref="A14:B14"/>
    <mergeCell ref="A17:B17"/>
    <mergeCell ref="A19:B19"/>
    <mergeCell ref="A33:B33"/>
    <mergeCell ref="A36:B36"/>
    <mergeCell ref="A20:B20"/>
    <mergeCell ref="A32:B32"/>
    <mergeCell ref="A34:B34"/>
    <mergeCell ref="A35:B35"/>
    <mergeCell ref="A12:B12"/>
    <mergeCell ref="A13:B13"/>
    <mergeCell ref="A15:B15"/>
    <mergeCell ref="A16:B16"/>
    <mergeCell ref="A18:B18"/>
    <mergeCell ref="A164:B164"/>
    <mergeCell ref="A157:B157"/>
    <mergeCell ref="A159:B159"/>
    <mergeCell ref="A202:B202"/>
    <mergeCell ref="A187:B187"/>
    <mergeCell ref="A198:B198"/>
    <mergeCell ref="A199:B199"/>
    <mergeCell ref="A201:B201"/>
    <mergeCell ref="A169:B169"/>
    <mergeCell ref="A171:B171"/>
    <mergeCell ref="A173:B173"/>
    <mergeCell ref="A176:B176"/>
    <mergeCell ref="A178:B178"/>
    <mergeCell ref="A174:B174"/>
    <mergeCell ref="A175:B175"/>
    <mergeCell ref="A177:B177"/>
    <mergeCell ref="A186:B186"/>
    <mergeCell ref="A181:B181"/>
    <mergeCell ref="A184:B184"/>
    <mergeCell ref="A183:B183"/>
    <mergeCell ref="A155:B155"/>
    <mergeCell ref="A150:B150"/>
    <mergeCell ref="A152:B152"/>
    <mergeCell ref="A38:B38"/>
    <mergeCell ref="A180:B180"/>
    <mergeCell ref="A182:B182"/>
    <mergeCell ref="A185:B185"/>
    <mergeCell ref="A200:B200"/>
    <mergeCell ref="A98:B98"/>
    <mergeCell ref="A101:B101"/>
    <mergeCell ref="A102:B102"/>
    <mergeCell ref="A103:B103"/>
    <mergeCell ref="A166:B166"/>
    <mergeCell ref="A104:B104"/>
    <mergeCell ref="A137:B137"/>
    <mergeCell ref="A165:B165"/>
    <mergeCell ref="A167:B167"/>
    <mergeCell ref="A168:B168"/>
    <mergeCell ref="A170:B170"/>
    <mergeCell ref="A172:B172"/>
    <mergeCell ref="A156:B156"/>
    <mergeCell ref="A158:B158"/>
    <mergeCell ref="A160:B160"/>
    <mergeCell ref="A162:B162"/>
    <mergeCell ref="A145:B145"/>
    <mergeCell ref="A148:B148"/>
    <mergeCell ref="A161:B161"/>
    <mergeCell ref="A149:B149"/>
    <mergeCell ref="C13:C14"/>
    <mergeCell ref="C16:C17"/>
    <mergeCell ref="A179:B179"/>
    <mergeCell ref="A139:B139"/>
    <mergeCell ref="A142:B142"/>
    <mergeCell ref="A141:B141"/>
    <mergeCell ref="A144:B144"/>
    <mergeCell ref="A146:B146"/>
    <mergeCell ref="A120:B120"/>
    <mergeCell ref="C35:C36"/>
    <mergeCell ref="C20:C31"/>
    <mergeCell ref="C18:C19"/>
    <mergeCell ref="A37:B37"/>
    <mergeCell ref="A147:B147"/>
    <mergeCell ref="A39:B39"/>
    <mergeCell ref="A41:B41"/>
    <mergeCell ref="A53:B53"/>
    <mergeCell ref="A54:B54"/>
    <mergeCell ref="A76:B76"/>
    <mergeCell ref="A153:B153"/>
    <mergeCell ref="A163:B163"/>
    <mergeCell ref="A138:B138"/>
    <mergeCell ref="A122:B122"/>
    <mergeCell ref="A123:B123"/>
    <mergeCell ref="A125:B125"/>
    <mergeCell ref="A151:B151"/>
    <mergeCell ref="A100:B100"/>
    <mergeCell ref="A40:B40"/>
    <mergeCell ref="A55:B55"/>
    <mergeCell ref="A58:B58"/>
    <mergeCell ref="A60:B60"/>
    <mergeCell ref="A56:B56"/>
    <mergeCell ref="A57:B57"/>
    <mergeCell ref="A59:B59"/>
    <mergeCell ref="A62:B62"/>
    <mergeCell ref="A77:B77"/>
    <mergeCell ref="A79:B79"/>
    <mergeCell ref="A82:B82"/>
    <mergeCell ref="A61:B61"/>
    <mergeCell ref="A63:B63"/>
    <mergeCell ref="A75:B75"/>
    <mergeCell ref="A116:B116"/>
    <mergeCell ref="A117:B117"/>
    <mergeCell ref="A154:B154"/>
    <mergeCell ref="C61:C62"/>
    <mergeCell ref="C59:C60"/>
    <mergeCell ref="C57:C58"/>
    <mergeCell ref="C81:C82"/>
    <mergeCell ref="C37:C38"/>
    <mergeCell ref="C54:C55"/>
    <mergeCell ref="C39:C40"/>
    <mergeCell ref="C41:C52"/>
    <mergeCell ref="C32:C33"/>
    <mergeCell ref="C85:C96"/>
    <mergeCell ref="C97:C98"/>
    <mergeCell ref="C100:C101"/>
    <mergeCell ref="C102:C103"/>
    <mergeCell ref="A85:B85"/>
    <mergeCell ref="C83:C84"/>
    <mergeCell ref="C76:C77"/>
    <mergeCell ref="C78:C79"/>
    <mergeCell ref="C63:C74"/>
    <mergeCell ref="A78:B78"/>
    <mergeCell ref="A84:B84"/>
    <mergeCell ref="A80:B80"/>
    <mergeCell ref="A81:B81"/>
    <mergeCell ref="A83:B83"/>
    <mergeCell ref="A97:B97"/>
    <mergeCell ref="A99:B99"/>
    <mergeCell ref="C104:C115"/>
    <mergeCell ref="A119:B119"/>
    <mergeCell ref="A121:B121"/>
    <mergeCell ref="A124:B124"/>
    <mergeCell ref="C142:C143"/>
    <mergeCell ref="C139:C140"/>
    <mergeCell ref="C137:C138"/>
    <mergeCell ref="C125:C136"/>
    <mergeCell ref="C123:C124"/>
    <mergeCell ref="A118:B118"/>
    <mergeCell ref="A140:B140"/>
    <mergeCell ref="A143:B143"/>
    <mergeCell ref="C160:C161"/>
    <mergeCell ref="C158:C159"/>
    <mergeCell ref="C156:C157"/>
    <mergeCell ref="C153:C154"/>
    <mergeCell ref="C151:C152"/>
    <mergeCell ref="C147:C148"/>
    <mergeCell ref="C149:C150"/>
    <mergeCell ref="C118:C119"/>
    <mergeCell ref="C120:C121"/>
    <mergeCell ref="C144:C145"/>
    <mergeCell ref="C184:C185"/>
    <mergeCell ref="C168:C169"/>
    <mergeCell ref="C162:C163"/>
    <mergeCell ref="C165:C166"/>
    <mergeCell ref="C201:C202"/>
    <mergeCell ref="C199:C200"/>
    <mergeCell ref="C177:C178"/>
    <mergeCell ref="C179:C180"/>
    <mergeCell ref="C187:C197"/>
    <mergeCell ref="C181:C182"/>
    <mergeCell ref="C170:C171"/>
    <mergeCell ref="C172:C173"/>
    <mergeCell ref="C175:C176"/>
  </mergeCells>
  <phoneticPr fontId="0" type="noConversion"/>
  <dataValidations count="2">
    <dataValidation allowBlank="1" showInputMessage="1" showErrorMessage="1" prompt="Introduza o Nome da Empresa nesta célula" sqref="A3" xr:uid="{00000000-0002-0000-0000-000000000000}"/>
    <dataValidation allowBlank="1" showInputMessage="1" showErrorMessage="1" prompt="O título desta folha de cálculo está nesta célula" sqref="A2" xr:uid="{00000000-0002-0000-0000-000001000000}"/>
  </dataValidations>
  <printOptions horizontalCentered="1"/>
  <pageMargins left="0.75" right="0.75" top="1" bottom="0.86" header="0.5" footer="0.5"/>
  <pageSetup paperSize="9" scale="20" fitToHeight="0" orientation="portrait" r:id="rId1"/>
  <headerFooter differentFirst="1">
    <oddHeader>&amp;L&amp;"Calibri"&amp;10&amp;K000000 Confidential&amp;1#_x000D_&amp;"Arial"&amp;11&amp;K000000&amp;"Arial"&amp;11&amp;K000000&amp;"Calibri"&amp;11&amp;K000000</oddHeader>
    <oddFooter>Page &amp;P of &amp;N</oddFooter>
    <firstHeader>&amp;L&amp;"Calibri"&amp;10&amp;K000000 Confidential&amp;1#_x000D_&amp;"Arial"&amp;11&amp;K000000&amp;"Arial"&amp;11&amp;K000000&amp;"Calibri"&amp;11&amp;K000000</first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tabColor theme="9" tint="0.39997558519241921"/>
  </sheetPr>
  <dimension ref="A1:R451"/>
  <sheetViews>
    <sheetView showGridLines="0" tabSelected="1" topLeftCell="A101" zoomScale="90" zoomScaleNormal="90" workbookViewId="0">
      <selection activeCell="A121" sqref="A120:H121"/>
    </sheetView>
  </sheetViews>
  <sheetFormatPr defaultColWidth="8.875" defaultRowHeight="18.75" x14ac:dyDescent="0.2"/>
  <cols>
    <col min="1" max="1" width="29.375" style="60" customWidth="1"/>
    <col min="2" max="2" width="19" style="60" bestFit="1" customWidth="1"/>
    <col min="3" max="3" width="17.75" style="60" customWidth="1"/>
    <col min="4" max="4" width="11.875" style="60" customWidth="1"/>
    <col min="5" max="5" width="15.125" style="60" customWidth="1"/>
    <col min="6" max="6" width="17.625" style="60" customWidth="1"/>
    <col min="7" max="7" width="14.875" style="60" customWidth="1"/>
    <col min="8" max="8" width="13.125" style="60" customWidth="1"/>
    <col min="9" max="9" width="101.5" style="60" customWidth="1"/>
    <col min="10" max="10" width="12.625" style="69" customWidth="1"/>
    <col min="11" max="11" width="6.625" style="59" customWidth="1"/>
    <col min="12" max="12" width="19.375" style="59" bestFit="1" customWidth="1"/>
    <col min="13" max="13" width="10.875" style="59" bestFit="1" customWidth="1"/>
    <col min="14" max="14" width="10.125" style="59" customWidth="1"/>
    <col min="15" max="15" width="13.75" style="59" customWidth="1"/>
    <col min="16" max="16" width="11.375" style="59" customWidth="1"/>
    <col min="17" max="17" width="12.125" style="59" customWidth="1"/>
    <col min="18" max="18" width="12.625" style="59" bestFit="1" customWidth="1"/>
    <col min="19" max="16384" width="8.875" style="59"/>
  </cols>
  <sheetData>
    <row r="1" spans="1:11" ht="37.5" x14ac:dyDescent="0.2">
      <c r="A1" s="51" t="s">
        <v>1</v>
      </c>
      <c r="B1" s="51"/>
      <c r="C1" s="51"/>
      <c r="D1" s="51"/>
      <c r="E1" s="51"/>
      <c r="F1" s="51"/>
      <c r="G1" s="51"/>
      <c r="H1" s="51"/>
    </row>
    <row r="2" spans="1:11" s="19" customFormat="1" x14ac:dyDescent="0.2">
      <c r="A2" s="213" t="s">
        <v>5</v>
      </c>
      <c r="B2" s="214"/>
      <c r="C2" s="214"/>
      <c r="D2" s="214"/>
      <c r="E2" s="214"/>
      <c r="F2" s="214"/>
      <c r="G2" s="214"/>
      <c r="H2" s="215"/>
      <c r="I2" s="67" t="s">
        <v>122</v>
      </c>
      <c r="J2" s="70"/>
    </row>
    <row r="3" spans="1:11" s="40" customFormat="1" x14ac:dyDescent="0.2">
      <c r="A3" s="252" t="s">
        <v>123</v>
      </c>
      <c r="B3" s="253"/>
      <c r="C3" s="253"/>
      <c r="D3" s="253"/>
      <c r="E3" s="253"/>
      <c r="F3" s="253"/>
      <c r="G3" s="253"/>
      <c r="H3" s="254"/>
      <c r="I3" s="56"/>
      <c r="J3" s="55"/>
    </row>
    <row r="4" spans="1:11" s="40" customFormat="1" x14ac:dyDescent="0.2">
      <c r="A4" s="242" t="s">
        <v>124</v>
      </c>
      <c r="B4" s="243"/>
      <c r="C4" s="243"/>
      <c r="D4" s="243"/>
      <c r="E4" s="243"/>
      <c r="F4" s="243"/>
      <c r="G4" s="243"/>
      <c r="H4" s="244"/>
      <c r="I4" s="56"/>
      <c r="J4" s="55"/>
    </row>
    <row r="5" spans="1:11" x14ac:dyDescent="0.2">
      <c r="A5" s="216" t="s">
        <v>125</v>
      </c>
      <c r="B5" s="216"/>
      <c r="C5" s="216"/>
      <c r="D5" s="216"/>
      <c r="E5" s="216"/>
      <c r="F5" s="216"/>
      <c r="G5" s="216"/>
      <c r="H5" s="216"/>
      <c r="I5" s="245" t="s">
        <v>520</v>
      </c>
      <c r="J5" s="71"/>
    </row>
    <row r="6" spans="1:11" x14ac:dyDescent="0.2">
      <c r="A6" s="247">
        <v>3557295</v>
      </c>
      <c r="B6" s="247"/>
      <c r="C6" s="247"/>
      <c r="D6" s="247"/>
      <c r="E6" s="247"/>
      <c r="F6" s="247"/>
      <c r="G6" s="247"/>
      <c r="H6" s="247"/>
      <c r="I6" s="246"/>
      <c r="J6" s="71"/>
    </row>
    <row r="7" spans="1:11" x14ac:dyDescent="0.2">
      <c r="A7" s="204" t="s">
        <v>126</v>
      </c>
      <c r="B7" s="205"/>
      <c r="C7" s="205"/>
      <c r="D7" s="205"/>
      <c r="E7" s="205"/>
      <c r="F7" s="205"/>
      <c r="G7" s="205"/>
      <c r="H7" s="206"/>
      <c r="I7" s="185"/>
      <c r="J7" s="71"/>
    </row>
    <row r="8" spans="1:11" x14ac:dyDescent="0.2">
      <c r="A8" s="247">
        <v>2773796</v>
      </c>
      <c r="B8" s="247"/>
      <c r="C8" s="247"/>
      <c r="D8" s="247"/>
      <c r="E8" s="247"/>
      <c r="F8" s="247"/>
      <c r="G8" s="247"/>
      <c r="H8" s="247"/>
      <c r="I8" s="186"/>
      <c r="J8" s="71"/>
    </row>
    <row r="9" spans="1:11" x14ac:dyDescent="0.2">
      <c r="A9" s="204" t="s">
        <v>127</v>
      </c>
      <c r="B9" s="205"/>
      <c r="C9" s="205"/>
      <c r="D9" s="205"/>
      <c r="E9" s="205"/>
      <c r="F9" s="205"/>
      <c r="G9" s="205"/>
      <c r="H9" s="206"/>
      <c r="I9" s="185"/>
      <c r="J9" s="71"/>
    </row>
    <row r="10" spans="1:11" x14ac:dyDescent="0.2">
      <c r="A10" s="248">
        <v>38866880113.68</v>
      </c>
      <c r="B10" s="248"/>
      <c r="C10" s="248"/>
      <c r="D10" s="248"/>
      <c r="E10" s="248"/>
      <c r="F10" s="248"/>
      <c r="G10" s="248"/>
      <c r="H10" s="248"/>
      <c r="I10" s="186"/>
      <c r="J10" s="71"/>
      <c r="K10" s="62"/>
    </row>
    <row r="11" spans="1:11" x14ac:dyDescent="0.2">
      <c r="A11" s="200" t="s">
        <v>128</v>
      </c>
      <c r="B11" s="201"/>
      <c r="C11" s="201"/>
      <c r="D11" s="201"/>
      <c r="E11" s="201"/>
      <c r="F11" s="201"/>
      <c r="G11" s="201"/>
      <c r="H11" s="202"/>
      <c r="I11" s="34"/>
      <c r="J11" s="71"/>
    </row>
    <row r="12" spans="1:11" x14ac:dyDescent="0.2">
      <c r="A12" s="204" t="s">
        <v>129</v>
      </c>
      <c r="B12" s="205"/>
      <c r="C12" s="205"/>
      <c r="D12" s="205"/>
      <c r="E12" s="205"/>
      <c r="F12" s="205"/>
      <c r="G12" s="205"/>
      <c r="H12" s="206"/>
      <c r="I12" s="185"/>
      <c r="J12" s="71"/>
    </row>
    <row r="13" spans="1:11" x14ac:dyDescent="0.2">
      <c r="A13" s="247">
        <v>2606289</v>
      </c>
      <c r="B13" s="247"/>
      <c r="C13" s="247"/>
      <c r="D13" s="247"/>
      <c r="E13" s="247"/>
      <c r="F13" s="247"/>
      <c r="G13" s="247"/>
      <c r="H13" s="247"/>
      <c r="I13" s="186"/>
      <c r="J13" s="71"/>
    </row>
    <row r="14" spans="1:11" x14ac:dyDescent="0.2">
      <c r="A14" s="204" t="s">
        <v>130</v>
      </c>
      <c r="B14" s="205"/>
      <c r="C14" s="205"/>
      <c r="D14" s="205"/>
      <c r="E14" s="205"/>
      <c r="F14" s="205"/>
      <c r="G14" s="205"/>
      <c r="H14" s="206"/>
      <c r="I14" s="185"/>
      <c r="J14" s="71"/>
    </row>
    <row r="15" spans="1:11" x14ac:dyDescent="0.2">
      <c r="A15" s="248">
        <v>23326730792.970001</v>
      </c>
      <c r="B15" s="248"/>
      <c r="C15" s="248"/>
      <c r="D15" s="248"/>
      <c r="E15" s="248"/>
      <c r="F15" s="248"/>
      <c r="G15" s="248"/>
      <c r="H15" s="248"/>
      <c r="I15" s="186"/>
      <c r="J15" s="71"/>
      <c r="K15" s="62"/>
    </row>
    <row r="16" spans="1:11" x14ac:dyDescent="0.2">
      <c r="A16" s="204" t="s">
        <v>131</v>
      </c>
      <c r="B16" s="205"/>
      <c r="C16" s="205"/>
      <c r="D16" s="205"/>
      <c r="E16" s="205"/>
      <c r="F16" s="205"/>
      <c r="G16" s="205"/>
      <c r="H16" s="206"/>
      <c r="I16" s="34"/>
      <c r="J16" s="71"/>
    </row>
    <row r="17" spans="1:11" x14ac:dyDescent="0.2">
      <c r="A17" s="204" t="s">
        <v>132</v>
      </c>
      <c r="B17" s="205"/>
      <c r="C17" s="205"/>
      <c r="D17" s="205"/>
      <c r="E17" s="205"/>
      <c r="F17" s="205"/>
      <c r="G17" s="205"/>
      <c r="H17" s="206"/>
      <c r="I17" s="185"/>
      <c r="J17" s="71"/>
    </row>
    <row r="18" spans="1:11" x14ac:dyDescent="0.2">
      <c r="A18" s="247">
        <v>167507</v>
      </c>
      <c r="B18" s="247"/>
      <c r="C18" s="247"/>
      <c r="D18" s="247"/>
      <c r="E18" s="247"/>
      <c r="F18" s="247"/>
      <c r="G18" s="247"/>
      <c r="H18" s="247"/>
      <c r="I18" s="186"/>
      <c r="J18" s="71"/>
    </row>
    <row r="19" spans="1:11" x14ac:dyDescent="0.2">
      <c r="A19" s="204" t="s">
        <v>133</v>
      </c>
      <c r="B19" s="205"/>
      <c r="C19" s="205"/>
      <c r="D19" s="205"/>
      <c r="E19" s="205"/>
      <c r="F19" s="205"/>
      <c r="G19" s="205"/>
      <c r="H19" s="206"/>
      <c r="I19" s="185"/>
      <c r="J19" s="71"/>
    </row>
    <row r="20" spans="1:11" x14ac:dyDescent="0.2">
      <c r="A20" s="248">
        <v>15540149320.709999</v>
      </c>
      <c r="B20" s="248"/>
      <c r="C20" s="248"/>
      <c r="D20" s="248"/>
      <c r="E20" s="248"/>
      <c r="F20" s="248"/>
      <c r="G20" s="248"/>
      <c r="H20" s="248"/>
      <c r="I20" s="186"/>
      <c r="J20" s="71"/>
      <c r="K20" s="63"/>
    </row>
    <row r="21" spans="1:11" x14ac:dyDescent="0.2">
      <c r="A21" s="200" t="s">
        <v>134</v>
      </c>
      <c r="B21" s="201"/>
      <c r="C21" s="201"/>
      <c r="D21" s="201"/>
      <c r="E21" s="201"/>
      <c r="F21" s="201"/>
      <c r="G21" s="201"/>
      <c r="H21" s="202"/>
      <c r="I21" s="34"/>
      <c r="J21" s="71"/>
    </row>
    <row r="22" spans="1:11" x14ac:dyDescent="0.2">
      <c r="A22" s="249" t="s">
        <v>135</v>
      </c>
      <c r="B22" s="250"/>
      <c r="C22" s="250"/>
      <c r="D22" s="250"/>
      <c r="E22" s="250"/>
      <c r="F22" s="250"/>
      <c r="G22" s="250"/>
      <c r="H22" s="251"/>
      <c r="I22" s="185"/>
      <c r="J22" s="71"/>
    </row>
    <row r="23" spans="1:11" x14ac:dyDescent="0.2">
      <c r="A23" s="208">
        <v>39</v>
      </c>
      <c r="B23" s="208"/>
      <c r="C23" s="208"/>
      <c r="D23" s="208"/>
      <c r="E23" s="208"/>
      <c r="F23" s="208"/>
      <c r="G23" s="208"/>
      <c r="H23" s="208"/>
      <c r="I23" s="186"/>
      <c r="J23" s="71"/>
    </row>
    <row r="24" spans="1:11" x14ac:dyDescent="0.2">
      <c r="A24" s="204" t="s">
        <v>136</v>
      </c>
      <c r="B24" s="205"/>
      <c r="C24" s="205"/>
      <c r="D24" s="205"/>
      <c r="E24" s="205"/>
      <c r="F24" s="205"/>
      <c r="G24" s="205"/>
      <c r="H24" s="206"/>
      <c r="I24" s="185"/>
      <c r="J24" s="71"/>
    </row>
    <row r="25" spans="1:11" x14ac:dyDescent="0.2">
      <c r="A25" s="208">
        <v>51</v>
      </c>
      <c r="B25" s="208"/>
      <c r="C25" s="208"/>
      <c r="D25" s="208"/>
      <c r="E25" s="208"/>
      <c r="F25" s="208"/>
      <c r="G25" s="208"/>
      <c r="H25" s="208"/>
      <c r="I25" s="186"/>
      <c r="J25" s="71"/>
    </row>
    <row r="26" spans="1:11" x14ac:dyDescent="0.2">
      <c r="A26" s="204" t="s">
        <v>137</v>
      </c>
      <c r="B26" s="205"/>
      <c r="C26" s="205"/>
      <c r="D26" s="205"/>
      <c r="E26" s="205"/>
      <c r="F26" s="205"/>
      <c r="G26" s="205"/>
      <c r="H26" s="206"/>
      <c r="I26" s="185"/>
      <c r="J26" s="71"/>
    </row>
    <row r="27" spans="1:11" x14ac:dyDescent="0.2">
      <c r="A27" s="208">
        <v>426</v>
      </c>
      <c r="B27" s="208"/>
      <c r="C27" s="208"/>
      <c r="D27" s="208"/>
      <c r="E27" s="208"/>
      <c r="F27" s="208"/>
      <c r="G27" s="208"/>
      <c r="H27" s="208"/>
      <c r="I27" s="186"/>
      <c r="J27" s="71"/>
    </row>
    <row r="28" spans="1:11" x14ac:dyDescent="0.2">
      <c r="A28" s="204" t="s">
        <v>138</v>
      </c>
      <c r="B28" s="205"/>
      <c r="C28" s="205"/>
      <c r="D28" s="205"/>
      <c r="E28" s="205"/>
      <c r="F28" s="205"/>
      <c r="G28" s="205"/>
      <c r="H28" s="206"/>
      <c r="I28" s="185"/>
      <c r="J28" s="71"/>
    </row>
    <row r="29" spans="1:11" x14ac:dyDescent="0.2">
      <c r="A29" s="208">
        <v>427410</v>
      </c>
      <c r="B29" s="208"/>
      <c r="C29" s="208"/>
      <c r="D29" s="208"/>
      <c r="E29" s="208"/>
      <c r="F29" s="208"/>
      <c r="G29" s="208"/>
      <c r="H29" s="208"/>
      <c r="I29" s="186"/>
      <c r="J29" s="71"/>
    </row>
    <row r="30" spans="1:11" x14ac:dyDescent="0.2">
      <c r="A30" s="204" t="s">
        <v>139</v>
      </c>
      <c r="B30" s="205"/>
      <c r="C30" s="205"/>
      <c r="D30" s="205"/>
      <c r="E30" s="205"/>
      <c r="F30" s="205"/>
      <c r="G30" s="205"/>
      <c r="H30" s="206"/>
      <c r="I30" s="185"/>
      <c r="J30" s="71"/>
    </row>
    <row r="31" spans="1:11" x14ac:dyDescent="0.2">
      <c r="A31" s="207">
        <v>1177839776.24</v>
      </c>
      <c r="B31" s="207"/>
      <c r="C31" s="207"/>
      <c r="D31" s="207"/>
      <c r="E31" s="207"/>
      <c r="F31" s="207"/>
      <c r="G31" s="207"/>
      <c r="H31" s="207"/>
      <c r="I31" s="186"/>
      <c r="J31" s="71"/>
      <c r="K31" s="62"/>
    </row>
    <row r="32" spans="1:11" x14ac:dyDescent="0.2">
      <c r="A32" s="197" t="s">
        <v>140</v>
      </c>
      <c r="B32" s="198"/>
      <c r="C32" s="198"/>
      <c r="D32" s="198"/>
      <c r="E32" s="198"/>
      <c r="F32" s="198"/>
      <c r="G32" s="198"/>
      <c r="H32" s="199"/>
      <c r="I32" s="68"/>
      <c r="J32" s="71"/>
    </row>
    <row r="33" spans="1:11" x14ac:dyDescent="0.2">
      <c r="A33" s="200" t="s">
        <v>141</v>
      </c>
      <c r="B33" s="201"/>
      <c r="C33" s="201"/>
      <c r="D33" s="201"/>
      <c r="E33" s="201"/>
      <c r="F33" s="201"/>
      <c r="G33" s="201"/>
      <c r="H33" s="202"/>
      <c r="I33" s="217" t="s">
        <v>518</v>
      </c>
      <c r="J33" s="71"/>
    </row>
    <row r="34" spans="1:11" x14ac:dyDescent="0.2">
      <c r="A34" s="238" t="s">
        <v>142</v>
      </c>
      <c r="B34" s="221"/>
      <c r="C34" s="221"/>
      <c r="D34" s="221"/>
      <c r="E34" s="221"/>
      <c r="F34" s="221"/>
      <c r="G34" s="221"/>
      <c r="H34" s="221"/>
      <c r="I34" s="218"/>
      <c r="J34" s="71"/>
    </row>
    <row r="35" spans="1:11" x14ac:dyDescent="0.2">
      <c r="A35" s="200" t="s">
        <v>143</v>
      </c>
      <c r="B35" s="201"/>
      <c r="C35" s="201"/>
      <c r="D35" s="201"/>
      <c r="E35" s="201"/>
      <c r="F35" s="201"/>
      <c r="G35" s="201"/>
      <c r="H35" s="202"/>
      <c r="I35" s="216"/>
      <c r="J35" s="71"/>
    </row>
    <row r="36" spans="1:11" x14ac:dyDescent="0.2">
      <c r="A36" s="238" t="s">
        <v>142</v>
      </c>
      <c r="B36" s="221"/>
      <c r="C36" s="221"/>
      <c r="D36" s="221"/>
      <c r="E36" s="221"/>
      <c r="F36" s="221"/>
      <c r="G36" s="221"/>
      <c r="H36" s="221"/>
      <c r="I36" s="216"/>
      <c r="J36" s="71"/>
    </row>
    <row r="37" spans="1:11" collapsed="1" x14ac:dyDescent="0.2">
      <c r="A37" s="197" t="s">
        <v>144</v>
      </c>
      <c r="B37" s="198"/>
      <c r="C37" s="198"/>
      <c r="D37" s="198"/>
      <c r="E37" s="198"/>
      <c r="F37" s="198"/>
      <c r="G37" s="198"/>
      <c r="H37" s="199"/>
      <c r="I37" s="68"/>
      <c r="J37" s="71"/>
    </row>
    <row r="38" spans="1:11" x14ac:dyDescent="0.2">
      <c r="A38" s="200" t="s">
        <v>145</v>
      </c>
      <c r="B38" s="201"/>
      <c r="C38" s="201"/>
      <c r="D38" s="201"/>
      <c r="E38" s="201"/>
      <c r="F38" s="201"/>
      <c r="G38" s="201"/>
      <c r="H38" s="202"/>
      <c r="I38" s="185"/>
      <c r="J38" s="72"/>
    </row>
    <row r="39" spans="1:11" x14ac:dyDescent="0.2">
      <c r="A39" s="221">
        <v>5</v>
      </c>
      <c r="B39" s="221"/>
      <c r="C39" s="221"/>
      <c r="D39" s="221"/>
      <c r="E39" s="221"/>
      <c r="F39" s="221"/>
      <c r="G39" s="221"/>
      <c r="H39" s="221"/>
      <c r="I39" s="186"/>
      <c r="J39" s="73"/>
    </row>
    <row r="40" spans="1:11" x14ac:dyDescent="0.2">
      <c r="A40" s="200" t="s">
        <v>146</v>
      </c>
      <c r="B40" s="201"/>
      <c r="C40" s="201"/>
      <c r="D40" s="201"/>
      <c r="E40" s="201"/>
      <c r="F40" s="201"/>
      <c r="G40" s="201"/>
      <c r="H40" s="202"/>
      <c r="I40" s="216"/>
      <c r="J40" s="71"/>
    </row>
    <row r="41" spans="1:11" x14ac:dyDescent="0.2">
      <c r="A41" s="220">
        <v>0</v>
      </c>
      <c r="B41" s="220"/>
      <c r="C41" s="220"/>
      <c r="D41" s="220"/>
      <c r="E41" s="220"/>
      <c r="F41" s="220"/>
      <c r="G41" s="220"/>
      <c r="H41" s="220"/>
      <c r="I41" s="216"/>
      <c r="J41" s="71"/>
    </row>
    <row r="42" spans="1:11" x14ac:dyDescent="0.2">
      <c r="A42" s="197" t="s">
        <v>147</v>
      </c>
      <c r="B42" s="198"/>
      <c r="C42" s="198"/>
      <c r="D42" s="198"/>
      <c r="E42" s="198"/>
      <c r="F42" s="198"/>
      <c r="G42" s="198"/>
      <c r="H42" s="199"/>
      <c r="I42" s="34"/>
      <c r="J42" s="71"/>
    </row>
    <row r="43" spans="1:11" x14ac:dyDescent="0.2">
      <c r="A43" s="200" t="s">
        <v>148</v>
      </c>
      <c r="B43" s="201"/>
      <c r="C43" s="201"/>
      <c r="D43" s="201"/>
      <c r="E43" s="201"/>
      <c r="F43" s="201"/>
      <c r="G43" s="201"/>
      <c r="H43" s="202"/>
      <c r="I43" s="68"/>
      <c r="J43" s="71"/>
    </row>
    <row r="44" spans="1:11" x14ac:dyDescent="0.2">
      <c r="A44" s="204" t="s">
        <v>149</v>
      </c>
      <c r="B44" s="205"/>
      <c r="C44" s="205"/>
      <c r="D44" s="205"/>
      <c r="E44" s="205"/>
      <c r="F44" s="205"/>
      <c r="G44" s="205"/>
      <c r="H44" s="206"/>
      <c r="I44" s="219" t="s">
        <v>519</v>
      </c>
      <c r="J44" s="71"/>
    </row>
    <row r="45" spans="1:11" x14ac:dyDescent="0.2">
      <c r="A45" s="208">
        <v>1023912</v>
      </c>
      <c r="B45" s="208"/>
      <c r="C45" s="208"/>
      <c r="D45" s="208"/>
      <c r="E45" s="208"/>
      <c r="F45" s="208"/>
      <c r="G45" s="208"/>
      <c r="H45" s="208"/>
      <c r="I45" s="219"/>
      <c r="J45" s="71"/>
      <c r="K45" s="64"/>
    </row>
    <row r="46" spans="1:11" x14ac:dyDescent="0.2">
      <c r="A46" s="204" t="s">
        <v>150</v>
      </c>
      <c r="B46" s="205"/>
      <c r="C46" s="205"/>
      <c r="D46" s="205"/>
      <c r="E46" s="205"/>
      <c r="F46" s="205"/>
      <c r="G46" s="205"/>
      <c r="H46" s="206"/>
      <c r="I46" s="216"/>
      <c r="J46" s="71"/>
    </row>
    <row r="47" spans="1:11" x14ac:dyDescent="0.2">
      <c r="A47" s="258">
        <v>803902</v>
      </c>
      <c r="B47" s="259"/>
      <c r="C47" s="259"/>
      <c r="D47" s="259"/>
      <c r="E47" s="259"/>
      <c r="F47" s="259"/>
      <c r="G47" s="259"/>
      <c r="H47" s="260"/>
      <c r="I47" s="216"/>
      <c r="J47" s="71"/>
    </row>
    <row r="48" spans="1:11" x14ac:dyDescent="0.2">
      <c r="A48" s="204" t="s">
        <v>151</v>
      </c>
      <c r="B48" s="205"/>
      <c r="C48" s="205"/>
      <c r="D48" s="205"/>
      <c r="E48" s="205"/>
      <c r="F48" s="205"/>
      <c r="G48" s="205"/>
      <c r="H48" s="206"/>
      <c r="I48" s="216"/>
      <c r="J48" s="71"/>
    </row>
    <row r="49" spans="1:11" x14ac:dyDescent="0.2">
      <c r="A49" s="207">
        <v>75620688.709999993</v>
      </c>
      <c r="B49" s="207"/>
      <c r="C49" s="207"/>
      <c r="D49" s="207"/>
      <c r="E49" s="207"/>
      <c r="F49" s="207"/>
      <c r="G49" s="207"/>
      <c r="H49" s="207"/>
      <c r="I49" s="216"/>
      <c r="J49" s="71"/>
      <c r="K49" s="62"/>
    </row>
    <row r="50" spans="1:11" x14ac:dyDescent="0.2">
      <c r="A50" s="204" t="s">
        <v>152</v>
      </c>
      <c r="B50" s="205"/>
      <c r="C50" s="205"/>
      <c r="D50" s="205"/>
      <c r="E50" s="205"/>
      <c r="F50" s="205"/>
      <c r="G50" s="205"/>
      <c r="H50" s="206"/>
      <c r="I50" s="34"/>
      <c r="J50" s="71"/>
    </row>
    <row r="51" spans="1:11" x14ac:dyDescent="0.2">
      <c r="A51" s="204" t="s">
        <v>153</v>
      </c>
      <c r="B51" s="205"/>
      <c r="C51" s="205"/>
      <c r="D51" s="205"/>
      <c r="E51" s="205"/>
      <c r="F51" s="205"/>
      <c r="G51" s="205"/>
      <c r="H51" s="206"/>
      <c r="I51" s="216"/>
      <c r="J51" s="71"/>
    </row>
    <row r="52" spans="1:11" x14ac:dyDescent="0.2">
      <c r="A52" s="208">
        <v>733034</v>
      </c>
      <c r="B52" s="208"/>
      <c r="C52" s="208"/>
      <c r="D52" s="208"/>
      <c r="E52" s="208"/>
      <c r="F52" s="208"/>
      <c r="G52" s="208"/>
      <c r="H52" s="208"/>
      <c r="I52" s="216"/>
      <c r="J52" s="71"/>
    </row>
    <row r="53" spans="1:11" x14ac:dyDescent="0.2">
      <c r="A53" s="204" t="s">
        <v>133</v>
      </c>
      <c r="B53" s="205"/>
      <c r="C53" s="205"/>
      <c r="D53" s="205"/>
      <c r="E53" s="205"/>
      <c r="F53" s="205"/>
      <c r="G53" s="205"/>
      <c r="H53" s="206"/>
      <c r="I53" s="216"/>
      <c r="J53" s="71"/>
    </row>
    <row r="54" spans="1:11" x14ac:dyDescent="0.2">
      <c r="A54" s="207">
        <v>23030498.59</v>
      </c>
      <c r="B54" s="207"/>
      <c r="C54" s="207"/>
      <c r="D54" s="207"/>
      <c r="E54" s="207"/>
      <c r="F54" s="207"/>
      <c r="G54" s="207"/>
      <c r="H54" s="207"/>
      <c r="I54" s="216"/>
      <c r="J54" s="71"/>
    </row>
    <row r="55" spans="1:11" x14ac:dyDescent="0.2">
      <c r="A55" s="204" t="s">
        <v>154</v>
      </c>
      <c r="B55" s="205"/>
      <c r="C55" s="205"/>
      <c r="D55" s="205"/>
      <c r="E55" s="205"/>
      <c r="F55" s="205"/>
      <c r="G55" s="205"/>
      <c r="H55" s="206"/>
      <c r="I55" s="34"/>
      <c r="J55" s="71"/>
    </row>
    <row r="56" spans="1:11" x14ac:dyDescent="0.2">
      <c r="A56" s="204" t="s">
        <v>153</v>
      </c>
      <c r="B56" s="205"/>
      <c r="C56" s="205"/>
      <c r="D56" s="205"/>
      <c r="E56" s="205"/>
      <c r="F56" s="205"/>
      <c r="G56" s="205"/>
      <c r="H56" s="206"/>
      <c r="I56" s="216"/>
      <c r="J56" s="71"/>
    </row>
    <row r="57" spans="1:11" x14ac:dyDescent="0.2">
      <c r="A57" s="208">
        <v>70868</v>
      </c>
      <c r="B57" s="208"/>
      <c r="C57" s="208"/>
      <c r="D57" s="208"/>
      <c r="E57" s="208"/>
      <c r="F57" s="208"/>
      <c r="G57" s="208"/>
      <c r="H57" s="208"/>
      <c r="I57" s="216"/>
      <c r="J57" s="71"/>
    </row>
    <row r="58" spans="1:11" x14ac:dyDescent="0.2">
      <c r="A58" s="204" t="s">
        <v>155</v>
      </c>
      <c r="B58" s="205"/>
      <c r="C58" s="205"/>
      <c r="D58" s="205"/>
      <c r="E58" s="205"/>
      <c r="F58" s="205"/>
      <c r="G58" s="205"/>
      <c r="H58" s="206"/>
      <c r="I58" s="216"/>
      <c r="J58" s="71"/>
    </row>
    <row r="59" spans="1:11" x14ac:dyDescent="0.2">
      <c r="A59" s="207">
        <v>52590190.119999997</v>
      </c>
      <c r="B59" s="207"/>
      <c r="C59" s="207"/>
      <c r="D59" s="207"/>
      <c r="E59" s="207"/>
      <c r="F59" s="207"/>
      <c r="G59" s="207"/>
      <c r="H59" s="207"/>
      <c r="I59" s="216"/>
      <c r="J59" s="71"/>
      <c r="K59" s="96"/>
    </row>
    <row r="60" spans="1:11" x14ac:dyDescent="0.2">
      <c r="A60" s="200" t="s">
        <v>156</v>
      </c>
      <c r="B60" s="201"/>
      <c r="C60" s="201"/>
      <c r="D60" s="201"/>
      <c r="E60" s="201"/>
      <c r="F60" s="201"/>
      <c r="G60" s="201"/>
      <c r="H60" s="202"/>
      <c r="I60" s="34"/>
      <c r="J60" s="71"/>
    </row>
    <row r="61" spans="1:11" x14ac:dyDescent="0.2">
      <c r="A61" s="204" t="s">
        <v>157</v>
      </c>
      <c r="B61" s="205"/>
      <c r="C61" s="205"/>
      <c r="D61" s="205"/>
      <c r="E61" s="205"/>
      <c r="F61" s="205"/>
      <c r="G61" s="205"/>
      <c r="H61" s="206"/>
      <c r="I61" s="216"/>
      <c r="J61" s="71"/>
    </row>
    <row r="62" spans="1:11" x14ac:dyDescent="0.2">
      <c r="A62" s="208">
        <v>0</v>
      </c>
      <c r="B62" s="208"/>
      <c r="C62" s="208"/>
      <c r="D62" s="208"/>
      <c r="E62" s="208"/>
      <c r="F62" s="208"/>
      <c r="G62" s="208"/>
      <c r="H62" s="208"/>
      <c r="I62" s="216"/>
      <c r="J62" s="71"/>
    </row>
    <row r="63" spans="1:11" x14ac:dyDescent="0.2">
      <c r="A63" s="204" t="s">
        <v>158</v>
      </c>
      <c r="B63" s="205"/>
      <c r="C63" s="205"/>
      <c r="D63" s="205"/>
      <c r="E63" s="205"/>
      <c r="F63" s="205"/>
      <c r="G63" s="205"/>
      <c r="H63" s="206"/>
      <c r="I63" s="216"/>
      <c r="J63" s="71"/>
    </row>
    <row r="64" spans="1:11" x14ac:dyDescent="0.2">
      <c r="A64" s="208">
        <v>0</v>
      </c>
      <c r="B64" s="208"/>
      <c r="C64" s="208"/>
      <c r="D64" s="208"/>
      <c r="E64" s="208"/>
      <c r="F64" s="208"/>
      <c r="G64" s="208"/>
      <c r="H64" s="208"/>
      <c r="I64" s="216"/>
      <c r="J64" s="71"/>
    </row>
    <row r="65" spans="1:17" x14ac:dyDescent="0.2">
      <c r="A65" s="235" t="s">
        <v>159</v>
      </c>
      <c r="B65" s="236"/>
      <c r="C65" s="236"/>
      <c r="D65" s="236"/>
      <c r="E65" s="236"/>
      <c r="F65" s="236"/>
      <c r="G65" s="236"/>
      <c r="H65" s="237"/>
      <c r="I65" s="185"/>
      <c r="J65" s="71"/>
    </row>
    <row r="66" spans="1:17" x14ac:dyDescent="0.2">
      <c r="A66" s="208">
        <v>0</v>
      </c>
      <c r="B66" s="208"/>
      <c r="C66" s="208"/>
      <c r="D66" s="208"/>
      <c r="E66" s="208"/>
      <c r="F66" s="208"/>
      <c r="G66" s="208"/>
      <c r="H66" s="208"/>
      <c r="I66" s="186"/>
      <c r="J66" s="71"/>
    </row>
    <row r="67" spans="1:17" x14ac:dyDescent="0.2">
      <c r="A67" s="235" t="s">
        <v>160</v>
      </c>
      <c r="B67" s="236"/>
      <c r="C67" s="236"/>
      <c r="D67" s="236"/>
      <c r="E67" s="236"/>
      <c r="F67" s="236"/>
      <c r="G67" s="236"/>
      <c r="H67" s="237"/>
      <c r="I67" s="185"/>
      <c r="J67" s="71"/>
    </row>
    <row r="68" spans="1:17" x14ac:dyDescent="0.2">
      <c r="A68" s="255">
        <v>0</v>
      </c>
      <c r="B68" s="256"/>
      <c r="C68" s="256"/>
      <c r="D68" s="256"/>
      <c r="E68" s="256"/>
      <c r="F68" s="256"/>
      <c r="G68" s="256"/>
      <c r="H68" s="257"/>
      <c r="I68" s="187"/>
      <c r="J68" s="71"/>
    </row>
    <row r="69" spans="1:17" ht="56.25" x14ac:dyDescent="0.2">
      <c r="A69" s="113" t="s">
        <v>139</v>
      </c>
      <c r="B69" s="114"/>
      <c r="C69" s="114"/>
      <c r="D69" s="114"/>
      <c r="E69" s="114"/>
      <c r="F69" s="114"/>
      <c r="G69" s="114"/>
      <c r="H69" s="115"/>
      <c r="I69" s="187"/>
      <c r="J69" s="71"/>
    </row>
    <row r="70" spans="1:17" x14ac:dyDescent="0.2">
      <c r="A70" s="208">
        <v>0</v>
      </c>
      <c r="B70" s="208"/>
      <c r="C70" s="208"/>
      <c r="D70" s="208"/>
      <c r="E70" s="208"/>
      <c r="F70" s="208"/>
      <c r="G70" s="208"/>
      <c r="H70" s="208"/>
      <c r="I70" s="186"/>
      <c r="J70" s="71"/>
    </row>
    <row r="71" spans="1:17" x14ac:dyDescent="0.25">
      <c r="A71" s="197" t="s">
        <v>161</v>
      </c>
      <c r="B71" s="198"/>
      <c r="C71" s="198"/>
      <c r="D71" s="198"/>
      <c r="E71" s="198"/>
      <c r="F71" s="198"/>
      <c r="G71" s="198"/>
      <c r="H71" s="199"/>
      <c r="I71" s="68"/>
      <c r="J71" s="71"/>
      <c r="L71" s="82"/>
      <c r="M71" s="82"/>
      <c r="N71" s="82"/>
      <c r="O71" s="101">
        <v>2025</v>
      </c>
      <c r="P71" s="82">
        <v>2024</v>
      </c>
      <c r="Q71" s="82">
        <v>2023</v>
      </c>
    </row>
    <row r="72" spans="1:17" x14ac:dyDescent="0.2">
      <c r="A72" s="197" t="s">
        <v>162</v>
      </c>
      <c r="B72" s="198"/>
      <c r="C72" s="198"/>
      <c r="D72" s="198"/>
      <c r="E72" s="198"/>
      <c r="F72" s="198"/>
      <c r="G72" s="198"/>
      <c r="H72" s="199"/>
      <c r="I72" s="68"/>
      <c r="J72" s="71"/>
    </row>
    <row r="73" spans="1:17" x14ac:dyDescent="0.2">
      <c r="A73" s="204" t="s">
        <v>163</v>
      </c>
      <c r="B73" s="205"/>
      <c r="C73" s="205"/>
      <c r="D73" s="205"/>
      <c r="E73" s="205"/>
      <c r="F73" s="205"/>
      <c r="G73" s="205"/>
      <c r="H73" s="206"/>
      <c r="I73" s="185"/>
      <c r="J73" s="73"/>
    </row>
    <row r="74" spans="1:17" x14ac:dyDescent="0.2">
      <c r="A74" s="221">
        <v>799603</v>
      </c>
      <c r="B74" s="221"/>
      <c r="C74" s="221"/>
      <c r="D74" s="221"/>
      <c r="E74" s="221"/>
      <c r="F74" s="221"/>
      <c r="G74" s="221"/>
      <c r="H74" s="221"/>
      <c r="I74" s="186"/>
      <c r="J74" s="73"/>
    </row>
    <row r="75" spans="1:17" x14ac:dyDescent="0.2">
      <c r="A75" s="204" t="s">
        <v>164</v>
      </c>
      <c r="B75" s="205"/>
      <c r="C75" s="205"/>
      <c r="D75" s="205"/>
      <c r="E75" s="205"/>
      <c r="F75" s="205"/>
      <c r="G75" s="205"/>
      <c r="H75" s="206"/>
      <c r="I75" s="185"/>
      <c r="J75" s="73"/>
    </row>
    <row r="76" spans="1:17" x14ac:dyDescent="0.2">
      <c r="A76" s="221">
        <v>703589</v>
      </c>
      <c r="B76" s="221"/>
      <c r="C76" s="221"/>
      <c r="D76" s="221"/>
      <c r="E76" s="221"/>
      <c r="F76" s="221"/>
      <c r="G76" s="221"/>
      <c r="H76" s="221"/>
      <c r="I76" s="186"/>
      <c r="J76" s="73"/>
    </row>
    <row r="77" spans="1:17" x14ac:dyDescent="0.2">
      <c r="A77" s="204" t="s">
        <v>165</v>
      </c>
      <c r="B77" s="205"/>
      <c r="C77" s="205"/>
      <c r="D77" s="205"/>
      <c r="E77" s="205"/>
      <c r="F77" s="205"/>
      <c r="G77" s="205"/>
      <c r="H77" s="206"/>
      <c r="I77" s="185"/>
      <c r="J77" s="73"/>
    </row>
    <row r="78" spans="1:17" x14ac:dyDescent="0.2">
      <c r="A78" s="221">
        <v>23214</v>
      </c>
      <c r="B78" s="221"/>
      <c r="C78" s="221"/>
      <c r="D78" s="221"/>
      <c r="E78" s="221"/>
      <c r="F78" s="221"/>
      <c r="G78" s="221"/>
      <c r="H78" s="221"/>
      <c r="I78" s="186"/>
      <c r="J78" s="73"/>
    </row>
    <row r="79" spans="1:17" x14ac:dyDescent="0.2">
      <c r="A79" s="204" t="s">
        <v>166</v>
      </c>
      <c r="B79" s="205"/>
      <c r="C79" s="205"/>
      <c r="D79" s="205"/>
      <c r="E79" s="205"/>
      <c r="F79" s="205"/>
      <c r="G79" s="205"/>
      <c r="H79" s="206"/>
      <c r="I79" s="185"/>
      <c r="J79" s="73"/>
    </row>
    <row r="80" spans="1:17" x14ac:dyDescent="0.2">
      <c r="A80" s="221">
        <v>72628</v>
      </c>
      <c r="B80" s="221"/>
      <c r="C80" s="221"/>
      <c r="D80" s="221"/>
      <c r="E80" s="221"/>
      <c r="F80" s="221"/>
      <c r="G80" s="221"/>
      <c r="H80" s="221"/>
      <c r="I80" s="186"/>
      <c r="J80" s="73"/>
    </row>
    <row r="81" spans="1:17" x14ac:dyDescent="0.2">
      <c r="A81" s="204" t="s">
        <v>167</v>
      </c>
      <c r="B81" s="205"/>
      <c r="C81" s="205"/>
      <c r="D81" s="205"/>
      <c r="E81" s="205"/>
      <c r="F81" s="205"/>
      <c r="G81" s="205"/>
      <c r="H81" s="206"/>
      <c r="I81" s="185"/>
      <c r="J81" s="73"/>
    </row>
    <row r="82" spans="1:17" x14ac:dyDescent="0.2">
      <c r="A82" s="221">
        <v>172</v>
      </c>
      <c r="B82" s="221"/>
      <c r="C82" s="221"/>
      <c r="D82" s="221"/>
      <c r="E82" s="221"/>
      <c r="F82" s="221"/>
      <c r="G82" s="221"/>
      <c r="H82" s="221"/>
      <c r="I82" s="186"/>
      <c r="J82" s="73"/>
    </row>
    <row r="83" spans="1:17" x14ac:dyDescent="0.2">
      <c r="A83" s="200" t="s">
        <v>168</v>
      </c>
      <c r="B83" s="201"/>
      <c r="C83" s="201"/>
      <c r="D83" s="201"/>
      <c r="E83" s="201"/>
      <c r="F83" s="201"/>
      <c r="G83" s="201"/>
      <c r="H83" s="202"/>
      <c r="I83" s="34"/>
      <c r="J83" s="73"/>
    </row>
    <row r="84" spans="1:17" x14ac:dyDescent="0.2">
      <c r="A84" s="204" t="s">
        <v>169</v>
      </c>
      <c r="B84" s="205"/>
      <c r="C84" s="205"/>
      <c r="D84" s="205"/>
      <c r="E84" s="205"/>
      <c r="F84" s="205"/>
      <c r="G84" s="205"/>
      <c r="H84" s="206"/>
      <c r="I84" s="185"/>
      <c r="J84" s="73"/>
    </row>
    <row r="85" spans="1:17" x14ac:dyDescent="0.25">
      <c r="A85" s="221">
        <v>225833</v>
      </c>
      <c r="B85" s="221"/>
      <c r="C85" s="221"/>
      <c r="D85" s="221"/>
      <c r="E85" s="221"/>
      <c r="F85" s="221"/>
      <c r="G85" s="221"/>
      <c r="H85" s="221"/>
      <c r="I85" s="186"/>
      <c r="J85" s="73"/>
      <c r="L85" s="5"/>
      <c r="M85" s="5"/>
      <c r="N85" s="5"/>
      <c r="O85" s="102"/>
      <c r="P85" s="103"/>
      <c r="Q85" s="103"/>
    </row>
    <row r="86" spans="1:17" x14ac:dyDescent="0.25">
      <c r="A86" s="204" t="s">
        <v>170</v>
      </c>
      <c r="B86" s="205"/>
      <c r="C86" s="205"/>
      <c r="D86" s="205"/>
      <c r="E86" s="205"/>
      <c r="F86" s="205"/>
      <c r="G86" s="205"/>
      <c r="H86" s="206"/>
      <c r="I86" s="185"/>
      <c r="J86" s="73"/>
      <c r="L86" s="5"/>
      <c r="M86" s="5"/>
      <c r="N86" s="5"/>
      <c r="O86" s="102"/>
      <c r="P86" s="103"/>
      <c r="Q86" s="103"/>
    </row>
    <row r="87" spans="1:17" x14ac:dyDescent="0.25">
      <c r="A87" s="220">
        <v>11572821760.3202</v>
      </c>
      <c r="B87" s="220"/>
      <c r="C87" s="220"/>
      <c r="D87" s="220"/>
      <c r="E87" s="220"/>
      <c r="F87" s="220"/>
      <c r="G87" s="220"/>
      <c r="H87" s="220"/>
      <c r="I87" s="186"/>
      <c r="J87" s="73"/>
      <c r="L87" s="5"/>
      <c r="M87" s="5"/>
      <c r="N87" s="5"/>
      <c r="O87" s="102"/>
      <c r="P87" s="103"/>
      <c r="Q87" s="103"/>
    </row>
    <row r="88" spans="1:17" x14ac:dyDescent="0.25">
      <c r="A88" s="204" t="s">
        <v>171</v>
      </c>
      <c r="B88" s="205"/>
      <c r="C88" s="205"/>
      <c r="D88" s="205"/>
      <c r="E88" s="205"/>
      <c r="F88" s="205"/>
      <c r="G88" s="205"/>
      <c r="H88" s="206"/>
      <c r="I88" s="185"/>
      <c r="J88" s="73"/>
      <c r="L88" s="5"/>
      <c r="M88" s="5"/>
      <c r="N88" s="5"/>
      <c r="O88" s="102"/>
      <c r="P88" s="103"/>
      <c r="Q88" s="103"/>
    </row>
    <row r="89" spans="1:17" x14ac:dyDescent="0.25">
      <c r="A89" s="241">
        <v>0.48818387207005198</v>
      </c>
      <c r="B89" s="241"/>
      <c r="C89" s="241"/>
      <c r="D89" s="241"/>
      <c r="E89" s="241"/>
      <c r="F89" s="241"/>
      <c r="G89" s="241"/>
      <c r="H89" s="241"/>
      <c r="I89" s="186"/>
      <c r="J89" s="73"/>
      <c r="L89" s="5"/>
      <c r="M89" s="5"/>
      <c r="N89" s="5"/>
      <c r="O89" s="102"/>
      <c r="P89" s="103"/>
      <c r="Q89" s="103"/>
    </row>
    <row r="90" spans="1:17" x14ac:dyDescent="0.25">
      <c r="A90" s="204" t="s">
        <v>172</v>
      </c>
      <c r="B90" s="205"/>
      <c r="C90" s="205"/>
      <c r="D90" s="205"/>
      <c r="E90" s="205"/>
      <c r="F90" s="205"/>
      <c r="G90" s="205"/>
      <c r="H90" s="206"/>
      <c r="I90" s="185"/>
      <c r="J90" s="73"/>
      <c r="L90" s="5"/>
      <c r="M90" s="5"/>
      <c r="N90" s="5"/>
      <c r="O90" s="102"/>
      <c r="P90" s="103"/>
      <c r="Q90" s="103"/>
    </row>
    <row r="91" spans="1:17" x14ac:dyDescent="0.25">
      <c r="A91" s="241">
        <v>0.51181612792994802</v>
      </c>
      <c r="B91" s="241"/>
      <c r="C91" s="241"/>
      <c r="D91" s="241"/>
      <c r="E91" s="241"/>
      <c r="F91" s="241"/>
      <c r="G91" s="241"/>
      <c r="H91" s="241"/>
      <c r="I91" s="186"/>
      <c r="J91" s="73"/>
      <c r="L91" s="5"/>
      <c r="M91" s="5"/>
      <c r="N91" s="5"/>
      <c r="O91" s="102"/>
      <c r="P91" s="103"/>
      <c r="Q91" s="103"/>
    </row>
    <row r="92" spans="1:17" x14ac:dyDescent="0.25">
      <c r="A92" s="204" t="s">
        <v>173</v>
      </c>
      <c r="B92" s="205"/>
      <c r="C92" s="205"/>
      <c r="D92" s="205"/>
      <c r="E92" s="205"/>
      <c r="F92" s="205"/>
      <c r="G92" s="205"/>
      <c r="H92" s="206"/>
      <c r="I92" s="185"/>
      <c r="J92" s="73"/>
      <c r="L92" s="5"/>
      <c r="M92" s="5"/>
      <c r="N92" s="5"/>
      <c r="O92" s="104"/>
      <c r="P92" s="105"/>
      <c r="Q92" s="105"/>
    </row>
    <row r="93" spans="1:17" x14ac:dyDescent="0.25">
      <c r="A93" s="221">
        <v>190272</v>
      </c>
      <c r="B93" s="221"/>
      <c r="C93" s="221"/>
      <c r="D93" s="221"/>
      <c r="E93" s="221"/>
      <c r="F93" s="221"/>
      <c r="G93" s="221"/>
      <c r="H93" s="221"/>
      <c r="I93" s="186"/>
      <c r="J93" s="73"/>
      <c r="L93" s="5"/>
      <c r="M93" s="5"/>
      <c r="N93" s="5"/>
      <c r="O93" s="104"/>
      <c r="P93" s="105"/>
      <c r="Q93" s="105"/>
    </row>
    <row r="94" spans="1:17" x14ac:dyDescent="0.25">
      <c r="A94" s="204" t="s">
        <v>174</v>
      </c>
      <c r="B94" s="205"/>
      <c r="C94" s="205"/>
      <c r="D94" s="205"/>
      <c r="E94" s="205"/>
      <c r="F94" s="205"/>
      <c r="G94" s="205"/>
      <c r="H94" s="206"/>
      <c r="I94" s="185"/>
      <c r="J94" s="73"/>
      <c r="L94" s="5"/>
      <c r="M94" s="5"/>
      <c r="N94" s="5"/>
      <c r="O94" s="102"/>
      <c r="P94" s="103"/>
      <c r="Q94" s="103"/>
    </row>
    <row r="95" spans="1:17" x14ac:dyDescent="0.25">
      <c r="A95" s="220">
        <v>1435859104.6601701</v>
      </c>
      <c r="B95" s="220"/>
      <c r="C95" s="220"/>
      <c r="D95" s="220"/>
      <c r="E95" s="220"/>
      <c r="F95" s="220"/>
      <c r="G95" s="220"/>
      <c r="H95" s="220"/>
      <c r="I95" s="186"/>
      <c r="J95" s="73"/>
      <c r="L95" s="5"/>
      <c r="M95" s="5"/>
      <c r="N95" s="5"/>
      <c r="O95" s="102"/>
      <c r="P95" s="103"/>
      <c r="Q95" s="103"/>
    </row>
    <row r="96" spans="1:17" x14ac:dyDescent="0.25">
      <c r="A96" s="204" t="s">
        <v>175</v>
      </c>
      <c r="B96" s="205"/>
      <c r="C96" s="205"/>
      <c r="D96" s="205"/>
      <c r="E96" s="205"/>
      <c r="F96" s="205"/>
      <c r="G96" s="205"/>
      <c r="H96" s="206"/>
      <c r="I96" s="185"/>
      <c r="J96" s="73"/>
      <c r="L96" s="5"/>
      <c r="M96" s="5"/>
      <c r="N96" s="5"/>
      <c r="O96" s="102"/>
      <c r="P96" s="103"/>
      <c r="Q96" s="103"/>
    </row>
    <row r="97" spans="1:17" x14ac:dyDescent="0.25">
      <c r="A97" s="221">
        <v>35561</v>
      </c>
      <c r="B97" s="221"/>
      <c r="C97" s="221"/>
      <c r="D97" s="221"/>
      <c r="E97" s="221"/>
      <c r="F97" s="221"/>
      <c r="G97" s="221"/>
      <c r="H97" s="221"/>
      <c r="I97" s="186"/>
      <c r="J97" s="73"/>
      <c r="L97" s="5"/>
      <c r="M97" s="5"/>
      <c r="N97" s="5"/>
      <c r="O97" s="102"/>
      <c r="P97" s="103"/>
      <c r="Q97" s="103"/>
    </row>
    <row r="98" spans="1:17" x14ac:dyDescent="0.2">
      <c r="A98" s="204" t="s">
        <v>176</v>
      </c>
      <c r="B98" s="205"/>
      <c r="C98" s="205"/>
      <c r="D98" s="205"/>
      <c r="E98" s="205"/>
      <c r="F98" s="205"/>
      <c r="G98" s="205"/>
      <c r="H98" s="206"/>
      <c r="I98" s="185"/>
      <c r="J98" s="73"/>
    </row>
    <row r="99" spans="1:17" x14ac:dyDescent="0.2">
      <c r="A99" s="220">
        <v>10136962655.66</v>
      </c>
      <c r="B99" s="220"/>
      <c r="C99" s="220"/>
      <c r="D99" s="220"/>
      <c r="E99" s="220"/>
      <c r="F99" s="220"/>
      <c r="G99" s="220"/>
      <c r="H99" s="220"/>
      <c r="I99" s="186"/>
      <c r="J99" s="73"/>
    </row>
    <row r="100" spans="1:17" x14ac:dyDescent="0.2">
      <c r="A100" s="197" t="s">
        <v>177</v>
      </c>
      <c r="B100" s="198"/>
      <c r="C100" s="198"/>
      <c r="D100" s="198"/>
      <c r="E100" s="198"/>
      <c r="F100" s="198"/>
      <c r="G100" s="198"/>
      <c r="H100" s="199"/>
      <c r="I100" s="68"/>
      <c r="J100" s="71"/>
    </row>
    <row r="101" spans="1:17" x14ac:dyDescent="0.2">
      <c r="A101" s="200" t="s">
        <v>178</v>
      </c>
      <c r="B101" s="201"/>
      <c r="C101" s="201"/>
      <c r="D101" s="201"/>
      <c r="E101" s="201"/>
      <c r="F101" s="201"/>
      <c r="G101" s="201"/>
      <c r="H101" s="202"/>
      <c r="I101" s="185"/>
      <c r="J101" s="100"/>
    </row>
    <row r="102" spans="1:17" x14ac:dyDescent="0.2">
      <c r="A102" s="240">
        <v>5447</v>
      </c>
      <c r="B102" s="240"/>
      <c r="C102" s="240"/>
      <c r="D102" s="240"/>
      <c r="E102" s="240"/>
      <c r="F102" s="240"/>
      <c r="G102" s="240"/>
      <c r="H102" s="240"/>
      <c r="I102" s="186"/>
      <c r="J102" s="100"/>
      <c r="L102" s="77"/>
    </row>
    <row r="103" spans="1:17" x14ac:dyDescent="0.2">
      <c r="A103" s="200" t="s">
        <v>179</v>
      </c>
      <c r="B103" s="201"/>
      <c r="C103" s="201"/>
      <c r="D103" s="201"/>
      <c r="E103" s="201"/>
      <c r="F103" s="201"/>
      <c r="G103" s="201"/>
      <c r="H103" s="202"/>
      <c r="I103" s="185"/>
      <c r="J103" s="100"/>
      <c r="L103" s="77"/>
    </row>
    <row r="104" spans="1:17" x14ac:dyDescent="0.2">
      <c r="A104" s="240">
        <v>4889</v>
      </c>
      <c r="B104" s="240"/>
      <c r="C104" s="240"/>
      <c r="D104" s="240"/>
      <c r="E104" s="240"/>
      <c r="F104" s="240"/>
      <c r="G104" s="240"/>
      <c r="H104" s="240"/>
      <c r="I104" s="186"/>
      <c r="J104" s="100"/>
      <c r="L104" s="77"/>
    </row>
    <row r="105" spans="1:17" x14ac:dyDescent="0.2">
      <c r="A105" s="200" t="s">
        <v>180</v>
      </c>
      <c r="B105" s="201"/>
      <c r="C105" s="201"/>
      <c r="D105" s="201"/>
      <c r="E105" s="201"/>
      <c r="F105" s="201"/>
      <c r="G105" s="201"/>
      <c r="H105" s="202"/>
      <c r="I105" s="185"/>
      <c r="J105" s="100"/>
      <c r="L105" s="77"/>
    </row>
    <row r="106" spans="1:17" x14ac:dyDescent="0.2">
      <c r="A106" s="239">
        <v>11666844601</v>
      </c>
      <c r="B106" s="239"/>
      <c r="C106" s="239"/>
      <c r="D106" s="239"/>
      <c r="E106" s="239"/>
      <c r="F106" s="239"/>
      <c r="G106" s="239"/>
      <c r="H106" s="239"/>
      <c r="I106" s="186"/>
      <c r="J106" s="100"/>
      <c r="L106" s="77"/>
    </row>
    <row r="107" spans="1:17" x14ac:dyDescent="0.2">
      <c r="A107" s="200" t="s">
        <v>181</v>
      </c>
      <c r="B107" s="201"/>
      <c r="C107" s="201"/>
      <c r="D107" s="201"/>
      <c r="E107" s="201"/>
      <c r="F107" s="201"/>
      <c r="G107" s="201"/>
      <c r="H107" s="202"/>
      <c r="I107" s="185"/>
      <c r="J107" s="100"/>
      <c r="L107" s="77"/>
    </row>
    <row r="108" spans="1:17" x14ac:dyDescent="0.2">
      <c r="A108" s="240" t="s">
        <v>459</v>
      </c>
      <c r="B108" s="240"/>
      <c r="C108" s="240"/>
      <c r="D108" s="240"/>
      <c r="E108" s="240"/>
      <c r="F108" s="240"/>
      <c r="G108" s="240"/>
      <c r="H108" s="240"/>
      <c r="I108" s="186"/>
      <c r="J108" s="100"/>
      <c r="L108" s="77"/>
    </row>
    <row r="109" spans="1:17" x14ac:dyDescent="0.2">
      <c r="A109" s="197" t="s">
        <v>182</v>
      </c>
      <c r="B109" s="198"/>
      <c r="C109" s="198"/>
      <c r="D109" s="198"/>
      <c r="E109" s="198"/>
      <c r="F109" s="198"/>
      <c r="G109" s="198"/>
      <c r="H109" s="199"/>
      <c r="I109" s="68"/>
      <c r="J109" s="71"/>
    </row>
    <row r="110" spans="1:17" x14ac:dyDescent="0.2">
      <c r="A110" s="200" t="s">
        <v>183</v>
      </c>
      <c r="B110" s="201"/>
      <c r="C110" s="201"/>
      <c r="D110" s="201"/>
      <c r="E110" s="201"/>
      <c r="F110" s="201"/>
      <c r="G110" s="201"/>
      <c r="H110" s="202"/>
      <c r="I110" s="188"/>
      <c r="J110" s="71"/>
    </row>
    <row r="111" spans="1:17" x14ac:dyDescent="0.2">
      <c r="A111" s="221">
        <v>1015</v>
      </c>
      <c r="B111" s="221"/>
      <c r="C111" s="221"/>
      <c r="D111" s="221"/>
      <c r="E111" s="221"/>
      <c r="F111" s="221"/>
      <c r="G111" s="221"/>
      <c r="H111" s="221"/>
      <c r="I111" s="189"/>
      <c r="J111" s="71"/>
    </row>
    <row r="112" spans="1:17" x14ac:dyDescent="0.2">
      <c r="A112" s="200" t="s">
        <v>184</v>
      </c>
      <c r="B112" s="201"/>
      <c r="C112" s="201"/>
      <c r="D112" s="201"/>
      <c r="E112" s="201"/>
      <c r="F112" s="201"/>
      <c r="G112" s="201"/>
      <c r="H112" s="202"/>
      <c r="I112" s="185"/>
      <c r="J112" s="71"/>
    </row>
    <row r="113" spans="1:10" x14ac:dyDescent="0.2">
      <c r="A113" s="221">
        <v>8546</v>
      </c>
      <c r="B113" s="221"/>
      <c r="C113" s="221"/>
      <c r="D113" s="221"/>
      <c r="E113" s="221"/>
      <c r="F113" s="221"/>
      <c r="G113" s="221"/>
      <c r="H113" s="221"/>
      <c r="I113" s="186"/>
      <c r="J113" s="71"/>
    </row>
    <row r="114" spans="1:10" x14ac:dyDescent="0.2">
      <c r="A114" s="200" t="s">
        <v>185</v>
      </c>
      <c r="B114" s="201"/>
      <c r="C114" s="201"/>
      <c r="D114" s="201"/>
      <c r="E114" s="201"/>
      <c r="F114" s="201"/>
      <c r="G114" s="201"/>
      <c r="H114" s="202"/>
      <c r="I114" s="185"/>
      <c r="J114" s="71"/>
    </row>
    <row r="115" spans="1:10" x14ac:dyDescent="0.2">
      <c r="A115" s="220">
        <v>1336432137</v>
      </c>
      <c r="B115" s="220"/>
      <c r="C115" s="220"/>
      <c r="D115" s="220"/>
      <c r="E115" s="220"/>
      <c r="F115" s="220"/>
      <c r="G115" s="220"/>
      <c r="H115" s="220"/>
      <c r="I115" s="186"/>
      <c r="J115" s="71"/>
    </row>
    <row r="116" spans="1:10" x14ac:dyDescent="0.2">
      <c r="A116" s="197" t="s">
        <v>186</v>
      </c>
      <c r="B116" s="198"/>
      <c r="C116" s="198"/>
      <c r="D116" s="198"/>
      <c r="E116" s="198"/>
      <c r="F116" s="198"/>
      <c r="G116" s="198"/>
      <c r="H116" s="199"/>
      <c r="I116" s="68"/>
      <c r="J116" s="71"/>
    </row>
    <row r="117" spans="1:10" x14ac:dyDescent="0.2">
      <c r="A117" s="200" t="s">
        <v>187</v>
      </c>
      <c r="B117" s="201"/>
      <c r="C117" s="201"/>
      <c r="D117" s="201"/>
      <c r="E117" s="201"/>
      <c r="F117" s="201"/>
      <c r="G117" s="201"/>
      <c r="H117" s="202"/>
      <c r="I117" s="34"/>
      <c r="J117" s="73"/>
    </row>
    <row r="118" spans="1:10" x14ac:dyDescent="0.2">
      <c r="A118" s="204" t="s">
        <v>188</v>
      </c>
      <c r="B118" s="205"/>
      <c r="C118" s="205"/>
      <c r="D118" s="205"/>
      <c r="E118" s="205"/>
      <c r="F118" s="205"/>
      <c r="G118" s="205"/>
      <c r="H118" s="206"/>
      <c r="I118" s="185"/>
      <c r="J118" s="73"/>
    </row>
    <row r="119" spans="1:10" x14ac:dyDescent="0.2">
      <c r="A119" s="208">
        <v>128916069</v>
      </c>
      <c r="B119" s="208"/>
      <c r="C119" s="208"/>
      <c r="D119" s="208"/>
      <c r="E119" s="208"/>
      <c r="F119" s="208"/>
      <c r="G119" s="208"/>
      <c r="H119" s="208"/>
      <c r="I119" s="186"/>
      <c r="J119" s="73"/>
    </row>
    <row r="120" spans="1:10" x14ac:dyDescent="0.2">
      <c r="A120" s="204" t="s">
        <v>189</v>
      </c>
      <c r="B120" s="205"/>
      <c r="C120" s="205"/>
      <c r="D120" s="205"/>
      <c r="E120" s="205"/>
      <c r="F120" s="205"/>
      <c r="G120" s="205"/>
      <c r="H120" s="206"/>
      <c r="I120" s="185"/>
      <c r="J120" s="73"/>
    </row>
    <row r="121" spans="1:10" x14ac:dyDescent="0.2">
      <c r="A121" s="207">
        <v>225848575454.77301</v>
      </c>
      <c r="B121" s="207"/>
      <c r="C121" s="207"/>
      <c r="D121" s="207"/>
      <c r="E121" s="207"/>
      <c r="F121" s="207"/>
      <c r="G121" s="207"/>
      <c r="H121" s="207"/>
      <c r="I121" s="186"/>
      <c r="J121" s="73"/>
    </row>
    <row r="122" spans="1:10" x14ac:dyDescent="0.2">
      <c r="A122" s="204" t="s">
        <v>190</v>
      </c>
      <c r="B122" s="205"/>
      <c r="C122" s="205"/>
      <c r="D122" s="205"/>
      <c r="E122" s="205"/>
      <c r="F122" s="205"/>
      <c r="G122" s="205"/>
      <c r="H122" s="206"/>
      <c r="I122" s="185"/>
      <c r="J122" s="73"/>
    </row>
    <row r="123" spans="1:10" x14ac:dyDescent="0.2">
      <c r="A123" s="208">
        <v>1684019</v>
      </c>
      <c r="B123" s="208"/>
      <c r="C123" s="208"/>
      <c r="D123" s="208"/>
      <c r="E123" s="208"/>
      <c r="F123" s="208"/>
      <c r="G123" s="208"/>
      <c r="H123" s="208"/>
      <c r="I123" s="186"/>
      <c r="J123" s="73"/>
    </row>
    <row r="124" spans="1:10" x14ac:dyDescent="0.2">
      <c r="A124" s="204" t="s">
        <v>206</v>
      </c>
      <c r="B124" s="205"/>
      <c r="C124" s="205"/>
      <c r="D124" s="205"/>
      <c r="E124" s="205"/>
      <c r="F124" s="205"/>
      <c r="G124" s="205"/>
      <c r="H124" s="206"/>
      <c r="I124" s="185"/>
      <c r="J124" s="73"/>
    </row>
    <row r="125" spans="1:10" x14ac:dyDescent="0.2">
      <c r="A125" s="208">
        <v>159770678</v>
      </c>
      <c r="B125" s="208"/>
      <c r="C125" s="208"/>
      <c r="D125" s="208"/>
      <c r="E125" s="208"/>
      <c r="F125" s="208"/>
      <c r="G125" s="208"/>
      <c r="H125" s="208"/>
      <c r="I125" s="186"/>
      <c r="J125" s="73"/>
    </row>
    <row r="126" spans="1:10" x14ac:dyDescent="0.2">
      <c r="A126" s="204" t="s">
        <v>191</v>
      </c>
      <c r="B126" s="205"/>
      <c r="C126" s="205"/>
      <c r="D126" s="205"/>
      <c r="E126" s="205"/>
      <c r="F126" s="205"/>
      <c r="G126" s="205"/>
      <c r="H126" s="206"/>
      <c r="I126" s="185"/>
      <c r="J126" s="73"/>
    </row>
    <row r="127" spans="1:10" x14ac:dyDescent="0.2">
      <c r="A127" s="207">
        <v>264910728855.508</v>
      </c>
      <c r="B127" s="207"/>
      <c r="C127" s="207"/>
      <c r="D127" s="207"/>
      <c r="E127" s="207"/>
      <c r="F127" s="207"/>
      <c r="G127" s="207"/>
      <c r="H127" s="207"/>
      <c r="I127" s="186"/>
      <c r="J127" s="73"/>
    </row>
    <row r="128" spans="1:10" x14ac:dyDescent="0.2">
      <c r="A128" s="204" t="s">
        <v>192</v>
      </c>
      <c r="B128" s="205"/>
      <c r="C128" s="205"/>
      <c r="D128" s="205"/>
      <c r="E128" s="205"/>
      <c r="F128" s="205"/>
      <c r="G128" s="205"/>
      <c r="H128" s="206"/>
      <c r="I128" s="185"/>
      <c r="J128" s="73"/>
    </row>
    <row r="129" spans="1:10" x14ac:dyDescent="0.2">
      <c r="A129" s="208">
        <v>1634400</v>
      </c>
      <c r="B129" s="208"/>
      <c r="C129" s="208"/>
      <c r="D129" s="208"/>
      <c r="E129" s="208"/>
      <c r="F129" s="208"/>
      <c r="G129" s="208"/>
      <c r="H129" s="208"/>
      <c r="I129" s="186"/>
      <c r="J129" s="73"/>
    </row>
    <row r="130" spans="1:10" x14ac:dyDescent="0.2">
      <c r="A130" s="200" t="s">
        <v>193</v>
      </c>
      <c r="B130" s="201"/>
      <c r="C130" s="201"/>
      <c r="D130" s="201"/>
      <c r="E130" s="201"/>
      <c r="F130" s="201"/>
      <c r="G130" s="201"/>
      <c r="H130" s="202"/>
      <c r="I130" s="68"/>
      <c r="J130" s="73"/>
    </row>
    <row r="131" spans="1:10" x14ac:dyDescent="0.2">
      <c r="A131" s="204" t="s">
        <v>194</v>
      </c>
      <c r="B131" s="205"/>
      <c r="C131" s="205"/>
      <c r="D131" s="205"/>
      <c r="E131" s="205"/>
      <c r="F131" s="205"/>
      <c r="G131" s="205"/>
      <c r="H131" s="206"/>
      <c r="I131" s="185"/>
      <c r="J131" s="73"/>
    </row>
    <row r="132" spans="1:10" x14ac:dyDescent="0.2">
      <c r="A132" s="208">
        <v>92662913</v>
      </c>
      <c r="B132" s="208"/>
      <c r="C132" s="208"/>
      <c r="D132" s="208"/>
      <c r="E132" s="208"/>
      <c r="F132" s="208"/>
      <c r="G132" s="208"/>
      <c r="H132" s="208"/>
      <c r="I132" s="186"/>
      <c r="J132" s="73"/>
    </row>
    <row r="133" spans="1:10" x14ac:dyDescent="0.2">
      <c r="A133" s="204" t="s">
        <v>189</v>
      </c>
      <c r="B133" s="205"/>
      <c r="C133" s="205"/>
      <c r="D133" s="205"/>
      <c r="E133" s="205"/>
      <c r="F133" s="205"/>
      <c r="G133" s="205"/>
      <c r="H133" s="206"/>
      <c r="I133" s="185"/>
      <c r="J133" s="73"/>
    </row>
    <row r="134" spans="1:10" x14ac:dyDescent="0.2">
      <c r="A134" s="207">
        <v>42080502065.0047</v>
      </c>
      <c r="B134" s="207"/>
      <c r="C134" s="207"/>
      <c r="D134" s="207"/>
      <c r="E134" s="207"/>
      <c r="F134" s="207"/>
      <c r="G134" s="207"/>
      <c r="H134" s="207"/>
      <c r="I134" s="186"/>
      <c r="J134" s="73"/>
    </row>
    <row r="135" spans="1:10" x14ac:dyDescent="0.2">
      <c r="A135" s="204" t="s">
        <v>190</v>
      </c>
      <c r="B135" s="205"/>
      <c r="C135" s="205"/>
      <c r="D135" s="205"/>
      <c r="E135" s="205"/>
      <c r="F135" s="205"/>
      <c r="G135" s="205"/>
      <c r="H135" s="206"/>
      <c r="I135" s="185"/>
      <c r="J135" s="73"/>
    </row>
    <row r="136" spans="1:10" x14ac:dyDescent="0.2">
      <c r="A136" s="208">
        <v>1549504</v>
      </c>
      <c r="B136" s="208"/>
      <c r="C136" s="208"/>
      <c r="D136" s="208"/>
      <c r="E136" s="208"/>
      <c r="F136" s="208"/>
      <c r="G136" s="208"/>
      <c r="H136" s="208"/>
      <c r="I136" s="186"/>
      <c r="J136" s="73"/>
    </row>
    <row r="137" spans="1:10" x14ac:dyDescent="0.2">
      <c r="A137" s="204" t="s">
        <v>195</v>
      </c>
      <c r="B137" s="205"/>
      <c r="C137" s="205"/>
      <c r="D137" s="205"/>
      <c r="E137" s="205"/>
      <c r="F137" s="205"/>
      <c r="G137" s="205"/>
      <c r="H137" s="206"/>
      <c r="I137" s="185"/>
      <c r="J137" s="73"/>
    </row>
    <row r="138" spans="1:10" x14ac:dyDescent="0.2">
      <c r="A138" s="208">
        <v>122638227</v>
      </c>
      <c r="B138" s="208"/>
      <c r="C138" s="208"/>
      <c r="D138" s="208"/>
      <c r="E138" s="208"/>
      <c r="F138" s="208"/>
      <c r="G138" s="208"/>
      <c r="H138" s="208"/>
      <c r="I138" s="186"/>
      <c r="J138" s="73"/>
    </row>
    <row r="139" spans="1:10" x14ac:dyDescent="0.2">
      <c r="A139" s="204" t="s">
        <v>191</v>
      </c>
      <c r="B139" s="205"/>
      <c r="C139" s="205"/>
      <c r="D139" s="205"/>
      <c r="E139" s="205"/>
      <c r="F139" s="205"/>
      <c r="G139" s="205"/>
      <c r="H139" s="206"/>
      <c r="I139" s="185"/>
      <c r="J139" s="73"/>
    </row>
    <row r="140" spans="1:10" x14ac:dyDescent="0.2">
      <c r="A140" s="207">
        <v>29782352474.1931</v>
      </c>
      <c r="B140" s="207"/>
      <c r="C140" s="207"/>
      <c r="D140" s="207"/>
      <c r="E140" s="207"/>
      <c r="F140" s="207"/>
      <c r="G140" s="207"/>
      <c r="H140" s="207"/>
      <c r="I140" s="186"/>
      <c r="J140" s="73"/>
    </row>
    <row r="141" spans="1:10" x14ac:dyDescent="0.2">
      <c r="A141" s="204" t="s">
        <v>192</v>
      </c>
      <c r="B141" s="205"/>
      <c r="C141" s="205"/>
      <c r="D141" s="205"/>
      <c r="E141" s="205"/>
      <c r="F141" s="205"/>
      <c r="G141" s="205"/>
      <c r="H141" s="206"/>
      <c r="I141" s="185"/>
      <c r="J141" s="73"/>
    </row>
    <row r="142" spans="1:10" x14ac:dyDescent="0.2">
      <c r="A142" s="208">
        <v>1503235</v>
      </c>
      <c r="B142" s="208"/>
      <c r="C142" s="208"/>
      <c r="D142" s="208"/>
      <c r="E142" s="208"/>
      <c r="F142" s="208"/>
      <c r="G142" s="208"/>
      <c r="H142" s="208"/>
      <c r="I142" s="186"/>
      <c r="J142" s="73"/>
    </row>
    <row r="143" spans="1:10" x14ac:dyDescent="0.2">
      <c r="A143" s="200" t="s">
        <v>196</v>
      </c>
      <c r="B143" s="201"/>
      <c r="C143" s="201"/>
      <c r="D143" s="201"/>
      <c r="E143" s="201"/>
      <c r="F143" s="201"/>
      <c r="G143" s="201"/>
      <c r="H143" s="202"/>
      <c r="I143" s="34"/>
      <c r="J143" s="73"/>
    </row>
    <row r="144" spans="1:10" x14ac:dyDescent="0.2">
      <c r="A144" s="204" t="s">
        <v>197</v>
      </c>
      <c r="B144" s="205"/>
      <c r="C144" s="205"/>
      <c r="D144" s="205"/>
      <c r="E144" s="205"/>
      <c r="F144" s="205"/>
      <c r="G144" s="205"/>
      <c r="H144" s="206"/>
      <c r="I144" s="185"/>
      <c r="J144" s="73"/>
    </row>
    <row r="145" spans="1:10" x14ac:dyDescent="0.2">
      <c r="A145" s="208">
        <v>91843968</v>
      </c>
      <c r="B145" s="208"/>
      <c r="C145" s="208"/>
      <c r="D145" s="208"/>
      <c r="E145" s="208"/>
      <c r="F145" s="208"/>
      <c r="G145" s="208"/>
      <c r="H145" s="208"/>
      <c r="I145" s="186"/>
      <c r="J145" s="73"/>
    </row>
    <row r="146" spans="1:10" x14ac:dyDescent="0.2">
      <c r="A146" s="204" t="s">
        <v>189</v>
      </c>
      <c r="B146" s="205"/>
      <c r="C146" s="205"/>
      <c r="D146" s="205"/>
      <c r="E146" s="205"/>
      <c r="F146" s="205"/>
      <c r="G146" s="205"/>
      <c r="H146" s="206"/>
      <c r="I146" s="185"/>
      <c r="J146" s="73"/>
    </row>
    <row r="147" spans="1:10" x14ac:dyDescent="0.2">
      <c r="A147" s="207">
        <v>40207473072.366798</v>
      </c>
      <c r="B147" s="207"/>
      <c r="C147" s="207"/>
      <c r="D147" s="207"/>
      <c r="E147" s="207"/>
      <c r="F147" s="207"/>
      <c r="G147" s="207"/>
      <c r="H147" s="207"/>
      <c r="I147" s="186"/>
      <c r="J147" s="73"/>
    </row>
    <row r="148" spans="1:10" x14ac:dyDescent="0.2">
      <c r="A148" s="204" t="s">
        <v>190</v>
      </c>
      <c r="B148" s="205"/>
      <c r="C148" s="205"/>
      <c r="D148" s="205"/>
      <c r="E148" s="205"/>
      <c r="F148" s="205"/>
      <c r="G148" s="205"/>
      <c r="H148" s="206"/>
      <c r="I148" s="185"/>
      <c r="J148" s="73"/>
    </row>
    <row r="149" spans="1:10" x14ac:dyDescent="0.2">
      <c r="A149" s="208">
        <v>1497310</v>
      </c>
      <c r="B149" s="208"/>
      <c r="C149" s="208"/>
      <c r="D149" s="208"/>
      <c r="E149" s="208"/>
      <c r="F149" s="208"/>
      <c r="G149" s="208"/>
      <c r="H149" s="208"/>
      <c r="I149" s="186"/>
      <c r="J149" s="73"/>
    </row>
    <row r="150" spans="1:10" x14ac:dyDescent="0.2">
      <c r="A150" s="204" t="s">
        <v>198</v>
      </c>
      <c r="B150" s="205"/>
      <c r="C150" s="205"/>
      <c r="D150" s="205"/>
      <c r="E150" s="205"/>
      <c r="F150" s="205"/>
      <c r="G150" s="205"/>
      <c r="H150" s="206"/>
      <c r="I150" s="185"/>
      <c r="J150" s="73"/>
    </row>
    <row r="151" spans="1:10" x14ac:dyDescent="0.2">
      <c r="A151" s="208">
        <v>120754550</v>
      </c>
      <c r="B151" s="208"/>
      <c r="C151" s="208"/>
      <c r="D151" s="208"/>
      <c r="E151" s="208"/>
      <c r="F151" s="208"/>
      <c r="G151" s="208"/>
      <c r="H151" s="208"/>
      <c r="I151" s="186"/>
      <c r="J151" s="73"/>
    </row>
    <row r="152" spans="1:10" x14ac:dyDescent="0.2">
      <c r="A152" s="204" t="s">
        <v>191</v>
      </c>
      <c r="B152" s="205"/>
      <c r="C152" s="205"/>
      <c r="D152" s="205"/>
      <c r="E152" s="205"/>
      <c r="F152" s="205"/>
      <c r="G152" s="205"/>
      <c r="H152" s="206"/>
      <c r="I152" s="185"/>
      <c r="J152" s="73"/>
    </row>
    <row r="153" spans="1:10" x14ac:dyDescent="0.2">
      <c r="A153" s="207">
        <v>28271048459.9436</v>
      </c>
      <c r="B153" s="207"/>
      <c r="C153" s="207"/>
      <c r="D153" s="207"/>
      <c r="E153" s="207"/>
      <c r="F153" s="207"/>
      <c r="G153" s="207"/>
      <c r="H153" s="207"/>
      <c r="I153" s="186"/>
      <c r="J153" s="73"/>
    </row>
    <row r="154" spans="1:10" x14ac:dyDescent="0.2">
      <c r="A154" s="204" t="s">
        <v>199</v>
      </c>
      <c r="B154" s="205"/>
      <c r="C154" s="205"/>
      <c r="D154" s="205"/>
      <c r="E154" s="205"/>
      <c r="F154" s="205"/>
      <c r="G154" s="205"/>
      <c r="H154" s="206"/>
      <c r="I154" s="185"/>
      <c r="J154" s="73"/>
    </row>
    <row r="155" spans="1:10" x14ac:dyDescent="0.2">
      <c r="A155" s="208">
        <v>1448800</v>
      </c>
      <c r="B155" s="208"/>
      <c r="C155" s="208"/>
      <c r="D155" s="208"/>
      <c r="E155" s="208"/>
      <c r="F155" s="208"/>
      <c r="G155" s="208"/>
      <c r="H155" s="208"/>
      <c r="I155" s="186"/>
      <c r="J155" s="73"/>
    </row>
    <row r="156" spans="1:10" x14ac:dyDescent="0.2">
      <c r="A156" s="200" t="s">
        <v>200</v>
      </c>
      <c r="B156" s="201"/>
      <c r="C156" s="201"/>
      <c r="D156" s="201"/>
      <c r="E156" s="201"/>
      <c r="F156" s="201"/>
      <c r="G156" s="201"/>
      <c r="H156" s="202"/>
      <c r="I156" s="34"/>
      <c r="J156" s="73"/>
    </row>
    <row r="157" spans="1:10" x14ac:dyDescent="0.2">
      <c r="A157" s="204" t="s">
        <v>197</v>
      </c>
      <c r="B157" s="205"/>
      <c r="C157" s="205"/>
      <c r="D157" s="205"/>
      <c r="E157" s="205"/>
      <c r="F157" s="205"/>
      <c r="G157" s="205"/>
      <c r="H157" s="206"/>
      <c r="I157" s="185"/>
      <c r="J157" s="73"/>
    </row>
    <row r="158" spans="1:10" x14ac:dyDescent="0.2">
      <c r="A158" s="208">
        <v>818979</v>
      </c>
      <c r="B158" s="208"/>
      <c r="C158" s="208"/>
      <c r="D158" s="208"/>
      <c r="E158" s="208"/>
      <c r="F158" s="208"/>
      <c r="G158" s="208"/>
      <c r="H158" s="208"/>
      <c r="I158" s="186"/>
      <c r="J158" s="73"/>
    </row>
    <row r="159" spans="1:10" x14ac:dyDescent="0.2">
      <c r="A159" s="204" t="s">
        <v>189</v>
      </c>
      <c r="B159" s="205"/>
      <c r="C159" s="205"/>
      <c r="D159" s="205"/>
      <c r="E159" s="205"/>
      <c r="F159" s="205"/>
      <c r="G159" s="205"/>
      <c r="H159" s="206"/>
      <c r="I159" s="185"/>
      <c r="J159" s="73"/>
    </row>
    <row r="160" spans="1:10" x14ac:dyDescent="0.2">
      <c r="A160" s="207">
        <v>1873052709.46825</v>
      </c>
      <c r="B160" s="207"/>
      <c r="C160" s="207"/>
      <c r="D160" s="207"/>
      <c r="E160" s="207"/>
      <c r="F160" s="207"/>
      <c r="G160" s="207"/>
      <c r="H160" s="207"/>
      <c r="I160" s="186"/>
      <c r="J160" s="73"/>
    </row>
    <row r="161" spans="1:10" x14ac:dyDescent="0.2">
      <c r="A161" s="204" t="s">
        <v>190</v>
      </c>
      <c r="B161" s="205"/>
      <c r="C161" s="205"/>
      <c r="D161" s="205"/>
      <c r="E161" s="205"/>
      <c r="F161" s="205"/>
      <c r="G161" s="205"/>
      <c r="H161" s="206"/>
      <c r="I161" s="185"/>
      <c r="J161" s="73"/>
    </row>
    <row r="162" spans="1:10" x14ac:dyDescent="0.2">
      <c r="A162" s="208">
        <v>52195</v>
      </c>
      <c r="B162" s="208"/>
      <c r="C162" s="208"/>
      <c r="D162" s="208"/>
      <c r="E162" s="208"/>
      <c r="F162" s="208"/>
      <c r="G162" s="208"/>
      <c r="H162" s="208"/>
      <c r="I162" s="186"/>
      <c r="J162" s="73"/>
    </row>
    <row r="163" spans="1:10" x14ac:dyDescent="0.2">
      <c r="A163" s="204" t="s">
        <v>201</v>
      </c>
      <c r="B163" s="205"/>
      <c r="C163" s="205"/>
      <c r="D163" s="205"/>
      <c r="E163" s="205"/>
      <c r="F163" s="205"/>
      <c r="G163" s="205"/>
      <c r="H163" s="206"/>
      <c r="I163" s="185"/>
      <c r="J163" s="73"/>
    </row>
    <row r="164" spans="1:10" x14ac:dyDescent="0.2">
      <c r="A164" s="208">
        <v>1883718</v>
      </c>
      <c r="B164" s="208"/>
      <c r="C164" s="208"/>
      <c r="D164" s="208"/>
      <c r="E164" s="208"/>
      <c r="F164" s="208"/>
      <c r="G164" s="208"/>
      <c r="H164" s="208"/>
      <c r="I164" s="186"/>
      <c r="J164" s="73"/>
    </row>
    <row r="165" spans="1:10" x14ac:dyDescent="0.2">
      <c r="A165" s="204" t="s">
        <v>191</v>
      </c>
      <c r="B165" s="205"/>
      <c r="C165" s="205"/>
      <c r="D165" s="205"/>
      <c r="E165" s="205"/>
      <c r="F165" s="205"/>
      <c r="G165" s="205"/>
      <c r="H165" s="206"/>
      <c r="I165" s="185"/>
      <c r="J165" s="73"/>
    </row>
    <row r="166" spans="1:10" x14ac:dyDescent="0.2">
      <c r="A166" s="207">
        <v>1511308411.26</v>
      </c>
      <c r="B166" s="207"/>
      <c r="C166" s="207"/>
      <c r="D166" s="207"/>
      <c r="E166" s="207"/>
      <c r="F166" s="207"/>
      <c r="G166" s="207"/>
      <c r="H166" s="207"/>
      <c r="I166" s="186"/>
      <c r="J166" s="73"/>
    </row>
    <row r="167" spans="1:10" x14ac:dyDescent="0.2">
      <c r="A167" s="204" t="s">
        <v>202</v>
      </c>
      <c r="B167" s="205"/>
      <c r="C167" s="205"/>
      <c r="D167" s="205"/>
      <c r="E167" s="205"/>
      <c r="F167" s="205"/>
      <c r="G167" s="205"/>
      <c r="H167" s="206"/>
      <c r="I167" s="185"/>
      <c r="J167" s="73"/>
    </row>
    <row r="168" spans="1:10" x14ac:dyDescent="0.2">
      <c r="A168" s="208">
        <v>54436</v>
      </c>
      <c r="B168" s="208"/>
      <c r="C168" s="208"/>
      <c r="D168" s="208"/>
      <c r="E168" s="208"/>
      <c r="F168" s="208"/>
      <c r="G168" s="208"/>
      <c r="H168" s="208"/>
      <c r="I168" s="186"/>
      <c r="J168" s="73"/>
    </row>
    <row r="169" spans="1:10" x14ac:dyDescent="0.2">
      <c r="A169" s="200" t="s">
        <v>203</v>
      </c>
      <c r="B169" s="201"/>
      <c r="C169" s="201"/>
      <c r="D169" s="201"/>
      <c r="E169" s="201"/>
      <c r="F169" s="201"/>
      <c r="G169" s="201"/>
      <c r="H169" s="202"/>
      <c r="I169" s="68"/>
      <c r="J169" s="73"/>
    </row>
    <row r="170" spans="1:10" x14ac:dyDescent="0.2">
      <c r="A170" s="200" t="s">
        <v>204</v>
      </c>
      <c r="B170" s="201"/>
      <c r="C170" s="201"/>
      <c r="D170" s="201"/>
      <c r="E170" s="201"/>
      <c r="F170" s="201"/>
      <c r="G170" s="201"/>
      <c r="H170" s="202"/>
      <c r="I170" s="34"/>
      <c r="J170" s="73"/>
    </row>
    <row r="171" spans="1:10" x14ac:dyDescent="0.2">
      <c r="A171" s="204" t="s">
        <v>205</v>
      </c>
      <c r="B171" s="205"/>
      <c r="C171" s="205"/>
      <c r="D171" s="205"/>
      <c r="E171" s="205"/>
      <c r="F171" s="205"/>
      <c r="G171" s="205"/>
      <c r="H171" s="206"/>
      <c r="I171" s="78"/>
      <c r="J171" s="73"/>
    </row>
    <row r="172" spans="1:10" x14ac:dyDescent="0.2">
      <c r="A172" s="208">
        <v>36253156</v>
      </c>
      <c r="B172" s="208"/>
      <c r="C172" s="208"/>
      <c r="D172" s="208"/>
      <c r="E172" s="208"/>
      <c r="F172" s="208"/>
      <c r="G172" s="208"/>
      <c r="H172" s="208"/>
      <c r="I172" s="79"/>
      <c r="J172" s="73"/>
    </row>
    <row r="173" spans="1:10" x14ac:dyDescent="0.2">
      <c r="A173" s="204" t="s">
        <v>189</v>
      </c>
      <c r="B173" s="205"/>
      <c r="C173" s="205"/>
      <c r="D173" s="205"/>
      <c r="E173" s="205"/>
      <c r="F173" s="205"/>
      <c r="G173" s="205"/>
      <c r="H173" s="206"/>
      <c r="I173" s="188"/>
      <c r="J173" s="73"/>
    </row>
    <row r="174" spans="1:10" x14ac:dyDescent="0.2">
      <c r="A174" s="207">
        <v>183768073389.76001</v>
      </c>
      <c r="B174" s="207"/>
      <c r="C174" s="207"/>
      <c r="D174" s="207"/>
      <c r="E174" s="207"/>
      <c r="F174" s="207"/>
      <c r="G174" s="207"/>
      <c r="H174" s="207"/>
      <c r="I174" s="189"/>
      <c r="J174" s="73"/>
    </row>
    <row r="175" spans="1:10" x14ac:dyDescent="0.2">
      <c r="A175" s="204" t="s">
        <v>190</v>
      </c>
      <c r="B175" s="205"/>
      <c r="C175" s="205"/>
      <c r="D175" s="205"/>
      <c r="E175" s="205"/>
      <c r="F175" s="205"/>
      <c r="G175" s="205"/>
      <c r="H175" s="206"/>
      <c r="I175" s="188"/>
      <c r="J175" s="73"/>
    </row>
    <row r="176" spans="1:10" x14ac:dyDescent="0.2">
      <c r="A176" s="208">
        <v>134515</v>
      </c>
      <c r="B176" s="208"/>
      <c r="C176" s="208"/>
      <c r="D176" s="208"/>
      <c r="E176" s="208"/>
      <c r="F176" s="208"/>
      <c r="G176" s="208"/>
      <c r="H176" s="208"/>
      <c r="I176" s="189"/>
      <c r="J176" s="73"/>
    </row>
    <row r="177" spans="1:10" x14ac:dyDescent="0.2">
      <c r="A177" s="204" t="s">
        <v>206</v>
      </c>
      <c r="B177" s="205"/>
      <c r="C177" s="205"/>
      <c r="D177" s="205"/>
      <c r="E177" s="205"/>
      <c r="F177" s="205"/>
      <c r="G177" s="205"/>
      <c r="H177" s="206"/>
      <c r="I177" s="188"/>
      <c r="J177" s="73"/>
    </row>
    <row r="178" spans="1:10" x14ac:dyDescent="0.2">
      <c r="A178" s="208">
        <v>37132451</v>
      </c>
      <c r="B178" s="208"/>
      <c r="C178" s="208"/>
      <c r="D178" s="208"/>
      <c r="E178" s="208"/>
      <c r="F178" s="208"/>
      <c r="G178" s="208"/>
      <c r="H178" s="208"/>
      <c r="I178" s="189"/>
      <c r="J178" s="73"/>
    </row>
    <row r="179" spans="1:10" x14ac:dyDescent="0.2">
      <c r="A179" s="204" t="s">
        <v>191</v>
      </c>
      <c r="B179" s="205"/>
      <c r="C179" s="205"/>
      <c r="D179" s="205"/>
      <c r="E179" s="205"/>
      <c r="F179" s="205"/>
      <c r="G179" s="205"/>
      <c r="H179" s="206"/>
      <c r="I179" s="188"/>
      <c r="J179" s="73"/>
    </row>
    <row r="180" spans="1:10" x14ac:dyDescent="0.2">
      <c r="A180" s="207">
        <v>235128376381.43701</v>
      </c>
      <c r="B180" s="207"/>
      <c r="C180" s="207"/>
      <c r="D180" s="207"/>
      <c r="E180" s="207"/>
      <c r="F180" s="207"/>
      <c r="G180" s="207"/>
      <c r="H180" s="207"/>
      <c r="I180" s="189"/>
      <c r="J180" s="73"/>
    </row>
    <row r="181" spans="1:10" x14ac:dyDescent="0.2">
      <c r="A181" s="204" t="s">
        <v>202</v>
      </c>
      <c r="B181" s="205"/>
      <c r="C181" s="205"/>
      <c r="D181" s="205"/>
      <c r="E181" s="205"/>
      <c r="F181" s="205"/>
      <c r="G181" s="205"/>
      <c r="H181" s="206"/>
      <c r="I181" s="188"/>
      <c r="J181" s="73"/>
    </row>
    <row r="182" spans="1:10" x14ac:dyDescent="0.2">
      <c r="A182" s="208">
        <v>131165</v>
      </c>
      <c r="B182" s="208"/>
      <c r="C182" s="208"/>
      <c r="D182" s="208"/>
      <c r="E182" s="208"/>
      <c r="F182" s="208"/>
      <c r="G182" s="208"/>
      <c r="H182" s="208"/>
      <c r="I182" s="189"/>
      <c r="J182" s="73"/>
    </row>
    <row r="183" spans="1:10" x14ac:dyDescent="0.2">
      <c r="A183" s="200" t="s">
        <v>207</v>
      </c>
      <c r="B183" s="201"/>
      <c r="C183" s="201"/>
      <c r="D183" s="201"/>
      <c r="E183" s="201"/>
      <c r="F183" s="201"/>
      <c r="G183" s="201"/>
      <c r="H183" s="202"/>
      <c r="I183" s="34"/>
      <c r="J183" s="73"/>
    </row>
    <row r="184" spans="1:10" x14ac:dyDescent="0.2">
      <c r="A184" s="204" t="s">
        <v>205</v>
      </c>
      <c r="B184" s="205"/>
      <c r="C184" s="205"/>
      <c r="D184" s="205"/>
      <c r="E184" s="205"/>
      <c r="F184" s="205"/>
      <c r="G184" s="205"/>
      <c r="H184" s="206"/>
      <c r="I184" s="188"/>
      <c r="J184" s="73"/>
    </row>
    <row r="185" spans="1:10" x14ac:dyDescent="0.2">
      <c r="A185" s="208">
        <v>35687328</v>
      </c>
      <c r="B185" s="208"/>
      <c r="C185" s="208"/>
      <c r="D185" s="208"/>
      <c r="E185" s="208"/>
      <c r="F185" s="208"/>
      <c r="G185" s="208"/>
      <c r="H185" s="208"/>
      <c r="I185" s="189"/>
      <c r="J185" s="73"/>
    </row>
    <row r="186" spans="1:10" x14ac:dyDescent="0.2">
      <c r="A186" s="204" t="s">
        <v>189</v>
      </c>
      <c r="B186" s="205"/>
      <c r="C186" s="205"/>
      <c r="D186" s="205"/>
      <c r="E186" s="205"/>
      <c r="F186" s="205"/>
      <c r="G186" s="205"/>
      <c r="H186" s="206"/>
      <c r="I186" s="188"/>
      <c r="J186" s="73"/>
    </row>
    <row r="187" spans="1:10" x14ac:dyDescent="0.2">
      <c r="A187" s="207">
        <v>178450763533.02899</v>
      </c>
      <c r="B187" s="207"/>
      <c r="C187" s="207"/>
      <c r="D187" s="207"/>
      <c r="E187" s="207"/>
      <c r="F187" s="207"/>
      <c r="G187" s="207"/>
      <c r="H187" s="207"/>
      <c r="I187" s="189"/>
      <c r="J187" s="73"/>
    </row>
    <row r="188" spans="1:10" x14ac:dyDescent="0.2">
      <c r="A188" s="204" t="s">
        <v>190</v>
      </c>
      <c r="B188" s="205"/>
      <c r="C188" s="205"/>
      <c r="D188" s="205"/>
      <c r="E188" s="205"/>
      <c r="F188" s="205"/>
      <c r="G188" s="205"/>
      <c r="H188" s="206"/>
      <c r="I188" s="188"/>
      <c r="J188" s="73"/>
    </row>
    <row r="189" spans="1:10" x14ac:dyDescent="0.2">
      <c r="A189" s="208">
        <v>133731</v>
      </c>
      <c r="B189" s="208"/>
      <c r="C189" s="208"/>
      <c r="D189" s="208"/>
      <c r="E189" s="208"/>
      <c r="F189" s="208"/>
      <c r="G189" s="208"/>
      <c r="H189" s="208"/>
      <c r="I189" s="189"/>
      <c r="J189" s="73"/>
    </row>
    <row r="190" spans="1:10" x14ac:dyDescent="0.2">
      <c r="A190" s="204" t="s">
        <v>201</v>
      </c>
      <c r="B190" s="205"/>
      <c r="C190" s="205"/>
      <c r="D190" s="205"/>
      <c r="E190" s="205"/>
      <c r="F190" s="205"/>
      <c r="G190" s="205"/>
      <c r="H190" s="206"/>
      <c r="I190" s="188"/>
      <c r="J190" s="73"/>
    </row>
    <row r="191" spans="1:10" x14ac:dyDescent="0.2">
      <c r="A191" s="208">
        <v>37061552</v>
      </c>
      <c r="B191" s="208"/>
      <c r="C191" s="208"/>
      <c r="D191" s="208"/>
      <c r="E191" s="208"/>
      <c r="F191" s="208"/>
      <c r="G191" s="208"/>
      <c r="H191" s="208"/>
      <c r="I191" s="189"/>
      <c r="J191" s="73"/>
    </row>
    <row r="192" spans="1:10" x14ac:dyDescent="0.2">
      <c r="A192" s="204" t="s">
        <v>191</v>
      </c>
      <c r="B192" s="205"/>
      <c r="C192" s="205"/>
      <c r="D192" s="205"/>
      <c r="E192" s="205"/>
      <c r="F192" s="205"/>
      <c r="G192" s="205"/>
      <c r="H192" s="206"/>
      <c r="I192" s="188"/>
      <c r="J192" s="73"/>
    </row>
    <row r="193" spans="1:10" x14ac:dyDescent="0.2">
      <c r="A193" s="207">
        <v>232940401430.20401</v>
      </c>
      <c r="B193" s="207"/>
      <c r="C193" s="207"/>
      <c r="D193" s="207"/>
      <c r="E193" s="207"/>
      <c r="F193" s="207"/>
      <c r="G193" s="207"/>
      <c r="H193" s="207"/>
      <c r="I193" s="189"/>
      <c r="J193" s="73"/>
    </row>
    <row r="194" spans="1:10" x14ac:dyDescent="0.2">
      <c r="A194" s="204" t="s">
        <v>202</v>
      </c>
      <c r="B194" s="205"/>
      <c r="C194" s="205"/>
      <c r="D194" s="205"/>
      <c r="E194" s="205"/>
      <c r="F194" s="205"/>
      <c r="G194" s="205"/>
      <c r="H194" s="206"/>
      <c r="I194" s="188"/>
      <c r="J194" s="73"/>
    </row>
    <row r="195" spans="1:10" x14ac:dyDescent="0.2">
      <c r="A195" s="208">
        <v>130429</v>
      </c>
      <c r="B195" s="208"/>
      <c r="C195" s="208"/>
      <c r="D195" s="208"/>
      <c r="E195" s="208"/>
      <c r="F195" s="208"/>
      <c r="G195" s="208"/>
      <c r="H195" s="208"/>
      <c r="I195" s="189"/>
      <c r="J195" s="73"/>
    </row>
    <row r="196" spans="1:10" x14ac:dyDescent="0.2">
      <c r="A196" s="200" t="s">
        <v>208</v>
      </c>
      <c r="B196" s="201"/>
      <c r="C196" s="201"/>
      <c r="D196" s="201"/>
      <c r="E196" s="201"/>
      <c r="F196" s="201"/>
      <c r="G196" s="201"/>
      <c r="H196" s="202"/>
      <c r="I196" s="34"/>
      <c r="J196" s="73"/>
    </row>
    <row r="197" spans="1:10" x14ac:dyDescent="0.2">
      <c r="A197" s="204" t="s">
        <v>197</v>
      </c>
      <c r="B197" s="205"/>
      <c r="C197" s="205"/>
      <c r="D197" s="205"/>
      <c r="E197" s="205"/>
      <c r="F197" s="205"/>
      <c r="G197" s="205"/>
      <c r="H197" s="206"/>
      <c r="I197" s="188"/>
      <c r="J197" s="73"/>
    </row>
    <row r="198" spans="1:10" x14ac:dyDescent="0.2">
      <c r="A198" s="208">
        <v>565828</v>
      </c>
      <c r="B198" s="208"/>
      <c r="C198" s="208"/>
      <c r="D198" s="208"/>
      <c r="E198" s="208"/>
      <c r="F198" s="208"/>
      <c r="G198" s="208"/>
      <c r="H198" s="208"/>
      <c r="I198" s="189"/>
      <c r="J198" s="73"/>
    </row>
    <row r="199" spans="1:10" x14ac:dyDescent="0.2">
      <c r="A199" s="204" t="s">
        <v>189</v>
      </c>
      <c r="B199" s="205"/>
      <c r="C199" s="205"/>
      <c r="D199" s="205"/>
      <c r="E199" s="205"/>
      <c r="F199" s="205"/>
      <c r="G199" s="205"/>
      <c r="H199" s="206"/>
      <c r="I199" s="188"/>
      <c r="J199" s="73"/>
    </row>
    <row r="200" spans="1:10" x14ac:dyDescent="0.2">
      <c r="A200" s="207">
        <v>5317309856.7314396</v>
      </c>
      <c r="B200" s="207"/>
      <c r="C200" s="207"/>
      <c r="D200" s="207"/>
      <c r="E200" s="207"/>
      <c r="F200" s="207"/>
      <c r="G200" s="207"/>
      <c r="H200" s="207"/>
      <c r="I200" s="189"/>
      <c r="J200" s="73"/>
    </row>
    <row r="201" spans="1:10" x14ac:dyDescent="0.2">
      <c r="A201" s="204" t="s">
        <v>190</v>
      </c>
      <c r="B201" s="205"/>
      <c r="C201" s="205"/>
      <c r="D201" s="205"/>
      <c r="E201" s="205"/>
      <c r="F201" s="205"/>
      <c r="G201" s="205"/>
      <c r="H201" s="206"/>
      <c r="I201" s="188"/>
      <c r="J201" s="73"/>
    </row>
    <row r="202" spans="1:10" x14ac:dyDescent="0.2">
      <c r="A202" s="208">
        <v>784</v>
      </c>
      <c r="B202" s="208"/>
      <c r="C202" s="208"/>
      <c r="D202" s="208"/>
      <c r="E202" s="208"/>
      <c r="F202" s="208"/>
      <c r="G202" s="208"/>
      <c r="H202" s="208"/>
      <c r="I202" s="189"/>
      <c r="J202" s="73"/>
    </row>
    <row r="203" spans="1:10" x14ac:dyDescent="0.2">
      <c r="A203" s="204" t="s">
        <v>201</v>
      </c>
      <c r="B203" s="205"/>
      <c r="C203" s="205"/>
      <c r="D203" s="205"/>
      <c r="E203" s="205"/>
      <c r="F203" s="205"/>
      <c r="G203" s="205"/>
      <c r="H203" s="206"/>
      <c r="I203" s="188"/>
      <c r="J203" s="73"/>
    </row>
    <row r="204" spans="1:10" x14ac:dyDescent="0.2">
      <c r="A204" s="208">
        <v>70899</v>
      </c>
      <c r="B204" s="208"/>
      <c r="C204" s="208"/>
      <c r="D204" s="208"/>
      <c r="E204" s="208"/>
      <c r="F204" s="208"/>
      <c r="G204" s="208"/>
      <c r="H204" s="208"/>
      <c r="I204" s="189"/>
      <c r="J204" s="73"/>
    </row>
    <row r="205" spans="1:10" x14ac:dyDescent="0.2">
      <c r="A205" s="204" t="s">
        <v>191</v>
      </c>
      <c r="B205" s="205"/>
      <c r="C205" s="205"/>
      <c r="D205" s="205"/>
      <c r="E205" s="205"/>
      <c r="F205" s="205"/>
      <c r="G205" s="205"/>
      <c r="H205" s="206"/>
      <c r="I205" s="188"/>
      <c r="J205" s="73"/>
    </row>
    <row r="206" spans="1:10" x14ac:dyDescent="0.2">
      <c r="A206" s="207">
        <v>2187974951.22999</v>
      </c>
      <c r="B206" s="207"/>
      <c r="C206" s="207"/>
      <c r="D206" s="207"/>
      <c r="E206" s="207"/>
      <c r="F206" s="207"/>
      <c r="G206" s="207"/>
      <c r="H206" s="207"/>
      <c r="I206" s="189"/>
      <c r="J206" s="73"/>
    </row>
    <row r="207" spans="1:10" x14ac:dyDescent="0.2">
      <c r="A207" s="204" t="s">
        <v>202</v>
      </c>
      <c r="B207" s="205"/>
      <c r="C207" s="205"/>
      <c r="D207" s="205"/>
      <c r="E207" s="205"/>
      <c r="F207" s="205"/>
      <c r="G207" s="205"/>
      <c r="H207" s="206"/>
      <c r="I207" s="188"/>
      <c r="J207" s="73"/>
    </row>
    <row r="208" spans="1:10" x14ac:dyDescent="0.2">
      <c r="A208" s="208">
        <v>736</v>
      </c>
      <c r="B208" s="208"/>
      <c r="C208" s="208"/>
      <c r="D208" s="208"/>
      <c r="E208" s="208"/>
      <c r="F208" s="208"/>
      <c r="G208" s="208"/>
      <c r="H208" s="208"/>
      <c r="I208" s="189"/>
      <c r="J208" s="73"/>
    </row>
    <row r="209" spans="1:10" x14ac:dyDescent="0.2">
      <c r="A209" s="200" t="s">
        <v>209</v>
      </c>
      <c r="B209" s="201"/>
      <c r="C209" s="201"/>
      <c r="D209" s="201"/>
      <c r="E209" s="201"/>
      <c r="F209" s="201"/>
      <c r="G209" s="201"/>
      <c r="H209" s="202"/>
      <c r="I209" s="34"/>
      <c r="J209" s="71"/>
    </row>
    <row r="210" spans="1:10" x14ac:dyDescent="0.2">
      <c r="A210" s="200" t="s">
        <v>210</v>
      </c>
      <c r="B210" s="201"/>
      <c r="C210" s="201"/>
      <c r="D210" s="201"/>
      <c r="E210" s="201"/>
      <c r="F210" s="201"/>
      <c r="G210" s="201"/>
      <c r="H210" s="202"/>
      <c r="I210" s="34"/>
      <c r="J210" s="71"/>
    </row>
    <row r="211" spans="1:10" x14ac:dyDescent="0.2">
      <c r="A211" s="204" t="s">
        <v>211</v>
      </c>
      <c r="B211" s="205"/>
      <c r="C211" s="205"/>
      <c r="D211" s="205"/>
      <c r="E211" s="205"/>
      <c r="F211" s="205"/>
      <c r="G211" s="205"/>
      <c r="H211" s="206"/>
      <c r="I211" s="188"/>
      <c r="J211" s="71"/>
    </row>
    <row r="212" spans="1:10" x14ac:dyDescent="0.2">
      <c r="A212" s="208">
        <v>95819</v>
      </c>
      <c r="B212" s="208"/>
      <c r="C212" s="208"/>
      <c r="D212" s="208"/>
      <c r="E212" s="208"/>
      <c r="F212" s="208"/>
      <c r="G212" s="208"/>
      <c r="H212" s="208"/>
      <c r="I212" s="189"/>
      <c r="J212" s="71"/>
    </row>
    <row r="213" spans="1:10" x14ac:dyDescent="0.2">
      <c r="A213" s="204" t="s">
        <v>189</v>
      </c>
      <c r="B213" s="205"/>
      <c r="C213" s="205"/>
      <c r="D213" s="205"/>
      <c r="E213" s="205"/>
      <c r="F213" s="205"/>
      <c r="G213" s="205"/>
      <c r="H213" s="206"/>
      <c r="I213" s="188"/>
      <c r="J213" s="71"/>
    </row>
    <row r="214" spans="1:10" x14ac:dyDescent="0.2">
      <c r="A214" s="207">
        <v>109691192.620859</v>
      </c>
      <c r="B214" s="207"/>
      <c r="C214" s="207"/>
      <c r="D214" s="207"/>
      <c r="E214" s="207"/>
      <c r="F214" s="207"/>
      <c r="G214" s="207"/>
      <c r="H214" s="207"/>
      <c r="I214" s="189"/>
      <c r="J214" s="71"/>
    </row>
    <row r="215" spans="1:10" x14ac:dyDescent="0.2">
      <c r="A215" s="204" t="s">
        <v>212</v>
      </c>
      <c r="B215" s="205"/>
      <c r="C215" s="205"/>
      <c r="D215" s="205"/>
      <c r="E215" s="205"/>
      <c r="F215" s="205"/>
      <c r="G215" s="205"/>
      <c r="H215" s="206"/>
      <c r="I215" s="188"/>
      <c r="J215" s="71"/>
    </row>
    <row r="216" spans="1:10" x14ac:dyDescent="0.2">
      <c r="A216" s="208">
        <v>1604</v>
      </c>
      <c r="B216" s="208"/>
      <c r="C216" s="208"/>
      <c r="D216" s="208"/>
      <c r="E216" s="208"/>
      <c r="F216" s="208"/>
      <c r="G216" s="208"/>
      <c r="H216" s="208"/>
      <c r="I216" s="189"/>
      <c r="J216" s="71"/>
    </row>
    <row r="217" spans="1:10" x14ac:dyDescent="0.2">
      <c r="A217" s="204" t="s">
        <v>206</v>
      </c>
      <c r="B217" s="205"/>
      <c r="C217" s="205"/>
      <c r="D217" s="205"/>
      <c r="E217" s="205"/>
      <c r="F217" s="205"/>
      <c r="G217" s="205"/>
      <c r="H217" s="206"/>
      <c r="I217" s="188"/>
      <c r="J217" s="71"/>
    </row>
    <row r="218" spans="1:10" x14ac:dyDescent="0.2">
      <c r="A218" s="208">
        <v>203469</v>
      </c>
      <c r="B218" s="208"/>
      <c r="C218" s="208"/>
      <c r="D218" s="208"/>
      <c r="E218" s="208"/>
      <c r="F218" s="208"/>
      <c r="G218" s="208"/>
      <c r="H218" s="208"/>
      <c r="I218" s="189"/>
      <c r="J218" s="71"/>
    </row>
    <row r="219" spans="1:10" x14ac:dyDescent="0.2">
      <c r="A219" s="204" t="s">
        <v>191</v>
      </c>
      <c r="B219" s="205"/>
      <c r="C219" s="205"/>
      <c r="D219" s="205"/>
      <c r="E219" s="205"/>
      <c r="F219" s="205"/>
      <c r="G219" s="205"/>
      <c r="H219" s="206"/>
      <c r="I219" s="188"/>
      <c r="J219" s="71"/>
    </row>
    <row r="220" spans="1:10" x14ac:dyDescent="0.2">
      <c r="A220" s="207">
        <v>77707414.159999996</v>
      </c>
      <c r="B220" s="207"/>
      <c r="C220" s="207"/>
      <c r="D220" s="207"/>
      <c r="E220" s="207"/>
      <c r="F220" s="207"/>
      <c r="G220" s="207"/>
      <c r="H220" s="207"/>
      <c r="I220" s="189"/>
      <c r="J220" s="71"/>
    </row>
    <row r="221" spans="1:10" x14ac:dyDescent="0.2">
      <c r="A221" s="204" t="s">
        <v>202</v>
      </c>
      <c r="B221" s="205"/>
      <c r="C221" s="205"/>
      <c r="D221" s="205"/>
      <c r="E221" s="205"/>
      <c r="F221" s="205"/>
      <c r="G221" s="205"/>
      <c r="H221" s="206"/>
      <c r="I221" s="188"/>
      <c r="J221" s="71"/>
    </row>
    <row r="222" spans="1:10" x14ac:dyDescent="0.2">
      <c r="A222" s="208">
        <v>1583</v>
      </c>
      <c r="B222" s="208"/>
      <c r="C222" s="208"/>
      <c r="D222" s="208"/>
      <c r="E222" s="208"/>
      <c r="F222" s="208"/>
      <c r="G222" s="208"/>
      <c r="H222" s="208"/>
      <c r="I222" s="189"/>
      <c r="J222" s="71"/>
    </row>
    <row r="223" spans="1:10" x14ac:dyDescent="0.2">
      <c r="A223" s="200" t="s">
        <v>213</v>
      </c>
      <c r="B223" s="201"/>
      <c r="C223" s="201"/>
      <c r="D223" s="201"/>
      <c r="E223" s="201"/>
      <c r="F223" s="201"/>
      <c r="G223" s="201"/>
      <c r="H223" s="202"/>
      <c r="I223" s="34"/>
      <c r="J223" s="71"/>
    </row>
    <row r="224" spans="1:10" x14ac:dyDescent="0.2">
      <c r="A224" s="231" t="s">
        <v>214</v>
      </c>
      <c r="B224" s="232"/>
      <c r="C224" s="233"/>
      <c r="D224" s="233"/>
      <c r="E224" s="233"/>
      <c r="F224" s="233"/>
      <c r="G224" s="233"/>
      <c r="H224" s="234"/>
      <c r="I224" s="188"/>
      <c r="J224" s="71"/>
    </row>
    <row r="225" spans="1:10" x14ac:dyDescent="0.2">
      <c r="A225" s="2" t="s">
        <v>18</v>
      </c>
      <c r="B225" s="2" t="s">
        <v>215</v>
      </c>
      <c r="C225" s="2" t="s">
        <v>216</v>
      </c>
      <c r="D225" s="83"/>
      <c r="E225" s="83"/>
      <c r="F225" s="83"/>
      <c r="G225" s="83"/>
      <c r="H225" s="81"/>
      <c r="I225" s="190"/>
      <c r="J225" s="71"/>
    </row>
    <row r="226" spans="1:10" x14ac:dyDescent="0.2">
      <c r="A226" s="26" t="s">
        <v>21</v>
      </c>
      <c r="B226" s="26" t="s">
        <v>20</v>
      </c>
      <c r="C226" s="26">
        <v>858</v>
      </c>
      <c r="D226" s="85"/>
      <c r="E226" s="85"/>
      <c r="F226" s="85"/>
      <c r="G226" s="85"/>
      <c r="H226" s="86"/>
      <c r="I226" s="190"/>
      <c r="J226" s="71"/>
    </row>
    <row r="227" spans="1:10" x14ac:dyDescent="0.2">
      <c r="A227" s="26" t="s">
        <v>425</v>
      </c>
      <c r="B227" s="26" t="s">
        <v>424</v>
      </c>
      <c r="C227" s="26">
        <v>390</v>
      </c>
      <c r="D227" s="85"/>
      <c r="E227" s="85"/>
      <c r="F227" s="85"/>
      <c r="G227" s="85"/>
      <c r="H227" s="86"/>
      <c r="I227" s="190"/>
      <c r="J227" s="71"/>
    </row>
    <row r="228" spans="1:10" x14ac:dyDescent="0.2">
      <c r="A228" s="26" t="s">
        <v>25</v>
      </c>
      <c r="B228" s="26" t="s">
        <v>24</v>
      </c>
      <c r="C228" s="26">
        <v>283</v>
      </c>
      <c r="D228" s="85"/>
      <c r="E228" s="85"/>
      <c r="F228" s="85"/>
      <c r="G228" s="85"/>
      <c r="H228" s="86"/>
      <c r="I228" s="190"/>
      <c r="J228" s="71"/>
    </row>
    <row r="229" spans="1:10" x14ac:dyDescent="0.2">
      <c r="A229" s="26" t="s">
        <v>90</v>
      </c>
      <c r="B229" s="26" t="s">
        <v>89</v>
      </c>
      <c r="C229" s="26">
        <v>137</v>
      </c>
      <c r="D229" s="85"/>
      <c r="E229" s="85"/>
      <c r="F229" s="85"/>
      <c r="G229" s="85"/>
      <c r="H229" s="86"/>
      <c r="I229" s="190"/>
      <c r="J229" s="71"/>
    </row>
    <row r="230" spans="1:10" x14ac:dyDescent="0.2">
      <c r="A230" s="26" t="s">
        <v>38</v>
      </c>
      <c r="B230" s="26" t="s">
        <v>37</v>
      </c>
      <c r="C230" s="26">
        <v>109</v>
      </c>
      <c r="D230" s="85"/>
      <c r="E230" s="85"/>
      <c r="F230" s="85"/>
      <c r="G230" s="85"/>
      <c r="H230" s="86"/>
      <c r="I230" s="190"/>
      <c r="J230" s="71"/>
    </row>
    <row r="231" spans="1:10" x14ac:dyDescent="0.2">
      <c r="A231" s="26" t="s">
        <v>34</v>
      </c>
      <c r="B231" s="26" t="s">
        <v>33</v>
      </c>
      <c r="C231" s="26">
        <v>82</v>
      </c>
      <c r="D231" s="85"/>
      <c r="E231" s="85"/>
      <c r="F231" s="85"/>
      <c r="G231" s="85"/>
      <c r="H231" s="86"/>
      <c r="I231" s="190"/>
      <c r="J231" s="71"/>
    </row>
    <row r="232" spans="1:10" x14ac:dyDescent="0.2">
      <c r="A232" s="26" t="s">
        <v>23</v>
      </c>
      <c r="B232" s="26" t="s">
        <v>22</v>
      </c>
      <c r="C232" s="26">
        <v>71</v>
      </c>
      <c r="D232" s="85"/>
      <c r="E232" s="85"/>
      <c r="F232" s="85"/>
      <c r="G232" s="85"/>
      <c r="H232" s="86"/>
      <c r="I232" s="190"/>
      <c r="J232" s="71"/>
    </row>
    <row r="233" spans="1:10" x14ac:dyDescent="0.2">
      <c r="A233" s="26" t="s">
        <v>28</v>
      </c>
      <c r="B233" s="26" t="s">
        <v>27</v>
      </c>
      <c r="C233" s="26">
        <v>40</v>
      </c>
      <c r="D233" s="85"/>
      <c r="E233" s="85"/>
      <c r="F233" s="85"/>
      <c r="G233" s="85"/>
      <c r="H233" s="86"/>
      <c r="I233" s="190"/>
      <c r="J233" s="71"/>
    </row>
    <row r="234" spans="1:10" x14ac:dyDescent="0.2">
      <c r="A234" s="26" t="s">
        <v>32</v>
      </c>
      <c r="B234" s="26" t="s">
        <v>31</v>
      </c>
      <c r="C234" s="26">
        <v>17</v>
      </c>
      <c r="D234" s="85"/>
      <c r="E234" s="85"/>
      <c r="F234" s="85"/>
      <c r="G234" s="85"/>
      <c r="H234" s="86"/>
      <c r="I234" s="190"/>
      <c r="J234" s="71"/>
    </row>
    <row r="235" spans="1:10" x14ac:dyDescent="0.2">
      <c r="A235" s="26" t="s">
        <v>36</v>
      </c>
      <c r="B235" s="26" t="s">
        <v>35</v>
      </c>
      <c r="C235" s="26">
        <v>0</v>
      </c>
      <c r="D235" s="106"/>
      <c r="E235" s="106"/>
      <c r="F235" s="106"/>
      <c r="G235" s="106"/>
      <c r="H235" s="107"/>
      <c r="I235" s="189"/>
      <c r="J235" s="71"/>
    </row>
    <row r="236" spans="1:10" x14ac:dyDescent="0.2">
      <c r="A236" s="222" t="s">
        <v>217</v>
      </c>
      <c r="B236" s="223"/>
      <c r="C236" s="201"/>
      <c r="D236" s="201"/>
      <c r="E236" s="201"/>
      <c r="F236" s="201"/>
      <c r="G236" s="201"/>
      <c r="H236" s="202"/>
      <c r="I236" s="188"/>
      <c r="J236" s="71"/>
    </row>
    <row r="237" spans="1:10" x14ac:dyDescent="0.2">
      <c r="A237" s="2" t="s">
        <v>218</v>
      </c>
      <c r="B237" s="2" t="s">
        <v>215</v>
      </c>
      <c r="C237" s="2" t="s">
        <v>219</v>
      </c>
      <c r="D237" s="83"/>
      <c r="E237" s="83"/>
      <c r="F237" s="83"/>
      <c r="G237" s="83"/>
      <c r="H237" s="81"/>
      <c r="I237" s="190"/>
      <c r="J237" s="71"/>
    </row>
    <row r="238" spans="1:10" x14ac:dyDescent="0.2">
      <c r="A238" s="26" t="s">
        <v>21</v>
      </c>
      <c r="B238" s="26" t="s">
        <v>20</v>
      </c>
      <c r="C238" s="108">
        <v>5404931.3548239898</v>
      </c>
      <c r="D238" s="85"/>
      <c r="E238" s="85"/>
      <c r="F238" s="85"/>
      <c r="G238" s="85"/>
      <c r="H238" s="86"/>
      <c r="I238" s="190"/>
      <c r="J238" s="71"/>
    </row>
    <row r="239" spans="1:10" x14ac:dyDescent="0.2">
      <c r="A239" s="26" t="s">
        <v>425</v>
      </c>
      <c r="B239" s="26" t="s">
        <v>424</v>
      </c>
      <c r="C239" s="108">
        <v>97413.8299999999</v>
      </c>
      <c r="D239" s="85"/>
      <c r="E239" s="85"/>
      <c r="F239" s="85"/>
      <c r="G239" s="85"/>
      <c r="H239" s="86"/>
      <c r="I239" s="190"/>
      <c r="J239" s="71"/>
    </row>
    <row r="240" spans="1:10" x14ac:dyDescent="0.2">
      <c r="A240" s="26" t="s">
        <v>25</v>
      </c>
      <c r="B240" s="26" t="s">
        <v>24</v>
      </c>
      <c r="C240" s="108">
        <v>953346.32180000003</v>
      </c>
      <c r="D240" s="85"/>
      <c r="E240" s="85"/>
      <c r="F240" s="85"/>
      <c r="G240" s="85"/>
      <c r="H240" s="86"/>
      <c r="I240" s="190"/>
      <c r="J240" s="71"/>
    </row>
    <row r="241" spans="1:10" x14ac:dyDescent="0.2">
      <c r="A241" s="26" t="s">
        <v>90</v>
      </c>
      <c r="B241" s="26" t="s">
        <v>89</v>
      </c>
      <c r="C241" s="108">
        <v>363532.72</v>
      </c>
      <c r="D241" s="85"/>
      <c r="E241" s="85"/>
      <c r="F241" s="85"/>
      <c r="G241" s="85"/>
      <c r="H241" s="86"/>
      <c r="I241" s="190"/>
      <c r="J241" s="71"/>
    </row>
    <row r="242" spans="1:10" x14ac:dyDescent="0.2">
      <c r="A242" s="26" t="s">
        <v>38</v>
      </c>
      <c r="B242" s="26" t="s">
        <v>37</v>
      </c>
      <c r="C242" s="108">
        <v>45391.99</v>
      </c>
      <c r="D242" s="85"/>
      <c r="E242" s="85"/>
      <c r="F242" s="85"/>
      <c r="G242" s="85"/>
      <c r="H242" s="86"/>
      <c r="I242" s="190"/>
      <c r="J242" s="71"/>
    </row>
    <row r="243" spans="1:10" x14ac:dyDescent="0.2">
      <c r="A243" s="26" t="s">
        <v>34</v>
      </c>
      <c r="B243" s="26" t="s">
        <v>33</v>
      </c>
      <c r="C243" s="108">
        <v>166883.999056</v>
      </c>
      <c r="D243" s="85"/>
      <c r="E243" s="85"/>
      <c r="F243" s="85"/>
      <c r="G243" s="85"/>
      <c r="H243" s="86"/>
      <c r="I243" s="190"/>
      <c r="J243" s="71"/>
    </row>
    <row r="244" spans="1:10" x14ac:dyDescent="0.2">
      <c r="A244" s="26" t="s">
        <v>23</v>
      </c>
      <c r="B244" s="26" t="s">
        <v>22</v>
      </c>
      <c r="C244" s="108">
        <v>508694.63897000003</v>
      </c>
      <c r="D244" s="85"/>
      <c r="E244" s="85"/>
      <c r="F244" s="85"/>
      <c r="G244" s="85"/>
      <c r="H244" s="86"/>
      <c r="I244" s="190"/>
      <c r="J244" s="71"/>
    </row>
    <row r="245" spans="1:10" x14ac:dyDescent="0.2">
      <c r="A245" s="26" t="s">
        <v>28</v>
      </c>
      <c r="B245" s="26" t="s">
        <v>27</v>
      </c>
      <c r="C245" s="108">
        <v>170503.85</v>
      </c>
      <c r="D245" s="85"/>
      <c r="E245" s="85"/>
      <c r="F245" s="85"/>
      <c r="G245" s="85"/>
      <c r="H245" s="86"/>
      <c r="I245" s="190"/>
      <c r="J245" s="71"/>
    </row>
    <row r="246" spans="1:10" x14ac:dyDescent="0.2">
      <c r="A246" s="26" t="s">
        <v>32</v>
      </c>
      <c r="B246" s="26" t="s">
        <v>31</v>
      </c>
      <c r="C246" s="108">
        <v>25719.339099999899</v>
      </c>
      <c r="D246" s="85"/>
      <c r="E246" s="85"/>
      <c r="F246" s="85"/>
      <c r="G246" s="85"/>
      <c r="H246" s="86"/>
      <c r="I246" s="190"/>
      <c r="J246" s="71"/>
    </row>
    <row r="247" spans="1:10" x14ac:dyDescent="0.2">
      <c r="A247" s="26" t="s">
        <v>36</v>
      </c>
      <c r="B247" s="26" t="s">
        <v>35</v>
      </c>
      <c r="C247" s="108">
        <v>0</v>
      </c>
      <c r="D247" s="106"/>
      <c r="E247" s="106"/>
      <c r="F247" s="106"/>
      <c r="G247" s="106"/>
      <c r="H247" s="107"/>
      <c r="I247" s="189"/>
      <c r="J247" s="71"/>
    </row>
    <row r="248" spans="1:10" x14ac:dyDescent="0.2">
      <c r="A248" s="200" t="s">
        <v>220</v>
      </c>
      <c r="B248" s="201"/>
      <c r="C248" s="201"/>
      <c r="D248" s="201"/>
      <c r="E248" s="201"/>
      <c r="F248" s="201"/>
      <c r="G248" s="201"/>
      <c r="H248" s="202"/>
      <c r="I248" s="188"/>
      <c r="J248" s="71"/>
    </row>
    <row r="249" spans="1:10" ht="37.5" x14ac:dyDescent="0.2">
      <c r="A249" s="2" t="s">
        <v>218</v>
      </c>
      <c r="B249" s="2" t="s">
        <v>215</v>
      </c>
      <c r="C249" s="2" t="s">
        <v>221</v>
      </c>
      <c r="D249" s="83"/>
      <c r="E249" s="83"/>
      <c r="F249" s="83"/>
      <c r="G249" s="83"/>
      <c r="H249" s="81"/>
      <c r="I249" s="190"/>
      <c r="J249" s="71"/>
    </row>
    <row r="250" spans="1:10" x14ac:dyDescent="0.2">
      <c r="A250" s="26" t="s">
        <v>21</v>
      </c>
      <c r="B250" s="26" t="s">
        <v>20</v>
      </c>
      <c r="C250" s="26">
        <v>28</v>
      </c>
      <c r="D250" s="85"/>
      <c r="E250" s="85"/>
      <c r="F250" s="85"/>
      <c r="G250" s="85"/>
      <c r="H250" s="86"/>
      <c r="I250" s="190"/>
      <c r="J250" s="71"/>
    </row>
    <row r="251" spans="1:10" x14ac:dyDescent="0.2">
      <c r="A251" s="26" t="s">
        <v>425</v>
      </c>
      <c r="B251" s="26" t="s">
        <v>424</v>
      </c>
      <c r="C251" s="26">
        <v>8</v>
      </c>
      <c r="D251" s="85"/>
      <c r="E251" s="85"/>
      <c r="F251" s="85"/>
      <c r="G251" s="85"/>
      <c r="H251" s="86"/>
      <c r="I251" s="190"/>
      <c r="J251" s="71"/>
    </row>
    <row r="252" spans="1:10" x14ac:dyDescent="0.2">
      <c r="A252" s="26" t="s">
        <v>25</v>
      </c>
      <c r="B252" s="26" t="s">
        <v>24</v>
      </c>
      <c r="C252" s="26">
        <v>18</v>
      </c>
      <c r="D252" s="85"/>
      <c r="E252" s="85"/>
      <c r="F252" s="85"/>
      <c r="G252" s="85"/>
      <c r="H252" s="86"/>
      <c r="I252" s="190"/>
      <c r="J252" s="71"/>
    </row>
    <row r="253" spans="1:10" x14ac:dyDescent="0.2">
      <c r="A253" s="26" t="s">
        <v>90</v>
      </c>
      <c r="B253" s="26" t="s">
        <v>89</v>
      </c>
      <c r="C253" s="26">
        <v>4</v>
      </c>
      <c r="D253" s="85"/>
      <c r="E253" s="85"/>
      <c r="F253" s="85"/>
      <c r="G253" s="85"/>
      <c r="H253" s="86"/>
      <c r="I253" s="190"/>
      <c r="J253" s="71"/>
    </row>
    <row r="254" spans="1:10" x14ac:dyDescent="0.2">
      <c r="A254" s="26" t="s">
        <v>38</v>
      </c>
      <c r="B254" s="26" t="s">
        <v>37</v>
      </c>
      <c r="C254" s="26">
        <v>4</v>
      </c>
      <c r="D254" s="85"/>
      <c r="E254" s="85"/>
      <c r="F254" s="85"/>
      <c r="G254" s="85"/>
      <c r="H254" s="86"/>
      <c r="I254" s="190"/>
      <c r="J254" s="71"/>
    </row>
    <row r="255" spans="1:10" x14ac:dyDescent="0.2">
      <c r="A255" s="26" t="s">
        <v>34</v>
      </c>
      <c r="B255" s="26" t="s">
        <v>33</v>
      </c>
      <c r="C255" s="26">
        <v>4</v>
      </c>
      <c r="D255" s="85"/>
      <c r="E255" s="85"/>
      <c r="F255" s="85"/>
      <c r="G255" s="85"/>
      <c r="H255" s="86"/>
      <c r="I255" s="190"/>
      <c r="J255" s="71"/>
    </row>
    <row r="256" spans="1:10" x14ac:dyDescent="0.2">
      <c r="A256" s="26" t="s">
        <v>23</v>
      </c>
      <c r="B256" s="26" t="s">
        <v>22</v>
      </c>
      <c r="C256" s="26">
        <v>6</v>
      </c>
      <c r="D256" s="85"/>
      <c r="E256" s="85"/>
      <c r="F256" s="85"/>
      <c r="G256" s="85"/>
      <c r="H256" s="86"/>
      <c r="I256" s="190"/>
      <c r="J256" s="71"/>
    </row>
    <row r="257" spans="1:10" x14ac:dyDescent="0.2">
      <c r="A257" s="26" t="s">
        <v>28</v>
      </c>
      <c r="B257" s="26" t="s">
        <v>27</v>
      </c>
      <c r="C257" s="26">
        <v>5</v>
      </c>
      <c r="D257" s="85"/>
      <c r="E257" s="85"/>
      <c r="F257" s="85"/>
      <c r="G257" s="85"/>
      <c r="H257" s="86"/>
      <c r="I257" s="190"/>
      <c r="J257" s="71"/>
    </row>
    <row r="258" spans="1:10" x14ac:dyDescent="0.2">
      <c r="A258" s="26" t="s">
        <v>32</v>
      </c>
      <c r="B258" s="26" t="s">
        <v>31</v>
      </c>
      <c r="C258" s="26">
        <v>1</v>
      </c>
      <c r="D258" s="85"/>
      <c r="E258" s="85"/>
      <c r="F258" s="85"/>
      <c r="G258" s="85"/>
      <c r="H258" s="86"/>
      <c r="I258" s="190"/>
      <c r="J258" s="71"/>
    </row>
    <row r="259" spans="1:10" x14ac:dyDescent="0.2">
      <c r="A259" s="26" t="s">
        <v>36</v>
      </c>
      <c r="B259" s="26" t="s">
        <v>35</v>
      </c>
      <c r="C259" s="26">
        <v>0</v>
      </c>
      <c r="D259" s="88"/>
      <c r="E259" s="88"/>
      <c r="F259" s="88"/>
      <c r="G259" s="88"/>
      <c r="H259" s="89"/>
      <c r="I259" s="189"/>
      <c r="J259" s="71"/>
    </row>
    <row r="260" spans="1:10" x14ac:dyDescent="0.2">
      <c r="A260" s="200" t="s">
        <v>222</v>
      </c>
      <c r="B260" s="201"/>
      <c r="C260" s="201"/>
      <c r="D260" s="201"/>
      <c r="E260" s="201"/>
      <c r="F260" s="201"/>
      <c r="G260" s="201"/>
      <c r="H260" s="202"/>
      <c r="I260" s="188"/>
      <c r="J260" s="71"/>
    </row>
    <row r="261" spans="1:10" x14ac:dyDescent="0.2">
      <c r="A261" s="2" t="s">
        <v>218</v>
      </c>
      <c r="B261" s="2" t="s">
        <v>215</v>
      </c>
      <c r="C261" s="92" t="s">
        <v>223</v>
      </c>
      <c r="D261" s="83"/>
      <c r="E261" s="83"/>
      <c r="F261" s="83"/>
      <c r="G261" s="83"/>
      <c r="H261" s="81"/>
      <c r="I261" s="190"/>
      <c r="J261" s="71"/>
    </row>
    <row r="262" spans="1:10" x14ac:dyDescent="0.2">
      <c r="A262" s="26" t="s">
        <v>21</v>
      </c>
      <c r="B262" s="26" t="s">
        <v>20</v>
      </c>
      <c r="C262" s="26">
        <v>1954</v>
      </c>
      <c r="D262" s="85"/>
      <c r="E262" s="85"/>
      <c r="F262" s="85"/>
      <c r="G262" s="85"/>
      <c r="H262" s="86"/>
      <c r="I262" s="190"/>
      <c r="J262" s="71"/>
    </row>
    <row r="263" spans="1:10" x14ac:dyDescent="0.2">
      <c r="A263" s="26" t="s">
        <v>25</v>
      </c>
      <c r="B263" s="26" t="s">
        <v>24</v>
      </c>
      <c r="C263" s="26">
        <v>1421</v>
      </c>
      <c r="D263" s="85"/>
      <c r="E263" s="85"/>
      <c r="F263" s="85"/>
      <c r="G263" s="85"/>
      <c r="H263" s="86"/>
      <c r="I263" s="190"/>
      <c r="J263" s="71"/>
    </row>
    <row r="264" spans="1:10" x14ac:dyDescent="0.2">
      <c r="A264" s="26" t="s">
        <v>425</v>
      </c>
      <c r="B264" s="26" t="s">
        <v>424</v>
      </c>
      <c r="C264" s="26">
        <v>371</v>
      </c>
      <c r="D264" s="85"/>
      <c r="E264" s="85"/>
      <c r="F264" s="85"/>
      <c r="G264" s="85"/>
      <c r="H264" s="86"/>
      <c r="I264" s="190"/>
      <c r="J264" s="71"/>
    </row>
    <row r="265" spans="1:10" x14ac:dyDescent="0.2">
      <c r="A265" s="26" t="s">
        <v>90</v>
      </c>
      <c r="B265" s="26" t="s">
        <v>89</v>
      </c>
      <c r="C265" s="26">
        <v>342</v>
      </c>
      <c r="D265" s="85"/>
      <c r="E265" s="85"/>
      <c r="F265" s="85"/>
      <c r="G265" s="85"/>
      <c r="H265" s="86"/>
      <c r="I265" s="190"/>
      <c r="J265" s="71"/>
    </row>
    <row r="266" spans="1:10" x14ac:dyDescent="0.2">
      <c r="A266" s="26" t="s">
        <v>23</v>
      </c>
      <c r="B266" s="26" t="s">
        <v>22</v>
      </c>
      <c r="C266" s="26">
        <v>315</v>
      </c>
      <c r="D266" s="85"/>
      <c r="E266" s="85"/>
      <c r="F266" s="85"/>
      <c r="G266" s="85"/>
      <c r="H266" s="86"/>
      <c r="I266" s="190"/>
      <c r="J266" s="71"/>
    </row>
    <row r="267" spans="1:10" x14ac:dyDescent="0.2">
      <c r="A267" s="26" t="s">
        <v>34</v>
      </c>
      <c r="B267" s="26" t="s">
        <v>33</v>
      </c>
      <c r="C267" s="26">
        <v>254</v>
      </c>
      <c r="D267" s="85"/>
      <c r="E267" s="85"/>
      <c r="F267" s="85"/>
      <c r="G267" s="85"/>
      <c r="H267" s="86"/>
      <c r="I267" s="190"/>
      <c r="J267" s="71"/>
    </row>
    <row r="268" spans="1:10" x14ac:dyDescent="0.2">
      <c r="A268" s="26" t="s">
        <v>38</v>
      </c>
      <c r="B268" s="26" t="s">
        <v>37</v>
      </c>
      <c r="C268" s="26">
        <v>176</v>
      </c>
      <c r="D268" s="85"/>
      <c r="E268" s="85"/>
      <c r="F268" s="85"/>
      <c r="G268" s="85"/>
      <c r="H268" s="86"/>
      <c r="I268" s="190"/>
      <c r="J268" s="71"/>
    </row>
    <row r="269" spans="1:10" x14ac:dyDescent="0.2">
      <c r="A269" s="26" t="s">
        <v>28</v>
      </c>
      <c r="B269" s="26" t="s">
        <v>27</v>
      </c>
      <c r="C269" s="26">
        <v>134</v>
      </c>
      <c r="D269" s="85"/>
      <c r="E269" s="85"/>
      <c r="F269" s="85"/>
      <c r="G269" s="85"/>
      <c r="H269" s="86"/>
      <c r="I269" s="190"/>
      <c r="J269" s="71"/>
    </row>
    <row r="270" spans="1:10" x14ac:dyDescent="0.2">
      <c r="A270" s="26" t="s">
        <v>32</v>
      </c>
      <c r="B270" s="26" t="s">
        <v>31</v>
      </c>
      <c r="C270" s="26">
        <v>58</v>
      </c>
      <c r="D270" s="85"/>
      <c r="E270" s="85"/>
      <c r="F270" s="85"/>
      <c r="G270" s="85"/>
      <c r="H270" s="86"/>
      <c r="I270" s="190"/>
      <c r="J270" s="71"/>
    </row>
    <row r="271" spans="1:10" x14ac:dyDescent="0.2">
      <c r="A271" s="26" t="s">
        <v>36</v>
      </c>
      <c r="B271" s="26" t="s">
        <v>35</v>
      </c>
      <c r="C271" s="26">
        <v>0</v>
      </c>
      <c r="D271" s="88"/>
      <c r="E271" s="88"/>
      <c r="F271" s="88"/>
      <c r="G271" s="88"/>
      <c r="H271" s="89"/>
      <c r="I271" s="189"/>
      <c r="J271" s="71"/>
    </row>
    <row r="272" spans="1:10" x14ac:dyDescent="0.2">
      <c r="A272" s="200" t="s">
        <v>224</v>
      </c>
      <c r="B272" s="201"/>
      <c r="C272" s="201"/>
      <c r="D272" s="201"/>
      <c r="E272" s="201"/>
      <c r="F272" s="201"/>
      <c r="G272" s="201"/>
      <c r="H272" s="202"/>
      <c r="I272" s="188"/>
      <c r="J272" s="71"/>
    </row>
    <row r="273" spans="1:18" x14ac:dyDescent="0.2">
      <c r="A273" s="2" t="s">
        <v>218</v>
      </c>
      <c r="B273" s="2" t="s">
        <v>215</v>
      </c>
      <c r="C273" s="2" t="s">
        <v>219</v>
      </c>
      <c r="D273" s="83"/>
      <c r="E273" s="83"/>
      <c r="F273" s="83"/>
      <c r="G273" s="83"/>
      <c r="H273" s="81"/>
      <c r="I273" s="190"/>
      <c r="J273" s="71"/>
    </row>
    <row r="274" spans="1:18" x14ac:dyDescent="0.2">
      <c r="A274" s="26" t="s">
        <v>21</v>
      </c>
      <c r="B274" s="26" t="s">
        <v>20</v>
      </c>
      <c r="C274" s="87">
        <v>2514211.3199999998</v>
      </c>
      <c r="D274" s="85"/>
      <c r="E274" s="85"/>
      <c r="F274" s="85"/>
      <c r="G274" s="85"/>
      <c r="H274" s="86"/>
      <c r="I274" s="190"/>
      <c r="J274" s="71"/>
    </row>
    <row r="275" spans="1:18" x14ac:dyDescent="0.2">
      <c r="A275" s="26" t="s">
        <v>25</v>
      </c>
      <c r="B275" s="26" t="s">
        <v>24</v>
      </c>
      <c r="C275" s="87">
        <v>721188.679999999</v>
      </c>
      <c r="D275" s="85"/>
      <c r="E275" s="85"/>
      <c r="F275" s="85"/>
      <c r="G275" s="85"/>
      <c r="H275" s="86"/>
      <c r="I275" s="190"/>
      <c r="J275" s="71"/>
    </row>
    <row r="276" spans="1:18" x14ac:dyDescent="0.2">
      <c r="A276" s="26" t="s">
        <v>425</v>
      </c>
      <c r="B276" s="26" t="s">
        <v>424</v>
      </c>
      <c r="C276" s="87">
        <v>73443.86</v>
      </c>
      <c r="D276" s="85"/>
      <c r="E276" s="85"/>
      <c r="F276" s="85"/>
      <c r="G276" s="85"/>
      <c r="H276" s="86"/>
      <c r="I276" s="190"/>
      <c r="J276" s="71"/>
    </row>
    <row r="277" spans="1:18" x14ac:dyDescent="0.2">
      <c r="A277" s="26" t="s">
        <v>90</v>
      </c>
      <c r="B277" s="26" t="s">
        <v>89</v>
      </c>
      <c r="C277" s="87">
        <v>256807.19</v>
      </c>
      <c r="D277" s="85"/>
      <c r="E277" s="85"/>
      <c r="F277" s="85"/>
      <c r="G277" s="85"/>
      <c r="H277" s="86"/>
      <c r="I277" s="190"/>
      <c r="J277" s="71"/>
    </row>
    <row r="278" spans="1:18" x14ac:dyDescent="0.2">
      <c r="A278" s="26" t="s">
        <v>23</v>
      </c>
      <c r="B278" s="26" t="s">
        <v>22</v>
      </c>
      <c r="C278" s="87">
        <v>685676.63</v>
      </c>
      <c r="D278" s="85"/>
      <c r="E278" s="85"/>
      <c r="F278" s="85"/>
      <c r="G278" s="85"/>
      <c r="H278" s="86"/>
      <c r="I278" s="190"/>
      <c r="J278" s="71"/>
    </row>
    <row r="279" spans="1:18" x14ac:dyDescent="0.2">
      <c r="A279" s="26" t="s">
        <v>34</v>
      </c>
      <c r="B279" s="26" t="s">
        <v>33</v>
      </c>
      <c r="C279" s="87">
        <v>27505.5</v>
      </c>
      <c r="D279" s="85"/>
      <c r="E279" s="85"/>
      <c r="F279" s="85"/>
      <c r="G279" s="85"/>
      <c r="H279" s="86"/>
      <c r="I279" s="190"/>
      <c r="J279" s="71"/>
    </row>
    <row r="280" spans="1:18" x14ac:dyDescent="0.2">
      <c r="A280" s="26" t="s">
        <v>38</v>
      </c>
      <c r="B280" s="26" t="s">
        <v>37</v>
      </c>
      <c r="C280" s="87">
        <v>20441.669999999998</v>
      </c>
      <c r="D280" s="85"/>
      <c r="E280" s="85"/>
      <c r="F280" s="85"/>
      <c r="G280" s="85"/>
      <c r="H280" s="86"/>
      <c r="I280" s="190"/>
      <c r="J280" s="71"/>
    </row>
    <row r="281" spans="1:18" x14ac:dyDescent="0.2">
      <c r="A281" s="26" t="s">
        <v>28</v>
      </c>
      <c r="B281" s="26" t="s">
        <v>27</v>
      </c>
      <c r="C281" s="87">
        <v>154830.47999999899</v>
      </c>
      <c r="D281" s="85"/>
      <c r="E281" s="85"/>
      <c r="F281" s="85"/>
      <c r="G281" s="85"/>
      <c r="H281" s="86"/>
      <c r="I281" s="190"/>
      <c r="J281" s="71"/>
    </row>
    <row r="282" spans="1:18" x14ac:dyDescent="0.2">
      <c r="A282" s="26" t="s">
        <v>32</v>
      </c>
      <c r="B282" s="26" t="s">
        <v>31</v>
      </c>
      <c r="C282" s="87">
        <v>17015.919999999998</v>
      </c>
      <c r="D282" s="85"/>
      <c r="E282" s="85"/>
      <c r="F282" s="85"/>
      <c r="G282" s="85"/>
      <c r="H282" s="86"/>
      <c r="I282" s="190"/>
      <c r="J282" s="71"/>
    </row>
    <row r="283" spans="1:18" x14ac:dyDescent="0.2">
      <c r="A283" s="26" t="s">
        <v>36</v>
      </c>
      <c r="B283" s="26" t="s">
        <v>35</v>
      </c>
      <c r="C283" s="87">
        <v>0</v>
      </c>
      <c r="D283" s="88"/>
      <c r="E283" s="88"/>
      <c r="F283" s="88"/>
      <c r="G283" s="88"/>
      <c r="H283" s="89"/>
      <c r="I283" s="189"/>
      <c r="J283" s="71"/>
    </row>
    <row r="284" spans="1:18" x14ac:dyDescent="0.2">
      <c r="A284" s="200" t="s">
        <v>225</v>
      </c>
      <c r="B284" s="201"/>
      <c r="C284" s="201"/>
      <c r="D284" s="201"/>
      <c r="E284" s="201"/>
      <c r="F284" s="201"/>
      <c r="G284" s="201"/>
      <c r="H284" s="202"/>
      <c r="I284" s="188"/>
      <c r="J284" s="71"/>
    </row>
    <row r="285" spans="1:18" x14ac:dyDescent="0.2">
      <c r="A285" s="80"/>
      <c r="B285" s="83"/>
      <c r="C285" s="228" t="s">
        <v>226</v>
      </c>
      <c r="D285" s="229"/>
      <c r="E285" s="230"/>
      <c r="F285" s="228" t="s">
        <v>517</v>
      </c>
      <c r="G285" s="229"/>
      <c r="H285" s="230"/>
      <c r="I285" s="190"/>
      <c r="J285" s="71"/>
    </row>
    <row r="286" spans="1:18" ht="37.5" x14ac:dyDescent="0.2">
      <c r="A286" s="2" t="s">
        <v>218</v>
      </c>
      <c r="B286" s="2" t="s">
        <v>227</v>
      </c>
      <c r="C286" s="2" t="s">
        <v>228</v>
      </c>
      <c r="D286" s="2" t="s">
        <v>229</v>
      </c>
      <c r="E286" s="2" t="s">
        <v>230</v>
      </c>
      <c r="F286" s="2" t="s">
        <v>231</v>
      </c>
      <c r="G286" s="2" t="s">
        <v>229</v>
      </c>
      <c r="H286" s="2" t="s">
        <v>230</v>
      </c>
      <c r="I286" s="190"/>
      <c r="K286" s="93"/>
      <c r="L286" s="93"/>
      <c r="M286" s="93"/>
      <c r="N286" s="93"/>
      <c r="O286" s="93"/>
      <c r="P286" s="93"/>
      <c r="Q286" s="93"/>
      <c r="R286" s="93"/>
    </row>
    <row r="287" spans="1:18" x14ac:dyDescent="0.2">
      <c r="A287" s="26" t="s">
        <v>21</v>
      </c>
      <c r="B287" s="26" t="s">
        <v>20</v>
      </c>
      <c r="C287" s="26">
        <v>28</v>
      </c>
      <c r="D287" s="26">
        <v>1954</v>
      </c>
      <c r="E287" s="108">
        <v>2514211.3199999998</v>
      </c>
      <c r="F287" s="26">
        <v>28</v>
      </c>
      <c r="G287" s="26">
        <v>858</v>
      </c>
      <c r="H287" s="171">
        <v>5404931.3548239898</v>
      </c>
      <c r="I287" s="190"/>
      <c r="K287" s="94"/>
      <c r="L287" s="94"/>
      <c r="M287" s="94"/>
      <c r="N287" s="94"/>
      <c r="O287" s="95"/>
      <c r="P287" s="94"/>
      <c r="Q287" s="94"/>
      <c r="R287" s="95"/>
    </row>
    <row r="288" spans="1:18" x14ac:dyDescent="0.2">
      <c r="A288" s="26" t="s">
        <v>25</v>
      </c>
      <c r="B288" s="26" t="s">
        <v>24</v>
      </c>
      <c r="C288" s="26">
        <v>23</v>
      </c>
      <c r="D288" s="26">
        <v>1421</v>
      </c>
      <c r="E288" s="108">
        <v>721188.679999999</v>
      </c>
      <c r="F288" s="26">
        <v>18</v>
      </c>
      <c r="G288" s="26">
        <v>283</v>
      </c>
      <c r="H288" s="171">
        <v>953346.32180000003</v>
      </c>
      <c r="I288" s="190"/>
      <c r="K288" s="94"/>
      <c r="L288" s="94"/>
      <c r="M288" s="94"/>
      <c r="N288" s="94"/>
      <c r="O288" s="95"/>
      <c r="P288" s="94"/>
      <c r="Q288" s="94"/>
      <c r="R288" s="95"/>
    </row>
    <row r="289" spans="1:18" x14ac:dyDescent="0.2">
      <c r="A289" s="26" t="s">
        <v>425</v>
      </c>
      <c r="B289" s="26" t="s">
        <v>424</v>
      </c>
      <c r="C289" s="26">
        <v>8</v>
      </c>
      <c r="D289" s="26">
        <v>371</v>
      </c>
      <c r="E289" s="108">
        <v>73443.86</v>
      </c>
      <c r="F289" s="26">
        <v>8</v>
      </c>
      <c r="G289" s="26">
        <v>390</v>
      </c>
      <c r="H289" s="171">
        <v>97413.8299999999</v>
      </c>
      <c r="I289" s="190"/>
      <c r="K289" s="94"/>
      <c r="L289" s="94"/>
      <c r="M289" s="94"/>
      <c r="N289" s="94"/>
      <c r="O289" s="95"/>
      <c r="P289" s="94"/>
      <c r="Q289" s="94"/>
      <c r="R289" s="95"/>
    </row>
    <row r="290" spans="1:18" x14ac:dyDescent="0.2">
      <c r="A290" s="26" t="s">
        <v>90</v>
      </c>
      <c r="B290" s="26" t="s">
        <v>89</v>
      </c>
      <c r="C290" s="26">
        <v>4</v>
      </c>
      <c r="D290" s="26">
        <v>342</v>
      </c>
      <c r="E290" s="108">
        <v>256807.19</v>
      </c>
      <c r="F290" s="26">
        <v>4</v>
      </c>
      <c r="G290" s="26">
        <v>137</v>
      </c>
      <c r="H290" s="171">
        <v>363532.72</v>
      </c>
      <c r="I290" s="190"/>
      <c r="K290" s="94"/>
      <c r="L290" s="94"/>
      <c r="M290" s="94"/>
      <c r="N290" s="94"/>
      <c r="O290" s="95"/>
      <c r="P290" s="94"/>
      <c r="Q290" s="94"/>
      <c r="R290" s="95"/>
    </row>
    <row r="291" spans="1:18" x14ac:dyDescent="0.2">
      <c r="A291" s="26" t="s">
        <v>23</v>
      </c>
      <c r="B291" s="26" t="s">
        <v>22</v>
      </c>
      <c r="C291" s="26">
        <v>6</v>
      </c>
      <c r="D291" s="26">
        <v>315</v>
      </c>
      <c r="E291" s="108">
        <v>685676.63</v>
      </c>
      <c r="F291" s="26">
        <v>6</v>
      </c>
      <c r="G291" s="26">
        <v>71</v>
      </c>
      <c r="H291" s="171">
        <v>508694.63897000003</v>
      </c>
      <c r="I291" s="190"/>
      <c r="K291" s="94"/>
      <c r="L291" s="94"/>
      <c r="M291" s="94"/>
      <c r="N291" s="94"/>
      <c r="O291" s="95"/>
      <c r="P291" s="94"/>
      <c r="Q291" s="94"/>
      <c r="R291" s="95"/>
    </row>
    <row r="292" spans="1:18" x14ac:dyDescent="0.2">
      <c r="A292" s="26" t="s">
        <v>34</v>
      </c>
      <c r="B292" s="26" t="s">
        <v>33</v>
      </c>
      <c r="C292" s="26">
        <v>4</v>
      </c>
      <c r="D292" s="26">
        <v>254</v>
      </c>
      <c r="E292" s="108">
        <v>27505.5</v>
      </c>
      <c r="F292" s="26">
        <v>4</v>
      </c>
      <c r="G292" s="26">
        <v>82</v>
      </c>
      <c r="H292" s="171">
        <v>166883.999056</v>
      </c>
      <c r="I292" s="190"/>
      <c r="K292" s="94"/>
      <c r="L292" s="94"/>
      <c r="M292" s="94"/>
      <c r="N292" s="94"/>
      <c r="O292" s="95"/>
      <c r="P292" s="94"/>
      <c r="Q292" s="94"/>
      <c r="R292" s="95"/>
    </row>
    <row r="293" spans="1:18" x14ac:dyDescent="0.2">
      <c r="A293" s="26" t="s">
        <v>38</v>
      </c>
      <c r="B293" s="26" t="s">
        <v>37</v>
      </c>
      <c r="C293" s="26">
        <v>4</v>
      </c>
      <c r="D293" s="26">
        <v>176</v>
      </c>
      <c r="E293" s="108">
        <v>20441.669999999998</v>
      </c>
      <c r="F293" s="26">
        <v>4</v>
      </c>
      <c r="G293" s="26">
        <v>109</v>
      </c>
      <c r="H293" s="171">
        <v>45391.99</v>
      </c>
      <c r="I293" s="190"/>
      <c r="K293" s="94"/>
      <c r="L293" s="94"/>
      <c r="M293" s="94"/>
      <c r="N293" s="94"/>
      <c r="O293" s="95"/>
      <c r="P293" s="94"/>
      <c r="Q293" s="94"/>
      <c r="R293" s="95"/>
    </row>
    <row r="294" spans="1:18" x14ac:dyDescent="0.2">
      <c r="A294" s="26" t="s">
        <v>28</v>
      </c>
      <c r="B294" s="26" t="s">
        <v>27</v>
      </c>
      <c r="C294" s="26">
        <v>6</v>
      </c>
      <c r="D294" s="26">
        <v>134</v>
      </c>
      <c r="E294" s="108">
        <v>154830.47999999899</v>
      </c>
      <c r="F294" s="26">
        <v>5</v>
      </c>
      <c r="G294" s="26">
        <v>40</v>
      </c>
      <c r="H294" s="171">
        <v>170503.85</v>
      </c>
      <c r="I294" s="190"/>
      <c r="K294" s="94"/>
      <c r="L294" s="94"/>
      <c r="M294" s="94"/>
      <c r="N294" s="94"/>
      <c r="O294" s="95"/>
      <c r="P294" s="94"/>
      <c r="Q294" s="94"/>
      <c r="R294" s="95"/>
    </row>
    <row r="295" spans="1:18" x14ac:dyDescent="0.2">
      <c r="A295" s="26" t="s">
        <v>32</v>
      </c>
      <c r="B295" s="26" t="s">
        <v>31</v>
      </c>
      <c r="C295" s="26">
        <v>1</v>
      </c>
      <c r="D295" s="26">
        <v>58</v>
      </c>
      <c r="E295" s="108">
        <v>17015.919999999998</v>
      </c>
      <c r="F295" s="26">
        <v>1</v>
      </c>
      <c r="G295" s="26">
        <v>17</v>
      </c>
      <c r="H295" s="171">
        <v>25719.339099999899</v>
      </c>
      <c r="I295" s="190"/>
      <c r="K295" s="94"/>
      <c r="L295" s="94"/>
      <c r="M295" s="94"/>
      <c r="N295" s="94"/>
      <c r="O295" s="95"/>
      <c r="P295" s="94"/>
      <c r="Q295" s="94"/>
      <c r="R295" s="95"/>
    </row>
    <row r="296" spans="1:18" x14ac:dyDescent="0.2">
      <c r="A296" s="26" t="s">
        <v>36</v>
      </c>
      <c r="B296" s="26" t="s">
        <v>35</v>
      </c>
      <c r="C296" s="26">
        <v>0</v>
      </c>
      <c r="D296" s="26">
        <v>0</v>
      </c>
      <c r="E296" s="108">
        <v>0</v>
      </c>
      <c r="F296" s="26">
        <v>0</v>
      </c>
      <c r="G296" s="26">
        <v>0</v>
      </c>
      <c r="H296" s="171">
        <v>0</v>
      </c>
      <c r="I296" s="189"/>
      <c r="K296" s="94"/>
      <c r="L296" s="94"/>
      <c r="M296" s="94"/>
      <c r="N296" s="94"/>
      <c r="O296" s="95"/>
      <c r="P296" s="94"/>
      <c r="Q296" s="94"/>
      <c r="R296" s="95"/>
    </row>
    <row r="297" spans="1:18" x14ac:dyDescent="0.2">
      <c r="A297" s="225" t="s">
        <v>232</v>
      </c>
      <c r="B297" s="226"/>
      <c r="C297" s="226"/>
      <c r="D297" s="226"/>
      <c r="E297" s="226"/>
      <c r="F297" s="226"/>
      <c r="G297" s="226"/>
      <c r="H297" s="227"/>
      <c r="I297" s="34"/>
      <c r="J297" s="71"/>
    </row>
    <row r="298" spans="1:18" x14ac:dyDescent="0.2">
      <c r="A298" s="200" t="s">
        <v>233</v>
      </c>
      <c r="B298" s="201"/>
      <c r="C298" s="201"/>
      <c r="D298" s="201"/>
      <c r="E298" s="201"/>
      <c r="F298" s="201"/>
      <c r="G298" s="201"/>
      <c r="H298" s="202"/>
      <c r="I298" s="34"/>
      <c r="J298" s="71"/>
    </row>
    <row r="299" spans="1:18" x14ac:dyDescent="0.2">
      <c r="A299" s="204" t="s">
        <v>234</v>
      </c>
      <c r="B299" s="205"/>
      <c r="C299" s="205"/>
      <c r="D299" s="205"/>
      <c r="E299" s="205"/>
      <c r="F299" s="205"/>
      <c r="G299" s="205"/>
      <c r="H299" s="206"/>
      <c r="I299" s="188"/>
      <c r="J299" s="71"/>
    </row>
    <row r="300" spans="1:18" x14ac:dyDescent="0.2">
      <c r="A300" s="208">
        <v>12803320</v>
      </c>
      <c r="B300" s="208"/>
      <c r="C300" s="208"/>
      <c r="D300" s="208"/>
      <c r="E300" s="208"/>
      <c r="F300" s="208"/>
      <c r="G300" s="208"/>
      <c r="H300" s="208"/>
      <c r="I300" s="189"/>
      <c r="J300" s="71"/>
    </row>
    <row r="301" spans="1:18" x14ac:dyDescent="0.2">
      <c r="A301" s="204" t="s">
        <v>189</v>
      </c>
      <c r="B301" s="205"/>
      <c r="C301" s="205"/>
      <c r="D301" s="205"/>
      <c r="E301" s="205"/>
      <c r="F301" s="205"/>
      <c r="G301" s="205"/>
      <c r="H301" s="206"/>
      <c r="I301" s="188"/>
      <c r="J301" s="71"/>
    </row>
    <row r="302" spans="1:18" x14ac:dyDescent="0.2">
      <c r="A302" s="207">
        <v>45922385079.376701</v>
      </c>
      <c r="B302" s="207"/>
      <c r="C302" s="207"/>
      <c r="D302" s="207"/>
      <c r="E302" s="207"/>
      <c r="F302" s="207"/>
      <c r="G302" s="207"/>
      <c r="H302" s="207"/>
      <c r="I302" s="189"/>
      <c r="J302" s="71"/>
    </row>
    <row r="303" spans="1:18" x14ac:dyDescent="0.2">
      <c r="A303" s="204" t="s">
        <v>190</v>
      </c>
      <c r="B303" s="205"/>
      <c r="C303" s="205"/>
      <c r="D303" s="205"/>
      <c r="E303" s="205"/>
      <c r="F303" s="205"/>
      <c r="G303" s="205"/>
      <c r="H303" s="206"/>
      <c r="I303" s="188"/>
      <c r="J303" s="71"/>
    </row>
    <row r="304" spans="1:18" x14ac:dyDescent="0.2">
      <c r="A304" s="208">
        <v>2099</v>
      </c>
      <c r="B304" s="208"/>
      <c r="C304" s="208"/>
      <c r="D304" s="208"/>
      <c r="E304" s="208"/>
      <c r="F304" s="208"/>
      <c r="G304" s="208"/>
      <c r="H304" s="208"/>
      <c r="I304" s="189"/>
      <c r="J304" s="71"/>
    </row>
    <row r="305" spans="1:10" x14ac:dyDescent="0.2">
      <c r="A305" s="204" t="s">
        <v>201</v>
      </c>
      <c r="B305" s="205"/>
      <c r="C305" s="205"/>
      <c r="D305" s="205"/>
      <c r="E305" s="205"/>
      <c r="F305" s="205"/>
      <c r="G305" s="205"/>
      <c r="H305" s="206"/>
      <c r="I305" s="188"/>
      <c r="J305" s="71"/>
    </row>
    <row r="306" spans="1:10" x14ac:dyDescent="0.2">
      <c r="A306" s="208">
        <v>5383901</v>
      </c>
      <c r="B306" s="208"/>
      <c r="C306" s="208"/>
      <c r="D306" s="208"/>
      <c r="E306" s="208"/>
      <c r="F306" s="208"/>
      <c r="G306" s="208"/>
      <c r="H306" s="208"/>
      <c r="I306" s="189"/>
      <c r="J306" s="71"/>
    </row>
    <row r="307" spans="1:10" x14ac:dyDescent="0.2">
      <c r="A307" s="204" t="s">
        <v>191</v>
      </c>
      <c r="B307" s="205"/>
      <c r="C307" s="205"/>
      <c r="D307" s="205"/>
      <c r="E307" s="205"/>
      <c r="F307" s="205"/>
      <c r="G307" s="205"/>
      <c r="H307" s="206"/>
      <c r="I307" s="188"/>
      <c r="J307" s="71"/>
    </row>
    <row r="308" spans="1:10" x14ac:dyDescent="0.2">
      <c r="A308" s="207">
        <v>49914343431.579903</v>
      </c>
      <c r="B308" s="207"/>
      <c r="C308" s="207"/>
      <c r="D308" s="207"/>
      <c r="E308" s="207"/>
      <c r="F308" s="207"/>
      <c r="G308" s="207"/>
      <c r="H308" s="207"/>
      <c r="I308" s="189"/>
      <c r="J308" s="71"/>
    </row>
    <row r="309" spans="1:10" x14ac:dyDescent="0.2">
      <c r="A309" s="204" t="s">
        <v>202</v>
      </c>
      <c r="B309" s="205"/>
      <c r="C309" s="205"/>
      <c r="D309" s="205"/>
      <c r="E309" s="205"/>
      <c r="F309" s="205"/>
      <c r="G309" s="205"/>
      <c r="H309" s="206"/>
      <c r="I309" s="188"/>
      <c r="J309" s="71"/>
    </row>
    <row r="310" spans="1:10" x14ac:dyDescent="0.2">
      <c r="A310" s="208">
        <v>2149</v>
      </c>
      <c r="B310" s="208"/>
      <c r="C310" s="208"/>
      <c r="D310" s="208"/>
      <c r="E310" s="208"/>
      <c r="F310" s="208"/>
      <c r="G310" s="208"/>
      <c r="H310" s="208"/>
      <c r="I310" s="189"/>
      <c r="J310" s="71"/>
    </row>
    <row r="311" spans="1:10" x14ac:dyDescent="0.2">
      <c r="A311" s="200" t="s">
        <v>235</v>
      </c>
      <c r="B311" s="201"/>
      <c r="C311" s="201"/>
      <c r="D311" s="201"/>
      <c r="E311" s="201"/>
      <c r="F311" s="201"/>
      <c r="G311" s="201"/>
      <c r="H311" s="202"/>
      <c r="I311" s="34"/>
      <c r="J311" s="71"/>
    </row>
    <row r="312" spans="1:10" x14ac:dyDescent="0.2">
      <c r="A312" s="204" t="s">
        <v>236</v>
      </c>
      <c r="B312" s="205"/>
      <c r="C312" s="205"/>
      <c r="D312" s="205"/>
      <c r="E312" s="205"/>
      <c r="F312" s="205"/>
      <c r="G312" s="205"/>
      <c r="H312" s="206"/>
      <c r="I312" s="188"/>
      <c r="J312" s="71"/>
    </row>
    <row r="313" spans="1:10" x14ac:dyDescent="0.2">
      <c r="A313" s="208">
        <v>592622</v>
      </c>
      <c r="B313" s="208"/>
      <c r="C313" s="208"/>
      <c r="D313" s="208"/>
      <c r="E313" s="208"/>
      <c r="F313" s="208"/>
      <c r="G313" s="208"/>
      <c r="H313" s="208"/>
      <c r="I313" s="189"/>
      <c r="J313" s="71"/>
    </row>
    <row r="314" spans="1:10" x14ac:dyDescent="0.2">
      <c r="A314" s="204" t="s">
        <v>189</v>
      </c>
      <c r="B314" s="205"/>
      <c r="C314" s="205"/>
      <c r="D314" s="205"/>
      <c r="E314" s="205"/>
      <c r="F314" s="205"/>
      <c r="G314" s="205"/>
      <c r="H314" s="206"/>
      <c r="I314" s="188"/>
      <c r="J314" s="71"/>
    </row>
    <row r="315" spans="1:10" x14ac:dyDescent="0.2">
      <c r="A315" s="207">
        <v>704379946.59718394</v>
      </c>
      <c r="B315" s="207"/>
      <c r="C315" s="207"/>
      <c r="D315" s="207"/>
      <c r="E315" s="207"/>
      <c r="F315" s="207"/>
      <c r="G315" s="207"/>
      <c r="H315" s="207"/>
      <c r="I315" s="189"/>
      <c r="J315" s="71"/>
    </row>
    <row r="316" spans="1:10" x14ac:dyDescent="0.2">
      <c r="A316" s="204" t="s">
        <v>190</v>
      </c>
      <c r="B316" s="205"/>
      <c r="C316" s="205"/>
      <c r="D316" s="205"/>
      <c r="E316" s="205"/>
      <c r="F316" s="205"/>
      <c r="G316" s="205"/>
      <c r="H316" s="206"/>
      <c r="I316" s="188"/>
      <c r="J316" s="71"/>
    </row>
    <row r="317" spans="1:10" x14ac:dyDescent="0.2">
      <c r="A317" s="208">
        <v>2938</v>
      </c>
      <c r="B317" s="208"/>
      <c r="C317" s="208"/>
      <c r="D317" s="208"/>
      <c r="E317" s="208"/>
      <c r="F317" s="208"/>
      <c r="G317" s="208"/>
      <c r="H317" s="208"/>
      <c r="I317" s="189"/>
      <c r="J317" s="71"/>
    </row>
    <row r="318" spans="1:10" x14ac:dyDescent="0.2">
      <c r="A318" s="209" t="s">
        <v>237</v>
      </c>
      <c r="B318" s="210"/>
      <c r="C318" s="210"/>
      <c r="D318" s="210"/>
      <c r="E318" s="210"/>
      <c r="F318" s="210"/>
      <c r="G318" s="210"/>
      <c r="H318" s="211"/>
      <c r="I318" s="188"/>
      <c r="J318" s="71"/>
    </row>
    <row r="319" spans="1:10" x14ac:dyDescent="0.2">
      <c r="A319" s="208">
        <v>622207</v>
      </c>
      <c r="B319" s="208"/>
      <c r="C319" s="208"/>
      <c r="D319" s="208"/>
      <c r="E319" s="208"/>
      <c r="F319" s="208"/>
      <c r="G319" s="208"/>
      <c r="H319" s="208"/>
      <c r="I319" s="189"/>
      <c r="J319" s="71"/>
    </row>
    <row r="320" spans="1:10" x14ac:dyDescent="0.2">
      <c r="A320" s="204" t="s">
        <v>191</v>
      </c>
      <c r="B320" s="205"/>
      <c r="C320" s="205"/>
      <c r="D320" s="205"/>
      <c r="E320" s="205"/>
      <c r="F320" s="205"/>
      <c r="G320" s="205"/>
      <c r="H320" s="206"/>
      <c r="I320" s="188"/>
      <c r="J320" s="71"/>
    </row>
    <row r="321" spans="1:10" x14ac:dyDescent="0.2">
      <c r="A321" s="207">
        <v>822539873.41002297</v>
      </c>
      <c r="B321" s="207"/>
      <c r="C321" s="207"/>
      <c r="D321" s="207"/>
      <c r="E321" s="207"/>
      <c r="F321" s="207"/>
      <c r="G321" s="207"/>
      <c r="H321" s="207"/>
      <c r="I321" s="189"/>
      <c r="J321" s="71"/>
    </row>
    <row r="322" spans="1:10" x14ac:dyDescent="0.2">
      <c r="A322" s="204" t="s">
        <v>202</v>
      </c>
      <c r="B322" s="205"/>
      <c r="C322" s="205"/>
      <c r="D322" s="205"/>
      <c r="E322" s="205"/>
      <c r="F322" s="205"/>
      <c r="G322" s="205"/>
      <c r="H322" s="206"/>
      <c r="I322" s="188"/>
      <c r="J322" s="71"/>
    </row>
    <row r="323" spans="1:10" x14ac:dyDescent="0.2">
      <c r="A323" s="208">
        <v>2851</v>
      </c>
      <c r="B323" s="208"/>
      <c r="C323" s="208"/>
      <c r="D323" s="208"/>
      <c r="E323" s="208"/>
      <c r="F323" s="208"/>
      <c r="G323" s="208"/>
      <c r="H323" s="208"/>
      <c r="I323" s="189"/>
      <c r="J323" s="71"/>
    </row>
    <row r="324" spans="1:10" x14ac:dyDescent="0.2">
      <c r="A324" s="200" t="s">
        <v>238</v>
      </c>
      <c r="B324" s="201"/>
      <c r="C324" s="201"/>
      <c r="D324" s="201"/>
      <c r="E324" s="201"/>
      <c r="F324" s="201"/>
      <c r="G324" s="201"/>
      <c r="H324" s="202"/>
      <c r="I324" s="34"/>
      <c r="J324" s="71"/>
    </row>
    <row r="325" spans="1:10" x14ac:dyDescent="0.2">
      <c r="A325" s="204" t="s">
        <v>236</v>
      </c>
      <c r="B325" s="205"/>
      <c r="C325" s="205"/>
      <c r="D325" s="205"/>
      <c r="E325" s="205"/>
      <c r="F325" s="205"/>
      <c r="G325" s="205"/>
      <c r="H325" s="206"/>
      <c r="I325" s="188"/>
      <c r="J325" s="71"/>
    </row>
    <row r="326" spans="1:10" x14ac:dyDescent="0.2">
      <c r="A326" s="208">
        <v>24548</v>
      </c>
      <c r="B326" s="208"/>
      <c r="C326" s="208"/>
      <c r="D326" s="208"/>
      <c r="E326" s="208"/>
      <c r="F326" s="208"/>
      <c r="G326" s="208"/>
      <c r="H326" s="208"/>
      <c r="I326" s="189"/>
      <c r="J326" s="71"/>
    </row>
    <row r="327" spans="1:10" x14ac:dyDescent="0.2">
      <c r="A327" s="204" t="s">
        <v>189</v>
      </c>
      <c r="B327" s="205"/>
      <c r="C327" s="205"/>
      <c r="D327" s="205"/>
      <c r="E327" s="205"/>
      <c r="F327" s="205"/>
      <c r="G327" s="205"/>
      <c r="H327" s="206"/>
      <c r="I327" s="185"/>
      <c r="J327" s="71"/>
    </row>
    <row r="328" spans="1:10" x14ac:dyDescent="0.2">
      <c r="A328" s="207">
        <v>427899458.55900002</v>
      </c>
      <c r="B328" s="207"/>
      <c r="C328" s="207"/>
      <c r="D328" s="207"/>
      <c r="E328" s="207"/>
      <c r="F328" s="207"/>
      <c r="G328" s="207"/>
      <c r="H328" s="207"/>
      <c r="I328" s="186"/>
      <c r="J328" s="71"/>
    </row>
    <row r="329" spans="1:10" x14ac:dyDescent="0.2">
      <c r="A329" s="204" t="s">
        <v>190</v>
      </c>
      <c r="B329" s="205"/>
      <c r="C329" s="205"/>
      <c r="D329" s="205"/>
      <c r="E329" s="205"/>
      <c r="F329" s="205"/>
      <c r="G329" s="205"/>
      <c r="H329" s="206"/>
      <c r="I329" s="185"/>
      <c r="J329" s="71"/>
    </row>
    <row r="330" spans="1:10" x14ac:dyDescent="0.2">
      <c r="A330" s="208">
        <v>887</v>
      </c>
      <c r="B330" s="208"/>
      <c r="C330" s="208"/>
      <c r="D330" s="208"/>
      <c r="E330" s="208"/>
      <c r="F330" s="208"/>
      <c r="G330" s="208"/>
      <c r="H330" s="208"/>
      <c r="I330" s="186"/>
      <c r="J330" s="71"/>
    </row>
    <row r="331" spans="1:10" x14ac:dyDescent="0.2">
      <c r="A331" s="204" t="s">
        <v>239</v>
      </c>
      <c r="B331" s="205"/>
      <c r="C331" s="205"/>
      <c r="D331" s="205"/>
      <c r="E331" s="205"/>
      <c r="F331" s="205"/>
      <c r="G331" s="205"/>
      <c r="H331" s="206"/>
      <c r="I331" s="185"/>
      <c r="J331" s="71"/>
    </row>
    <row r="332" spans="1:10" x14ac:dyDescent="0.2">
      <c r="A332" s="208">
        <v>67676</v>
      </c>
      <c r="B332" s="208"/>
      <c r="C332" s="208"/>
      <c r="D332" s="208"/>
      <c r="E332" s="208"/>
      <c r="F332" s="208"/>
      <c r="G332" s="208"/>
      <c r="H332" s="208"/>
      <c r="I332" s="186"/>
      <c r="J332" s="71"/>
    </row>
    <row r="333" spans="1:10" x14ac:dyDescent="0.2">
      <c r="A333" s="204" t="s">
        <v>191</v>
      </c>
      <c r="B333" s="205"/>
      <c r="C333" s="205"/>
      <c r="D333" s="205"/>
      <c r="E333" s="205"/>
      <c r="F333" s="205"/>
      <c r="G333" s="205"/>
      <c r="H333" s="206"/>
      <c r="I333" s="185"/>
      <c r="J333" s="71"/>
    </row>
    <row r="334" spans="1:10" x14ac:dyDescent="0.2">
      <c r="A334" s="207">
        <v>304345011.11000001</v>
      </c>
      <c r="B334" s="207"/>
      <c r="C334" s="207"/>
      <c r="D334" s="207"/>
      <c r="E334" s="207"/>
      <c r="F334" s="207"/>
      <c r="G334" s="207"/>
      <c r="H334" s="207"/>
      <c r="I334" s="186"/>
      <c r="J334" s="71"/>
    </row>
    <row r="335" spans="1:10" x14ac:dyDescent="0.2">
      <c r="A335" s="204" t="s">
        <v>202</v>
      </c>
      <c r="B335" s="205"/>
      <c r="C335" s="205"/>
      <c r="D335" s="205"/>
      <c r="E335" s="205"/>
      <c r="F335" s="205"/>
      <c r="G335" s="205"/>
      <c r="H335" s="206"/>
      <c r="I335" s="185"/>
      <c r="J335" s="71"/>
    </row>
    <row r="336" spans="1:10" x14ac:dyDescent="0.2">
      <c r="A336" s="208">
        <v>981</v>
      </c>
      <c r="B336" s="208"/>
      <c r="C336" s="208"/>
      <c r="D336" s="208"/>
      <c r="E336" s="208"/>
      <c r="F336" s="208"/>
      <c r="G336" s="208"/>
      <c r="H336" s="208"/>
      <c r="I336" s="186"/>
      <c r="J336" s="71"/>
    </row>
    <row r="337" spans="1:10" x14ac:dyDescent="0.2">
      <c r="A337" s="200" t="s">
        <v>240</v>
      </c>
      <c r="B337" s="201"/>
      <c r="C337" s="201"/>
      <c r="D337" s="201"/>
      <c r="E337" s="201"/>
      <c r="F337" s="201"/>
      <c r="G337" s="201"/>
      <c r="H337" s="202"/>
      <c r="I337" s="34"/>
      <c r="J337" s="71"/>
    </row>
    <row r="338" spans="1:10" x14ac:dyDescent="0.2">
      <c r="A338" s="200" t="s">
        <v>241</v>
      </c>
      <c r="B338" s="201"/>
      <c r="C338" s="201"/>
      <c r="D338" s="201"/>
      <c r="E338" s="201"/>
      <c r="F338" s="201"/>
      <c r="G338" s="201"/>
      <c r="H338" s="202"/>
      <c r="I338" s="185"/>
      <c r="J338" s="71"/>
    </row>
    <row r="339" spans="1:10" x14ac:dyDescent="0.2">
      <c r="A339" s="2" t="s">
        <v>118</v>
      </c>
      <c r="B339" s="2" t="s">
        <v>242</v>
      </c>
      <c r="C339" s="80"/>
      <c r="D339" s="83"/>
      <c r="E339" s="83"/>
      <c r="F339" s="83"/>
      <c r="G339" s="83"/>
      <c r="H339" s="81"/>
      <c r="I339" s="187"/>
      <c r="J339" s="71"/>
    </row>
    <row r="340" spans="1:10" x14ac:dyDescent="0.2">
      <c r="A340" s="26" t="s">
        <v>490</v>
      </c>
      <c r="B340" s="165">
        <v>306108</v>
      </c>
      <c r="C340" s="110"/>
      <c r="D340" s="85"/>
      <c r="E340" s="85"/>
      <c r="F340" s="85"/>
      <c r="G340" s="85"/>
      <c r="H340" s="86"/>
      <c r="I340" s="187"/>
      <c r="J340" s="71"/>
    </row>
    <row r="341" spans="1:10" x14ac:dyDescent="0.2">
      <c r="A341" s="26" t="s">
        <v>489</v>
      </c>
      <c r="B341" s="165">
        <v>592622</v>
      </c>
      <c r="C341" s="110"/>
      <c r="D341" s="85"/>
      <c r="E341" s="85"/>
      <c r="F341" s="85"/>
      <c r="G341" s="85"/>
      <c r="H341" s="86"/>
      <c r="I341" s="187"/>
      <c r="J341" s="71"/>
    </row>
    <row r="342" spans="1:10" ht="56.25" x14ac:dyDescent="0.2">
      <c r="A342" s="26" t="s">
        <v>493</v>
      </c>
      <c r="B342" s="165">
        <v>203441</v>
      </c>
      <c r="C342" s="110"/>
      <c r="D342" s="85"/>
      <c r="E342" s="85"/>
      <c r="F342" s="85"/>
      <c r="G342" s="85"/>
      <c r="H342" s="86"/>
      <c r="I342" s="187"/>
      <c r="J342" s="71"/>
    </row>
    <row r="343" spans="1:10" ht="37.5" x14ac:dyDescent="0.2">
      <c r="A343" s="26" t="s">
        <v>491</v>
      </c>
      <c r="B343" s="165">
        <v>257183</v>
      </c>
      <c r="C343" s="110"/>
      <c r="D343" s="85"/>
      <c r="E343" s="85"/>
      <c r="F343" s="85"/>
      <c r="G343" s="85"/>
      <c r="H343" s="86"/>
      <c r="I343" s="187"/>
      <c r="J343" s="71"/>
    </row>
    <row r="344" spans="1:10" ht="37.5" x14ac:dyDescent="0.2">
      <c r="A344" s="26" t="s">
        <v>487</v>
      </c>
      <c r="B344" s="165">
        <v>815838</v>
      </c>
      <c r="C344" s="110"/>
      <c r="D344" s="85"/>
      <c r="E344" s="85"/>
      <c r="F344" s="85"/>
      <c r="G344" s="85"/>
      <c r="H344" s="86"/>
      <c r="I344" s="187"/>
      <c r="J344" s="71"/>
    </row>
    <row r="345" spans="1:10" x14ac:dyDescent="0.2">
      <c r="A345" s="26" t="s">
        <v>494</v>
      </c>
      <c r="B345" s="165">
        <v>8170</v>
      </c>
      <c r="C345" s="110"/>
      <c r="D345" s="85"/>
      <c r="E345" s="85"/>
      <c r="F345" s="85"/>
      <c r="G345" s="85"/>
      <c r="H345" s="86"/>
      <c r="I345" s="187"/>
      <c r="J345" s="71"/>
    </row>
    <row r="346" spans="1:10" ht="75" x14ac:dyDescent="0.2">
      <c r="A346" s="26" t="s">
        <v>488</v>
      </c>
      <c r="B346" s="165">
        <v>437548</v>
      </c>
      <c r="C346" s="110"/>
      <c r="D346" s="85"/>
      <c r="E346" s="85"/>
      <c r="F346" s="85"/>
      <c r="G346" s="85"/>
      <c r="H346" s="86"/>
      <c r="I346" s="187"/>
      <c r="J346" s="71"/>
    </row>
    <row r="347" spans="1:10" ht="75" x14ac:dyDescent="0.2">
      <c r="A347" s="26" t="s">
        <v>492</v>
      </c>
      <c r="B347" s="165">
        <v>227523</v>
      </c>
      <c r="C347" s="110"/>
      <c r="D347" s="85"/>
      <c r="E347" s="85"/>
      <c r="F347" s="85"/>
      <c r="G347" s="85"/>
      <c r="H347" s="86"/>
      <c r="I347" s="187"/>
      <c r="J347" s="71"/>
    </row>
    <row r="348" spans="1:10" x14ac:dyDescent="0.2">
      <c r="A348" s="200" t="s">
        <v>217</v>
      </c>
      <c r="B348" s="201"/>
      <c r="C348" s="201"/>
      <c r="D348" s="201"/>
      <c r="E348" s="201"/>
      <c r="F348" s="201"/>
      <c r="G348" s="201"/>
      <c r="H348" s="202"/>
      <c r="I348" s="185"/>
      <c r="J348" s="71"/>
    </row>
    <row r="349" spans="1:10" x14ac:dyDescent="0.2">
      <c r="A349" s="2" t="s">
        <v>118</v>
      </c>
      <c r="B349" s="2" t="s">
        <v>219</v>
      </c>
      <c r="C349" s="80"/>
      <c r="D349" s="83"/>
      <c r="E349" s="83"/>
      <c r="F349" s="83"/>
      <c r="G349" s="83"/>
      <c r="H349" s="81"/>
      <c r="I349" s="187"/>
      <c r="J349" s="71"/>
    </row>
    <row r="350" spans="1:10" x14ac:dyDescent="0.2">
      <c r="A350" s="167" t="s">
        <v>490</v>
      </c>
      <c r="B350" s="167">
        <v>1471134748.75003</v>
      </c>
      <c r="C350" s="110"/>
      <c r="D350" s="85"/>
      <c r="E350" s="85"/>
      <c r="F350" s="85"/>
      <c r="G350" s="85"/>
      <c r="H350" s="86"/>
      <c r="I350" s="187"/>
      <c r="J350" s="71"/>
    </row>
    <row r="351" spans="1:10" x14ac:dyDescent="0.2">
      <c r="A351" s="167" t="s">
        <v>489</v>
      </c>
      <c r="B351" s="167">
        <v>704379946.59718394</v>
      </c>
      <c r="C351" s="110"/>
      <c r="D351" s="85"/>
      <c r="E351" s="85"/>
      <c r="F351" s="85"/>
      <c r="G351" s="85"/>
      <c r="H351" s="86"/>
      <c r="I351" s="187"/>
      <c r="J351" s="71"/>
    </row>
    <row r="352" spans="1:10" ht="56.25" x14ac:dyDescent="0.2">
      <c r="A352" s="167" t="s">
        <v>493</v>
      </c>
      <c r="B352" s="167">
        <v>1429879946.81159</v>
      </c>
      <c r="C352" s="110"/>
      <c r="D352" s="85"/>
      <c r="E352" s="85"/>
      <c r="F352" s="85"/>
      <c r="G352" s="85"/>
      <c r="H352" s="86"/>
      <c r="I352" s="187"/>
      <c r="J352" s="71"/>
    </row>
    <row r="353" spans="1:10" ht="37.5" x14ac:dyDescent="0.2">
      <c r="A353" s="167" t="s">
        <v>491</v>
      </c>
      <c r="B353" s="167">
        <v>454096950.13925999</v>
      </c>
      <c r="C353" s="110"/>
      <c r="D353" s="85"/>
      <c r="E353" s="85"/>
      <c r="F353" s="85"/>
      <c r="G353" s="85"/>
      <c r="H353" s="86"/>
      <c r="I353" s="187"/>
      <c r="J353" s="71"/>
    </row>
    <row r="354" spans="1:10" ht="37.5" x14ac:dyDescent="0.2">
      <c r="A354" s="167" t="s">
        <v>487</v>
      </c>
      <c r="B354" s="167">
        <v>6259145861.83251</v>
      </c>
      <c r="C354" s="110"/>
      <c r="D354" s="85"/>
      <c r="E354" s="85"/>
      <c r="F354" s="85"/>
      <c r="G354" s="85"/>
      <c r="H354" s="86"/>
      <c r="I354" s="187"/>
      <c r="J354" s="71"/>
    </row>
    <row r="355" spans="1:10" x14ac:dyDescent="0.2">
      <c r="A355" s="167" t="s">
        <v>494</v>
      </c>
      <c r="B355" s="167">
        <v>128716783.159999</v>
      </c>
      <c r="C355" s="110"/>
      <c r="D355" s="85"/>
      <c r="E355" s="85"/>
      <c r="F355" s="85"/>
      <c r="G355" s="85"/>
      <c r="H355" s="86"/>
      <c r="I355" s="187"/>
      <c r="J355" s="71"/>
    </row>
    <row r="356" spans="1:10" ht="75" x14ac:dyDescent="0.2">
      <c r="A356" s="167" t="s">
        <v>488</v>
      </c>
      <c r="B356" s="167">
        <v>2617429287.0086598</v>
      </c>
      <c r="C356" s="110"/>
      <c r="D356" s="85"/>
      <c r="E356" s="85"/>
      <c r="F356" s="85"/>
      <c r="G356" s="85"/>
      <c r="H356" s="86"/>
      <c r="I356" s="187"/>
      <c r="J356" s="71"/>
    </row>
    <row r="357" spans="1:10" ht="93.75" x14ac:dyDescent="0.2">
      <c r="A357" s="167" t="s">
        <v>492</v>
      </c>
      <c r="B357" s="167">
        <v>261305414.11216101</v>
      </c>
      <c r="C357" s="110"/>
      <c r="D357" s="85"/>
      <c r="E357" s="85"/>
      <c r="F357" s="85"/>
      <c r="G357" s="85"/>
      <c r="H357" s="86"/>
      <c r="I357" s="187"/>
      <c r="J357" s="71"/>
    </row>
    <row r="358" spans="1:10" x14ac:dyDescent="0.2">
      <c r="A358" s="200" t="s">
        <v>220</v>
      </c>
      <c r="B358" s="201"/>
      <c r="C358" s="201"/>
      <c r="D358" s="201"/>
      <c r="E358" s="201"/>
      <c r="F358" s="201"/>
      <c r="G358" s="201"/>
      <c r="H358" s="202"/>
      <c r="I358" s="185"/>
      <c r="J358" s="71"/>
    </row>
    <row r="359" spans="1:10" x14ac:dyDescent="0.2">
      <c r="A359" s="2" t="s">
        <v>118</v>
      </c>
      <c r="B359" s="2" t="s">
        <v>243</v>
      </c>
      <c r="C359" s="80"/>
      <c r="D359" s="83"/>
      <c r="E359" s="83"/>
      <c r="F359" s="83"/>
      <c r="G359" s="83"/>
      <c r="H359" s="81"/>
      <c r="I359" s="187"/>
      <c r="J359" s="71"/>
    </row>
    <row r="360" spans="1:10" x14ac:dyDescent="0.2">
      <c r="A360" s="26" t="s">
        <v>490</v>
      </c>
      <c r="B360" s="165">
        <v>2067</v>
      </c>
      <c r="C360" s="110"/>
      <c r="D360" s="85"/>
      <c r="E360" s="85"/>
      <c r="F360" s="85"/>
      <c r="G360" s="85"/>
      <c r="H360" s="86"/>
      <c r="I360" s="187"/>
      <c r="J360" s="71"/>
    </row>
    <row r="361" spans="1:10" x14ac:dyDescent="0.2">
      <c r="A361" s="26" t="s">
        <v>489</v>
      </c>
      <c r="B361" s="165">
        <v>2938</v>
      </c>
      <c r="C361" s="110"/>
      <c r="D361" s="85"/>
      <c r="E361" s="85"/>
      <c r="F361" s="85"/>
      <c r="G361" s="85"/>
      <c r="H361" s="86"/>
      <c r="I361" s="187"/>
      <c r="J361" s="71"/>
    </row>
    <row r="362" spans="1:10" ht="56.25" x14ac:dyDescent="0.2">
      <c r="A362" s="26" t="s">
        <v>493</v>
      </c>
      <c r="B362" s="165">
        <v>207</v>
      </c>
      <c r="C362" s="110"/>
      <c r="D362" s="85"/>
      <c r="E362" s="85"/>
      <c r="F362" s="85"/>
      <c r="G362" s="85"/>
      <c r="H362" s="86"/>
      <c r="I362" s="187"/>
      <c r="J362" s="71"/>
    </row>
    <row r="363" spans="1:10" ht="37.5" x14ac:dyDescent="0.2">
      <c r="A363" s="26" t="s">
        <v>491</v>
      </c>
      <c r="B363" s="165">
        <v>1563</v>
      </c>
      <c r="C363" s="110"/>
      <c r="D363" s="85"/>
      <c r="E363" s="85"/>
      <c r="F363" s="85"/>
      <c r="G363" s="85"/>
      <c r="H363" s="86"/>
      <c r="I363" s="187"/>
      <c r="J363" s="71"/>
    </row>
    <row r="364" spans="1:10" ht="37.5" x14ac:dyDescent="0.2">
      <c r="A364" s="26" t="s">
        <v>487</v>
      </c>
      <c r="B364" s="165">
        <v>14450</v>
      </c>
      <c r="C364" s="110"/>
      <c r="D364" s="85"/>
      <c r="E364" s="85"/>
      <c r="F364" s="85"/>
      <c r="G364" s="85"/>
      <c r="H364" s="86"/>
      <c r="I364" s="187"/>
      <c r="J364" s="71"/>
    </row>
    <row r="365" spans="1:10" x14ac:dyDescent="0.2">
      <c r="A365" s="26" t="s">
        <v>494</v>
      </c>
      <c r="B365" s="165">
        <v>66</v>
      </c>
      <c r="C365" s="110"/>
      <c r="D365" s="85"/>
      <c r="E365" s="85"/>
      <c r="F365" s="85"/>
      <c r="G365" s="85"/>
      <c r="H365" s="86"/>
      <c r="I365" s="187"/>
      <c r="J365" s="71"/>
    </row>
    <row r="366" spans="1:10" ht="75" x14ac:dyDescent="0.2">
      <c r="A366" s="26" t="s">
        <v>488</v>
      </c>
      <c r="B366" s="165">
        <v>2838</v>
      </c>
      <c r="C366" s="110"/>
      <c r="D366" s="85"/>
      <c r="E366" s="85"/>
      <c r="F366" s="85"/>
      <c r="G366" s="85"/>
      <c r="H366" s="86"/>
      <c r="I366" s="187"/>
      <c r="J366" s="71"/>
    </row>
    <row r="367" spans="1:10" ht="75" x14ac:dyDescent="0.2">
      <c r="A367" s="17" t="s">
        <v>492</v>
      </c>
      <c r="B367" s="165">
        <v>1287</v>
      </c>
      <c r="C367" s="110"/>
      <c r="D367" s="85"/>
      <c r="E367" s="85"/>
      <c r="F367" s="85"/>
      <c r="G367" s="85"/>
      <c r="H367" s="86"/>
      <c r="I367" s="187"/>
      <c r="J367" s="71"/>
    </row>
    <row r="368" spans="1:10" x14ac:dyDescent="0.2">
      <c r="A368" s="200" t="s">
        <v>244</v>
      </c>
      <c r="B368" s="201"/>
      <c r="C368" s="201"/>
      <c r="D368" s="201"/>
      <c r="E368" s="201"/>
      <c r="F368" s="201"/>
      <c r="G368" s="201"/>
      <c r="H368" s="202"/>
      <c r="I368" s="185"/>
      <c r="J368" s="71"/>
    </row>
    <row r="369" spans="1:10" x14ac:dyDescent="0.2">
      <c r="A369" s="2" t="s">
        <v>118</v>
      </c>
      <c r="B369" s="2" t="s">
        <v>242</v>
      </c>
      <c r="C369" s="80"/>
      <c r="D369" s="83"/>
      <c r="E369" s="83"/>
      <c r="F369" s="83"/>
      <c r="G369" s="83"/>
      <c r="H369" s="81"/>
      <c r="I369" s="187"/>
      <c r="J369" s="71"/>
    </row>
    <row r="370" spans="1:10" x14ac:dyDescent="0.2">
      <c r="A370" s="26" t="s">
        <v>490</v>
      </c>
      <c r="B370" s="165">
        <v>507058</v>
      </c>
      <c r="C370" s="110"/>
      <c r="D370" s="85"/>
      <c r="E370" s="85"/>
      <c r="F370" s="85"/>
      <c r="G370" s="85"/>
      <c r="H370" s="86"/>
      <c r="I370" s="187"/>
      <c r="J370" s="71"/>
    </row>
    <row r="371" spans="1:10" x14ac:dyDescent="0.2">
      <c r="A371" s="26" t="s">
        <v>489</v>
      </c>
      <c r="B371" s="165">
        <v>622207</v>
      </c>
      <c r="C371" s="110"/>
      <c r="D371" s="85"/>
      <c r="E371" s="85"/>
      <c r="F371" s="85"/>
      <c r="G371" s="85"/>
      <c r="H371" s="86"/>
      <c r="I371" s="187"/>
      <c r="J371" s="71"/>
    </row>
    <row r="372" spans="1:10" ht="56.25" x14ac:dyDescent="0.2">
      <c r="A372" s="26" t="s">
        <v>493</v>
      </c>
      <c r="B372" s="165">
        <v>354017</v>
      </c>
      <c r="C372" s="110"/>
      <c r="D372" s="85"/>
      <c r="E372" s="85"/>
      <c r="F372" s="85"/>
      <c r="G372" s="85"/>
      <c r="H372" s="86"/>
      <c r="I372" s="187"/>
      <c r="J372" s="71"/>
    </row>
    <row r="373" spans="1:10" ht="37.5" x14ac:dyDescent="0.2">
      <c r="A373" s="26" t="s">
        <v>491</v>
      </c>
      <c r="B373" s="165">
        <v>333516</v>
      </c>
      <c r="C373" s="110"/>
      <c r="D373" s="85"/>
      <c r="E373" s="85"/>
      <c r="F373" s="85"/>
      <c r="G373" s="85"/>
      <c r="H373" s="86"/>
      <c r="I373" s="187"/>
      <c r="J373" s="71"/>
    </row>
    <row r="374" spans="1:10" ht="37.5" x14ac:dyDescent="0.2">
      <c r="A374" s="26" t="s">
        <v>487</v>
      </c>
      <c r="B374" s="165">
        <v>1326270</v>
      </c>
      <c r="C374" s="110"/>
      <c r="D374" s="85"/>
      <c r="E374" s="85"/>
      <c r="F374" s="85"/>
      <c r="G374" s="85"/>
      <c r="H374" s="86"/>
      <c r="I374" s="187"/>
      <c r="J374" s="71"/>
    </row>
    <row r="375" spans="1:10" x14ac:dyDescent="0.2">
      <c r="A375" s="26" t="s">
        <v>494</v>
      </c>
      <c r="B375" s="165">
        <v>44142</v>
      </c>
      <c r="C375" s="110"/>
      <c r="D375" s="85"/>
      <c r="E375" s="85"/>
      <c r="F375" s="85"/>
      <c r="G375" s="85"/>
      <c r="H375" s="86"/>
      <c r="I375" s="187"/>
      <c r="J375" s="71"/>
    </row>
    <row r="376" spans="1:10" ht="75" x14ac:dyDescent="0.2">
      <c r="A376" s="26" t="s">
        <v>488</v>
      </c>
      <c r="B376" s="165">
        <v>773132</v>
      </c>
      <c r="C376" s="110"/>
      <c r="D376" s="85"/>
      <c r="E376" s="85"/>
      <c r="F376" s="85"/>
      <c r="G376" s="85"/>
      <c r="H376" s="86"/>
      <c r="I376" s="187"/>
      <c r="J376" s="71"/>
    </row>
    <row r="377" spans="1:10" ht="75" x14ac:dyDescent="0.2">
      <c r="A377" s="26" t="s">
        <v>492</v>
      </c>
      <c r="B377" s="165">
        <v>181402</v>
      </c>
      <c r="C377" s="110"/>
      <c r="D377" s="85"/>
      <c r="E377" s="85"/>
      <c r="F377" s="85"/>
      <c r="G377" s="85"/>
      <c r="H377" s="86"/>
      <c r="I377" s="187"/>
      <c r="J377" s="71"/>
    </row>
    <row r="378" spans="1:10" x14ac:dyDescent="0.2">
      <c r="A378" s="200" t="s">
        <v>224</v>
      </c>
      <c r="B378" s="201"/>
      <c r="C378" s="201"/>
      <c r="D378" s="201"/>
      <c r="E378" s="201"/>
      <c r="F378" s="201"/>
      <c r="G378" s="201"/>
      <c r="H378" s="202"/>
      <c r="I378" s="185"/>
      <c r="J378" s="71"/>
    </row>
    <row r="379" spans="1:10" x14ac:dyDescent="0.2">
      <c r="A379" s="2" t="s">
        <v>118</v>
      </c>
      <c r="B379" s="2" t="s">
        <v>219</v>
      </c>
      <c r="C379" s="80"/>
      <c r="D379" s="83"/>
      <c r="E379" s="83"/>
      <c r="F379" s="83"/>
      <c r="G379" s="83"/>
      <c r="H379" s="81"/>
      <c r="I379" s="187"/>
      <c r="J379" s="71"/>
    </row>
    <row r="380" spans="1:10" x14ac:dyDescent="0.2">
      <c r="A380" s="26" t="s">
        <v>490</v>
      </c>
      <c r="B380" s="168">
        <v>2015453123.05001</v>
      </c>
      <c r="C380" s="110"/>
      <c r="D380" s="85"/>
      <c r="E380" s="85"/>
      <c r="F380" s="85"/>
      <c r="G380" s="85"/>
      <c r="H380" s="86"/>
      <c r="I380" s="187"/>
      <c r="J380" s="71"/>
    </row>
    <row r="381" spans="1:10" x14ac:dyDescent="0.2">
      <c r="A381" s="26" t="s">
        <v>489</v>
      </c>
      <c r="B381" s="168">
        <v>822539873.41002297</v>
      </c>
      <c r="C381" s="110"/>
      <c r="D381" s="85"/>
      <c r="E381" s="85"/>
      <c r="F381" s="85"/>
      <c r="G381" s="85"/>
      <c r="H381" s="86"/>
      <c r="I381" s="187"/>
      <c r="J381" s="71"/>
    </row>
    <row r="382" spans="1:10" ht="56.25" x14ac:dyDescent="0.2">
      <c r="A382" s="26" t="s">
        <v>493</v>
      </c>
      <c r="B382" s="168">
        <v>2945423649.1999798</v>
      </c>
      <c r="C382" s="110"/>
      <c r="D382" s="85"/>
      <c r="E382" s="85"/>
      <c r="F382" s="85"/>
      <c r="G382" s="85"/>
      <c r="H382" s="86"/>
      <c r="I382" s="187"/>
      <c r="J382" s="71"/>
    </row>
    <row r="383" spans="1:10" ht="37.5" x14ac:dyDescent="0.2">
      <c r="A383" s="26" t="s">
        <v>491</v>
      </c>
      <c r="B383" s="168">
        <v>536796442.11999899</v>
      </c>
      <c r="C383" s="110"/>
      <c r="D383" s="85"/>
      <c r="E383" s="85"/>
      <c r="F383" s="85"/>
      <c r="G383" s="85"/>
      <c r="H383" s="86"/>
      <c r="I383" s="187"/>
      <c r="J383" s="71"/>
    </row>
    <row r="384" spans="1:10" ht="37.5" x14ac:dyDescent="0.2">
      <c r="A384" s="26" t="s">
        <v>487</v>
      </c>
      <c r="B384" s="168">
        <v>6309035408.7899799</v>
      </c>
      <c r="C384" s="110"/>
      <c r="D384" s="85"/>
      <c r="E384" s="85"/>
      <c r="F384" s="85"/>
      <c r="G384" s="85"/>
      <c r="H384" s="86"/>
      <c r="I384" s="187"/>
      <c r="J384" s="71"/>
    </row>
    <row r="385" spans="1:10" x14ac:dyDescent="0.2">
      <c r="A385" s="26" t="s">
        <v>494</v>
      </c>
      <c r="B385" s="168">
        <v>212422995.41</v>
      </c>
      <c r="C385" s="110"/>
      <c r="D385" s="85"/>
      <c r="E385" s="85"/>
      <c r="F385" s="85"/>
      <c r="G385" s="85"/>
      <c r="H385" s="86"/>
      <c r="I385" s="187"/>
      <c r="J385" s="71"/>
    </row>
    <row r="386" spans="1:10" ht="75" x14ac:dyDescent="0.2">
      <c r="A386" s="26" t="s">
        <v>488</v>
      </c>
      <c r="B386" s="168">
        <v>2413091737.9700398</v>
      </c>
      <c r="C386" s="110"/>
      <c r="D386" s="85"/>
      <c r="E386" s="85"/>
      <c r="F386" s="85"/>
      <c r="G386" s="85"/>
      <c r="H386" s="86"/>
      <c r="I386" s="187"/>
      <c r="J386" s="71"/>
    </row>
    <row r="387" spans="1:10" ht="75" x14ac:dyDescent="0.2">
      <c r="A387" s="26" t="s">
        <v>492</v>
      </c>
      <c r="B387" s="168">
        <v>274656814.70999998</v>
      </c>
      <c r="C387" s="110"/>
      <c r="D387" s="85"/>
      <c r="E387" s="85"/>
      <c r="F387" s="85"/>
      <c r="G387" s="85"/>
      <c r="H387" s="86"/>
      <c r="I387" s="187"/>
      <c r="J387" s="71"/>
    </row>
    <row r="388" spans="1:10" x14ac:dyDescent="0.2">
      <c r="A388" s="200" t="s">
        <v>245</v>
      </c>
      <c r="B388" s="201"/>
      <c r="C388" s="201"/>
      <c r="D388" s="201"/>
      <c r="E388" s="201"/>
      <c r="F388" s="201"/>
      <c r="G388" s="201"/>
      <c r="H388" s="202"/>
      <c r="I388" s="185"/>
      <c r="J388" s="71"/>
    </row>
    <row r="389" spans="1:10" x14ac:dyDescent="0.2">
      <c r="A389" s="33"/>
      <c r="B389" s="212" t="s">
        <v>246</v>
      </c>
      <c r="C389" s="212"/>
      <c r="D389" s="212"/>
      <c r="E389" s="194" t="s">
        <v>226</v>
      </c>
      <c r="F389" s="195"/>
      <c r="G389" s="196"/>
      <c r="H389" s="90"/>
      <c r="I389" s="187"/>
      <c r="J389" s="71"/>
    </row>
    <row r="390" spans="1:10" ht="37.5" x14ac:dyDescent="0.2">
      <c r="A390" s="2" t="s">
        <v>118</v>
      </c>
      <c r="B390" s="2" t="s">
        <v>242</v>
      </c>
      <c r="C390" s="2" t="s">
        <v>505</v>
      </c>
      <c r="D390" s="2" t="s">
        <v>506</v>
      </c>
      <c r="E390" s="2" t="s">
        <v>242</v>
      </c>
      <c r="F390" s="2" t="s">
        <v>505</v>
      </c>
      <c r="G390" s="2" t="s">
        <v>507</v>
      </c>
      <c r="H390" s="91"/>
      <c r="I390" s="187"/>
      <c r="J390" s="71"/>
    </row>
    <row r="391" spans="1:10" x14ac:dyDescent="0.2">
      <c r="A391" s="26" t="s">
        <v>490</v>
      </c>
      <c r="B391" s="173">
        <f t="shared" ref="B391:B398" si="0">VLOOKUP(A391,A340:B347,2,0)</f>
        <v>306108</v>
      </c>
      <c r="C391" s="168">
        <f t="shared" ref="C391:C398" si="1">VLOOKUP(A391,A350:B357,2,0)</f>
        <v>1471134748.75003</v>
      </c>
      <c r="D391" s="173">
        <f t="shared" ref="D391:D398" si="2">VLOOKUP(A391,A360:B367,2,0)</f>
        <v>2067</v>
      </c>
      <c r="E391" s="172">
        <f t="shared" ref="E391:E398" si="3">VLOOKUP(A391,A370:B377,2,0)</f>
        <v>507058</v>
      </c>
      <c r="F391" s="167">
        <f t="shared" ref="F391:F398" si="4">VLOOKUP(A391,A380:B387,2,0)</f>
        <v>2015453123.05001</v>
      </c>
      <c r="G391" s="173">
        <v>1983</v>
      </c>
      <c r="I391" s="187"/>
      <c r="J391" s="71"/>
    </row>
    <row r="392" spans="1:10" x14ac:dyDescent="0.2">
      <c r="A392" s="26" t="s">
        <v>489</v>
      </c>
      <c r="B392" s="173">
        <f t="shared" si="0"/>
        <v>592622</v>
      </c>
      <c r="C392" s="171">
        <f t="shared" si="1"/>
        <v>704379946.59718394</v>
      </c>
      <c r="D392" s="173">
        <f t="shared" si="2"/>
        <v>2938</v>
      </c>
      <c r="E392" s="172">
        <f t="shared" si="3"/>
        <v>622207</v>
      </c>
      <c r="F392" s="170">
        <f t="shared" si="4"/>
        <v>822539873.41002297</v>
      </c>
      <c r="G392" s="173">
        <v>2851</v>
      </c>
      <c r="I392" s="187"/>
      <c r="J392" s="71"/>
    </row>
    <row r="393" spans="1:10" ht="56.25" x14ac:dyDescent="0.2">
      <c r="A393" s="26" t="s">
        <v>493</v>
      </c>
      <c r="B393" s="173">
        <f t="shared" si="0"/>
        <v>203441</v>
      </c>
      <c r="C393" s="171">
        <f t="shared" si="1"/>
        <v>1429879946.81159</v>
      </c>
      <c r="D393" s="173">
        <f t="shared" si="2"/>
        <v>207</v>
      </c>
      <c r="E393" s="172">
        <f t="shared" si="3"/>
        <v>354017</v>
      </c>
      <c r="F393" s="170">
        <f t="shared" si="4"/>
        <v>2945423649.1999798</v>
      </c>
      <c r="G393" s="173">
        <v>192</v>
      </c>
      <c r="I393" s="187"/>
      <c r="J393" s="71"/>
    </row>
    <row r="394" spans="1:10" ht="37.5" x14ac:dyDescent="0.2">
      <c r="A394" s="26" t="s">
        <v>491</v>
      </c>
      <c r="B394" s="173">
        <f t="shared" si="0"/>
        <v>257183</v>
      </c>
      <c r="C394" s="171">
        <f t="shared" si="1"/>
        <v>454096950.13925999</v>
      </c>
      <c r="D394" s="173">
        <f t="shared" si="2"/>
        <v>1563</v>
      </c>
      <c r="E394" s="172">
        <f t="shared" si="3"/>
        <v>333516</v>
      </c>
      <c r="F394" s="170">
        <f t="shared" si="4"/>
        <v>536796442.11999899</v>
      </c>
      <c r="G394" s="173">
        <v>1573</v>
      </c>
      <c r="I394" s="187"/>
      <c r="J394" s="71"/>
    </row>
    <row r="395" spans="1:10" ht="37.5" x14ac:dyDescent="0.2">
      <c r="A395" s="34" t="s">
        <v>487</v>
      </c>
      <c r="B395" s="173">
        <f t="shared" si="0"/>
        <v>815838</v>
      </c>
      <c r="C395" s="171">
        <f t="shared" si="1"/>
        <v>6259145861.83251</v>
      </c>
      <c r="D395" s="173">
        <f t="shared" si="2"/>
        <v>14450</v>
      </c>
      <c r="E395" s="172">
        <f t="shared" si="3"/>
        <v>1326270</v>
      </c>
      <c r="F395" s="170">
        <f t="shared" si="4"/>
        <v>6309035408.7899799</v>
      </c>
      <c r="G395" s="173">
        <v>14288</v>
      </c>
      <c r="I395" s="187"/>
      <c r="J395" s="71"/>
    </row>
    <row r="396" spans="1:10" x14ac:dyDescent="0.2">
      <c r="A396" s="34" t="s">
        <v>494</v>
      </c>
      <c r="B396" s="173">
        <f t="shared" si="0"/>
        <v>8170</v>
      </c>
      <c r="C396" s="171">
        <f t="shared" si="1"/>
        <v>128716783.159999</v>
      </c>
      <c r="D396" s="173">
        <f t="shared" si="2"/>
        <v>66</v>
      </c>
      <c r="E396" s="172">
        <f t="shared" si="3"/>
        <v>44142</v>
      </c>
      <c r="F396" s="170">
        <f t="shared" si="4"/>
        <v>212422995.41</v>
      </c>
      <c r="G396" s="173">
        <v>66</v>
      </c>
      <c r="I396" s="187"/>
      <c r="J396" s="71"/>
    </row>
    <row r="397" spans="1:10" ht="75" x14ac:dyDescent="0.2">
      <c r="A397" s="34" t="s">
        <v>488</v>
      </c>
      <c r="B397" s="173">
        <f t="shared" si="0"/>
        <v>437548</v>
      </c>
      <c r="C397" s="171">
        <f t="shared" si="1"/>
        <v>2617429287.0086598</v>
      </c>
      <c r="D397" s="173">
        <f t="shared" si="2"/>
        <v>2838</v>
      </c>
      <c r="E397" s="172">
        <f t="shared" si="3"/>
        <v>773132</v>
      </c>
      <c r="F397" s="170">
        <f t="shared" si="4"/>
        <v>2413091737.9700398</v>
      </c>
      <c r="G397" s="173">
        <v>2675</v>
      </c>
      <c r="I397" s="187"/>
      <c r="J397" s="71"/>
    </row>
    <row r="398" spans="1:10" ht="75" x14ac:dyDescent="0.2">
      <c r="A398" s="26" t="s">
        <v>492</v>
      </c>
      <c r="B398" s="173">
        <f t="shared" si="0"/>
        <v>227523</v>
      </c>
      <c r="C398" s="171">
        <f t="shared" si="1"/>
        <v>261305414.11216101</v>
      </c>
      <c r="D398" s="173">
        <f t="shared" si="2"/>
        <v>1287</v>
      </c>
      <c r="E398" s="172">
        <f t="shared" si="3"/>
        <v>181402</v>
      </c>
      <c r="F398" s="170">
        <f t="shared" si="4"/>
        <v>274656814.70999998</v>
      </c>
      <c r="G398" s="173">
        <v>1230</v>
      </c>
      <c r="I398" s="187"/>
      <c r="J398" s="71"/>
    </row>
    <row r="399" spans="1:10" x14ac:dyDescent="0.2">
      <c r="A399" s="200" t="s">
        <v>248</v>
      </c>
      <c r="B399" s="201"/>
      <c r="C399" s="201"/>
      <c r="D399" s="201"/>
      <c r="E399" s="201"/>
      <c r="F399" s="201"/>
      <c r="G399" s="201"/>
      <c r="H399" s="202"/>
      <c r="I399" s="34"/>
      <c r="J399" s="71"/>
    </row>
    <row r="400" spans="1:10" x14ac:dyDescent="0.2">
      <c r="A400" s="204" t="s">
        <v>236</v>
      </c>
      <c r="B400" s="205"/>
      <c r="C400" s="205"/>
      <c r="D400" s="205"/>
      <c r="E400" s="205"/>
      <c r="F400" s="205"/>
      <c r="G400" s="205"/>
      <c r="H400" s="206"/>
      <c r="I400" s="185"/>
      <c r="J400" s="71"/>
    </row>
    <row r="401" spans="1:10" x14ac:dyDescent="0.2">
      <c r="A401" s="208">
        <v>3185279</v>
      </c>
      <c r="B401" s="208"/>
      <c r="C401" s="208"/>
      <c r="D401" s="208"/>
      <c r="E401" s="208"/>
      <c r="F401" s="208"/>
      <c r="G401" s="208"/>
      <c r="H401" s="208"/>
      <c r="I401" s="186"/>
      <c r="J401" s="71"/>
    </row>
    <row r="402" spans="1:10" x14ac:dyDescent="0.2">
      <c r="A402" s="204" t="s">
        <v>189</v>
      </c>
      <c r="B402" s="205"/>
      <c r="C402" s="205"/>
      <c r="D402" s="205"/>
      <c r="E402" s="205"/>
      <c r="F402" s="205"/>
      <c r="G402" s="205"/>
      <c r="H402" s="206"/>
      <c r="I402" s="185"/>
      <c r="J402" s="71"/>
    </row>
    <row r="403" spans="1:10" x14ac:dyDescent="0.2">
      <c r="A403" s="207">
        <v>28537642068.950802</v>
      </c>
      <c r="B403" s="207"/>
      <c r="C403" s="207"/>
      <c r="D403" s="207"/>
      <c r="E403" s="207"/>
      <c r="F403" s="207"/>
      <c r="G403" s="207"/>
      <c r="H403" s="207"/>
      <c r="I403" s="186"/>
      <c r="J403" s="71"/>
    </row>
    <row r="404" spans="1:10" x14ac:dyDescent="0.2">
      <c r="A404" s="204" t="s">
        <v>190</v>
      </c>
      <c r="B404" s="205"/>
      <c r="C404" s="205"/>
      <c r="D404" s="205"/>
      <c r="E404" s="205"/>
      <c r="F404" s="205"/>
      <c r="G404" s="205"/>
      <c r="H404" s="206"/>
      <c r="I404" s="185"/>
      <c r="J404" s="71"/>
    </row>
    <row r="405" spans="1:10" x14ac:dyDescent="0.2">
      <c r="A405" s="208">
        <v>4879</v>
      </c>
      <c r="B405" s="208"/>
      <c r="C405" s="208"/>
      <c r="D405" s="208"/>
      <c r="E405" s="208"/>
      <c r="F405" s="208"/>
      <c r="G405" s="208"/>
      <c r="H405" s="208"/>
      <c r="I405" s="186"/>
      <c r="J405" s="71"/>
    </row>
    <row r="406" spans="1:10" x14ac:dyDescent="0.2">
      <c r="A406" s="204" t="s">
        <v>239</v>
      </c>
      <c r="B406" s="205"/>
      <c r="C406" s="205"/>
      <c r="D406" s="205"/>
      <c r="E406" s="205"/>
      <c r="F406" s="205"/>
      <c r="G406" s="205"/>
      <c r="H406" s="206"/>
      <c r="I406" s="185"/>
      <c r="J406" s="71"/>
    </row>
    <row r="407" spans="1:10" x14ac:dyDescent="0.2">
      <c r="A407" s="208">
        <v>3398304</v>
      </c>
      <c r="B407" s="208"/>
      <c r="C407" s="208"/>
      <c r="D407" s="208"/>
      <c r="E407" s="208"/>
      <c r="F407" s="208"/>
      <c r="G407" s="208"/>
      <c r="H407" s="208"/>
      <c r="I407" s="186"/>
      <c r="J407" s="71"/>
    </row>
    <row r="408" spans="1:10" x14ac:dyDescent="0.2">
      <c r="A408" s="204" t="s">
        <v>191</v>
      </c>
      <c r="B408" s="205"/>
      <c r="C408" s="205"/>
      <c r="D408" s="205"/>
      <c r="E408" s="205"/>
      <c r="F408" s="205"/>
      <c r="G408" s="205"/>
      <c r="H408" s="206"/>
      <c r="I408" s="185"/>
      <c r="J408" s="71"/>
    </row>
    <row r="409" spans="1:10" x14ac:dyDescent="0.2">
      <c r="A409" s="207">
        <v>31992734754.595299</v>
      </c>
      <c r="B409" s="207"/>
      <c r="C409" s="207"/>
      <c r="D409" s="207"/>
      <c r="E409" s="207"/>
      <c r="F409" s="207"/>
      <c r="G409" s="207"/>
      <c r="H409" s="207"/>
      <c r="I409" s="186"/>
      <c r="J409" s="71"/>
    </row>
    <row r="410" spans="1:10" x14ac:dyDescent="0.2">
      <c r="A410" s="204" t="s">
        <v>202</v>
      </c>
      <c r="B410" s="205"/>
      <c r="C410" s="205"/>
      <c r="D410" s="205"/>
      <c r="E410" s="205"/>
      <c r="F410" s="205"/>
      <c r="G410" s="205"/>
      <c r="H410" s="206"/>
      <c r="I410" s="185"/>
      <c r="J410" s="71"/>
    </row>
    <row r="411" spans="1:10" x14ac:dyDescent="0.2">
      <c r="A411" s="208">
        <v>4585</v>
      </c>
      <c r="B411" s="208"/>
      <c r="C411" s="208"/>
      <c r="D411" s="208"/>
      <c r="E411" s="208"/>
      <c r="F411" s="208"/>
      <c r="G411" s="208"/>
      <c r="H411" s="208"/>
      <c r="I411" s="186"/>
      <c r="J411" s="71"/>
    </row>
    <row r="412" spans="1:10" x14ac:dyDescent="0.2">
      <c r="A412" s="197" t="s">
        <v>249</v>
      </c>
      <c r="B412" s="198"/>
      <c r="C412" s="198"/>
      <c r="D412" s="198"/>
      <c r="E412" s="198"/>
      <c r="F412" s="198"/>
      <c r="G412" s="198"/>
      <c r="H412" s="199"/>
      <c r="I412" s="34"/>
      <c r="J412" s="71"/>
    </row>
    <row r="413" spans="1:10" x14ac:dyDescent="0.2">
      <c r="A413" s="200" t="s">
        <v>250</v>
      </c>
      <c r="B413" s="201"/>
      <c r="C413" s="201"/>
      <c r="D413" s="201"/>
      <c r="E413" s="201"/>
      <c r="F413" s="201"/>
      <c r="G413" s="201"/>
      <c r="H413" s="202"/>
      <c r="I413" s="34"/>
      <c r="J413" s="71"/>
    </row>
    <row r="414" spans="1:10" x14ac:dyDescent="0.2">
      <c r="A414" s="204" t="s">
        <v>251</v>
      </c>
      <c r="B414" s="205"/>
      <c r="C414" s="205"/>
      <c r="D414" s="205"/>
      <c r="E414" s="205"/>
      <c r="F414" s="205"/>
      <c r="G414" s="205"/>
      <c r="H414" s="206"/>
      <c r="I414" s="188"/>
      <c r="J414" s="71"/>
    </row>
    <row r="415" spans="1:10" x14ac:dyDescent="0.2">
      <c r="A415" s="221">
        <v>10024</v>
      </c>
      <c r="B415" s="221"/>
      <c r="C415" s="221"/>
      <c r="D415" s="221"/>
      <c r="E415" s="221"/>
      <c r="F415" s="221"/>
      <c r="G415" s="221"/>
      <c r="H415" s="221"/>
      <c r="I415" s="189"/>
      <c r="J415" s="71"/>
    </row>
    <row r="416" spans="1:10" x14ac:dyDescent="0.2">
      <c r="A416" s="204" t="s">
        <v>252</v>
      </c>
      <c r="B416" s="205"/>
      <c r="C416" s="205"/>
      <c r="D416" s="205"/>
      <c r="E416" s="205"/>
      <c r="F416" s="205"/>
      <c r="G416" s="205"/>
      <c r="H416" s="206"/>
      <c r="I416" s="188"/>
      <c r="J416" s="71"/>
    </row>
    <row r="417" spans="1:13" x14ac:dyDescent="0.2">
      <c r="A417" s="221">
        <v>17796</v>
      </c>
      <c r="B417" s="221"/>
      <c r="C417" s="221"/>
      <c r="D417" s="221"/>
      <c r="E417" s="221"/>
      <c r="F417" s="221"/>
      <c r="G417" s="221"/>
      <c r="H417" s="221"/>
      <c r="I417" s="189"/>
      <c r="J417" s="71"/>
    </row>
    <row r="418" spans="1:13" x14ac:dyDescent="0.2">
      <c r="A418" s="204" t="s">
        <v>253</v>
      </c>
      <c r="B418" s="205"/>
      <c r="C418" s="205"/>
      <c r="D418" s="205"/>
      <c r="E418" s="205"/>
      <c r="F418" s="205"/>
      <c r="G418" s="205"/>
      <c r="H418" s="206"/>
      <c r="I418" s="188"/>
      <c r="J418" s="71"/>
    </row>
    <row r="419" spans="1:13" x14ac:dyDescent="0.2">
      <c r="A419" s="221">
        <v>1154189</v>
      </c>
      <c r="B419" s="221"/>
      <c r="C419" s="221"/>
      <c r="D419" s="221"/>
      <c r="E419" s="221"/>
      <c r="F419" s="221"/>
      <c r="G419" s="221"/>
      <c r="H419" s="221"/>
      <c r="I419" s="189"/>
      <c r="J419" s="71"/>
    </row>
    <row r="420" spans="1:13" x14ac:dyDescent="0.2">
      <c r="A420" s="204" t="s">
        <v>254</v>
      </c>
      <c r="B420" s="205"/>
      <c r="C420" s="205"/>
      <c r="D420" s="205"/>
      <c r="E420" s="205"/>
      <c r="F420" s="205"/>
      <c r="G420" s="205"/>
      <c r="H420" s="206"/>
      <c r="I420" s="188"/>
      <c r="J420" s="71"/>
    </row>
    <row r="421" spans="1:13" x14ac:dyDescent="0.2">
      <c r="A421" s="221">
        <v>17796</v>
      </c>
      <c r="B421" s="221"/>
      <c r="C421" s="221"/>
      <c r="D421" s="221"/>
      <c r="E421" s="221"/>
      <c r="F421" s="221"/>
      <c r="G421" s="221"/>
      <c r="H421" s="221"/>
      <c r="I421" s="189"/>
      <c r="J421" s="71"/>
    </row>
    <row r="422" spans="1:13" x14ac:dyDescent="0.2">
      <c r="A422" s="204" t="s">
        <v>255</v>
      </c>
      <c r="B422" s="205"/>
      <c r="C422" s="205"/>
      <c r="D422" s="205"/>
      <c r="E422" s="205"/>
      <c r="F422" s="205"/>
      <c r="G422" s="205"/>
      <c r="H422" s="206"/>
      <c r="I422" s="188"/>
      <c r="J422" s="71"/>
    </row>
    <row r="423" spans="1:13" x14ac:dyDescent="0.2">
      <c r="A423" s="191">
        <v>27677441.739999998</v>
      </c>
      <c r="B423" s="192"/>
      <c r="C423" s="192"/>
      <c r="D423" s="192"/>
      <c r="E423" s="192"/>
      <c r="F423" s="192"/>
      <c r="G423" s="192"/>
      <c r="H423" s="193"/>
      <c r="I423" s="189"/>
      <c r="J423" s="71"/>
    </row>
    <row r="424" spans="1:13" x14ac:dyDescent="0.2">
      <c r="A424" s="204" t="s">
        <v>254</v>
      </c>
      <c r="B424" s="205"/>
      <c r="C424" s="205"/>
      <c r="D424" s="205"/>
      <c r="E424" s="205"/>
      <c r="F424" s="205"/>
      <c r="G424" s="205"/>
      <c r="H424" s="206"/>
      <c r="I424" s="188"/>
      <c r="J424" s="71"/>
    </row>
    <row r="425" spans="1:13" x14ac:dyDescent="0.2">
      <c r="A425" s="221">
        <v>17796</v>
      </c>
      <c r="B425" s="221"/>
      <c r="C425" s="221"/>
      <c r="D425" s="221"/>
      <c r="E425" s="221"/>
      <c r="F425" s="221"/>
      <c r="G425" s="221"/>
      <c r="H425" s="221"/>
      <c r="I425" s="189"/>
      <c r="J425" s="71"/>
    </row>
    <row r="426" spans="1:13" x14ac:dyDescent="0.2">
      <c r="A426" s="204" t="s">
        <v>256</v>
      </c>
      <c r="B426" s="205"/>
      <c r="C426" s="205"/>
      <c r="D426" s="205"/>
      <c r="E426" s="205"/>
      <c r="F426" s="205"/>
      <c r="G426" s="205"/>
      <c r="H426" s="206"/>
      <c r="I426" s="34"/>
      <c r="J426" s="71"/>
    </row>
    <row r="427" spans="1:13" x14ac:dyDescent="0.2">
      <c r="A427" s="191">
        <v>74351743</v>
      </c>
      <c r="B427" s="192"/>
      <c r="C427" s="192"/>
      <c r="D427" s="192"/>
      <c r="E427" s="192"/>
      <c r="F427" s="192"/>
      <c r="G427" s="192"/>
      <c r="H427" s="193"/>
      <c r="I427" s="34"/>
      <c r="J427" s="71"/>
      <c r="K427" s="65"/>
    </row>
    <row r="428" spans="1:13" x14ac:dyDescent="0.2">
      <c r="A428" s="204" t="s">
        <v>252</v>
      </c>
      <c r="B428" s="205"/>
      <c r="C428" s="205"/>
      <c r="D428" s="205"/>
      <c r="E428" s="205"/>
      <c r="F428" s="205"/>
      <c r="G428" s="205"/>
      <c r="H428" s="206"/>
      <c r="I428" s="188"/>
      <c r="J428" s="71"/>
    </row>
    <row r="429" spans="1:13" x14ac:dyDescent="0.2">
      <c r="A429" s="221">
        <v>17796</v>
      </c>
      <c r="B429" s="221"/>
      <c r="C429" s="221"/>
      <c r="D429" s="221"/>
      <c r="E429" s="221"/>
      <c r="F429" s="221"/>
      <c r="G429" s="221"/>
      <c r="H429" s="221"/>
      <c r="I429" s="189"/>
      <c r="J429" s="71"/>
    </row>
    <row r="430" spans="1:13" x14ac:dyDescent="0.2">
      <c r="A430" s="197" t="s">
        <v>257</v>
      </c>
      <c r="B430" s="198"/>
      <c r="C430" s="198"/>
      <c r="D430" s="198"/>
      <c r="E430" s="198"/>
      <c r="F430" s="198"/>
      <c r="G430" s="198"/>
      <c r="H430" s="199"/>
      <c r="I430" s="68"/>
      <c r="J430" s="71"/>
    </row>
    <row r="431" spans="1:13" x14ac:dyDescent="0.2">
      <c r="A431" s="200" t="s">
        <v>258</v>
      </c>
      <c r="B431" s="201"/>
      <c r="C431" s="201"/>
      <c r="D431" s="201"/>
      <c r="E431" s="201"/>
      <c r="F431" s="201"/>
      <c r="G431" s="201"/>
      <c r="H431" s="202"/>
      <c r="I431" s="188"/>
      <c r="J431" s="71"/>
      <c r="K431" s="69"/>
    </row>
    <row r="432" spans="1:13" x14ac:dyDescent="0.2">
      <c r="A432" s="203">
        <v>11588</v>
      </c>
      <c r="B432" s="203"/>
      <c r="C432" s="203"/>
      <c r="D432" s="203"/>
      <c r="E432" s="203"/>
      <c r="F432" s="203"/>
      <c r="G432" s="203"/>
      <c r="H432" s="203"/>
      <c r="I432" s="189"/>
      <c r="J432" s="71"/>
      <c r="K432" s="69"/>
      <c r="L432" s="61"/>
      <c r="M432" s="66"/>
    </row>
    <row r="433" spans="1:13" x14ac:dyDescent="0.2">
      <c r="A433" s="200" t="s">
        <v>259</v>
      </c>
      <c r="B433" s="201"/>
      <c r="C433" s="201"/>
      <c r="D433" s="201"/>
      <c r="E433" s="201"/>
      <c r="F433" s="201"/>
      <c r="G433" s="201"/>
      <c r="H433" s="202"/>
      <c r="I433" s="188"/>
      <c r="J433" s="71"/>
      <c r="K433" s="69"/>
      <c r="L433" s="61"/>
      <c r="M433" s="66"/>
    </row>
    <row r="434" spans="1:13" x14ac:dyDescent="0.2">
      <c r="A434" s="224">
        <v>852340393.92999995</v>
      </c>
      <c r="B434" s="224"/>
      <c r="C434" s="224"/>
      <c r="D434" s="224"/>
      <c r="E434" s="224"/>
      <c r="F434" s="224"/>
      <c r="G434" s="224"/>
      <c r="H434" s="224"/>
      <c r="I434" s="189"/>
      <c r="J434" s="71"/>
      <c r="L434" s="63"/>
      <c r="M434" s="66"/>
    </row>
    <row r="435" spans="1:13" x14ac:dyDescent="0.2">
      <c r="A435" s="200" t="s">
        <v>260</v>
      </c>
      <c r="B435" s="201"/>
      <c r="C435" s="201"/>
      <c r="D435" s="201"/>
      <c r="E435" s="201"/>
      <c r="F435" s="201"/>
      <c r="G435" s="201"/>
      <c r="H435" s="202"/>
      <c r="I435" s="34"/>
      <c r="J435" s="71"/>
    </row>
    <row r="436" spans="1:13" x14ac:dyDescent="0.2">
      <c r="A436" s="204" t="s">
        <v>261</v>
      </c>
      <c r="B436" s="205"/>
      <c r="C436" s="205"/>
      <c r="D436" s="205"/>
      <c r="E436" s="205"/>
      <c r="F436" s="205"/>
      <c r="G436" s="205"/>
      <c r="H436" s="206"/>
      <c r="I436" s="188"/>
      <c r="J436" s="71"/>
    </row>
    <row r="437" spans="1:13" x14ac:dyDescent="0.2">
      <c r="A437" s="208"/>
      <c r="B437" s="208"/>
      <c r="C437" s="208"/>
      <c r="D437" s="208"/>
      <c r="E437" s="208"/>
      <c r="F437" s="208"/>
      <c r="G437" s="208"/>
      <c r="H437" s="208"/>
      <c r="I437" s="189"/>
      <c r="J437" s="71"/>
    </row>
    <row r="438" spans="1:13" x14ac:dyDescent="0.2">
      <c r="A438" s="204" t="s">
        <v>262</v>
      </c>
      <c r="B438" s="205"/>
      <c r="C438" s="205"/>
      <c r="D438" s="205"/>
      <c r="E438" s="205"/>
      <c r="F438" s="205"/>
      <c r="G438" s="205"/>
      <c r="H438" s="206"/>
      <c r="I438" s="188"/>
      <c r="J438" s="71"/>
    </row>
    <row r="439" spans="1:13" x14ac:dyDescent="0.2">
      <c r="A439" s="208"/>
      <c r="B439" s="208"/>
      <c r="C439" s="208"/>
      <c r="D439" s="208"/>
      <c r="E439" s="208"/>
      <c r="F439" s="208"/>
      <c r="G439" s="208"/>
      <c r="H439" s="208"/>
      <c r="I439" s="189"/>
      <c r="J439" s="71"/>
    </row>
    <row r="440" spans="1:13" x14ac:dyDescent="0.2">
      <c r="A440" s="222" t="s">
        <v>263</v>
      </c>
      <c r="B440" s="223"/>
      <c r="C440" s="201"/>
      <c r="D440" s="201"/>
      <c r="E440" s="201"/>
      <c r="F440" s="201"/>
      <c r="G440" s="201"/>
      <c r="H440" s="202"/>
      <c r="I440" s="188"/>
      <c r="J440" s="71"/>
    </row>
    <row r="441" spans="1:13" x14ac:dyDescent="0.2">
      <c r="A441" s="169" t="s">
        <v>521</v>
      </c>
      <c r="B441" s="179" t="s">
        <v>247</v>
      </c>
      <c r="C441" s="183"/>
      <c r="D441" s="184"/>
      <c r="E441" s="184"/>
      <c r="F441" s="184"/>
      <c r="G441" s="184"/>
      <c r="H441" s="178"/>
      <c r="I441" s="189"/>
      <c r="J441" s="71"/>
    </row>
    <row r="442" spans="1:13" x14ac:dyDescent="0.2">
      <c r="A442" s="34" t="s">
        <v>522</v>
      </c>
      <c r="B442" s="87">
        <v>741397260</v>
      </c>
      <c r="C442" s="177"/>
      <c r="D442" s="177"/>
      <c r="E442" s="177"/>
      <c r="F442" s="177"/>
      <c r="G442" s="177"/>
      <c r="H442" s="177"/>
    </row>
    <row r="443" spans="1:13" x14ac:dyDescent="0.2">
      <c r="A443" s="34" t="s">
        <v>523</v>
      </c>
      <c r="B443" s="87">
        <v>65182780</v>
      </c>
      <c r="C443" s="177"/>
      <c r="D443" s="177"/>
      <c r="E443" s="177"/>
      <c r="F443" s="177"/>
      <c r="G443" s="177"/>
      <c r="H443" s="177"/>
    </row>
    <row r="444" spans="1:13" x14ac:dyDescent="0.2">
      <c r="A444" s="34" t="s">
        <v>524</v>
      </c>
      <c r="B444" s="87">
        <v>20011368.030000001</v>
      </c>
      <c r="C444" s="177"/>
      <c r="D444" s="177"/>
      <c r="E444" s="177"/>
      <c r="F444" s="177"/>
      <c r="G444" s="177"/>
      <c r="H444" s="177"/>
    </row>
    <row r="445" spans="1:13" x14ac:dyDescent="0.2">
      <c r="A445" s="34" t="s">
        <v>525</v>
      </c>
      <c r="B445" s="87">
        <v>11305334.970000001</v>
      </c>
      <c r="C445" s="177"/>
      <c r="D445" s="177"/>
      <c r="E445" s="177"/>
      <c r="F445" s="177"/>
      <c r="G445" s="177"/>
      <c r="H445" s="177"/>
    </row>
    <row r="446" spans="1:13" x14ac:dyDescent="0.2">
      <c r="A446" s="34" t="s">
        <v>526</v>
      </c>
      <c r="B446" s="87">
        <v>4667367.08</v>
      </c>
      <c r="C446" s="177"/>
      <c r="D446" s="177"/>
      <c r="E446" s="177"/>
      <c r="F446" s="177"/>
      <c r="G446" s="177"/>
      <c r="H446" s="177"/>
    </row>
    <row r="447" spans="1:13" x14ac:dyDescent="0.2">
      <c r="A447" s="34" t="s">
        <v>527</v>
      </c>
      <c r="B447" s="87">
        <v>4153829.87</v>
      </c>
      <c r="C447" s="177"/>
      <c r="D447" s="177"/>
      <c r="E447" s="177"/>
      <c r="F447" s="177"/>
      <c r="G447" s="177"/>
      <c r="H447" s="177"/>
    </row>
    <row r="448" spans="1:13" x14ac:dyDescent="0.2">
      <c r="A448" s="34" t="s">
        <v>528</v>
      </c>
      <c r="B448" s="87">
        <v>2887501.39</v>
      </c>
      <c r="C448" s="177"/>
      <c r="D448" s="177"/>
      <c r="E448" s="177"/>
      <c r="F448" s="177"/>
      <c r="G448" s="177"/>
      <c r="H448" s="177"/>
    </row>
    <row r="449" spans="1:8" x14ac:dyDescent="0.2">
      <c r="A449" s="34" t="s">
        <v>529</v>
      </c>
      <c r="B449" s="87">
        <v>2050520</v>
      </c>
      <c r="C449" s="177"/>
      <c r="D449" s="177"/>
      <c r="E449" s="177"/>
      <c r="F449" s="177"/>
      <c r="G449" s="177"/>
      <c r="H449" s="177"/>
    </row>
    <row r="450" spans="1:8" x14ac:dyDescent="0.2">
      <c r="A450" s="34" t="s">
        <v>530</v>
      </c>
      <c r="B450" s="87">
        <v>467105.43</v>
      </c>
      <c r="C450" s="177"/>
      <c r="D450" s="177"/>
      <c r="E450" s="177"/>
      <c r="F450" s="177"/>
      <c r="G450" s="177"/>
      <c r="H450" s="177"/>
    </row>
    <row r="451" spans="1:8" x14ac:dyDescent="0.2">
      <c r="A451" s="34" t="s">
        <v>531</v>
      </c>
      <c r="B451" s="87">
        <v>193423.75</v>
      </c>
      <c r="C451" s="177"/>
      <c r="D451" s="177"/>
      <c r="E451" s="177"/>
      <c r="F451" s="177"/>
      <c r="G451" s="177"/>
      <c r="H451" s="177"/>
    </row>
  </sheetData>
  <autoFilter ref="A2:I451" xr:uid="{00000000-0001-0000-0100-000000000000}">
    <filterColumn colId="0" showButton="0"/>
    <filterColumn colId="1" showButton="0"/>
    <filterColumn colId="2" showButton="0"/>
    <filterColumn colId="3" showButton="0"/>
    <filterColumn colId="4" showButton="0"/>
    <filterColumn colId="5" showButton="0"/>
    <filterColumn colId="6" showButton="0"/>
  </autoFilter>
  <mergeCells count="462">
    <mergeCell ref="I431:I432"/>
    <mergeCell ref="I428:I429"/>
    <mergeCell ref="I424:I425"/>
    <mergeCell ref="I433:I434"/>
    <mergeCell ref="I436:I437"/>
    <mergeCell ref="I438:I439"/>
    <mergeCell ref="I440:I441"/>
    <mergeCell ref="I51:I52"/>
    <mergeCell ref="I53:I54"/>
    <mergeCell ref="I56:I57"/>
    <mergeCell ref="I58:I59"/>
    <mergeCell ref="I61:I62"/>
    <mergeCell ref="I154:I155"/>
    <mergeCell ref="I167:I168"/>
    <mergeCell ref="I157:I158"/>
    <mergeCell ref="I159:I160"/>
    <mergeCell ref="I161:I162"/>
    <mergeCell ref="I163:I164"/>
    <mergeCell ref="I165:I166"/>
    <mergeCell ref="I101:I102"/>
    <mergeCell ref="I107:I108"/>
    <mergeCell ref="I135:I136"/>
    <mergeCell ref="I137:I138"/>
    <mergeCell ref="I139:I140"/>
    <mergeCell ref="A3:H3"/>
    <mergeCell ref="I110:I111"/>
    <mergeCell ref="A68:H68"/>
    <mergeCell ref="A10:H10"/>
    <mergeCell ref="A13:H13"/>
    <mergeCell ref="A18:H18"/>
    <mergeCell ref="A12:H12"/>
    <mergeCell ref="A14:H14"/>
    <mergeCell ref="A16:H16"/>
    <mergeCell ref="A39:H39"/>
    <mergeCell ref="A101:H101"/>
    <mergeCell ref="A82:H82"/>
    <mergeCell ref="A104:H104"/>
    <mergeCell ref="A23:H23"/>
    <mergeCell ref="A25:H25"/>
    <mergeCell ref="A60:H60"/>
    <mergeCell ref="A61:H61"/>
    <mergeCell ref="A70:H70"/>
    <mergeCell ref="A74:H74"/>
    <mergeCell ref="A71:H71"/>
    <mergeCell ref="A72:H72"/>
    <mergeCell ref="A73:H73"/>
    <mergeCell ref="A45:H45"/>
    <mergeCell ref="A47:H47"/>
    <mergeCell ref="A52:H52"/>
    <mergeCell ref="A57:H57"/>
    <mergeCell ref="A59:H59"/>
    <mergeCell ref="A51:H51"/>
    <mergeCell ref="A53:H53"/>
    <mergeCell ref="A55:H55"/>
    <mergeCell ref="A56:H56"/>
    <mergeCell ref="A58:H58"/>
    <mergeCell ref="A83:H83"/>
    <mergeCell ref="A41:H41"/>
    <mergeCell ref="A15:H15"/>
    <mergeCell ref="A154:H154"/>
    <mergeCell ref="A156:H156"/>
    <mergeCell ref="A157:H157"/>
    <mergeCell ref="A110:H110"/>
    <mergeCell ref="A119:H119"/>
    <mergeCell ref="A139:H139"/>
    <mergeCell ref="A141:H141"/>
    <mergeCell ref="A143:H143"/>
    <mergeCell ref="A128:H128"/>
    <mergeCell ref="A130:H130"/>
    <mergeCell ref="A131:H131"/>
    <mergeCell ref="A133:H133"/>
    <mergeCell ref="A135:H135"/>
    <mergeCell ref="A129:H129"/>
    <mergeCell ref="A132:H132"/>
    <mergeCell ref="A63:H63"/>
    <mergeCell ref="A65:H65"/>
    <mergeCell ref="A103:H103"/>
    <mergeCell ref="A105:H105"/>
    <mergeCell ref="A107:H107"/>
    <mergeCell ref="A109:H109"/>
    <mergeCell ref="A102:H102"/>
    <mergeCell ref="I7:I8"/>
    <mergeCell ref="A7:H7"/>
    <mergeCell ref="A4:H4"/>
    <mergeCell ref="I5:I6"/>
    <mergeCell ref="A5:H5"/>
    <mergeCell ref="A6:H6"/>
    <mergeCell ref="A8:H8"/>
    <mergeCell ref="A36:H36"/>
    <mergeCell ref="A24:H24"/>
    <mergeCell ref="A20:H20"/>
    <mergeCell ref="A9:H9"/>
    <mergeCell ref="A11:H11"/>
    <mergeCell ref="I28:I29"/>
    <mergeCell ref="I30:I31"/>
    <mergeCell ref="I26:I27"/>
    <mergeCell ref="I19:I20"/>
    <mergeCell ref="A17:H17"/>
    <mergeCell ref="A19:H19"/>
    <mergeCell ref="A21:H21"/>
    <mergeCell ref="A22:H22"/>
    <mergeCell ref="A26:H26"/>
    <mergeCell ref="A28:H28"/>
    <mergeCell ref="A30:H30"/>
    <mergeCell ref="A32:H32"/>
    <mergeCell ref="A33:H33"/>
    <mergeCell ref="A27:H27"/>
    <mergeCell ref="A29:H29"/>
    <mergeCell ref="A31:H31"/>
    <mergeCell ref="A34:H34"/>
    <mergeCell ref="A100:H100"/>
    <mergeCell ref="A122:H122"/>
    <mergeCell ref="A124:H124"/>
    <mergeCell ref="A106:H106"/>
    <mergeCell ref="A108:H108"/>
    <mergeCell ref="A111:H111"/>
    <mergeCell ref="A113:H113"/>
    <mergeCell ref="A112:H112"/>
    <mergeCell ref="A35:H35"/>
    <mergeCell ref="A37:H37"/>
    <mergeCell ref="A38:H38"/>
    <mergeCell ref="A87:H87"/>
    <mergeCell ref="A89:H89"/>
    <mergeCell ref="A91:H91"/>
    <mergeCell ref="A84:H84"/>
    <mergeCell ref="A86:H86"/>
    <mergeCell ref="A93:H93"/>
    <mergeCell ref="A88:H88"/>
    <mergeCell ref="A40:H40"/>
    <mergeCell ref="A42:H42"/>
    <mergeCell ref="A75:H75"/>
    <mergeCell ref="A77:H77"/>
    <mergeCell ref="A79:H79"/>
    <mergeCell ref="A81:H81"/>
    <mergeCell ref="A95:H95"/>
    <mergeCell ref="A97:H97"/>
    <mergeCell ref="A99:H99"/>
    <mergeCell ref="A76:H76"/>
    <mergeCell ref="A78:H78"/>
    <mergeCell ref="A80:H80"/>
    <mergeCell ref="A67:H67"/>
    <mergeCell ref="A43:H43"/>
    <mergeCell ref="A44:H44"/>
    <mergeCell ref="A46:H46"/>
    <mergeCell ref="A48:H48"/>
    <mergeCell ref="A50:H50"/>
    <mergeCell ref="A62:H62"/>
    <mergeCell ref="A64:H64"/>
    <mergeCell ref="A66:H66"/>
    <mergeCell ref="A90:H90"/>
    <mergeCell ref="A92:H92"/>
    <mergeCell ref="A94:H94"/>
    <mergeCell ref="A96:H96"/>
    <mergeCell ref="A98:H98"/>
    <mergeCell ref="A85:H85"/>
    <mergeCell ref="A114:H114"/>
    <mergeCell ref="A116:H116"/>
    <mergeCell ref="A117:H117"/>
    <mergeCell ref="A118:H118"/>
    <mergeCell ref="A120:H120"/>
    <mergeCell ref="A192:H192"/>
    <mergeCell ref="A210:H210"/>
    <mergeCell ref="A140:H140"/>
    <mergeCell ref="A142:H142"/>
    <mergeCell ref="A145:H145"/>
    <mergeCell ref="A147:H147"/>
    <mergeCell ref="A149:H149"/>
    <mergeCell ref="A148:H148"/>
    <mergeCell ref="A144:H144"/>
    <mergeCell ref="A136:H136"/>
    <mergeCell ref="A138:H138"/>
    <mergeCell ref="A137:H137"/>
    <mergeCell ref="A121:H121"/>
    <mergeCell ref="A123:H123"/>
    <mergeCell ref="A125:H125"/>
    <mergeCell ref="A127:H127"/>
    <mergeCell ref="A146:H146"/>
    <mergeCell ref="A194:H194"/>
    <mergeCell ref="A196:H196"/>
    <mergeCell ref="A197:H197"/>
    <mergeCell ref="A153:H153"/>
    <mergeCell ref="A155:H155"/>
    <mergeCell ref="A158:H158"/>
    <mergeCell ref="A160:H160"/>
    <mergeCell ref="A159:H159"/>
    <mergeCell ref="A200:H200"/>
    <mergeCell ref="A150:H150"/>
    <mergeCell ref="A152:H152"/>
    <mergeCell ref="A151:H151"/>
    <mergeCell ref="A184:H184"/>
    <mergeCell ref="A186:H186"/>
    <mergeCell ref="A171:H171"/>
    <mergeCell ref="A170:H170"/>
    <mergeCell ref="A134:H134"/>
    <mergeCell ref="A126:H126"/>
    <mergeCell ref="A175:H175"/>
    <mergeCell ref="A177:H177"/>
    <mergeCell ref="A179:H179"/>
    <mergeCell ref="A181:H181"/>
    <mergeCell ref="A162:H162"/>
    <mergeCell ref="A164:H164"/>
    <mergeCell ref="A166:H166"/>
    <mergeCell ref="A168:H168"/>
    <mergeCell ref="A183:H183"/>
    <mergeCell ref="A217:H217"/>
    <mergeCell ref="A212:H212"/>
    <mergeCell ref="A214:H214"/>
    <mergeCell ref="A216:H216"/>
    <mergeCell ref="A201:H201"/>
    <mergeCell ref="A203:H203"/>
    <mergeCell ref="A205:H205"/>
    <mergeCell ref="A207:H207"/>
    <mergeCell ref="A209:H209"/>
    <mergeCell ref="A215:H215"/>
    <mergeCell ref="A211:H211"/>
    <mergeCell ref="A213:H213"/>
    <mergeCell ref="A202:H202"/>
    <mergeCell ref="A204:H204"/>
    <mergeCell ref="A206:H206"/>
    <mergeCell ref="A248:H248"/>
    <mergeCell ref="A260:H260"/>
    <mergeCell ref="A272:H272"/>
    <mergeCell ref="A284:H284"/>
    <mergeCell ref="A297:H297"/>
    <mergeCell ref="F285:H285"/>
    <mergeCell ref="A298:H298"/>
    <mergeCell ref="A219:H219"/>
    <mergeCell ref="A221:H221"/>
    <mergeCell ref="A223:H223"/>
    <mergeCell ref="A224:H224"/>
    <mergeCell ref="A236:H236"/>
    <mergeCell ref="C285:E285"/>
    <mergeCell ref="A309:H309"/>
    <mergeCell ref="A311:H311"/>
    <mergeCell ref="A312:H312"/>
    <mergeCell ref="A314:H314"/>
    <mergeCell ref="A316:H316"/>
    <mergeCell ref="A299:H299"/>
    <mergeCell ref="A301:H301"/>
    <mergeCell ref="A303:H303"/>
    <mergeCell ref="A305:H305"/>
    <mergeCell ref="A307:H307"/>
    <mergeCell ref="A300:H300"/>
    <mergeCell ref="A302:H302"/>
    <mergeCell ref="A304:H304"/>
    <mergeCell ref="A306:H306"/>
    <mergeCell ref="A440:H440"/>
    <mergeCell ref="A172:H172"/>
    <mergeCell ref="A174:H174"/>
    <mergeCell ref="A176:H176"/>
    <mergeCell ref="A178:H178"/>
    <mergeCell ref="A434:H434"/>
    <mergeCell ref="A315:H315"/>
    <mergeCell ref="A317:H317"/>
    <mergeCell ref="A218:H218"/>
    <mergeCell ref="A220:H220"/>
    <mergeCell ref="A222:H222"/>
    <mergeCell ref="A428:H428"/>
    <mergeCell ref="A426:H426"/>
    <mergeCell ref="A424:H424"/>
    <mergeCell ref="A422:H422"/>
    <mergeCell ref="A420:H420"/>
    <mergeCell ref="A429:H429"/>
    <mergeCell ref="A406:H406"/>
    <mergeCell ref="A404:H404"/>
    <mergeCell ref="A402:H402"/>
    <mergeCell ref="A400:H400"/>
    <mergeCell ref="A399:H399"/>
    <mergeCell ref="A414:H414"/>
    <mergeCell ref="A413:H413"/>
    <mergeCell ref="I9:I10"/>
    <mergeCell ref="I12:I13"/>
    <mergeCell ref="I14:I15"/>
    <mergeCell ref="I17:I18"/>
    <mergeCell ref="A437:H437"/>
    <mergeCell ref="A439:H439"/>
    <mergeCell ref="A49:H49"/>
    <mergeCell ref="A54:H54"/>
    <mergeCell ref="A115:H115"/>
    <mergeCell ref="A415:H415"/>
    <mergeCell ref="A417:H417"/>
    <mergeCell ref="A419:H419"/>
    <mergeCell ref="A421:H421"/>
    <mergeCell ref="A425:H425"/>
    <mergeCell ref="A401:H401"/>
    <mergeCell ref="A403:H403"/>
    <mergeCell ref="A405:H405"/>
    <mergeCell ref="A407:H407"/>
    <mergeCell ref="A308:H308"/>
    <mergeCell ref="A310:H310"/>
    <mergeCell ref="A313:H313"/>
    <mergeCell ref="A435:H435"/>
    <mergeCell ref="A436:H436"/>
    <mergeCell ref="A438:H438"/>
    <mergeCell ref="I40:I41"/>
    <mergeCell ref="I38:I39"/>
    <mergeCell ref="I22:I23"/>
    <mergeCell ref="I24:I25"/>
    <mergeCell ref="I44:I45"/>
    <mergeCell ref="A208:H208"/>
    <mergeCell ref="A180:H180"/>
    <mergeCell ref="A182:H182"/>
    <mergeCell ref="A185:H185"/>
    <mergeCell ref="A187:H187"/>
    <mergeCell ref="A189:H189"/>
    <mergeCell ref="A191:H191"/>
    <mergeCell ref="A193:H193"/>
    <mergeCell ref="A195:H195"/>
    <mergeCell ref="A199:H199"/>
    <mergeCell ref="A198:H198"/>
    <mergeCell ref="A161:H161"/>
    <mergeCell ref="A163:H163"/>
    <mergeCell ref="A165:H165"/>
    <mergeCell ref="A167:H167"/>
    <mergeCell ref="A169:H169"/>
    <mergeCell ref="A188:H188"/>
    <mergeCell ref="A190:H190"/>
    <mergeCell ref="A173:H173"/>
    <mergeCell ref="I141:I142"/>
    <mergeCell ref="I144:I145"/>
    <mergeCell ref="I146:I147"/>
    <mergeCell ref="I148:I149"/>
    <mergeCell ref="I150:I151"/>
    <mergeCell ref="I152:I153"/>
    <mergeCell ref="I120:I121"/>
    <mergeCell ref="I114:I115"/>
    <mergeCell ref="I126:I127"/>
    <mergeCell ref="I128:I129"/>
    <mergeCell ref="I122:I123"/>
    <mergeCell ref="I124:I125"/>
    <mergeCell ref="I118:I119"/>
    <mergeCell ref="I131:I132"/>
    <mergeCell ref="I133:I134"/>
    <mergeCell ref="A2:H2"/>
    <mergeCell ref="I84:I85"/>
    <mergeCell ref="I94:I95"/>
    <mergeCell ref="I92:I93"/>
    <mergeCell ref="I90:I91"/>
    <mergeCell ref="I88:I89"/>
    <mergeCell ref="I86:I87"/>
    <mergeCell ref="I112:I113"/>
    <mergeCell ref="I105:I106"/>
    <mergeCell ref="I103:I104"/>
    <mergeCell ref="I98:I99"/>
    <mergeCell ref="I96:I97"/>
    <mergeCell ref="I73:I74"/>
    <mergeCell ref="I81:I82"/>
    <mergeCell ref="I77:I78"/>
    <mergeCell ref="I75:I76"/>
    <mergeCell ref="I79:I80"/>
    <mergeCell ref="I65:I66"/>
    <mergeCell ref="I67:I70"/>
    <mergeCell ref="I63:I64"/>
    <mergeCell ref="I48:I49"/>
    <mergeCell ref="I35:I36"/>
    <mergeCell ref="I33:I34"/>
    <mergeCell ref="I46:I47"/>
    <mergeCell ref="A322:H322"/>
    <mergeCell ref="A320:H320"/>
    <mergeCell ref="A318:H318"/>
    <mergeCell ref="A319:H319"/>
    <mergeCell ref="A321:H321"/>
    <mergeCell ref="A323:H323"/>
    <mergeCell ref="B389:D389"/>
    <mergeCell ref="A329:H329"/>
    <mergeCell ref="A326:H326"/>
    <mergeCell ref="A327:H327"/>
    <mergeCell ref="A378:H378"/>
    <mergeCell ref="A368:H368"/>
    <mergeCell ref="A358:H358"/>
    <mergeCell ref="A348:H348"/>
    <mergeCell ref="A328:H328"/>
    <mergeCell ref="A330:H330"/>
    <mergeCell ref="A332:H332"/>
    <mergeCell ref="A334:H334"/>
    <mergeCell ref="A336:H336"/>
    <mergeCell ref="A338:H338"/>
    <mergeCell ref="A337:H337"/>
    <mergeCell ref="A335:H335"/>
    <mergeCell ref="A333:H333"/>
    <mergeCell ref="A427:H427"/>
    <mergeCell ref="A430:H430"/>
    <mergeCell ref="A431:H431"/>
    <mergeCell ref="A433:H433"/>
    <mergeCell ref="A432:H432"/>
    <mergeCell ref="A388:H388"/>
    <mergeCell ref="A331:H331"/>
    <mergeCell ref="A325:H325"/>
    <mergeCell ref="A324:H324"/>
    <mergeCell ref="A416:H416"/>
    <mergeCell ref="A418:H418"/>
    <mergeCell ref="A412:H412"/>
    <mergeCell ref="A410:H410"/>
    <mergeCell ref="A408:H408"/>
    <mergeCell ref="A409:H409"/>
    <mergeCell ref="A411:H411"/>
    <mergeCell ref="I378:I387"/>
    <mergeCell ref="I388:I398"/>
    <mergeCell ref="I400:I401"/>
    <mergeCell ref="I402:I403"/>
    <mergeCell ref="I404:I405"/>
    <mergeCell ref="I406:I407"/>
    <mergeCell ref="I408:I409"/>
    <mergeCell ref="I410:I411"/>
    <mergeCell ref="A423:H423"/>
    <mergeCell ref="I414:I415"/>
    <mergeCell ref="I416:I417"/>
    <mergeCell ref="I418:I419"/>
    <mergeCell ref="I420:I421"/>
    <mergeCell ref="I422:I423"/>
    <mergeCell ref="E389:G389"/>
    <mergeCell ref="I173:I174"/>
    <mergeCell ref="I175:I176"/>
    <mergeCell ref="I177:I178"/>
    <mergeCell ref="I179:I180"/>
    <mergeCell ref="I203:I204"/>
    <mergeCell ref="I205:I206"/>
    <mergeCell ref="I207:I208"/>
    <mergeCell ref="I201:I202"/>
    <mergeCell ref="I181:I182"/>
    <mergeCell ref="I184:I185"/>
    <mergeCell ref="I186:I187"/>
    <mergeCell ref="I188:I189"/>
    <mergeCell ref="I190:I191"/>
    <mergeCell ref="I192:I193"/>
    <mergeCell ref="I194:I195"/>
    <mergeCell ref="I197:I198"/>
    <mergeCell ref="I199:I200"/>
    <mergeCell ref="I236:I247"/>
    <mergeCell ref="I248:I259"/>
    <mergeCell ref="I260:I271"/>
    <mergeCell ref="I272:I283"/>
    <mergeCell ref="I284:I296"/>
    <mergeCell ref="I211:I212"/>
    <mergeCell ref="I213:I214"/>
    <mergeCell ref="I215:I216"/>
    <mergeCell ref="I217:I218"/>
    <mergeCell ref="I219:I220"/>
    <mergeCell ref="I221:I222"/>
    <mergeCell ref="I224:I235"/>
    <mergeCell ref="I320:I321"/>
    <mergeCell ref="I322:I323"/>
    <mergeCell ref="I299:I300"/>
    <mergeCell ref="I325:I326"/>
    <mergeCell ref="I301:I302"/>
    <mergeCell ref="I303:I304"/>
    <mergeCell ref="I305:I306"/>
    <mergeCell ref="I307:I308"/>
    <mergeCell ref="I309:I310"/>
    <mergeCell ref="I312:I313"/>
    <mergeCell ref="I314:I315"/>
    <mergeCell ref="I316:I317"/>
    <mergeCell ref="I318:I319"/>
    <mergeCell ref="I327:I328"/>
    <mergeCell ref="I329:I330"/>
    <mergeCell ref="I331:I332"/>
    <mergeCell ref="I333:I334"/>
    <mergeCell ref="I335:I336"/>
    <mergeCell ref="I338:I347"/>
    <mergeCell ref="I348:I357"/>
    <mergeCell ref="I358:I367"/>
    <mergeCell ref="I368:I377"/>
  </mergeCells>
  <phoneticPr fontId="40" type="noConversion"/>
  <dataValidations disablePrompts="1" count="1">
    <dataValidation allowBlank="1" showInputMessage="1" showErrorMessage="1" prompt="O título desta folha de cálculo está nesta célula" sqref="A2" xr:uid="{00000000-0002-0000-0100-000000000000}"/>
  </dataValidations>
  <pageMargins left="0.7" right="0.7" top="0.75" bottom="0.75" header="0.3" footer="0.3"/>
  <pageSetup paperSize="9" orientation="portrait" r:id="rId1"/>
  <headerFooter>
    <oddHeader>&amp;L&amp;"Calibri"&amp;10&amp;K000000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63C3E-9D34-47E0-BAF0-5A66B9204EAE}">
  <sheetPr codeName="Sheet5"/>
  <dimension ref="A1:F190"/>
  <sheetViews>
    <sheetView showGridLines="0" zoomScale="80" zoomScaleNormal="80" workbookViewId="0">
      <pane ySplit="2" topLeftCell="A3" activePane="bottomLeft" state="frozen"/>
      <selection pane="bottomLeft" activeCell="A3" sqref="A3:E3"/>
    </sheetView>
  </sheetViews>
  <sheetFormatPr defaultColWidth="8.875" defaultRowHeight="18.75" x14ac:dyDescent="0.2"/>
  <cols>
    <col min="1" max="1" width="32.375" style="20" customWidth="1"/>
    <col min="2" max="2" width="19.125" style="20" customWidth="1"/>
    <col min="3" max="3" width="22.875" style="20" customWidth="1"/>
    <col min="4" max="4" width="12.5" style="20" bestFit="1" customWidth="1"/>
    <col min="5" max="5" width="19.5" style="20" customWidth="1"/>
    <col min="6" max="6" width="50.375" style="41" customWidth="1"/>
    <col min="7" max="16384" width="8.875" style="20"/>
  </cols>
  <sheetData>
    <row r="1" spans="1:6" x14ac:dyDescent="0.2">
      <c r="A1" s="35" t="s">
        <v>2</v>
      </c>
    </row>
    <row r="2" spans="1:6" x14ac:dyDescent="0.2">
      <c r="A2" s="288" t="s">
        <v>5</v>
      </c>
      <c r="B2" s="289"/>
      <c r="C2" s="289"/>
      <c r="D2" s="289"/>
      <c r="E2" s="289"/>
      <c r="F2" s="39" t="s">
        <v>122</v>
      </c>
    </row>
    <row r="3" spans="1:6" x14ac:dyDescent="0.2">
      <c r="A3" s="292" t="s">
        <v>264</v>
      </c>
      <c r="B3" s="293"/>
      <c r="C3" s="293"/>
      <c r="D3" s="293"/>
      <c r="E3" s="293"/>
      <c r="F3" s="23"/>
    </row>
    <row r="4" spans="1:6" x14ac:dyDescent="0.2">
      <c r="A4" s="304" t="s">
        <v>265</v>
      </c>
      <c r="B4" s="305"/>
      <c r="C4" s="305"/>
      <c r="D4" s="305"/>
      <c r="E4" s="306"/>
      <c r="F4" s="290"/>
    </row>
    <row r="5" spans="1:6" x14ac:dyDescent="0.2">
      <c r="A5" s="322">
        <v>58243</v>
      </c>
      <c r="B5" s="323"/>
      <c r="C5" s="323"/>
      <c r="D5" s="323"/>
      <c r="E5" s="324"/>
      <c r="F5" s="290"/>
    </row>
    <row r="6" spans="1:6" x14ac:dyDescent="0.2">
      <c r="A6" s="304" t="s">
        <v>266</v>
      </c>
      <c r="B6" s="305"/>
      <c r="C6" s="305"/>
      <c r="D6" s="305"/>
      <c r="E6" s="306"/>
      <c r="F6" s="307"/>
    </row>
    <row r="7" spans="1:6" x14ac:dyDescent="0.2">
      <c r="A7" s="327">
        <v>647393380.77903199</v>
      </c>
      <c r="B7" s="328"/>
      <c r="C7" s="328"/>
      <c r="D7" s="328"/>
      <c r="E7" s="329"/>
      <c r="F7" s="308"/>
    </row>
    <row r="8" spans="1:6" x14ac:dyDescent="0.2">
      <c r="A8" s="304" t="s">
        <v>267</v>
      </c>
      <c r="B8" s="305"/>
      <c r="C8" s="305"/>
      <c r="D8" s="305"/>
      <c r="E8" s="306"/>
      <c r="F8" s="307"/>
    </row>
    <row r="9" spans="1:6" x14ac:dyDescent="0.2">
      <c r="A9" s="322">
        <v>57334</v>
      </c>
      <c r="B9" s="323"/>
      <c r="C9" s="323"/>
      <c r="D9" s="323"/>
      <c r="E9" s="324"/>
      <c r="F9" s="308"/>
    </row>
    <row r="10" spans="1:6" x14ac:dyDescent="0.2">
      <c r="A10" s="304" t="s">
        <v>516</v>
      </c>
      <c r="B10" s="305"/>
      <c r="C10" s="305"/>
      <c r="D10" s="305"/>
      <c r="E10" s="306"/>
      <c r="F10" s="335"/>
    </row>
    <row r="11" spans="1:6" x14ac:dyDescent="0.2">
      <c r="A11" s="36"/>
      <c r="B11" s="330" t="s">
        <v>226</v>
      </c>
      <c r="C11" s="331"/>
      <c r="D11" s="330" t="s">
        <v>246</v>
      </c>
      <c r="E11" s="331"/>
      <c r="F11" s="336"/>
    </row>
    <row r="12" spans="1:6" ht="37.5" x14ac:dyDescent="0.2">
      <c r="A12" s="2" t="s">
        <v>268</v>
      </c>
      <c r="B12" s="2" t="s">
        <v>242</v>
      </c>
      <c r="C12" s="2" t="s">
        <v>247</v>
      </c>
      <c r="D12" s="2" t="s">
        <v>242</v>
      </c>
      <c r="E12" s="2" t="s">
        <v>247</v>
      </c>
      <c r="F12" s="336"/>
    </row>
    <row r="13" spans="1:6" x14ac:dyDescent="0.2">
      <c r="A13" s="44" t="s">
        <v>410</v>
      </c>
      <c r="B13" s="37">
        <v>43022</v>
      </c>
      <c r="C13" s="38">
        <v>66747661.599999897</v>
      </c>
      <c r="D13" s="37">
        <v>23266</v>
      </c>
      <c r="E13" s="38">
        <v>39298166.126817897</v>
      </c>
      <c r="F13" s="336"/>
    </row>
    <row r="14" spans="1:6" x14ac:dyDescent="0.2">
      <c r="A14" s="44" t="s">
        <v>446</v>
      </c>
      <c r="B14" s="37">
        <v>4675</v>
      </c>
      <c r="C14" s="38">
        <v>95645601.579999998</v>
      </c>
      <c r="D14" s="37">
        <v>3196</v>
      </c>
      <c r="E14" s="38">
        <v>59059657.188805901</v>
      </c>
      <c r="F14" s="336"/>
    </row>
    <row r="15" spans="1:6" x14ac:dyDescent="0.2">
      <c r="A15" s="44" t="s">
        <v>422</v>
      </c>
      <c r="B15" s="37">
        <v>2079</v>
      </c>
      <c r="C15" s="38">
        <v>9952338.4399999902</v>
      </c>
      <c r="D15" s="37">
        <v>2156</v>
      </c>
      <c r="E15" s="38">
        <v>11709758.1723029</v>
      </c>
      <c r="F15" s="336"/>
    </row>
    <row r="16" spans="1:6" x14ac:dyDescent="0.2">
      <c r="A16" s="44" t="s">
        <v>406</v>
      </c>
      <c r="B16" s="37">
        <v>2008</v>
      </c>
      <c r="C16" s="38">
        <v>70547037.930000007</v>
      </c>
      <c r="D16" s="37">
        <v>6421</v>
      </c>
      <c r="E16" s="38">
        <v>113651041.38140801</v>
      </c>
      <c r="F16" s="336"/>
    </row>
    <row r="17" spans="1:6" x14ac:dyDescent="0.2">
      <c r="A17" s="44" t="s">
        <v>54</v>
      </c>
      <c r="B17" s="37">
        <v>2018</v>
      </c>
      <c r="C17" s="38">
        <v>159417990.00999999</v>
      </c>
      <c r="D17" s="37">
        <v>3277</v>
      </c>
      <c r="E17" s="38">
        <v>140007048.16898099</v>
      </c>
      <c r="F17" s="336"/>
    </row>
    <row r="18" spans="1:6" x14ac:dyDescent="0.2">
      <c r="A18" s="44" t="s">
        <v>441</v>
      </c>
      <c r="B18" s="37">
        <v>609</v>
      </c>
      <c r="C18" s="38">
        <v>32660731.489999902</v>
      </c>
      <c r="D18" s="37">
        <v>884</v>
      </c>
      <c r="E18" s="38">
        <v>12327060.165256901</v>
      </c>
      <c r="F18" s="336"/>
    </row>
    <row r="19" spans="1:6" x14ac:dyDescent="0.2">
      <c r="A19" s="44" t="s">
        <v>442</v>
      </c>
      <c r="B19" s="37">
        <v>468</v>
      </c>
      <c r="C19" s="38">
        <v>6766241.1900000004</v>
      </c>
      <c r="D19" s="37">
        <v>190</v>
      </c>
      <c r="E19" s="38">
        <v>5636558.7826549998</v>
      </c>
      <c r="F19" s="336"/>
    </row>
    <row r="20" spans="1:6" x14ac:dyDescent="0.2">
      <c r="A20" s="44" t="s">
        <v>419</v>
      </c>
      <c r="B20" s="37">
        <v>417</v>
      </c>
      <c r="C20" s="38">
        <v>9139325.0399999898</v>
      </c>
      <c r="D20" s="37">
        <v>616</v>
      </c>
      <c r="E20" s="38">
        <v>33145234.563815899</v>
      </c>
      <c r="F20" s="336"/>
    </row>
    <row r="21" spans="1:6" x14ac:dyDescent="0.2">
      <c r="A21" s="44" t="s">
        <v>91</v>
      </c>
      <c r="B21" s="37">
        <v>370</v>
      </c>
      <c r="C21" s="38">
        <v>5303011.6799999904</v>
      </c>
      <c r="D21" s="37">
        <v>1931</v>
      </c>
      <c r="E21" s="38">
        <v>15866771.6384909</v>
      </c>
      <c r="F21" s="336"/>
    </row>
    <row r="22" spans="1:6" x14ac:dyDescent="0.2">
      <c r="A22" s="44" t="s">
        <v>25</v>
      </c>
      <c r="B22" s="37">
        <v>306</v>
      </c>
      <c r="C22" s="38">
        <v>3658062.6699999901</v>
      </c>
      <c r="D22" s="37">
        <v>12598</v>
      </c>
      <c r="E22" s="38">
        <v>139424641.059625</v>
      </c>
      <c r="F22" s="336"/>
    </row>
    <row r="23" spans="1:6" x14ac:dyDescent="0.2">
      <c r="A23" s="44" t="s">
        <v>432</v>
      </c>
      <c r="B23" s="37">
        <v>288</v>
      </c>
      <c r="C23" s="38">
        <v>4520281.18</v>
      </c>
      <c r="D23" s="37">
        <v>1671</v>
      </c>
      <c r="E23" s="38">
        <v>16355532.713689899</v>
      </c>
      <c r="F23" s="336"/>
    </row>
    <row r="24" spans="1:6" x14ac:dyDescent="0.2">
      <c r="A24" s="44" t="s">
        <v>418</v>
      </c>
      <c r="B24" s="37">
        <v>214</v>
      </c>
      <c r="C24" s="38">
        <v>1823665.8299999901</v>
      </c>
      <c r="D24" s="37">
        <v>125</v>
      </c>
      <c r="E24" s="38">
        <v>10328362.560574999</v>
      </c>
      <c r="F24" s="336"/>
    </row>
    <row r="25" spans="1:6" x14ac:dyDescent="0.2">
      <c r="A25" s="44" t="s">
        <v>451</v>
      </c>
      <c r="B25" s="37">
        <v>167</v>
      </c>
      <c r="C25" s="38">
        <v>3298301.25</v>
      </c>
      <c r="D25" s="37">
        <v>166</v>
      </c>
      <c r="E25" s="38">
        <v>4911472.6980699999</v>
      </c>
      <c r="F25" s="336"/>
    </row>
    <row r="26" spans="1:6" x14ac:dyDescent="0.2">
      <c r="A26" s="44" t="s">
        <v>438</v>
      </c>
      <c r="B26" s="37">
        <v>101</v>
      </c>
      <c r="C26" s="38">
        <v>1870889.99999999</v>
      </c>
      <c r="D26" s="37">
        <v>222</v>
      </c>
      <c r="E26" s="38">
        <v>4347653.9928169996</v>
      </c>
      <c r="F26" s="336"/>
    </row>
    <row r="27" spans="1:6" x14ac:dyDescent="0.2">
      <c r="A27" s="44" t="s">
        <v>428</v>
      </c>
      <c r="B27" s="37">
        <v>100</v>
      </c>
      <c r="C27" s="38">
        <v>636451.56999999995</v>
      </c>
      <c r="D27" s="37">
        <v>246</v>
      </c>
      <c r="E27" s="38">
        <v>1603032.565159</v>
      </c>
      <c r="F27" s="336"/>
    </row>
    <row r="28" spans="1:6" x14ac:dyDescent="0.2">
      <c r="A28" s="44" t="s">
        <v>436</v>
      </c>
      <c r="B28" s="37">
        <v>91</v>
      </c>
      <c r="C28" s="38">
        <v>4115543.0599999898</v>
      </c>
      <c r="D28" s="37">
        <v>76</v>
      </c>
      <c r="E28" s="38">
        <v>1603339.487551</v>
      </c>
      <c r="F28" s="336"/>
    </row>
    <row r="29" spans="1:6" x14ac:dyDescent="0.2">
      <c r="A29" s="44" t="s">
        <v>444</v>
      </c>
      <c r="B29" s="37">
        <v>79</v>
      </c>
      <c r="C29" s="38">
        <v>3220097.01</v>
      </c>
      <c r="D29" s="37">
        <v>138</v>
      </c>
      <c r="E29" s="38">
        <v>5759591.3099379996</v>
      </c>
      <c r="F29" s="336"/>
    </row>
    <row r="30" spans="1:6" x14ac:dyDescent="0.2">
      <c r="A30" s="44" t="s">
        <v>416</v>
      </c>
      <c r="B30" s="37">
        <v>76</v>
      </c>
      <c r="C30" s="38">
        <v>261510.15</v>
      </c>
      <c r="D30" s="37">
        <v>224</v>
      </c>
      <c r="E30" s="38">
        <v>16080074.512745</v>
      </c>
      <c r="F30" s="336"/>
    </row>
    <row r="31" spans="1:6" x14ac:dyDescent="0.2">
      <c r="A31" s="44" t="s">
        <v>448</v>
      </c>
      <c r="B31" s="37">
        <v>74</v>
      </c>
      <c r="C31" s="38">
        <v>2552213.9</v>
      </c>
      <c r="D31" s="37">
        <v>34</v>
      </c>
      <c r="E31" s="38">
        <v>921655.31721899996</v>
      </c>
      <c r="F31" s="336"/>
    </row>
    <row r="32" spans="1:6" x14ac:dyDescent="0.2">
      <c r="A32" s="44" t="s">
        <v>429</v>
      </c>
      <c r="B32" s="37">
        <v>33</v>
      </c>
      <c r="C32" s="38">
        <v>333584.65999999997</v>
      </c>
      <c r="D32" s="37">
        <v>227</v>
      </c>
      <c r="E32" s="38">
        <v>3612822.9050309998</v>
      </c>
      <c r="F32" s="336"/>
    </row>
    <row r="33" spans="1:6" x14ac:dyDescent="0.2">
      <c r="A33" s="44" t="s">
        <v>415</v>
      </c>
      <c r="B33" s="37">
        <v>17</v>
      </c>
      <c r="C33" s="38">
        <v>12698.78</v>
      </c>
      <c r="D33" s="37">
        <v>260</v>
      </c>
      <c r="E33" s="38">
        <v>3964097.8247469901</v>
      </c>
      <c r="F33" s="336"/>
    </row>
    <row r="34" spans="1:6" x14ac:dyDescent="0.2">
      <c r="A34" s="44" t="s">
        <v>408</v>
      </c>
      <c r="B34" s="37">
        <v>30</v>
      </c>
      <c r="C34" s="38">
        <v>4089375.65</v>
      </c>
      <c r="D34" s="37">
        <v>26</v>
      </c>
      <c r="E34" s="38">
        <v>460208.90334799897</v>
      </c>
      <c r="F34" s="336"/>
    </row>
    <row r="35" spans="1:6" x14ac:dyDescent="0.2">
      <c r="A35" s="44" t="s">
        <v>440</v>
      </c>
      <c r="B35" s="37">
        <v>25</v>
      </c>
      <c r="C35" s="38">
        <v>52790</v>
      </c>
      <c r="D35" s="37">
        <v>6</v>
      </c>
      <c r="E35" s="38">
        <v>19187</v>
      </c>
      <c r="F35" s="336"/>
    </row>
    <row r="36" spans="1:6" x14ac:dyDescent="0.2">
      <c r="A36" s="44" t="s">
        <v>417</v>
      </c>
      <c r="B36" s="37">
        <v>17</v>
      </c>
      <c r="C36" s="38">
        <v>628967.44999999995</v>
      </c>
      <c r="D36" s="37">
        <v>18</v>
      </c>
      <c r="E36" s="38">
        <v>369546</v>
      </c>
      <c r="F36" s="336"/>
    </row>
    <row r="37" spans="1:6" x14ac:dyDescent="0.2">
      <c r="A37" s="44" t="s">
        <v>449</v>
      </c>
      <c r="B37" s="37">
        <v>15</v>
      </c>
      <c r="C37" s="38">
        <v>273830.5</v>
      </c>
      <c r="D37" s="37">
        <v>113</v>
      </c>
      <c r="E37" s="38">
        <v>3835724.6552469898</v>
      </c>
      <c r="F37" s="336"/>
    </row>
    <row r="38" spans="1:6" x14ac:dyDescent="0.2">
      <c r="A38" s="44" t="s">
        <v>427</v>
      </c>
      <c r="B38" s="37">
        <v>15</v>
      </c>
      <c r="C38" s="38">
        <v>153999.75</v>
      </c>
      <c r="D38" s="37">
        <v>31</v>
      </c>
      <c r="E38" s="38">
        <v>147381.58170499999</v>
      </c>
      <c r="F38" s="336"/>
    </row>
    <row r="39" spans="1:6" x14ac:dyDescent="0.2">
      <c r="A39" s="44" t="s">
        <v>430</v>
      </c>
      <c r="B39" s="37">
        <v>5</v>
      </c>
      <c r="C39" s="38">
        <v>10818</v>
      </c>
      <c r="D39" s="37">
        <v>0</v>
      </c>
      <c r="E39" s="38">
        <v>0</v>
      </c>
      <c r="F39" s="336"/>
    </row>
    <row r="40" spans="1:6" x14ac:dyDescent="0.2">
      <c r="A40" s="44" t="s">
        <v>447</v>
      </c>
      <c r="B40" s="37">
        <v>4</v>
      </c>
      <c r="C40" s="38">
        <v>46918.32</v>
      </c>
      <c r="D40" s="37">
        <v>35</v>
      </c>
      <c r="E40" s="38">
        <v>926236.95444999996</v>
      </c>
      <c r="F40" s="336"/>
    </row>
    <row r="41" spans="1:6" x14ac:dyDescent="0.2">
      <c r="A41" s="44" t="s">
        <v>409</v>
      </c>
      <c r="B41" s="37">
        <v>3</v>
      </c>
      <c r="C41" s="38">
        <v>41853.01</v>
      </c>
      <c r="D41" s="37">
        <v>12</v>
      </c>
      <c r="E41" s="38">
        <v>161900.13951000001</v>
      </c>
      <c r="F41" s="336"/>
    </row>
    <row r="42" spans="1:6" x14ac:dyDescent="0.2">
      <c r="A42" s="44" t="s">
        <v>434</v>
      </c>
      <c r="B42" s="37">
        <v>3</v>
      </c>
      <c r="C42" s="38">
        <v>26605</v>
      </c>
      <c r="D42" s="37">
        <v>13</v>
      </c>
      <c r="E42" s="38">
        <v>532437</v>
      </c>
      <c r="F42" s="336"/>
    </row>
    <row r="43" spans="1:6" x14ac:dyDescent="0.2">
      <c r="A43" s="44" t="s">
        <v>450</v>
      </c>
      <c r="B43" s="37">
        <v>2</v>
      </c>
      <c r="C43" s="38">
        <v>5315</v>
      </c>
      <c r="D43" s="37">
        <v>16</v>
      </c>
      <c r="E43" s="38">
        <v>55171</v>
      </c>
      <c r="F43" s="336"/>
    </row>
    <row r="44" spans="1:6" x14ac:dyDescent="0.2">
      <c r="A44" s="44" t="s">
        <v>423</v>
      </c>
      <c r="B44" s="37">
        <v>1</v>
      </c>
      <c r="C44" s="38">
        <v>3533.79</v>
      </c>
      <c r="D44" s="37">
        <v>14</v>
      </c>
      <c r="E44" s="38">
        <v>89174.827097000001</v>
      </c>
      <c r="F44" s="336"/>
    </row>
    <row r="45" spans="1:6" x14ac:dyDescent="0.2">
      <c r="A45" s="44" t="s">
        <v>48</v>
      </c>
      <c r="B45" s="37">
        <v>1</v>
      </c>
      <c r="C45" s="38">
        <v>1400</v>
      </c>
      <c r="D45" s="37">
        <v>0</v>
      </c>
      <c r="E45" s="38">
        <v>0</v>
      </c>
      <c r="F45" s="336"/>
    </row>
    <row r="46" spans="1:6" x14ac:dyDescent="0.2">
      <c r="A46" s="44" t="s">
        <v>452</v>
      </c>
      <c r="B46" s="37">
        <v>1</v>
      </c>
      <c r="C46" s="38">
        <v>343.6</v>
      </c>
      <c r="D46" s="37">
        <v>0</v>
      </c>
      <c r="E46" s="38">
        <v>0</v>
      </c>
      <c r="F46" s="336"/>
    </row>
    <row r="47" spans="1:6" x14ac:dyDescent="0.2">
      <c r="A47" s="44" t="s">
        <v>412</v>
      </c>
      <c r="B47" s="37">
        <v>0</v>
      </c>
      <c r="C47" s="38">
        <v>0</v>
      </c>
      <c r="D47" s="37">
        <v>24</v>
      </c>
      <c r="E47" s="38">
        <v>270556.45263099897</v>
      </c>
      <c r="F47" s="336"/>
    </row>
    <row r="48" spans="1:6" x14ac:dyDescent="0.2">
      <c r="A48" s="44" t="s">
        <v>453</v>
      </c>
      <c r="B48" s="37">
        <v>0</v>
      </c>
      <c r="C48" s="38">
        <v>0</v>
      </c>
      <c r="D48" s="37">
        <v>3</v>
      </c>
      <c r="E48" s="38">
        <v>6615</v>
      </c>
      <c r="F48" s="336"/>
    </row>
    <row r="49" spans="1:6" x14ac:dyDescent="0.2">
      <c r="A49" s="44" t="s">
        <v>435</v>
      </c>
      <c r="B49" s="37">
        <v>0</v>
      </c>
      <c r="C49" s="38">
        <v>0</v>
      </c>
      <c r="D49" s="37">
        <v>5</v>
      </c>
      <c r="E49" s="38">
        <v>894098.82753999997</v>
      </c>
      <c r="F49" s="336"/>
    </row>
    <row r="50" spans="1:6" x14ac:dyDescent="0.2">
      <c r="A50" s="44" t="s">
        <v>457</v>
      </c>
      <c r="B50" s="37">
        <v>0</v>
      </c>
      <c r="C50" s="38">
        <v>0</v>
      </c>
      <c r="D50" s="37">
        <v>3</v>
      </c>
      <c r="E50" s="38">
        <v>11569.301799999999</v>
      </c>
      <c r="F50" s="336"/>
    </row>
    <row r="51" spans="1:6" x14ac:dyDescent="0.2">
      <c r="A51" s="304" t="s">
        <v>269</v>
      </c>
      <c r="B51" s="305"/>
      <c r="C51" s="305"/>
      <c r="D51" s="305"/>
      <c r="E51" s="305"/>
      <c r="F51" s="42"/>
    </row>
    <row r="52" spans="1:6" x14ac:dyDescent="0.2">
      <c r="A52" s="304" t="s">
        <v>270</v>
      </c>
      <c r="B52" s="305"/>
      <c r="C52" s="305"/>
      <c r="D52" s="305"/>
      <c r="E52" s="306"/>
      <c r="F52" s="49"/>
    </row>
    <row r="53" spans="1:6" x14ac:dyDescent="0.2">
      <c r="A53" s="319">
        <v>67711</v>
      </c>
      <c r="B53" s="320"/>
      <c r="C53" s="320"/>
      <c r="D53" s="320"/>
      <c r="E53" s="321"/>
      <c r="F53" s="48"/>
    </row>
    <row r="54" spans="1:6" x14ac:dyDescent="0.2">
      <c r="A54" s="304" t="s">
        <v>271</v>
      </c>
      <c r="B54" s="305"/>
      <c r="C54" s="305"/>
      <c r="D54" s="305"/>
      <c r="E54" s="306"/>
      <c r="F54" s="24"/>
    </row>
    <row r="55" spans="1:6" x14ac:dyDescent="0.2">
      <c r="A55" s="332">
        <v>2496159163.80337</v>
      </c>
      <c r="B55" s="333"/>
      <c r="C55" s="333"/>
      <c r="D55" s="333"/>
      <c r="E55" s="334"/>
      <c r="F55" s="24"/>
    </row>
    <row r="56" spans="1:6" x14ac:dyDescent="0.2">
      <c r="A56" s="304" t="s">
        <v>272</v>
      </c>
      <c r="B56" s="305"/>
      <c r="C56" s="305"/>
      <c r="D56" s="305"/>
      <c r="E56" s="306"/>
      <c r="F56" s="24"/>
    </row>
    <row r="57" spans="1:6" x14ac:dyDescent="0.2">
      <c r="A57" s="319">
        <v>32171</v>
      </c>
      <c r="B57" s="320"/>
      <c r="C57" s="320"/>
      <c r="D57" s="320"/>
      <c r="E57" s="321"/>
      <c r="F57" s="24"/>
    </row>
    <row r="58" spans="1:6" x14ac:dyDescent="0.2">
      <c r="A58" s="304" t="s">
        <v>273</v>
      </c>
      <c r="B58" s="305"/>
      <c r="C58" s="305"/>
      <c r="D58" s="305"/>
      <c r="E58" s="305"/>
      <c r="F58" s="261"/>
    </row>
    <row r="59" spans="1:6" x14ac:dyDescent="0.2">
      <c r="A59" s="46"/>
      <c r="B59" s="337" t="s">
        <v>226</v>
      </c>
      <c r="C59" s="338"/>
      <c r="D59" s="337" t="s">
        <v>246</v>
      </c>
      <c r="E59" s="339"/>
      <c r="F59" s="261"/>
    </row>
    <row r="60" spans="1:6" ht="37.5" x14ac:dyDescent="0.2">
      <c r="A60" s="47" t="s">
        <v>71</v>
      </c>
      <c r="B60" s="47" t="s">
        <v>242</v>
      </c>
      <c r="C60" s="47" t="s">
        <v>247</v>
      </c>
      <c r="D60" s="47" t="s">
        <v>242</v>
      </c>
      <c r="E60" s="47" t="s">
        <v>247</v>
      </c>
      <c r="F60" s="261"/>
    </row>
    <row r="61" spans="1:6" x14ac:dyDescent="0.2">
      <c r="A61" s="117" t="s">
        <v>32</v>
      </c>
      <c r="B61" s="132">
        <v>14983</v>
      </c>
      <c r="C61" s="164">
        <v>850450327.89999902</v>
      </c>
      <c r="D61" s="132">
        <v>57694</v>
      </c>
      <c r="E61" s="134">
        <v>2213097157.16922</v>
      </c>
      <c r="F61" s="261"/>
    </row>
    <row r="62" spans="1:6" x14ac:dyDescent="0.2">
      <c r="A62" s="117" t="s">
        <v>73</v>
      </c>
      <c r="B62" s="132">
        <v>10136</v>
      </c>
      <c r="C62" s="164">
        <v>330460202.70999998</v>
      </c>
      <c r="D62" s="132">
        <v>2367</v>
      </c>
      <c r="E62" s="134">
        <v>65305817.191326</v>
      </c>
      <c r="F62" s="261"/>
    </row>
    <row r="63" spans="1:6" x14ac:dyDescent="0.2">
      <c r="A63" s="117" t="s">
        <v>446</v>
      </c>
      <c r="B63" s="132">
        <v>4675</v>
      </c>
      <c r="C63" s="164">
        <v>95645601.579999894</v>
      </c>
      <c r="D63" s="132">
        <v>3196</v>
      </c>
      <c r="E63" s="134">
        <v>59059657.188805901</v>
      </c>
      <c r="F63" s="261"/>
    </row>
    <row r="64" spans="1:6" x14ac:dyDescent="0.2">
      <c r="A64" s="117" t="s">
        <v>34</v>
      </c>
      <c r="B64" s="132">
        <v>827</v>
      </c>
      <c r="C64" s="164">
        <v>5093282.2</v>
      </c>
      <c r="D64" s="132">
        <v>370</v>
      </c>
      <c r="E64" s="134">
        <v>8775705.7114930004</v>
      </c>
      <c r="F64" s="261"/>
    </row>
    <row r="65" spans="1:6" x14ac:dyDescent="0.2">
      <c r="A65" s="117" t="s">
        <v>445</v>
      </c>
      <c r="B65" s="132">
        <v>591</v>
      </c>
      <c r="C65" s="164">
        <v>10657023.82</v>
      </c>
      <c r="D65" s="132">
        <v>1330</v>
      </c>
      <c r="E65" s="134">
        <v>15980818.41807</v>
      </c>
      <c r="F65" s="261"/>
    </row>
    <row r="66" spans="1:6" x14ac:dyDescent="0.2">
      <c r="A66" s="117" t="s">
        <v>456</v>
      </c>
      <c r="B66" s="132">
        <v>382</v>
      </c>
      <c r="C66" s="164">
        <v>9868286.7399999909</v>
      </c>
      <c r="D66" s="132">
        <v>759</v>
      </c>
      <c r="E66" s="134">
        <v>12499544.261851899</v>
      </c>
      <c r="F66" s="261"/>
    </row>
    <row r="67" spans="1:6" x14ac:dyDescent="0.2">
      <c r="A67" s="117" t="s">
        <v>433</v>
      </c>
      <c r="B67" s="132">
        <v>157</v>
      </c>
      <c r="C67" s="164">
        <v>938786.5</v>
      </c>
      <c r="D67" s="132">
        <v>339</v>
      </c>
      <c r="E67" s="134">
        <v>2927486.2695820001</v>
      </c>
      <c r="F67" s="261"/>
    </row>
    <row r="68" spans="1:6" x14ac:dyDescent="0.2">
      <c r="A68" s="117" t="s">
        <v>90</v>
      </c>
      <c r="B68" s="132">
        <v>88</v>
      </c>
      <c r="C68" s="164">
        <v>488279.24</v>
      </c>
      <c r="D68" s="132">
        <v>213</v>
      </c>
      <c r="E68" s="134">
        <v>6886417.8723099995</v>
      </c>
      <c r="F68" s="261"/>
    </row>
    <row r="69" spans="1:6" x14ac:dyDescent="0.2">
      <c r="A69" s="117" t="s">
        <v>420</v>
      </c>
      <c r="B69" s="132">
        <v>80</v>
      </c>
      <c r="C69" s="164">
        <v>283583.739999999</v>
      </c>
      <c r="D69" s="132">
        <v>230</v>
      </c>
      <c r="E69" s="134">
        <v>6879367.9589050002</v>
      </c>
      <c r="F69" s="261"/>
    </row>
    <row r="70" spans="1:6" x14ac:dyDescent="0.2">
      <c r="A70" s="117" t="s">
        <v>407</v>
      </c>
      <c r="B70" s="132">
        <v>55</v>
      </c>
      <c r="C70" s="164">
        <v>1216436.57</v>
      </c>
      <c r="D70" s="132">
        <v>67</v>
      </c>
      <c r="E70" s="134">
        <v>781202.70489599998</v>
      </c>
      <c r="F70" s="261"/>
    </row>
    <row r="71" spans="1:6" x14ac:dyDescent="0.2">
      <c r="A71" s="117" t="s">
        <v>455</v>
      </c>
      <c r="B71" s="132">
        <v>44</v>
      </c>
      <c r="C71" s="164">
        <v>201931.2</v>
      </c>
      <c r="D71" s="132">
        <v>117</v>
      </c>
      <c r="E71" s="134">
        <v>1428878.027366</v>
      </c>
      <c r="F71" s="261"/>
    </row>
    <row r="72" spans="1:6" x14ac:dyDescent="0.2">
      <c r="A72" s="117" t="s">
        <v>443</v>
      </c>
      <c r="B72" s="132">
        <v>38</v>
      </c>
      <c r="C72" s="164">
        <v>2053118.55</v>
      </c>
      <c r="D72" s="132">
        <v>312</v>
      </c>
      <c r="E72" s="134">
        <v>82040639.725118995</v>
      </c>
      <c r="F72" s="261"/>
    </row>
    <row r="73" spans="1:6" x14ac:dyDescent="0.2">
      <c r="A73" s="117" t="s">
        <v>429</v>
      </c>
      <c r="B73" s="132">
        <v>33</v>
      </c>
      <c r="C73" s="164">
        <v>333584.65999999997</v>
      </c>
      <c r="D73" s="132">
        <v>227</v>
      </c>
      <c r="E73" s="134">
        <v>3612822.9050309998</v>
      </c>
      <c r="F73" s="261"/>
    </row>
    <row r="74" spans="1:6" x14ac:dyDescent="0.2">
      <c r="A74" s="117" t="s">
        <v>454</v>
      </c>
      <c r="B74" s="132">
        <v>28</v>
      </c>
      <c r="C74" s="164">
        <v>311477.28999999998</v>
      </c>
      <c r="D74" s="132">
        <v>23</v>
      </c>
      <c r="E74" s="134">
        <v>1404919.825745</v>
      </c>
      <c r="F74" s="261"/>
    </row>
    <row r="75" spans="1:6" x14ac:dyDescent="0.2">
      <c r="A75" s="117" t="s">
        <v>415</v>
      </c>
      <c r="B75" s="132">
        <v>17</v>
      </c>
      <c r="C75" s="164">
        <v>12698.78</v>
      </c>
      <c r="D75" s="132">
        <v>260</v>
      </c>
      <c r="E75" s="134">
        <v>3964097.8247469999</v>
      </c>
      <c r="F75" s="261"/>
    </row>
    <row r="76" spans="1:6" x14ac:dyDescent="0.2">
      <c r="A76" s="117" t="s">
        <v>413</v>
      </c>
      <c r="B76" s="132">
        <v>16</v>
      </c>
      <c r="C76" s="164">
        <v>31178.5</v>
      </c>
      <c r="D76" s="132">
        <v>57</v>
      </c>
      <c r="E76" s="134">
        <v>1236603</v>
      </c>
      <c r="F76" s="261"/>
    </row>
    <row r="77" spans="1:6" x14ac:dyDescent="0.2">
      <c r="A77" s="117" t="s">
        <v>439</v>
      </c>
      <c r="B77" s="132">
        <v>6</v>
      </c>
      <c r="C77" s="164">
        <v>14798</v>
      </c>
      <c r="D77" s="132">
        <v>26</v>
      </c>
      <c r="E77" s="134">
        <v>655459.17011099996</v>
      </c>
      <c r="F77" s="261"/>
    </row>
    <row r="78" spans="1:6" x14ac:dyDescent="0.2">
      <c r="A78" s="117" t="s">
        <v>434</v>
      </c>
      <c r="B78" s="132">
        <v>3</v>
      </c>
      <c r="C78" s="164">
        <v>26605</v>
      </c>
      <c r="D78" s="132">
        <v>13</v>
      </c>
      <c r="E78" s="134">
        <v>532437</v>
      </c>
      <c r="F78" s="261"/>
    </row>
    <row r="79" spans="1:6" x14ac:dyDescent="0.2">
      <c r="A79" s="117" t="s">
        <v>431</v>
      </c>
      <c r="B79" s="132">
        <v>3</v>
      </c>
      <c r="C79" s="164">
        <v>75000</v>
      </c>
      <c r="D79" s="132">
        <v>16</v>
      </c>
      <c r="E79" s="134">
        <v>4579485.3586170003</v>
      </c>
      <c r="F79" s="261"/>
    </row>
    <row r="80" spans="1:6" x14ac:dyDescent="0.2">
      <c r="A80" s="117" t="s">
        <v>411</v>
      </c>
      <c r="B80" s="132">
        <v>2</v>
      </c>
      <c r="C80" s="164">
        <v>7337.2</v>
      </c>
      <c r="D80" s="132">
        <v>4</v>
      </c>
      <c r="E80" s="134">
        <v>16601.1369009999</v>
      </c>
      <c r="F80" s="261"/>
    </row>
    <row r="81" spans="1:6" x14ac:dyDescent="0.2">
      <c r="A81" s="117" t="s">
        <v>421</v>
      </c>
      <c r="B81" s="132">
        <v>2</v>
      </c>
      <c r="C81" s="164">
        <v>37206</v>
      </c>
      <c r="D81" s="132">
        <v>23</v>
      </c>
      <c r="E81" s="134">
        <v>1149949.35968</v>
      </c>
      <c r="F81" s="261"/>
    </row>
    <row r="82" spans="1:6" x14ac:dyDescent="0.2">
      <c r="A82" s="117" t="s">
        <v>437</v>
      </c>
      <c r="B82" s="132">
        <v>2</v>
      </c>
      <c r="C82" s="164">
        <v>15891.89</v>
      </c>
      <c r="D82" s="132">
        <v>2</v>
      </c>
      <c r="E82" s="134">
        <v>16500</v>
      </c>
      <c r="F82" s="261"/>
    </row>
    <row r="83" spans="1:6" x14ac:dyDescent="0.2">
      <c r="A83" s="117" t="s">
        <v>423</v>
      </c>
      <c r="B83" s="132">
        <v>1</v>
      </c>
      <c r="C83" s="164">
        <v>3533.79</v>
      </c>
      <c r="D83" s="132">
        <v>14</v>
      </c>
      <c r="E83" s="134">
        <v>89174.827097000001</v>
      </c>
      <c r="F83" s="261"/>
    </row>
    <row r="84" spans="1:6" x14ac:dyDescent="0.2">
      <c r="A84" s="117" t="s">
        <v>48</v>
      </c>
      <c r="B84" s="132">
        <v>1</v>
      </c>
      <c r="C84" s="164">
        <v>1400</v>
      </c>
      <c r="D84" s="132">
        <v>0</v>
      </c>
      <c r="E84" s="134">
        <v>0</v>
      </c>
      <c r="F84" s="261"/>
    </row>
    <row r="85" spans="1:6" x14ac:dyDescent="0.2">
      <c r="A85" s="117" t="s">
        <v>414</v>
      </c>
      <c r="B85" s="132">
        <v>1</v>
      </c>
      <c r="C85" s="164">
        <v>615</v>
      </c>
      <c r="D85" s="132">
        <v>1</v>
      </c>
      <c r="E85" s="134">
        <v>941</v>
      </c>
      <c r="F85" s="261"/>
    </row>
    <row r="86" spans="1:6" x14ac:dyDescent="0.2">
      <c r="A86" s="117" t="s">
        <v>426</v>
      </c>
      <c r="B86" s="132">
        <v>0</v>
      </c>
      <c r="C86" s="164">
        <v>0</v>
      </c>
      <c r="D86" s="132">
        <v>40</v>
      </c>
      <c r="E86" s="134">
        <v>2325196.7671579998</v>
      </c>
      <c r="F86" s="261"/>
    </row>
    <row r="87" spans="1:6" x14ac:dyDescent="0.2">
      <c r="A87" s="117" t="s">
        <v>435</v>
      </c>
      <c r="B87" s="132">
        <v>0</v>
      </c>
      <c r="C87" s="164">
        <v>0</v>
      </c>
      <c r="D87" s="132">
        <v>5</v>
      </c>
      <c r="E87" s="134">
        <v>894098.82753999997</v>
      </c>
      <c r="F87" s="261"/>
    </row>
    <row r="88" spans="1:6" x14ac:dyDescent="0.2">
      <c r="A88" s="117" t="s">
        <v>453</v>
      </c>
      <c r="B88" s="132">
        <v>0</v>
      </c>
      <c r="C88" s="164">
        <v>0</v>
      </c>
      <c r="D88" s="132">
        <v>3</v>
      </c>
      <c r="E88" s="134">
        <v>6615</v>
      </c>
      <c r="F88" s="261"/>
    </row>
    <row r="89" spans="1:6" x14ac:dyDescent="0.2">
      <c r="A89" s="117" t="s">
        <v>457</v>
      </c>
      <c r="B89" s="132">
        <v>0</v>
      </c>
      <c r="C89" s="164">
        <v>0</v>
      </c>
      <c r="D89" s="132">
        <v>3</v>
      </c>
      <c r="E89" s="134">
        <v>11569.301799999999</v>
      </c>
      <c r="F89" s="261"/>
    </row>
    <row r="90" spans="1:6" x14ac:dyDescent="0.2">
      <c r="A90" s="304" t="s">
        <v>274</v>
      </c>
      <c r="B90" s="305"/>
      <c r="C90" s="305"/>
      <c r="D90" s="305"/>
      <c r="E90" s="305"/>
      <c r="F90" s="43"/>
    </row>
    <row r="91" spans="1:6" x14ac:dyDescent="0.2">
      <c r="A91" s="304" t="s">
        <v>275</v>
      </c>
      <c r="B91" s="305"/>
      <c r="C91" s="305"/>
      <c r="D91" s="305"/>
      <c r="E91" s="305"/>
      <c r="F91" s="50"/>
    </row>
    <row r="92" spans="1:6" x14ac:dyDescent="0.2">
      <c r="A92" s="304" t="s">
        <v>270</v>
      </c>
      <c r="B92" s="305"/>
      <c r="C92" s="305"/>
      <c r="D92" s="305"/>
      <c r="E92" s="306"/>
      <c r="F92" s="263"/>
    </row>
    <row r="93" spans="1:6" x14ac:dyDescent="0.2">
      <c r="A93" s="47" t="s">
        <v>18</v>
      </c>
      <c r="B93" s="47" t="s">
        <v>71</v>
      </c>
      <c r="C93" s="2" t="s">
        <v>276</v>
      </c>
      <c r="D93" s="310"/>
      <c r="E93" s="311"/>
      <c r="F93" s="263"/>
    </row>
    <row r="94" spans="1:6" x14ac:dyDescent="0.2">
      <c r="A94" s="135" t="s">
        <v>30</v>
      </c>
      <c r="B94" s="136" t="s">
        <v>29</v>
      </c>
      <c r="C94" s="137">
        <v>1155527</v>
      </c>
      <c r="D94" s="312"/>
      <c r="E94" s="313"/>
      <c r="F94" s="263"/>
    </row>
    <row r="95" spans="1:6" x14ac:dyDescent="0.2">
      <c r="A95" s="135" t="s">
        <v>52</v>
      </c>
      <c r="B95" s="136" t="s">
        <v>51</v>
      </c>
      <c r="C95" s="137">
        <v>466438</v>
      </c>
      <c r="D95" s="312"/>
      <c r="E95" s="313"/>
      <c r="F95" s="263"/>
    </row>
    <row r="96" spans="1:6" x14ac:dyDescent="0.2">
      <c r="A96" s="135" t="s">
        <v>28</v>
      </c>
      <c r="B96" s="136" t="s">
        <v>27</v>
      </c>
      <c r="C96" s="137">
        <v>418358</v>
      </c>
      <c r="D96" s="312"/>
      <c r="E96" s="313"/>
      <c r="F96" s="263"/>
    </row>
    <row r="97" spans="1:6" x14ac:dyDescent="0.2">
      <c r="A97" s="135" t="s">
        <v>23</v>
      </c>
      <c r="B97" s="136" t="s">
        <v>22</v>
      </c>
      <c r="C97" s="137">
        <v>218878</v>
      </c>
      <c r="D97" s="312"/>
      <c r="E97" s="313"/>
      <c r="F97" s="263"/>
    </row>
    <row r="98" spans="1:6" x14ac:dyDescent="0.2">
      <c r="A98" s="135" t="s">
        <v>46</v>
      </c>
      <c r="B98" s="136" t="s">
        <v>45</v>
      </c>
      <c r="C98" s="137">
        <v>186787</v>
      </c>
      <c r="D98" s="312"/>
      <c r="E98" s="313"/>
      <c r="F98" s="263"/>
    </row>
    <row r="99" spans="1:6" x14ac:dyDescent="0.2">
      <c r="A99" s="135" t="s">
        <v>32</v>
      </c>
      <c r="B99" s="136" t="s">
        <v>31</v>
      </c>
      <c r="C99" s="137">
        <v>30807</v>
      </c>
      <c r="D99" s="312"/>
      <c r="E99" s="313"/>
      <c r="F99" s="263"/>
    </row>
    <row r="100" spans="1:6" x14ac:dyDescent="0.2">
      <c r="A100" s="135" t="s">
        <v>21</v>
      </c>
      <c r="B100" s="136" t="s">
        <v>20</v>
      </c>
      <c r="C100" s="137">
        <v>20533</v>
      </c>
      <c r="D100" s="312"/>
      <c r="E100" s="313"/>
      <c r="F100" s="263"/>
    </row>
    <row r="101" spans="1:6" x14ac:dyDescent="0.2">
      <c r="A101" s="135" t="s">
        <v>50</v>
      </c>
      <c r="B101" s="136" t="s">
        <v>49</v>
      </c>
      <c r="C101" s="137">
        <v>4444</v>
      </c>
      <c r="D101" s="312"/>
      <c r="E101" s="313"/>
      <c r="F101" s="263"/>
    </row>
    <row r="102" spans="1:6" x14ac:dyDescent="0.2">
      <c r="A102" s="135" t="s">
        <v>54</v>
      </c>
      <c r="B102" s="136" t="s">
        <v>53</v>
      </c>
      <c r="C102" s="137">
        <v>2586</v>
      </c>
      <c r="D102" s="312"/>
      <c r="E102" s="313"/>
      <c r="F102" s="263"/>
    </row>
    <row r="103" spans="1:6" x14ac:dyDescent="0.2">
      <c r="A103" s="135" t="s">
        <v>48</v>
      </c>
      <c r="B103" s="136" t="s">
        <v>47</v>
      </c>
      <c r="C103" s="176">
        <v>0</v>
      </c>
      <c r="D103" s="314"/>
      <c r="E103" s="315"/>
      <c r="F103" s="263"/>
    </row>
    <row r="104" spans="1:6" x14ac:dyDescent="0.2">
      <c r="A104" s="304" t="s">
        <v>266</v>
      </c>
      <c r="B104" s="305"/>
      <c r="C104" s="305"/>
      <c r="D104" s="305"/>
      <c r="E104" s="306"/>
      <c r="F104" s="316"/>
    </row>
    <row r="105" spans="1:6" x14ac:dyDescent="0.2">
      <c r="A105" s="47" t="s">
        <v>277</v>
      </c>
      <c r="B105" s="47" t="s">
        <v>277</v>
      </c>
      <c r="C105" s="2" t="s">
        <v>247</v>
      </c>
      <c r="D105" s="310"/>
      <c r="E105" s="311"/>
      <c r="F105" s="317"/>
    </row>
    <row r="106" spans="1:6" x14ac:dyDescent="0.2">
      <c r="A106" s="135" t="s">
        <v>52</v>
      </c>
      <c r="B106" s="136" t="s">
        <v>51</v>
      </c>
      <c r="C106" s="133">
        <v>1009857462.7431999</v>
      </c>
      <c r="D106" s="312"/>
      <c r="E106" s="313"/>
      <c r="F106" s="317"/>
    </row>
    <row r="107" spans="1:6" x14ac:dyDescent="0.2">
      <c r="A107" s="135" t="s">
        <v>30</v>
      </c>
      <c r="B107" s="136" t="s">
        <v>29</v>
      </c>
      <c r="C107" s="133">
        <v>674622875.13265705</v>
      </c>
      <c r="D107" s="312"/>
      <c r="E107" s="313"/>
      <c r="F107" s="317"/>
    </row>
    <row r="108" spans="1:6" x14ac:dyDescent="0.2">
      <c r="A108" s="135" t="s">
        <v>28</v>
      </c>
      <c r="B108" s="136" t="s">
        <v>27</v>
      </c>
      <c r="C108" s="133">
        <v>561463638.41363394</v>
      </c>
      <c r="D108" s="312"/>
      <c r="E108" s="313"/>
      <c r="F108" s="317"/>
    </row>
    <row r="109" spans="1:6" x14ac:dyDescent="0.2">
      <c r="A109" s="135" t="s">
        <v>46</v>
      </c>
      <c r="B109" s="136" t="s">
        <v>45</v>
      </c>
      <c r="C109" s="133">
        <v>524742673.89823902</v>
      </c>
      <c r="D109" s="312"/>
      <c r="E109" s="313"/>
      <c r="F109" s="317"/>
    </row>
    <row r="110" spans="1:6" x14ac:dyDescent="0.2">
      <c r="A110" s="135" t="s">
        <v>23</v>
      </c>
      <c r="B110" s="136" t="s">
        <v>22</v>
      </c>
      <c r="C110" s="133">
        <v>491443851.029935</v>
      </c>
      <c r="D110" s="312"/>
      <c r="E110" s="313"/>
      <c r="F110" s="317"/>
    </row>
    <row r="111" spans="1:6" x14ac:dyDescent="0.2">
      <c r="A111" s="135" t="s">
        <v>32</v>
      </c>
      <c r="B111" s="136" t="s">
        <v>31</v>
      </c>
      <c r="C111" s="133">
        <v>408962208.28592098</v>
      </c>
      <c r="D111" s="312"/>
      <c r="E111" s="313"/>
      <c r="F111" s="317"/>
    </row>
    <row r="112" spans="1:6" x14ac:dyDescent="0.2">
      <c r="A112" s="135" t="s">
        <v>21</v>
      </c>
      <c r="B112" s="136" t="s">
        <v>20</v>
      </c>
      <c r="C112" s="133">
        <v>179560966.036939</v>
      </c>
      <c r="D112" s="312"/>
      <c r="E112" s="313"/>
      <c r="F112" s="317"/>
    </row>
    <row r="113" spans="1:6" x14ac:dyDescent="0.2">
      <c r="A113" s="135" t="s">
        <v>50</v>
      </c>
      <c r="B113" s="136" t="s">
        <v>49</v>
      </c>
      <c r="C113" s="133">
        <v>36789621.438060999</v>
      </c>
      <c r="D113" s="312"/>
      <c r="E113" s="313"/>
      <c r="F113" s="317"/>
    </row>
    <row r="114" spans="1:6" x14ac:dyDescent="0.2">
      <c r="A114" s="135" t="s">
        <v>54</v>
      </c>
      <c r="B114" s="136" t="s">
        <v>53</v>
      </c>
      <c r="C114" s="133">
        <v>18655786.89316</v>
      </c>
      <c r="D114" s="312"/>
      <c r="E114" s="313"/>
      <c r="F114" s="317"/>
    </row>
    <row r="115" spans="1:6" x14ac:dyDescent="0.2">
      <c r="A115" s="135" t="s">
        <v>48</v>
      </c>
      <c r="B115" s="136" t="s">
        <v>47</v>
      </c>
      <c r="C115" s="133">
        <v>0</v>
      </c>
      <c r="D115" s="314"/>
      <c r="E115" s="315"/>
      <c r="F115" s="318"/>
    </row>
    <row r="116" spans="1:6" x14ac:dyDescent="0.2">
      <c r="A116" s="304" t="s">
        <v>278</v>
      </c>
      <c r="B116" s="305"/>
      <c r="C116" s="305"/>
      <c r="D116" s="305"/>
      <c r="E116" s="306"/>
      <c r="F116" s="307"/>
    </row>
    <row r="117" spans="1:6" x14ac:dyDescent="0.2">
      <c r="A117" s="47" t="s">
        <v>277</v>
      </c>
      <c r="B117" s="47" t="s">
        <v>277</v>
      </c>
      <c r="C117" s="2" t="s">
        <v>279</v>
      </c>
      <c r="D117" s="310"/>
      <c r="E117" s="311"/>
      <c r="F117" s="309"/>
    </row>
    <row r="118" spans="1:6" x14ac:dyDescent="0.2">
      <c r="A118" s="135" t="s">
        <v>52</v>
      </c>
      <c r="B118" s="136" t="s">
        <v>51</v>
      </c>
      <c r="C118" s="137">
        <v>1575864</v>
      </c>
      <c r="D118" s="312"/>
      <c r="E118" s="313"/>
      <c r="F118" s="309"/>
    </row>
    <row r="119" spans="1:6" x14ac:dyDescent="0.2">
      <c r="A119" s="135" t="s">
        <v>28</v>
      </c>
      <c r="B119" s="136" t="s">
        <v>27</v>
      </c>
      <c r="C119" s="137">
        <v>734327</v>
      </c>
      <c r="D119" s="312"/>
      <c r="E119" s="313"/>
      <c r="F119" s="309"/>
    </row>
    <row r="120" spans="1:6" x14ac:dyDescent="0.2">
      <c r="A120" s="135" t="s">
        <v>30</v>
      </c>
      <c r="B120" s="136" t="s">
        <v>29</v>
      </c>
      <c r="C120" s="137">
        <v>310695</v>
      </c>
      <c r="D120" s="312"/>
      <c r="E120" s="313"/>
      <c r="F120" s="309"/>
    </row>
    <row r="121" spans="1:6" x14ac:dyDescent="0.2">
      <c r="A121" s="135" t="s">
        <v>23</v>
      </c>
      <c r="B121" s="136" t="s">
        <v>22</v>
      </c>
      <c r="C121" s="137">
        <v>82428</v>
      </c>
      <c r="D121" s="312"/>
      <c r="E121" s="313"/>
      <c r="F121" s="309"/>
    </row>
    <row r="122" spans="1:6" x14ac:dyDescent="0.2">
      <c r="A122" s="135" t="s">
        <v>46</v>
      </c>
      <c r="B122" s="136" t="s">
        <v>45</v>
      </c>
      <c r="C122" s="137">
        <v>14875</v>
      </c>
      <c r="D122" s="312"/>
      <c r="E122" s="313"/>
      <c r="F122" s="309"/>
    </row>
    <row r="123" spans="1:6" x14ac:dyDescent="0.2">
      <c r="A123" s="135" t="s">
        <v>32</v>
      </c>
      <c r="B123" s="136" t="s">
        <v>31</v>
      </c>
      <c r="C123" s="137">
        <v>4935</v>
      </c>
      <c r="D123" s="312"/>
      <c r="E123" s="313"/>
      <c r="F123" s="309"/>
    </row>
    <row r="124" spans="1:6" x14ac:dyDescent="0.2">
      <c r="A124" s="135" t="s">
        <v>21</v>
      </c>
      <c r="B124" s="136" t="s">
        <v>20</v>
      </c>
      <c r="C124" s="137">
        <v>3807</v>
      </c>
      <c r="D124" s="312"/>
      <c r="E124" s="313"/>
      <c r="F124" s="309"/>
    </row>
    <row r="125" spans="1:6" x14ac:dyDescent="0.2">
      <c r="A125" s="135" t="s">
        <v>50</v>
      </c>
      <c r="B125" s="136" t="s">
        <v>49</v>
      </c>
      <c r="C125" s="137">
        <v>1417</v>
      </c>
      <c r="D125" s="312"/>
      <c r="E125" s="313"/>
      <c r="F125" s="309"/>
    </row>
    <row r="126" spans="1:6" x14ac:dyDescent="0.2">
      <c r="A126" s="135" t="s">
        <v>54</v>
      </c>
      <c r="B126" s="136" t="s">
        <v>53</v>
      </c>
      <c r="C126" s="137">
        <v>1092</v>
      </c>
      <c r="D126" s="312"/>
      <c r="E126" s="313"/>
      <c r="F126" s="309"/>
    </row>
    <row r="127" spans="1:6" x14ac:dyDescent="0.2">
      <c r="A127" s="135" t="s">
        <v>48</v>
      </c>
      <c r="B127" s="136" t="s">
        <v>47</v>
      </c>
      <c r="C127" s="137">
        <v>1</v>
      </c>
      <c r="D127" s="314"/>
      <c r="E127" s="315"/>
      <c r="F127" s="308"/>
    </row>
    <row r="128" spans="1:6" x14ac:dyDescent="0.2">
      <c r="A128" s="304" t="s">
        <v>280</v>
      </c>
      <c r="B128" s="305"/>
      <c r="C128" s="305"/>
      <c r="D128" s="305"/>
      <c r="E128" s="306"/>
      <c r="F128" s="261"/>
    </row>
    <row r="129" spans="1:6" x14ac:dyDescent="0.2">
      <c r="A129" s="36"/>
      <c r="B129" s="330" t="s">
        <v>246</v>
      </c>
      <c r="C129" s="331"/>
      <c r="D129" s="330" t="s">
        <v>226</v>
      </c>
      <c r="E129" s="331"/>
      <c r="F129" s="261"/>
    </row>
    <row r="130" spans="1:6" x14ac:dyDescent="0.2">
      <c r="A130" s="2" t="s">
        <v>18</v>
      </c>
      <c r="B130" s="2" t="s">
        <v>281</v>
      </c>
      <c r="C130" s="2" t="s">
        <v>247</v>
      </c>
      <c r="D130" s="2" t="s">
        <v>281</v>
      </c>
      <c r="E130" s="2" t="s">
        <v>247</v>
      </c>
      <c r="F130" s="261"/>
    </row>
    <row r="131" spans="1:6" x14ac:dyDescent="0.2">
      <c r="A131" s="117" t="s">
        <v>30</v>
      </c>
      <c r="B131" s="138">
        <v>1405570</v>
      </c>
      <c r="C131" s="139">
        <v>674622875.13265705</v>
      </c>
      <c r="D131" s="138">
        <v>310695</v>
      </c>
      <c r="E131" s="139">
        <v>274962445.21999902</v>
      </c>
      <c r="F131" s="261"/>
    </row>
    <row r="132" spans="1:6" x14ac:dyDescent="0.2">
      <c r="A132" s="117" t="s">
        <v>28</v>
      </c>
      <c r="B132" s="138">
        <v>832904</v>
      </c>
      <c r="C132" s="139">
        <v>561463638.41363394</v>
      </c>
      <c r="D132" s="138">
        <v>734327</v>
      </c>
      <c r="E132" s="139">
        <v>325555448.08999902</v>
      </c>
      <c r="F132" s="261"/>
    </row>
    <row r="133" spans="1:6" x14ac:dyDescent="0.2">
      <c r="A133" s="117" t="s">
        <v>52</v>
      </c>
      <c r="B133" s="138">
        <v>735276</v>
      </c>
      <c r="C133" s="139">
        <v>1009857462.7431999</v>
      </c>
      <c r="D133" s="138">
        <v>1575864</v>
      </c>
      <c r="E133" s="139">
        <v>529319705.699992</v>
      </c>
      <c r="F133" s="261"/>
    </row>
    <row r="134" spans="1:6" x14ac:dyDescent="0.2">
      <c r="A134" s="117" t="s">
        <v>23</v>
      </c>
      <c r="B134" s="138">
        <v>289589</v>
      </c>
      <c r="C134" s="139">
        <v>491443851.029935</v>
      </c>
      <c r="D134" s="138">
        <v>82428</v>
      </c>
      <c r="E134" s="139">
        <v>259501048.22999901</v>
      </c>
      <c r="F134" s="261"/>
    </row>
    <row r="135" spans="1:6" x14ac:dyDescent="0.2">
      <c r="A135" s="117" t="s">
        <v>46</v>
      </c>
      <c r="B135" s="138">
        <v>218515</v>
      </c>
      <c r="C135" s="139">
        <v>524742673.89823902</v>
      </c>
      <c r="D135" s="138">
        <v>14875</v>
      </c>
      <c r="E135" s="139">
        <v>123580639.18000001</v>
      </c>
      <c r="F135" s="261"/>
    </row>
    <row r="136" spans="1:6" x14ac:dyDescent="0.2">
      <c r="A136" s="117" t="s">
        <v>32</v>
      </c>
      <c r="B136" s="138">
        <v>57694</v>
      </c>
      <c r="C136" s="139">
        <v>408962208.28592098</v>
      </c>
      <c r="D136" s="138">
        <v>4935</v>
      </c>
      <c r="E136" s="139">
        <v>69843935.589999899</v>
      </c>
      <c r="F136" s="261"/>
    </row>
    <row r="137" spans="1:6" x14ac:dyDescent="0.2">
      <c r="A137" s="117" t="s">
        <v>21</v>
      </c>
      <c r="B137" s="138">
        <v>26320</v>
      </c>
      <c r="C137" s="139">
        <v>179560966.036939</v>
      </c>
      <c r="D137" s="138">
        <v>3807</v>
      </c>
      <c r="E137" s="139">
        <v>55635526.769999899</v>
      </c>
      <c r="F137" s="261"/>
    </row>
    <row r="138" spans="1:6" x14ac:dyDescent="0.2">
      <c r="A138" s="117" t="s">
        <v>50</v>
      </c>
      <c r="B138" s="138">
        <v>7545</v>
      </c>
      <c r="C138" s="139">
        <v>36789621.438060999</v>
      </c>
      <c r="D138" s="138">
        <v>1417</v>
      </c>
      <c r="E138" s="139">
        <v>25684651.599999901</v>
      </c>
      <c r="F138" s="261"/>
    </row>
    <row r="139" spans="1:6" x14ac:dyDescent="0.2">
      <c r="A139" s="117" t="s">
        <v>54</v>
      </c>
      <c r="B139" s="138">
        <v>3277</v>
      </c>
      <c r="C139" s="139">
        <v>18655786.89316</v>
      </c>
      <c r="D139" s="138">
        <v>1092</v>
      </c>
      <c r="E139" s="139">
        <v>26594133.759999901</v>
      </c>
      <c r="F139" s="261"/>
    </row>
    <row r="140" spans="1:6" x14ac:dyDescent="0.2">
      <c r="A140" s="117" t="s">
        <v>48</v>
      </c>
      <c r="B140" s="138">
        <v>0</v>
      </c>
      <c r="C140" s="139">
        <v>0</v>
      </c>
      <c r="D140" s="138">
        <v>1</v>
      </c>
      <c r="E140" s="139">
        <v>1400</v>
      </c>
      <c r="F140" s="261"/>
    </row>
    <row r="141" spans="1:6" x14ac:dyDescent="0.2">
      <c r="A141" s="292" t="s">
        <v>282</v>
      </c>
      <c r="B141" s="293"/>
      <c r="C141" s="293"/>
      <c r="D141" s="293"/>
      <c r="E141" s="293"/>
      <c r="F141" s="22"/>
    </row>
    <row r="142" spans="1:6" x14ac:dyDescent="0.2">
      <c r="A142" s="292" t="s">
        <v>270</v>
      </c>
      <c r="B142" s="293"/>
      <c r="C142" s="293"/>
      <c r="D142" s="293"/>
      <c r="E142" s="294"/>
      <c r="F142" s="291"/>
    </row>
    <row r="143" spans="1:6" x14ac:dyDescent="0.2">
      <c r="A143" s="2" t="s">
        <v>218</v>
      </c>
      <c r="B143" s="2" t="s">
        <v>283</v>
      </c>
      <c r="C143" s="295"/>
      <c r="D143" s="296"/>
      <c r="E143" s="297"/>
      <c r="F143" s="291"/>
    </row>
    <row r="144" spans="1:6" x14ac:dyDescent="0.2">
      <c r="A144" s="140" t="s">
        <v>28</v>
      </c>
      <c r="B144" s="141">
        <v>427736</v>
      </c>
      <c r="C144" s="298"/>
      <c r="D144" s="299"/>
      <c r="E144" s="300"/>
      <c r="F144" s="291"/>
    </row>
    <row r="145" spans="1:6" x14ac:dyDescent="0.2">
      <c r="A145" s="140" t="s">
        <v>52</v>
      </c>
      <c r="B145" s="141">
        <v>276002</v>
      </c>
      <c r="C145" s="298"/>
      <c r="D145" s="299"/>
      <c r="E145" s="300"/>
      <c r="F145" s="291"/>
    </row>
    <row r="146" spans="1:6" x14ac:dyDescent="0.2">
      <c r="A146" s="140" t="s">
        <v>30</v>
      </c>
      <c r="B146" s="141">
        <v>256853</v>
      </c>
      <c r="C146" s="298"/>
      <c r="D146" s="299"/>
      <c r="E146" s="300"/>
      <c r="F146" s="291"/>
    </row>
    <row r="147" spans="1:6" x14ac:dyDescent="0.2">
      <c r="A147" s="140" t="s">
        <v>23</v>
      </c>
      <c r="B147" s="141">
        <v>72624</v>
      </c>
      <c r="C147" s="298"/>
      <c r="D147" s="299"/>
      <c r="E147" s="300"/>
      <c r="F147" s="291"/>
    </row>
    <row r="148" spans="1:6" x14ac:dyDescent="0.2">
      <c r="A148" s="140" t="s">
        <v>46</v>
      </c>
      <c r="B148" s="141">
        <v>32958</v>
      </c>
      <c r="C148" s="298"/>
      <c r="D148" s="299"/>
      <c r="E148" s="300"/>
      <c r="F148" s="291"/>
    </row>
    <row r="149" spans="1:6" x14ac:dyDescent="0.2">
      <c r="A149" s="140" t="s">
        <v>32</v>
      </c>
      <c r="B149" s="141">
        <v>28523</v>
      </c>
      <c r="C149" s="298"/>
      <c r="D149" s="299"/>
      <c r="E149" s="300"/>
      <c r="F149" s="291"/>
    </row>
    <row r="150" spans="1:6" x14ac:dyDescent="0.2">
      <c r="A150" s="140" t="s">
        <v>21</v>
      </c>
      <c r="B150" s="141">
        <v>6642</v>
      </c>
      <c r="C150" s="298"/>
      <c r="D150" s="299"/>
      <c r="E150" s="300"/>
      <c r="F150" s="291"/>
    </row>
    <row r="151" spans="1:6" x14ac:dyDescent="0.2">
      <c r="A151" s="140" t="s">
        <v>50</v>
      </c>
      <c r="B151" s="141">
        <v>3407</v>
      </c>
      <c r="C151" s="298"/>
      <c r="D151" s="299"/>
      <c r="E151" s="300"/>
      <c r="F151" s="291"/>
    </row>
    <row r="152" spans="1:6" x14ac:dyDescent="0.2">
      <c r="A152" s="140" t="s">
        <v>54</v>
      </c>
      <c r="B152" s="141">
        <v>730</v>
      </c>
      <c r="C152" s="298"/>
      <c r="D152" s="299"/>
      <c r="E152" s="300"/>
      <c r="F152" s="291"/>
    </row>
    <row r="153" spans="1:6" x14ac:dyDescent="0.2">
      <c r="A153" s="140" t="s">
        <v>48</v>
      </c>
      <c r="B153" s="141">
        <v>0</v>
      </c>
      <c r="C153" s="301"/>
      <c r="D153" s="302"/>
      <c r="E153" s="303"/>
      <c r="F153" s="291"/>
    </row>
    <row r="154" spans="1:6" x14ac:dyDescent="0.2">
      <c r="A154" s="292" t="s">
        <v>266</v>
      </c>
      <c r="B154" s="293"/>
      <c r="C154" s="293"/>
      <c r="D154" s="293"/>
      <c r="E154" s="294"/>
      <c r="F154" s="261"/>
    </row>
    <row r="155" spans="1:6" x14ac:dyDescent="0.2">
      <c r="A155" s="2" t="s">
        <v>218</v>
      </c>
      <c r="B155" s="2" t="s">
        <v>283</v>
      </c>
      <c r="C155" s="295"/>
      <c r="D155" s="296"/>
      <c r="E155" s="297"/>
      <c r="F155" s="261"/>
    </row>
    <row r="156" spans="1:6" x14ac:dyDescent="0.2">
      <c r="A156" s="140" t="s">
        <v>28</v>
      </c>
      <c r="B156" s="142">
        <v>12740738374.172501</v>
      </c>
      <c r="C156" s="298"/>
      <c r="D156" s="299"/>
      <c r="E156" s="300"/>
      <c r="F156" s="261"/>
    </row>
    <row r="157" spans="1:6" x14ac:dyDescent="0.2">
      <c r="A157" s="140" t="s">
        <v>52</v>
      </c>
      <c r="B157" s="142">
        <v>9678449673.3297901</v>
      </c>
      <c r="C157" s="298"/>
      <c r="D157" s="299"/>
      <c r="E157" s="300"/>
      <c r="F157" s="261"/>
    </row>
    <row r="158" spans="1:6" x14ac:dyDescent="0.2">
      <c r="A158" s="140" t="s">
        <v>30</v>
      </c>
      <c r="B158" s="142">
        <v>7729415210.9993</v>
      </c>
      <c r="C158" s="298"/>
      <c r="D158" s="299"/>
      <c r="E158" s="300"/>
      <c r="F158" s="261"/>
    </row>
    <row r="159" spans="1:6" x14ac:dyDescent="0.2">
      <c r="A159" s="140" t="s">
        <v>23</v>
      </c>
      <c r="B159" s="142">
        <v>3146682090.0779099</v>
      </c>
      <c r="C159" s="298"/>
      <c r="D159" s="299"/>
      <c r="E159" s="300"/>
      <c r="F159" s="261"/>
    </row>
    <row r="160" spans="1:6" x14ac:dyDescent="0.2">
      <c r="A160" s="140" t="s">
        <v>46</v>
      </c>
      <c r="B160" s="142">
        <v>664421539.34638798</v>
      </c>
      <c r="C160" s="298"/>
      <c r="D160" s="299"/>
      <c r="E160" s="300"/>
      <c r="F160" s="261"/>
    </row>
    <row r="161" spans="1:6" x14ac:dyDescent="0.2">
      <c r="A161" s="140" t="s">
        <v>32</v>
      </c>
      <c r="B161" s="142">
        <v>1904080957.9321201</v>
      </c>
      <c r="C161" s="298"/>
      <c r="D161" s="299"/>
      <c r="E161" s="300"/>
      <c r="F161" s="261"/>
    </row>
    <row r="162" spans="1:6" x14ac:dyDescent="0.2">
      <c r="A162" s="140" t="s">
        <v>21</v>
      </c>
      <c r="B162" s="142">
        <v>385756328.28704798</v>
      </c>
      <c r="C162" s="298"/>
      <c r="D162" s="299"/>
      <c r="E162" s="300"/>
      <c r="F162" s="261"/>
    </row>
    <row r="163" spans="1:6" x14ac:dyDescent="0.2">
      <c r="A163" s="140" t="s">
        <v>50</v>
      </c>
      <c r="B163" s="142">
        <v>144517746.355391</v>
      </c>
      <c r="C163" s="298"/>
      <c r="D163" s="299"/>
      <c r="E163" s="300"/>
      <c r="F163" s="261"/>
    </row>
    <row r="164" spans="1:6" x14ac:dyDescent="0.2">
      <c r="A164" s="140" t="s">
        <v>54</v>
      </c>
      <c r="B164" s="142">
        <v>122285022.801421</v>
      </c>
      <c r="C164" s="298"/>
      <c r="D164" s="299"/>
      <c r="E164" s="300"/>
      <c r="F164" s="261"/>
    </row>
    <row r="165" spans="1:6" x14ac:dyDescent="0.2">
      <c r="A165" s="140" t="s">
        <v>48</v>
      </c>
      <c r="B165" s="142">
        <v>0</v>
      </c>
      <c r="C165" s="301"/>
      <c r="D165" s="302"/>
      <c r="E165" s="303"/>
      <c r="F165" s="261"/>
    </row>
    <row r="166" spans="1:6" x14ac:dyDescent="0.2">
      <c r="A166" s="304" t="s">
        <v>284</v>
      </c>
      <c r="B166" s="305"/>
      <c r="C166" s="305"/>
      <c r="D166" s="305"/>
      <c r="E166" s="305"/>
      <c r="F166" s="263"/>
    </row>
    <row r="167" spans="1:6" x14ac:dyDescent="0.2">
      <c r="A167" s="2" t="s">
        <v>218</v>
      </c>
      <c r="B167" s="2" t="s">
        <v>283</v>
      </c>
      <c r="C167" s="295"/>
      <c r="D167" s="296"/>
      <c r="E167" s="296"/>
      <c r="F167" s="263"/>
    </row>
    <row r="168" spans="1:6" x14ac:dyDescent="0.2">
      <c r="A168" s="117" t="s">
        <v>28</v>
      </c>
      <c r="B168" s="143">
        <v>734695</v>
      </c>
      <c r="C168" s="298"/>
      <c r="D168" s="299"/>
      <c r="E168" s="299"/>
      <c r="F168" s="263"/>
    </row>
    <row r="169" spans="1:6" x14ac:dyDescent="0.2">
      <c r="A169" s="117" t="s">
        <v>52</v>
      </c>
      <c r="B169" s="143">
        <v>259554</v>
      </c>
      <c r="C169" s="298"/>
      <c r="D169" s="299"/>
      <c r="E169" s="299"/>
      <c r="F169" s="263"/>
    </row>
    <row r="170" spans="1:6" x14ac:dyDescent="0.2">
      <c r="A170" s="117" t="s">
        <v>30</v>
      </c>
      <c r="B170" s="143">
        <v>139709</v>
      </c>
      <c r="C170" s="298"/>
      <c r="D170" s="299"/>
      <c r="E170" s="299"/>
      <c r="F170" s="263"/>
    </row>
    <row r="171" spans="1:6" x14ac:dyDescent="0.2">
      <c r="A171" s="117" t="s">
        <v>23</v>
      </c>
      <c r="B171" s="143">
        <v>39073</v>
      </c>
      <c r="C171" s="298"/>
      <c r="D171" s="299"/>
      <c r="E171" s="299"/>
      <c r="F171" s="263"/>
    </row>
    <row r="172" spans="1:6" x14ac:dyDescent="0.2">
      <c r="A172" s="117" t="s">
        <v>32</v>
      </c>
      <c r="B172" s="143">
        <v>10606</v>
      </c>
      <c r="C172" s="298"/>
      <c r="D172" s="299"/>
      <c r="E172" s="299"/>
      <c r="F172" s="263"/>
    </row>
    <row r="173" spans="1:6" x14ac:dyDescent="0.2">
      <c r="A173" s="117" t="s">
        <v>21</v>
      </c>
      <c r="B173" s="143">
        <v>7708</v>
      </c>
      <c r="C173" s="298"/>
      <c r="D173" s="299"/>
      <c r="E173" s="299"/>
      <c r="F173" s="263"/>
    </row>
    <row r="174" spans="1:6" x14ac:dyDescent="0.2">
      <c r="A174" s="117" t="s">
        <v>46</v>
      </c>
      <c r="B174" s="143">
        <v>7693</v>
      </c>
      <c r="C174" s="298"/>
      <c r="D174" s="299"/>
      <c r="E174" s="299"/>
      <c r="F174" s="263"/>
    </row>
    <row r="175" spans="1:6" x14ac:dyDescent="0.2">
      <c r="A175" s="117" t="s">
        <v>50</v>
      </c>
      <c r="B175" s="143">
        <v>1423</v>
      </c>
      <c r="C175" s="298"/>
      <c r="D175" s="299"/>
      <c r="E175" s="299"/>
      <c r="F175" s="263"/>
    </row>
    <row r="176" spans="1:6" x14ac:dyDescent="0.2">
      <c r="A176" s="117" t="s">
        <v>54</v>
      </c>
      <c r="B176" s="143">
        <v>972</v>
      </c>
      <c r="C176" s="298"/>
      <c r="D176" s="299"/>
      <c r="E176" s="299"/>
      <c r="F176" s="263"/>
    </row>
    <row r="177" spans="1:6" x14ac:dyDescent="0.2">
      <c r="A177" s="117" t="s">
        <v>48</v>
      </c>
      <c r="B177" s="143">
        <v>0</v>
      </c>
      <c r="C177" s="301"/>
      <c r="D177" s="302"/>
      <c r="E177" s="302"/>
      <c r="F177" s="263"/>
    </row>
    <row r="178" spans="1:6" x14ac:dyDescent="0.2">
      <c r="A178" s="326" t="s">
        <v>285</v>
      </c>
      <c r="B178" s="326"/>
      <c r="C178" s="326"/>
      <c r="D178" s="326"/>
      <c r="E178" s="326"/>
      <c r="F178" s="261"/>
    </row>
    <row r="179" spans="1:6" x14ac:dyDescent="0.2">
      <c r="A179" s="36"/>
      <c r="B179" s="325" t="s">
        <v>246</v>
      </c>
      <c r="C179" s="325"/>
      <c r="D179" s="325" t="s">
        <v>226</v>
      </c>
      <c r="E179" s="325"/>
      <c r="F179" s="261"/>
    </row>
    <row r="180" spans="1:6" x14ac:dyDescent="0.2">
      <c r="A180" s="4" t="s">
        <v>218</v>
      </c>
      <c r="B180" s="4" t="s">
        <v>286</v>
      </c>
      <c r="C180" s="4" t="s">
        <v>247</v>
      </c>
      <c r="D180" s="4" t="s">
        <v>286</v>
      </c>
      <c r="E180" s="4" t="s">
        <v>247</v>
      </c>
      <c r="F180" s="261"/>
    </row>
    <row r="181" spans="1:6" x14ac:dyDescent="0.2">
      <c r="A181" s="117" t="s">
        <v>28</v>
      </c>
      <c r="B181" s="144">
        <v>427736</v>
      </c>
      <c r="C181" s="133">
        <v>12740738374.172501</v>
      </c>
      <c r="D181" s="144">
        <v>734695</v>
      </c>
      <c r="E181" s="133">
        <v>734695</v>
      </c>
      <c r="F181" s="261"/>
    </row>
    <row r="182" spans="1:6" x14ac:dyDescent="0.2">
      <c r="A182" s="117" t="s">
        <v>52</v>
      </c>
      <c r="B182" s="144">
        <v>276002</v>
      </c>
      <c r="C182" s="133">
        <v>9678449673.3297901</v>
      </c>
      <c r="D182" s="144">
        <v>259554</v>
      </c>
      <c r="E182" s="133">
        <v>259554</v>
      </c>
      <c r="F182" s="261"/>
    </row>
    <row r="183" spans="1:6" x14ac:dyDescent="0.2">
      <c r="A183" s="117" t="s">
        <v>30</v>
      </c>
      <c r="B183" s="144">
        <v>256853</v>
      </c>
      <c r="C183" s="133">
        <v>7729415210.9993</v>
      </c>
      <c r="D183" s="144">
        <v>139709</v>
      </c>
      <c r="E183" s="133">
        <v>139709</v>
      </c>
      <c r="F183" s="261"/>
    </row>
    <row r="184" spans="1:6" x14ac:dyDescent="0.2">
      <c r="A184" s="117" t="s">
        <v>23</v>
      </c>
      <c r="B184" s="144">
        <v>72624</v>
      </c>
      <c r="C184" s="133">
        <v>3146682090.0779099</v>
      </c>
      <c r="D184" s="144">
        <v>39073</v>
      </c>
      <c r="E184" s="133">
        <v>39073</v>
      </c>
      <c r="F184" s="261"/>
    </row>
    <row r="185" spans="1:6" x14ac:dyDescent="0.2">
      <c r="A185" s="117" t="s">
        <v>32</v>
      </c>
      <c r="B185" s="144">
        <v>28523</v>
      </c>
      <c r="C185" s="133">
        <v>1904080957.9321201</v>
      </c>
      <c r="D185" s="144">
        <v>10606</v>
      </c>
      <c r="E185" s="133">
        <v>10606</v>
      </c>
      <c r="F185" s="261"/>
    </row>
    <row r="186" spans="1:6" x14ac:dyDescent="0.2">
      <c r="A186" s="117" t="s">
        <v>21</v>
      </c>
      <c r="B186" s="144">
        <v>6642</v>
      </c>
      <c r="C186" s="133">
        <v>385756328.28704798</v>
      </c>
      <c r="D186" s="144">
        <v>7708</v>
      </c>
      <c r="E186" s="133">
        <v>7708</v>
      </c>
      <c r="F186" s="261"/>
    </row>
    <row r="187" spans="1:6" x14ac:dyDescent="0.2">
      <c r="A187" s="117" t="s">
        <v>46</v>
      </c>
      <c r="B187" s="144">
        <v>32958</v>
      </c>
      <c r="C187" s="133">
        <v>664421539.34638798</v>
      </c>
      <c r="D187" s="144">
        <v>7693</v>
      </c>
      <c r="E187" s="133">
        <v>7693</v>
      </c>
      <c r="F187" s="261"/>
    </row>
    <row r="188" spans="1:6" x14ac:dyDescent="0.2">
      <c r="A188" s="117" t="s">
        <v>50</v>
      </c>
      <c r="B188" s="144">
        <v>3407</v>
      </c>
      <c r="C188" s="133">
        <v>144517746.355391</v>
      </c>
      <c r="D188" s="144">
        <v>1423</v>
      </c>
      <c r="E188" s="133">
        <v>1423</v>
      </c>
      <c r="F188" s="261"/>
    </row>
    <row r="189" spans="1:6" x14ac:dyDescent="0.2">
      <c r="A189" s="117" t="s">
        <v>54</v>
      </c>
      <c r="B189" s="144">
        <v>730</v>
      </c>
      <c r="C189" s="133">
        <v>122285022.801421</v>
      </c>
      <c r="D189" s="144">
        <v>972</v>
      </c>
      <c r="E189" s="133">
        <v>972</v>
      </c>
      <c r="F189" s="261"/>
    </row>
    <row r="190" spans="1:6" x14ac:dyDescent="0.2">
      <c r="A190" s="117" t="s">
        <v>48</v>
      </c>
      <c r="B190" s="144">
        <v>0</v>
      </c>
      <c r="C190" s="133">
        <v>0</v>
      </c>
      <c r="D190" s="144">
        <v>0</v>
      </c>
      <c r="E190" s="133">
        <v>0</v>
      </c>
      <c r="F190" s="261"/>
    </row>
  </sheetData>
  <mergeCells count="55">
    <mergeCell ref="F10:F50"/>
    <mergeCell ref="F58:F89"/>
    <mergeCell ref="A91:E91"/>
    <mergeCell ref="F92:F103"/>
    <mergeCell ref="A92:E92"/>
    <mergeCell ref="D93:E103"/>
    <mergeCell ref="A58:E58"/>
    <mergeCell ref="B59:C59"/>
    <mergeCell ref="D59:E59"/>
    <mergeCell ref="B11:C11"/>
    <mergeCell ref="D11:E11"/>
    <mergeCell ref="D105:E115"/>
    <mergeCell ref="A104:E104"/>
    <mergeCell ref="A90:E90"/>
    <mergeCell ref="A52:E52"/>
    <mergeCell ref="A53:E53"/>
    <mergeCell ref="A54:E54"/>
    <mergeCell ref="A55:E55"/>
    <mergeCell ref="A3:E3"/>
    <mergeCell ref="A4:E4"/>
    <mergeCell ref="A5:E5"/>
    <mergeCell ref="A6:E6"/>
    <mergeCell ref="A7:E7"/>
    <mergeCell ref="A9:E9"/>
    <mergeCell ref="A8:E8"/>
    <mergeCell ref="A10:E10"/>
    <mergeCell ref="F178:F190"/>
    <mergeCell ref="F154:F165"/>
    <mergeCell ref="C155:E165"/>
    <mergeCell ref="A166:E166"/>
    <mergeCell ref="F166:F177"/>
    <mergeCell ref="C167:E177"/>
    <mergeCell ref="A154:E154"/>
    <mergeCell ref="D179:E179"/>
    <mergeCell ref="B179:C179"/>
    <mergeCell ref="A178:E178"/>
    <mergeCell ref="A116:E116"/>
    <mergeCell ref="D129:E129"/>
    <mergeCell ref="B129:C129"/>
    <mergeCell ref="A2:E2"/>
    <mergeCell ref="F4:F5"/>
    <mergeCell ref="F142:F153"/>
    <mergeCell ref="A142:E142"/>
    <mergeCell ref="C143:E153"/>
    <mergeCell ref="A141:E141"/>
    <mergeCell ref="A128:E128"/>
    <mergeCell ref="F128:F140"/>
    <mergeCell ref="F6:F7"/>
    <mergeCell ref="F116:F127"/>
    <mergeCell ref="D117:E127"/>
    <mergeCell ref="F104:F115"/>
    <mergeCell ref="F8:F9"/>
    <mergeCell ref="A56:E56"/>
    <mergeCell ref="A57:E57"/>
    <mergeCell ref="A51:E51"/>
  </mergeCells>
  <dataValidations count="1">
    <dataValidation allowBlank="1" showInputMessage="1" showErrorMessage="1" prompt="O título desta folha de cálculo está nesta célula" sqref="A2" xr:uid="{DB0B4686-7EAE-4AF6-A67A-7E9DEE0CF645}"/>
  </dataValidations>
  <pageMargins left="0.7" right="0.7" top="0.75" bottom="0.75" header="0.3" footer="0.3"/>
  <pageSetup orientation="portrait" r:id="rId1"/>
  <headerFooter>
    <oddHeader>&amp;L&amp;"Calibri"&amp;10&amp;K000000 Confidential&amp;1#_x000D_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F9EFA-27FC-4C5F-8B4E-84E22AE5AE79}">
  <sheetPr codeName="Sheet6"/>
  <dimension ref="A1:I118"/>
  <sheetViews>
    <sheetView showGridLines="0" zoomScale="80" zoomScaleNormal="80" workbookViewId="0">
      <pane ySplit="2" topLeftCell="A3" activePane="bottomLeft" state="frozen"/>
      <selection activeCell="A7" sqref="A7"/>
      <selection pane="bottomLeft" activeCell="A21" sqref="A21:H21"/>
    </sheetView>
  </sheetViews>
  <sheetFormatPr defaultColWidth="8.875" defaultRowHeight="16.5" x14ac:dyDescent="0.2"/>
  <cols>
    <col min="1" max="1" width="49.375" style="1" customWidth="1"/>
    <col min="2" max="3" width="12.625" style="1" customWidth="1"/>
    <col min="4" max="4" width="11.875" style="1" customWidth="1"/>
    <col min="5" max="8" width="12.625" style="1" customWidth="1"/>
    <col min="9" max="9" width="81.375" style="1" customWidth="1"/>
    <col min="10" max="10" width="8.875" style="1"/>
    <col min="11" max="11" width="60.5" style="1" customWidth="1"/>
    <col min="12" max="16384" width="8.875" style="1"/>
  </cols>
  <sheetData>
    <row r="1" spans="1:9" ht="18.75" x14ac:dyDescent="0.2">
      <c r="A1" s="8" t="s">
        <v>3</v>
      </c>
    </row>
    <row r="2" spans="1:9" ht="18.75" x14ac:dyDescent="0.2">
      <c r="A2" s="288" t="s">
        <v>5</v>
      </c>
      <c r="B2" s="289"/>
      <c r="C2" s="289"/>
      <c r="D2" s="289"/>
      <c r="E2" s="289"/>
      <c r="F2" s="289"/>
      <c r="G2" s="289"/>
      <c r="H2" s="289"/>
      <c r="I2" s="7" t="s">
        <v>6</v>
      </c>
    </row>
    <row r="3" spans="1:9" ht="18.75" x14ac:dyDescent="0.2">
      <c r="A3" s="359" t="s">
        <v>287</v>
      </c>
      <c r="B3" s="360"/>
      <c r="C3" s="360"/>
      <c r="D3" s="360"/>
      <c r="E3" s="360"/>
      <c r="F3" s="360"/>
      <c r="G3" s="360"/>
      <c r="H3" s="360"/>
      <c r="I3" s="361"/>
    </row>
    <row r="4" spans="1:9" ht="18.75" x14ac:dyDescent="0.2">
      <c r="A4" s="349" t="s">
        <v>288</v>
      </c>
      <c r="B4" s="233"/>
      <c r="C4" s="233"/>
      <c r="D4" s="233"/>
      <c r="E4" s="233"/>
      <c r="F4" s="233"/>
      <c r="G4" s="233"/>
      <c r="H4" s="234"/>
      <c r="I4" s="342"/>
    </row>
    <row r="5" spans="1:9" ht="18.75" x14ac:dyDescent="0.2">
      <c r="A5" s="353" t="s">
        <v>391</v>
      </c>
      <c r="B5" s="354"/>
      <c r="C5" s="354"/>
      <c r="D5" s="354"/>
      <c r="E5" s="354"/>
      <c r="F5" s="354"/>
      <c r="G5" s="354"/>
      <c r="H5" s="354"/>
      <c r="I5" s="343"/>
    </row>
    <row r="6" spans="1:9" ht="18.75" x14ac:dyDescent="0.2">
      <c r="A6" s="349" t="s">
        <v>289</v>
      </c>
      <c r="B6" s="233"/>
      <c r="C6" s="233"/>
      <c r="D6" s="233"/>
      <c r="E6" s="233"/>
      <c r="F6" s="233"/>
      <c r="G6" s="233"/>
      <c r="H6" s="234"/>
      <c r="I6" s="357"/>
    </row>
    <row r="7" spans="1:9" ht="18.75" x14ac:dyDescent="0.2">
      <c r="A7" s="353" t="s">
        <v>290</v>
      </c>
      <c r="B7" s="354"/>
      <c r="C7" s="354"/>
      <c r="D7" s="354"/>
      <c r="E7" s="354"/>
      <c r="F7" s="354"/>
      <c r="G7" s="354"/>
      <c r="H7" s="354"/>
      <c r="I7" s="357"/>
    </row>
    <row r="8" spans="1:9" ht="18.75" x14ac:dyDescent="0.2">
      <c r="A8" s="349" t="s">
        <v>291</v>
      </c>
      <c r="B8" s="233"/>
      <c r="C8" s="233"/>
      <c r="D8" s="233"/>
      <c r="E8" s="233"/>
      <c r="F8" s="233"/>
      <c r="G8" s="233"/>
      <c r="H8" s="233"/>
      <c r="I8" s="234"/>
    </row>
    <row r="9" spans="1:9" ht="18.75" x14ac:dyDescent="0.2">
      <c r="A9" s="353" t="s">
        <v>292</v>
      </c>
      <c r="B9" s="354"/>
      <c r="C9" s="354"/>
      <c r="D9" s="354"/>
      <c r="E9" s="354"/>
      <c r="F9" s="354"/>
      <c r="G9" s="354"/>
      <c r="H9" s="358"/>
      <c r="I9" s="357"/>
    </row>
    <row r="10" spans="1:9" ht="18.75" x14ac:dyDescent="0.2">
      <c r="A10" s="353" t="s">
        <v>391</v>
      </c>
      <c r="B10" s="354"/>
      <c r="C10" s="354"/>
      <c r="D10" s="354"/>
      <c r="E10" s="354"/>
      <c r="F10" s="354"/>
      <c r="G10" s="354"/>
      <c r="H10" s="354"/>
      <c r="I10" s="357"/>
    </row>
    <row r="11" spans="1:9" ht="18.75" x14ac:dyDescent="0.2">
      <c r="A11" s="209" t="s">
        <v>293</v>
      </c>
      <c r="B11" s="210"/>
      <c r="C11" s="210"/>
      <c r="D11" s="210"/>
      <c r="E11" s="210"/>
      <c r="F11" s="210"/>
      <c r="G11" s="210"/>
      <c r="H11" s="211"/>
      <c r="I11" s="344" t="s">
        <v>483</v>
      </c>
    </row>
    <row r="12" spans="1:9" ht="18.75" x14ac:dyDescent="0.2">
      <c r="A12" s="355" t="s">
        <v>391</v>
      </c>
      <c r="B12" s="356"/>
      <c r="C12" s="356"/>
      <c r="D12" s="356"/>
      <c r="E12" s="356"/>
      <c r="F12" s="356"/>
      <c r="G12" s="356"/>
      <c r="H12" s="356"/>
      <c r="I12" s="344"/>
    </row>
    <row r="13" spans="1:9" ht="18.75" x14ac:dyDescent="0.2">
      <c r="A13" s="349" t="s">
        <v>294</v>
      </c>
      <c r="B13" s="233"/>
      <c r="C13" s="233"/>
      <c r="D13" s="233"/>
      <c r="E13" s="233"/>
      <c r="F13" s="233"/>
      <c r="G13" s="233"/>
      <c r="H13" s="234"/>
      <c r="I13" s="357"/>
    </row>
    <row r="14" spans="1:9" ht="18.75" x14ac:dyDescent="0.2">
      <c r="A14" s="353" t="s">
        <v>391</v>
      </c>
      <c r="B14" s="354"/>
      <c r="C14" s="354"/>
      <c r="D14" s="354"/>
      <c r="E14" s="354"/>
      <c r="F14" s="354"/>
      <c r="G14" s="354"/>
      <c r="H14" s="354"/>
      <c r="I14" s="357"/>
    </row>
    <row r="15" spans="1:9" ht="18.75" x14ac:dyDescent="0.2">
      <c r="A15" s="349" t="s">
        <v>295</v>
      </c>
      <c r="B15" s="233"/>
      <c r="C15" s="233"/>
      <c r="D15" s="233"/>
      <c r="E15" s="233"/>
      <c r="F15" s="233"/>
      <c r="G15" s="233"/>
      <c r="H15" s="234"/>
      <c r="I15" s="357"/>
    </row>
    <row r="16" spans="1:9" ht="18.75" x14ac:dyDescent="0.2">
      <c r="A16" s="353" t="s">
        <v>391</v>
      </c>
      <c r="B16" s="354"/>
      <c r="C16" s="354"/>
      <c r="D16" s="354"/>
      <c r="E16" s="354"/>
      <c r="F16" s="354"/>
      <c r="G16" s="354"/>
      <c r="H16" s="354"/>
      <c r="I16" s="357"/>
    </row>
    <row r="17" spans="1:9" ht="18.75" x14ac:dyDescent="0.2">
      <c r="A17" s="349" t="s">
        <v>296</v>
      </c>
      <c r="B17" s="233"/>
      <c r="C17" s="233"/>
      <c r="D17" s="233"/>
      <c r="E17" s="233"/>
      <c r="F17" s="233"/>
      <c r="G17" s="233"/>
      <c r="H17" s="233"/>
      <c r="I17" s="234"/>
    </row>
    <row r="18" spans="1:9" ht="18.75" x14ac:dyDescent="0.2">
      <c r="A18" s="204" t="s">
        <v>297</v>
      </c>
      <c r="B18" s="205"/>
      <c r="C18" s="205"/>
      <c r="D18" s="205"/>
      <c r="E18" s="205"/>
      <c r="F18" s="205"/>
      <c r="G18" s="205"/>
      <c r="H18" s="206"/>
      <c r="I18" s="365"/>
    </row>
    <row r="19" spans="1:9" ht="18.75" x14ac:dyDescent="0.2">
      <c r="A19" s="370" t="s">
        <v>479</v>
      </c>
      <c r="B19" s="371"/>
      <c r="C19" s="371"/>
      <c r="D19" s="371"/>
      <c r="E19" s="371"/>
      <c r="F19" s="371"/>
      <c r="G19" s="371"/>
      <c r="H19" s="371"/>
      <c r="I19" s="366"/>
    </row>
    <row r="20" spans="1:9" ht="18.75" x14ac:dyDescent="0.2">
      <c r="A20" s="29" t="s">
        <v>298</v>
      </c>
      <c r="B20" s="30"/>
      <c r="C20" s="30"/>
      <c r="D20" s="30"/>
      <c r="E20" s="30"/>
      <c r="F20" s="30"/>
      <c r="G20" s="30"/>
      <c r="H20" s="32"/>
      <c r="I20" s="31"/>
    </row>
    <row r="21" spans="1:9" ht="18.75" x14ac:dyDescent="0.2">
      <c r="A21" s="349" t="s">
        <v>299</v>
      </c>
      <c r="B21" s="233"/>
      <c r="C21" s="233"/>
      <c r="D21" s="233"/>
      <c r="E21" s="233"/>
      <c r="F21" s="233"/>
      <c r="G21" s="233"/>
      <c r="H21" s="233"/>
      <c r="I21" s="362" t="s">
        <v>486</v>
      </c>
    </row>
    <row r="22" spans="1:9" ht="18.75" x14ac:dyDescent="0.2">
      <c r="A22" s="2" t="s">
        <v>300</v>
      </c>
      <c r="B22" s="148" t="s">
        <v>301</v>
      </c>
      <c r="C22" s="148" t="s">
        <v>302</v>
      </c>
      <c r="D22" s="148" t="s">
        <v>303</v>
      </c>
      <c r="E22" s="148" t="s">
        <v>304</v>
      </c>
      <c r="F22" s="148" t="s">
        <v>305</v>
      </c>
      <c r="G22" s="25" t="s">
        <v>306</v>
      </c>
      <c r="H22" s="146" t="s">
        <v>307</v>
      </c>
      <c r="I22" s="363"/>
    </row>
    <row r="23" spans="1:9" ht="18.75" x14ac:dyDescent="0.2">
      <c r="A23" s="149" t="s">
        <v>308</v>
      </c>
      <c r="B23" s="367">
        <v>10</v>
      </c>
      <c r="C23" s="367">
        <v>20</v>
      </c>
      <c r="D23" s="367">
        <v>30</v>
      </c>
      <c r="E23" s="367">
        <v>40</v>
      </c>
      <c r="F23" s="367">
        <v>50</v>
      </c>
      <c r="G23" s="147">
        <v>0.05</v>
      </c>
      <c r="H23" s="131">
        <v>0.05</v>
      </c>
      <c r="I23" s="363"/>
    </row>
    <row r="24" spans="1:9" ht="18.75" x14ac:dyDescent="0.2">
      <c r="A24" s="149" t="s">
        <v>309</v>
      </c>
      <c r="B24" s="368"/>
      <c r="C24" s="368"/>
      <c r="D24" s="368"/>
      <c r="E24" s="368"/>
      <c r="F24" s="368"/>
      <c r="G24" s="147">
        <v>0.25</v>
      </c>
      <c r="H24" s="131">
        <v>0.2</v>
      </c>
      <c r="I24" s="363"/>
    </row>
    <row r="25" spans="1:9" ht="18.75" x14ac:dyDescent="0.2">
      <c r="A25" s="149" t="s">
        <v>310</v>
      </c>
      <c r="B25" s="368"/>
      <c r="C25" s="368"/>
      <c r="D25" s="368"/>
      <c r="E25" s="368"/>
      <c r="F25" s="368"/>
      <c r="G25" s="147">
        <v>0.05</v>
      </c>
      <c r="H25" s="131">
        <v>0</v>
      </c>
      <c r="I25" s="363"/>
    </row>
    <row r="26" spans="1:9" ht="18.75" x14ac:dyDescent="0.2">
      <c r="A26" s="149" t="s">
        <v>311</v>
      </c>
      <c r="B26" s="368"/>
      <c r="C26" s="368"/>
      <c r="D26" s="368"/>
      <c r="E26" s="368"/>
      <c r="F26" s="368"/>
      <c r="G26" s="147">
        <v>0.05</v>
      </c>
      <c r="H26" s="131">
        <v>0.05</v>
      </c>
      <c r="I26" s="363"/>
    </row>
    <row r="27" spans="1:9" ht="18.75" x14ac:dyDescent="0.2">
      <c r="A27" s="149" t="s">
        <v>312</v>
      </c>
      <c r="B27" s="368"/>
      <c r="C27" s="368"/>
      <c r="D27" s="368"/>
      <c r="E27" s="368"/>
      <c r="F27" s="368"/>
      <c r="G27" s="147">
        <v>0.15</v>
      </c>
      <c r="H27" s="131">
        <v>0.1</v>
      </c>
      <c r="I27" s="363"/>
    </row>
    <row r="28" spans="1:9" ht="18.75" x14ac:dyDescent="0.2">
      <c r="A28" s="149" t="s">
        <v>313</v>
      </c>
      <c r="B28" s="368"/>
      <c r="C28" s="368"/>
      <c r="D28" s="368"/>
      <c r="E28" s="368"/>
      <c r="F28" s="368"/>
      <c r="G28" s="147">
        <v>0</v>
      </c>
      <c r="H28" s="131">
        <v>0.2</v>
      </c>
      <c r="I28" s="363"/>
    </row>
    <row r="29" spans="1:9" ht="18.75" x14ac:dyDescent="0.2">
      <c r="A29" s="149" t="s">
        <v>314</v>
      </c>
      <c r="B29" s="368"/>
      <c r="C29" s="368"/>
      <c r="D29" s="368"/>
      <c r="E29" s="368"/>
      <c r="F29" s="368"/>
      <c r="G29" s="147">
        <v>0.2</v>
      </c>
      <c r="H29" s="131">
        <v>0</v>
      </c>
      <c r="I29" s="363"/>
    </row>
    <row r="30" spans="1:9" ht="18.75" x14ac:dyDescent="0.2">
      <c r="A30" s="149" t="s">
        <v>315</v>
      </c>
      <c r="B30" s="368"/>
      <c r="C30" s="368"/>
      <c r="D30" s="368"/>
      <c r="E30" s="368"/>
      <c r="F30" s="368"/>
      <c r="G30" s="147">
        <v>0</v>
      </c>
      <c r="H30" s="131">
        <v>0.1</v>
      </c>
      <c r="I30" s="363"/>
    </row>
    <row r="31" spans="1:9" ht="18.75" x14ac:dyDescent="0.2">
      <c r="A31" s="149" t="s">
        <v>316</v>
      </c>
      <c r="B31" s="368"/>
      <c r="C31" s="368"/>
      <c r="D31" s="368"/>
      <c r="E31" s="368"/>
      <c r="F31" s="368"/>
      <c r="G31" s="147">
        <v>0</v>
      </c>
      <c r="H31" s="131">
        <v>0.05</v>
      </c>
      <c r="I31" s="363"/>
    </row>
    <row r="32" spans="1:9" ht="18.75" x14ac:dyDescent="0.2">
      <c r="A32" s="149" t="s">
        <v>317</v>
      </c>
      <c r="B32" s="368"/>
      <c r="C32" s="368"/>
      <c r="D32" s="368"/>
      <c r="E32" s="368"/>
      <c r="F32" s="368"/>
      <c r="G32" s="147">
        <v>0</v>
      </c>
      <c r="H32" s="131">
        <v>0.1</v>
      </c>
      <c r="I32" s="363"/>
    </row>
    <row r="33" spans="1:9" ht="18.75" x14ac:dyDescent="0.2">
      <c r="A33" s="149" t="s">
        <v>318</v>
      </c>
      <c r="B33" s="368"/>
      <c r="C33" s="368"/>
      <c r="D33" s="368"/>
      <c r="E33" s="368"/>
      <c r="F33" s="368"/>
      <c r="G33" s="147">
        <v>0.1</v>
      </c>
      <c r="H33" s="131">
        <v>0.05</v>
      </c>
      <c r="I33" s="363"/>
    </row>
    <row r="34" spans="1:9" ht="18.75" x14ac:dyDescent="0.2">
      <c r="A34" s="149" t="s">
        <v>319</v>
      </c>
      <c r="B34" s="368"/>
      <c r="C34" s="368"/>
      <c r="D34" s="368"/>
      <c r="E34" s="368"/>
      <c r="F34" s="368"/>
      <c r="G34" s="147">
        <v>0.15</v>
      </c>
      <c r="H34" s="131">
        <v>0.1</v>
      </c>
      <c r="I34" s="363"/>
    </row>
    <row r="35" spans="1:9" ht="18.75" x14ac:dyDescent="0.2">
      <c r="A35" s="149" t="s">
        <v>471</v>
      </c>
      <c r="B35" s="369"/>
      <c r="C35" s="369"/>
      <c r="D35" s="369"/>
      <c r="E35" s="369"/>
      <c r="F35" s="369"/>
      <c r="G35" s="147">
        <v>0.05</v>
      </c>
      <c r="H35" s="131">
        <v>0</v>
      </c>
      <c r="I35" s="364"/>
    </row>
    <row r="36" spans="1:9" customFormat="1" ht="18.75" x14ac:dyDescent="0.2">
      <c r="A36" s="376"/>
      <c r="B36" s="376"/>
      <c r="C36" s="376"/>
      <c r="D36" s="376"/>
      <c r="E36" s="376"/>
      <c r="F36" s="376"/>
      <c r="G36" s="376"/>
      <c r="H36" s="376"/>
      <c r="I36" s="377"/>
    </row>
    <row r="37" spans="1:9" ht="18.75" x14ac:dyDescent="0.2">
      <c r="A37" s="2" t="s">
        <v>320</v>
      </c>
      <c r="B37" s="2" t="s">
        <v>321</v>
      </c>
      <c r="C37" s="2" t="s">
        <v>302</v>
      </c>
      <c r="D37" s="2" t="s">
        <v>303</v>
      </c>
      <c r="E37" s="2" t="s">
        <v>304</v>
      </c>
      <c r="F37" s="2" t="s">
        <v>305</v>
      </c>
      <c r="G37" s="378"/>
      <c r="H37" s="379"/>
      <c r="I37" s="385"/>
    </row>
    <row r="38" spans="1:9" s="3" customFormat="1" ht="18.75" x14ac:dyDescent="0.2">
      <c r="A38" s="130" t="s">
        <v>322</v>
      </c>
      <c r="B38" s="367" t="s">
        <v>475</v>
      </c>
      <c r="C38" s="129">
        <v>8</v>
      </c>
      <c r="D38" s="129">
        <v>10</v>
      </c>
      <c r="E38" s="129">
        <v>14</v>
      </c>
      <c r="F38" s="129">
        <v>20</v>
      </c>
      <c r="G38" s="380"/>
      <c r="H38" s="381"/>
      <c r="I38" s="386"/>
    </row>
    <row r="39" spans="1:9" s="3" customFormat="1" ht="18.75" x14ac:dyDescent="0.2">
      <c r="A39" s="130" t="s">
        <v>323</v>
      </c>
      <c r="B39" s="368"/>
      <c r="C39" s="154">
        <v>5000</v>
      </c>
      <c r="D39" s="154">
        <v>8000</v>
      </c>
      <c r="E39" s="154">
        <v>15000</v>
      </c>
      <c r="F39" s="154">
        <v>30000</v>
      </c>
      <c r="G39" s="380"/>
      <c r="H39" s="381"/>
      <c r="I39" s="386"/>
    </row>
    <row r="40" spans="1:9" s="3" customFormat="1" ht="18.75" x14ac:dyDescent="0.2">
      <c r="A40" s="130" t="s">
        <v>330</v>
      </c>
      <c r="B40" s="368"/>
      <c r="C40" s="129">
        <v>50</v>
      </c>
      <c r="D40" s="129">
        <v>65</v>
      </c>
      <c r="E40" s="129">
        <v>75</v>
      </c>
      <c r="F40" s="129">
        <v>95</v>
      </c>
      <c r="G40" s="380"/>
      <c r="H40" s="381"/>
      <c r="I40" s="386"/>
    </row>
    <row r="41" spans="1:9" s="3" customFormat="1" ht="18.75" x14ac:dyDescent="0.2">
      <c r="A41" s="130" t="s">
        <v>331</v>
      </c>
      <c r="B41" s="368"/>
      <c r="C41" s="154">
        <v>4500</v>
      </c>
      <c r="D41" s="154">
        <v>6000</v>
      </c>
      <c r="E41" s="154">
        <v>8000</v>
      </c>
      <c r="F41" s="153">
        <v>12000</v>
      </c>
      <c r="G41" s="380"/>
      <c r="H41" s="381"/>
      <c r="I41" s="386"/>
    </row>
    <row r="42" spans="1:9" s="3" customFormat="1" ht="18.75" x14ac:dyDescent="0.2">
      <c r="A42" s="130" t="s">
        <v>328</v>
      </c>
      <c r="B42" s="368"/>
      <c r="C42" s="129">
        <v>7</v>
      </c>
      <c r="D42" s="129">
        <v>10</v>
      </c>
      <c r="E42" s="129">
        <v>20</v>
      </c>
      <c r="F42" s="129">
        <v>60</v>
      </c>
      <c r="G42" s="380"/>
      <c r="H42" s="381"/>
      <c r="I42" s="386"/>
    </row>
    <row r="43" spans="1:9" s="3" customFormat="1" ht="18.75" x14ac:dyDescent="0.2">
      <c r="A43" s="130" t="s">
        <v>329</v>
      </c>
      <c r="B43" s="368"/>
      <c r="C43" s="154">
        <v>7000</v>
      </c>
      <c r="D43" s="154">
        <v>10000</v>
      </c>
      <c r="E43" s="154">
        <v>20000</v>
      </c>
      <c r="F43" s="154">
        <v>40000</v>
      </c>
      <c r="G43" s="380"/>
      <c r="H43" s="381"/>
      <c r="I43" s="386"/>
    </row>
    <row r="44" spans="1:9" s="3" customFormat="1" ht="18.75" x14ac:dyDescent="0.2">
      <c r="A44" s="130" t="s">
        <v>324</v>
      </c>
      <c r="B44" s="368"/>
      <c r="C44" s="129">
        <v>2</v>
      </c>
      <c r="D44" s="129">
        <v>4</v>
      </c>
      <c r="E44" s="129">
        <v>6</v>
      </c>
      <c r="F44" s="129">
        <v>10</v>
      </c>
      <c r="G44" s="380"/>
      <c r="H44" s="381"/>
      <c r="I44" s="386"/>
    </row>
    <row r="45" spans="1:9" s="3" customFormat="1" ht="18.75" x14ac:dyDescent="0.2">
      <c r="A45" s="130" t="s">
        <v>325</v>
      </c>
      <c r="B45" s="368"/>
      <c r="C45" s="154">
        <v>1000</v>
      </c>
      <c r="D45" s="154">
        <v>2000</v>
      </c>
      <c r="E45" s="154">
        <v>4000</v>
      </c>
      <c r="F45" s="154">
        <v>6000</v>
      </c>
      <c r="G45" s="380"/>
      <c r="H45" s="381"/>
      <c r="I45" s="386"/>
    </row>
    <row r="46" spans="1:9" s="3" customFormat="1" ht="18.75" x14ac:dyDescent="0.2">
      <c r="A46" s="130" t="s">
        <v>326</v>
      </c>
      <c r="B46" s="368"/>
      <c r="C46" s="129">
        <v>2</v>
      </c>
      <c r="D46" s="129">
        <v>4</v>
      </c>
      <c r="E46" s="129">
        <v>6</v>
      </c>
      <c r="F46" s="129">
        <v>10</v>
      </c>
      <c r="G46" s="380"/>
      <c r="H46" s="381"/>
      <c r="I46" s="386"/>
    </row>
    <row r="47" spans="1:9" s="3" customFormat="1" ht="18.75" x14ac:dyDescent="0.2">
      <c r="A47" s="130" t="s">
        <v>327</v>
      </c>
      <c r="B47" s="369"/>
      <c r="C47" s="154">
        <v>1000</v>
      </c>
      <c r="D47" s="154">
        <v>2000</v>
      </c>
      <c r="E47" s="154">
        <v>4000</v>
      </c>
      <c r="F47" s="154">
        <v>10000</v>
      </c>
      <c r="G47" s="380"/>
      <c r="H47" s="381"/>
      <c r="I47" s="386"/>
    </row>
    <row r="48" spans="1:9" s="3" customFormat="1" ht="18.75" x14ac:dyDescent="0.2">
      <c r="A48" s="130" t="s">
        <v>322</v>
      </c>
      <c r="B48" s="367" t="s">
        <v>476</v>
      </c>
      <c r="C48" s="129">
        <v>45</v>
      </c>
      <c r="D48" s="129">
        <v>60</v>
      </c>
      <c r="E48" s="129">
        <v>90</v>
      </c>
      <c r="F48" s="129">
        <v>160</v>
      </c>
      <c r="G48" s="380"/>
      <c r="H48" s="381"/>
      <c r="I48" s="386"/>
    </row>
    <row r="49" spans="1:9" s="3" customFormat="1" ht="18.75" x14ac:dyDescent="0.2">
      <c r="A49" s="130" t="s">
        <v>323</v>
      </c>
      <c r="B49" s="368"/>
      <c r="C49" s="154">
        <v>80000</v>
      </c>
      <c r="D49" s="154">
        <v>150000</v>
      </c>
      <c r="E49" s="154">
        <v>250000</v>
      </c>
      <c r="F49" s="154">
        <v>500000</v>
      </c>
      <c r="G49" s="380"/>
      <c r="H49" s="381"/>
      <c r="I49" s="386"/>
    </row>
    <row r="50" spans="1:9" s="3" customFormat="1" ht="18.75" x14ac:dyDescent="0.2">
      <c r="A50" s="130" t="s">
        <v>330</v>
      </c>
      <c r="B50" s="368"/>
      <c r="C50" s="129">
        <v>30</v>
      </c>
      <c r="D50" s="129">
        <v>35</v>
      </c>
      <c r="E50" s="129">
        <v>50</v>
      </c>
      <c r="F50" s="129">
        <v>80</v>
      </c>
      <c r="G50" s="380"/>
      <c r="H50" s="381"/>
      <c r="I50" s="386"/>
    </row>
    <row r="51" spans="1:9" s="3" customFormat="1" ht="18.75" x14ac:dyDescent="0.2">
      <c r="A51" s="130" t="s">
        <v>331</v>
      </c>
      <c r="B51" s="368"/>
      <c r="C51" s="154">
        <v>6000</v>
      </c>
      <c r="D51" s="154">
        <v>12000</v>
      </c>
      <c r="E51" s="154">
        <v>20000</v>
      </c>
      <c r="F51" s="154">
        <v>35000</v>
      </c>
      <c r="G51" s="380"/>
      <c r="H51" s="381"/>
      <c r="I51" s="386"/>
    </row>
    <row r="52" spans="1:9" s="3" customFormat="1" ht="18.75" x14ac:dyDescent="0.2">
      <c r="A52" s="130" t="s">
        <v>328</v>
      </c>
      <c r="B52" s="368"/>
      <c r="C52" s="129">
        <v>30</v>
      </c>
      <c r="D52" s="129">
        <v>50</v>
      </c>
      <c r="E52" s="129">
        <v>100</v>
      </c>
      <c r="F52" s="129">
        <v>160</v>
      </c>
      <c r="G52" s="380"/>
      <c r="H52" s="381"/>
      <c r="I52" s="386"/>
    </row>
    <row r="53" spans="1:9" s="3" customFormat="1" ht="18.75" x14ac:dyDescent="0.2">
      <c r="A53" s="130" t="s">
        <v>329</v>
      </c>
      <c r="B53" s="368"/>
      <c r="C53" s="154">
        <v>100000</v>
      </c>
      <c r="D53" s="154">
        <v>350000</v>
      </c>
      <c r="E53" s="154">
        <v>1000000</v>
      </c>
      <c r="F53" s="154">
        <v>2000000</v>
      </c>
      <c r="G53" s="380"/>
      <c r="H53" s="381"/>
      <c r="I53" s="386"/>
    </row>
    <row r="54" spans="1:9" s="3" customFormat="1" ht="18.75" x14ac:dyDescent="0.2">
      <c r="A54" s="130" t="s">
        <v>324</v>
      </c>
      <c r="B54" s="368"/>
      <c r="C54" s="129">
        <v>4</v>
      </c>
      <c r="D54" s="129">
        <v>6</v>
      </c>
      <c r="E54" s="129">
        <v>10</v>
      </c>
      <c r="F54" s="129">
        <v>25</v>
      </c>
      <c r="G54" s="380"/>
      <c r="H54" s="381"/>
      <c r="I54" s="386"/>
    </row>
    <row r="55" spans="1:9" s="3" customFormat="1" ht="18.75" x14ac:dyDescent="0.2">
      <c r="A55" s="130" t="s">
        <v>325</v>
      </c>
      <c r="B55" s="368"/>
      <c r="C55" s="154">
        <v>5000</v>
      </c>
      <c r="D55" s="154">
        <v>10000</v>
      </c>
      <c r="E55" s="154">
        <v>25000</v>
      </c>
      <c r="F55" s="154">
        <v>50000</v>
      </c>
      <c r="G55" s="380"/>
      <c r="H55" s="381"/>
      <c r="I55" s="386"/>
    </row>
    <row r="56" spans="1:9" s="3" customFormat="1" ht="18.75" x14ac:dyDescent="0.2">
      <c r="A56" s="130" t="s">
        <v>326</v>
      </c>
      <c r="B56" s="368"/>
      <c r="C56" s="129">
        <v>3</v>
      </c>
      <c r="D56" s="129">
        <v>6</v>
      </c>
      <c r="E56" s="129">
        <v>10</v>
      </c>
      <c r="F56" s="129">
        <v>20</v>
      </c>
      <c r="G56" s="380"/>
      <c r="H56" s="381"/>
      <c r="I56" s="386"/>
    </row>
    <row r="57" spans="1:9" s="3" customFormat="1" ht="18.75" x14ac:dyDescent="0.2">
      <c r="A57" s="159" t="s">
        <v>327</v>
      </c>
      <c r="B57" s="369"/>
      <c r="C57" s="160">
        <v>6000</v>
      </c>
      <c r="D57" s="160">
        <v>20000</v>
      </c>
      <c r="E57" s="160">
        <v>30000</v>
      </c>
      <c r="F57" s="160">
        <v>65000</v>
      </c>
      <c r="G57" s="380"/>
      <c r="H57" s="381"/>
      <c r="I57" s="386"/>
    </row>
    <row r="58" spans="1:9" s="3" customFormat="1" ht="18.75" x14ac:dyDescent="0.2">
      <c r="A58" s="156"/>
      <c r="B58" s="157"/>
      <c r="C58" s="158"/>
      <c r="D58" s="158"/>
      <c r="E58" s="158"/>
      <c r="F58" s="158"/>
      <c r="G58" s="145"/>
      <c r="H58" s="145"/>
      <c r="I58" s="162"/>
    </row>
    <row r="59" spans="1:9" ht="18.75" x14ac:dyDescent="0.2">
      <c r="A59" s="161" t="s">
        <v>320</v>
      </c>
      <c r="B59" s="161" t="s">
        <v>321</v>
      </c>
      <c r="C59" s="161" t="s">
        <v>302</v>
      </c>
      <c r="D59" s="161" t="s">
        <v>303</v>
      </c>
      <c r="E59" s="161" t="s">
        <v>304</v>
      </c>
      <c r="F59" s="161" t="s">
        <v>305</v>
      </c>
      <c r="G59" s="380"/>
      <c r="H59" s="381"/>
      <c r="I59" s="386"/>
    </row>
    <row r="60" spans="1:9" s="3" customFormat="1" ht="18.75" x14ac:dyDescent="0.2">
      <c r="A60" s="130" t="s">
        <v>322</v>
      </c>
      <c r="B60" s="367" t="s">
        <v>477</v>
      </c>
      <c r="C60" s="129">
        <v>50</v>
      </c>
      <c r="D60" s="129">
        <v>75</v>
      </c>
      <c r="E60" s="129">
        <v>100</v>
      </c>
      <c r="F60" s="129">
        <v>125</v>
      </c>
      <c r="G60" s="380"/>
      <c r="H60" s="381"/>
      <c r="I60" s="386"/>
    </row>
    <row r="61" spans="1:9" s="3" customFormat="1" ht="18.75" x14ac:dyDescent="0.2">
      <c r="A61" s="130" t="s">
        <v>323</v>
      </c>
      <c r="B61" s="368"/>
      <c r="C61" s="154">
        <v>50000</v>
      </c>
      <c r="D61" s="154">
        <v>75000</v>
      </c>
      <c r="E61" s="154">
        <v>100000</v>
      </c>
      <c r="F61" s="154">
        <v>125000</v>
      </c>
      <c r="G61" s="380"/>
      <c r="H61" s="381"/>
      <c r="I61" s="386"/>
    </row>
    <row r="62" spans="1:9" s="3" customFormat="1" ht="18.75" x14ac:dyDescent="0.2">
      <c r="A62" s="130" t="s">
        <v>330</v>
      </c>
      <c r="B62" s="368"/>
      <c r="C62" s="129">
        <v>120</v>
      </c>
      <c r="D62" s="129">
        <v>180</v>
      </c>
      <c r="E62" s="129">
        <v>240</v>
      </c>
      <c r="F62" s="129">
        <v>300</v>
      </c>
      <c r="G62" s="380"/>
      <c r="H62" s="381"/>
      <c r="I62" s="386"/>
    </row>
    <row r="63" spans="1:9" s="3" customFormat="1" ht="18.75" x14ac:dyDescent="0.2">
      <c r="A63" s="130" t="s">
        <v>331</v>
      </c>
      <c r="B63" s="368"/>
      <c r="C63" s="154">
        <v>80000</v>
      </c>
      <c r="D63" s="154">
        <v>120000</v>
      </c>
      <c r="E63" s="154">
        <v>160000</v>
      </c>
      <c r="F63" s="153">
        <v>200000</v>
      </c>
      <c r="G63" s="380"/>
      <c r="H63" s="381"/>
      <c r="I63" s="386"/>
    </row>
    <row r="64" spans="1:9" s="3" customFormat="1" ht="18.75" x14ac:dyDescent="0.2">
      <c r="A64" s="130" t="s">
        <v>328</v>
      </c>
      <c r="B64" s="368"/>
      <c r="C64" s="129">
        <v>90</v>
      </c>
      <c r="D64" s="129">
        <v>120</v>
      </c>
      <c r="E64" s="129">
        <v>150</v>
      </c>
      <c r="F64" s="129">
        <v>180</v>
      </c>
      <c r="G64" s="380"/>
      <c r="H64" s="381"/>
      <c r="I64" s="386"/>
    </row>
    <row r="65" spans="1:9" s="3" customFormat="1" ht="18.75" x14ac:dyDescent="0.2">
      <c r="A65" s="130" t="s">
        <v>329</v>
      </c>
      <c r="B65" s="368"/>
      <c r="C65" s="154">
        <v>1500000</v>
      </c>
      <c r="D65" s="154">
        <v>2250000</v>
      </c>
      <c r="E65" s="154">
        <v>3000000</v>
      </c>
      <c r="F65" s="154">
        <v>4500000</v>
      </c>
      <c r="G65" s="380"/>
      <c r="H65" s="381"/>
      <c r="I65" s="386"/>
    </row>
    <row r="66" spans="1:9" s="3" customFormat="1" ht="18.75" x14ac:dyDescent="0.2">
      <c r="A66" s="130" t="s">
        <v>324</v>
      </c>
      <c r="B66" s="368"/>
      <c r="C66" s="129">
        <v>30</v>
      </c>
      <c r="D66" s="129">
        <v>60</v>
      </c>
      <c r="E66" s="129">
        <v>90</v>
      </c>
      <c r="F66" s="129">
        <v>120</v>
      </c>
      <c r="G66" s="380"/>
      <c r="H66" s="381"/>
      <c r="I66" s="386"/>
    </row>
    <row r="67" spans="1:9" s="3" customFormat="1" ht="18.75" x14ac:dyDescent="0.2">
      <c r="A67" s="130" t="s">
        <v>325</v>
      </c>
      <c r="B67" s="368"/>
      <c r="C67" s="154">
        <v>300000</v>
      </c>
      <c r="D67" s="154">
        <v>600000</v>
      </c>
      <c r="E67" s="154">
        <v>900000</v>
      </c>
      <c r="F67" s="154">
        <v>1200000</v>
      </c>
      <c r="G67" s="380"/>
      <c r="H67" s="381"/>
      <c r="I67" s="386"/>
    </row>
    <row r="68" spans="1:9" s="3" customFormat="1" ht="18.75" x14ac:dyDescent="0.2">
      <c r="A68" s="130" t="s">
        <v>326</v>
      </c>
      <c r="B68" s="368"/>
      <c r="C68" s="129">
        <v>5</v>
      </c>
      <c r="D68" s="129">
        <v>10</v>
      </c>
      <c r="E68" s="129">
        <v>15</v>
      </c>
      <c r="F68" s="129">
        <v>20</v>
      </c>
      <c r="G68" s="380"/>
      <c r="H68" s="381"/>
      <c r="I68" s="386"/>
    </row>
    <row r="69" spans="1:9" s="3" customFormat="1" ht="18.75" x14ac:dyDescent="0.2">
      <c r="A69" s="130" t="s">
        <v>327</v>
      </c>
      <c r="B69" s="369"/>
      <c r="C69" s="154">
        <v>25000</v>
      </c>
      <c r="D69" s="154">
        <v>50000</v>
      </c>
      <c r="E69" s="154">
        <v>75000</v>
      </c>
      <c r="F69" s="154">
        <v>100000</v>
      </c>
      <c r="G69" s="380"/>
      <c r="H69" s="381"/>
      <c r="I69" s="386"/>
    </row>
    <row r="70" spans="1:9" s="3" customFormat="1" ht="18.75" x14ac:dyDescent="0.2">
      <c r="A70" s="155"/>
      <c r="B70" s="155"/>
      <c r="C70" s="155"/>
      <c r="D70" s="155"/>
      <c r="E70" s="155"/>
      <c r="F70" s="155"/>
      <c r="G70" s="155"/>
      <c r="H70" s="155"/>
      <c r="I70" s="155"/>
    </row>
    <row r="71" spans="1:9" s="3" customFormat="1" ht="18.75" x14ac:dyDescent="0.2">
      <c r="A71" s="4" t="s">
        <v>332</v>
      </c>
      <c r="B71" s="151" t="s">
        <v>333</v>
      </c>
      <c r="C71" s="383"/>
      <c r="D71" s="383"/>
      <c r="E71" s="383"/>
      <c r="F71" s="383"/>
      <c r="G71" s="383"/>
      <c r="H71" s="383"/>
      <c r="I71" s="385"/>
    </row>
    <row r="72" spans="1:9" s="3" customFormat="1" ht="18.75" x14ac:dyDescent="0.2">
      <c r="A72" s="128" t="s">
        <v>334</v>
      </c>
      <c r="B72" s="152" t="s">
        <v>301</v>
      </c>
      <c r="C72" s="384"/>
      <c r="D72" s="384"/>
      <c r="E72" s="384"/>
      <c r="F72" s="384"/>
      <c r="G72" s="384"/>
      <c r="H72" s="384"/>
      <c r="I72" s="386"/>
    </row>
    <row r="73" spans="1:9" s="3" customFormat="1" ht="18.75" x14ac:dyDescent="0.2">
      <c r="A73" s="128" t="s">
        <v>335</v>
      </c>
      <c r="B73" s="152" t="s">
        <v>303</v>
      </c>
      <c r="C73" s="384"/>
      <c r="D73" s="384"/>
      <c r="E73" s="384"/>
      <c r="F73" s="384"/>
      <c r="G73" s="384"/>
      <c r="H73" s="384"/>
      <c r="I73" s="386"/>
    </row>
    <row r="74" spans="1:9" s="3" customFormat="1" ht="18.75" x14ac:dyDescent="0.2">
      <c r="A74" s="128" t="s">
        <v>336</v>
      </c>
      <c r="B74" s="152" t="s">
        <v>303</v>
      </c>
      <c r="C74" s="384"/>
      <c r="D74" s="384"/>
      <c r="E74" s="384"/>
      <c r="F74" s="384"/>
      <c r="G74" s="384"/>
      <c r="H74" s="384"/>
      <c r="I74" s="386"/>
    </row>
    <row r="75" spans="1:9" s="3" customFormat="1" ht="37.5" x14ac:dyDescent="0.2">
      <c r="A75" s="128" t="s">
        <v>337</v>
      </c>
      <c r="B75" s="152" t="s">
        <v>305</v>
      </c>
      <c r="C75" s="384"/>
      <c r="D75" s="384"/>
      <c r="E75" s="384"/>
      <c r="F75" s="384"/>
      <c r="G75" s="384"/>
      <c r="H75" s="384"/>
      <c r="I75" s="386"/>
    </row>
    <row r="76" spans="1:9" s="3" customFormat="1" ht="18.75" x14ac:dyDescent="0.2">
      <c r="A76" s="128" t="s">
        <v>338</v>
      </c>
      <c r="B76" s="152" t="s">
        <v>305</v>
      </c>
      <c r="C76" s="384"/>
      <c r="D76" s="384"/>
      <c r="E76" s="384"/>
      <c r="F76" s="384"/>
      <c r="G76" s="384"/>
      <c r="H76" s="384"/>
      <c r="I76" s="386"/>
    </row>
    <row r="77" spans="1:9" s="3" customFormat="1" ht="18.75" x14ac:dyDescent="0.2">
      <c r="A77" s="128" t="s">
        <v>339</v>
      </c>
      <c r="B77" s="152" t="s">
        <v>305</v>
      </c>
      <c r="C77" s="384"/>
      <c r="D77" s="384"/>
      <c r="E77" s="384"/>
      <c r="F77" s="384"/>
      <c r="G77" s="384"/>
      <c r="H77" s="384"/>
      <c r="I77" s="386"/>
    </row>
    <row r="78" spans="1:9" s="3" customFormat="1" ht="18.75" x14ac:dyDescent="0.2">
      <c r="A78" s="128" t="s">
        <v>340</v>
      </c>
      <c r="B78" s="152" t="s">
        <v>305</v>
      </c>
      <c r="C78" s="384"/>
      <c r="D78" s="384"/>
      <c r="E78" s="384"/>
      <c r="F78" s="384"/>
      <c r="G78" s="384"/>
      <c r="H78" s="384"/>
      <c r="I78" s="386"/>
    </row>
    <row r="79" spans="1:9" s="3" customFormat="1" ht="18.75" x14ac:dyDescent="0.2">
      <c r="A79" s="128" t="s">
        <v>341</v>
      </c>
      <c r="B79" s="152" t="s">
        <v>303</v>
      </c>
      <c r="C79" s="384"/>
      <c r="D79" s="384"/>
      <c r="E79" s="384"/>
      <c r="F79" s="384"/>
      <c r="G79" s="384"/>
      <c r="H79" s="384"/>
      <c r="I79" s="386"/>
    </row>
    <row r="80" spans="1:9" s="3" customFormat="1" ht="18.75" x14ac:dyDescent="0.2">
      <c r="A80" s="128" t="s">
        <v>342</v>
      </c>
      <c r="B80" s="150" t="s">
        <v>305</v>
      </c>
      <c r="C80" s="384"/>
      <c r="D80" s="384"/>
      <c r="E80" s="384"/>
      <c r="F80" s="384"/>
      <c r="G80" s="384"/>
      <c r="H80" s="384"/>
      <c r="I80" s="386"/>
    </row>
    <row r="81" spans="1:9" s="3" customFormat="1" ht="18.75" x14ac:dyDescent="0.2">
      <c r="A81" s="150" t="s">
        <v>472</v>
      </c>
      <c r="B81" s="150" t="s">
        <v>305</v>
      </c>
      <c r="C81" s="384"/>
      <c r="D81" s="384"/>
      <c r="E81" s="384"/>
      <c r="F81" s="384"/>
      <c r="G81" s="384"/>
      <c r="H81" s="384"/>
      <c r="I81" s="386"/>
    </row>
    <row r="82" spans="1:9" s="3" customFormat="1" ht="18.75" x14ac:dyDescent="0.2">
      <c r="A82" s="150" t="s">
        <v>473</v>
      </c>
      <c r="B82" s="128" t="s">
        <v>305</v>
      </c>
      <c r="C82" s="381"/>
      <c r="D82" s="384"/>
      <c r="E82" s="384"/>
      <c r="F82" s="384"/>
      <c r="G82" s="384"/>
      <c r="H82" s="384"/>
      <c r="I82" s="386"/>
    </row>
    <row r="83" spans="1:9" s="3" customFormat="1" ht="18.75" x14ac:dyDescent="0.2">
      <c r="A83" s="150" t="s">
        <v>474</v>
      </c>
      <c r="B83" s="128" t="s">
        <v>305</v>
      </c>
      <c r="C83" s="381"/>
      <c r="D83" s="384"/>
      <c r="E83" s="384"/>
      <c r="F83" s="384"/>
      <c r="G83" s="384"/>
      <c r="H83" s="384"/>
      <c r="I83" s="386"/>
    </row>
    <row r="84" spans="1:9" ht="18.75" x14ac:dyDescent="0.2">
      <c r="A84" s="195"/>
      <c r="B84" s="195"/>
      <c r="C84" s="195"/>
      <c r="D84" s="195"/>
      <c r="E84" s="195"/>
      <c r="F84" s="195"/>
      <c r="G84" s="195"/>
      <c r="H84" s="195"/>
      <c r="I84" s="195"/>
    </row>
    <row r="85" spans="1:9" ht="18.75" x14ac:dyDescent="0.2">
      <c r="A85" s="375" t="s">
        <v>343</v>
      </c>
      <c r="B85" s="375"/>
      <c r="C85" s="375"/>
      <c r="D85" s="375"/>
      <c r="E85" s="375"/>
      <c r="F85" s="375"/>
      <c r="G85" s="375"/>
      <c r="H85" s="375"/>
      <c r="I85" s="364" t="s">
        <v>480</v>
      </c>
    </row>
    <row r="86" spans="1:9" ht="18.75" x14ac:dyDescent="0.2">
      <c r="A86" s="127">
        <v>39846</v>
      </c>
      <c r="B86" s="124">
        <v>1.3669718790631599E-2</v>
      </c>
      <c r="C86" s="340"/>
      <c r="D86" s="340"/>
      <c r="E86" s="340"/>
      <c r="F86" s="340"/>
      <c r="G86" s="340"/>
      <c r="H86" s="340"/>
      <c r="I86" s="382"/>
    </row>
    <row r="87" spans="1:9" ht="18.75" x14ac:dyDescent="0.2">
      <c r="A87" s="127">
        <v>161200</v>
      </c>
      <c r="B87" s="124">
        <v>5.5301878960242301E-2</v>
      </c>
      <c r="C87" s="340"/>
      <c r="D87" s="340"/>
      <c r="E87" s="340"/>
      <c r="F87" s="340"/>
      <c r="G87" s="340"/>
      <c r="H87" s="340"/>
      <c r="I87" s="382"/>
    </row>
    <row r="88" spans="1:9" ht="18.75" x14ac:dyDescent="0.2">
      <c r="A88" s="127">
        <v>2713864</v>
      </c>
      <c r="B88" s="124">
        <v>0.93102840224912597</v>
      </c>
      <c r="C88" s="340"/>
      <c r="D88" s="340"/>
      <c r="E88" s="340"/>
      <c r="F88" s="340"/>
      <c r="G88" s="340"/>
      <c r="H88" s="340"/>
      <c r="I88" s="382"/>
    </row>
    <row r="89" spans="1:9" ht="18.75" x14ac:dyDescent="0.2">
      <c r="A89" s="341" t="s">
        <v>344</v>
      </c>
      <c r="B89" s="341"/>
      <c r="C89" s="341"/>
      <c r="D89" s="341"/>
      <c r="E89" s="341"/>
      <c r="F89" s="341"/>
      <c r="G89" s="341"/>
      <c r="H89" s="341"/>
      <c r="I89" s="372" t="s">
        <v>481</v>
      </c>
    </row>
    <row r="90" spans="1:9" ht="56.25" x14ac:dyDescent="0.2">
      <c r="A90" s="2" t="s">
        <v>345</v>
      </c>
      <c r="B90" s="2" t="s">
        <v>346</v>
      </c>
      <c r="C90" s="2" t="s">
        <v>347</v>
      </c>
      <c r="D90" s="2" t="s">
        <v>348</v>
      </c>
      <c r="E90" s="2" t="s">
        <v>349</v>
      </c>
      <c r="F90" s="340"/>
      <c r="G90" s="340"/>
      <c r="H90" s="340"/>
      <c r="I90" s="373"/>
    </row>
    <row r="91" spans="1:9" ht="18.75" x14ac:dyDescent="0.2">
      <c r="A91" s="123" t="s">
        <v>301</v>
      </c>
      <c r="B91" s="123" t="s">
        <v>464</v>
      </c>
      <c r="C91" s="125">
        <v>0.93102840224912597</v>
      </c>
      <c r="D91" s="123" t="s">
        <v>465</v>
      </c>
      <c r="E91" s="123"/>
      <c r="F91" s="340"/>
      <c r="G91" s="340"/>
      <c r="H91" s="340"/>
      <c r="I91" s="373"/>
    </row>
    <row r="92" spans="1:9" ht="18.75" x14ac:dyDescent="0.2">
      <c r="A92" s="123" t="s">
        <v>303</v>
      </c>
      <c r="B92" s="123" t="s">
        <v>466</v>
      </c>
      <c r="C92" s="125">
        <v>5.5301878960242301E-2</v>
      </c>
      <c r="D92" s="123" t="s">
        <v>467</v>
      </c>
      <c r="E92" s="123"/>
      <c r="F92" s="340"/>
      <c r="G92" s="340"/>
      <c r="H92" s="340"/>
      <c r="I92" s="373"/>
    </row>
    <row r="93" spans="1:9" ht="18.75" x14ac:dyDescent="0.2">
      <c r="A93" s="123" t="s">
        <v>305</v>
      </c>
      <c r="B93" s="123" t="s">
        <v>468</v>
      </c>
      <c r="C93" s="125">
        <v>1.3669718790631599E-2</v>
      </c>
      <c r="D93" s="123" t="s">
        <v>469</v>
      </c>
      <c r="E93" s="123"/>
      <c r="F93" s="340"/>
      <c r="G93" s="340"/>
      <c r="H93" s="340"/>
      <c r="I93" s="374"/>
    </row>
    <row r="94" spans="1:9" ht="18.75" x14ac:dyDescent="0.2">
      <c r="A94" s="349" t="s">
        <v>350</v>
      </c>
      <c r="B94" s="233"/>
      <c r="C94" s="233"/>
      <c r="D94" s="233"/>
      <c r="E94" s="233"/>
      <c r="F94" s="233"/>
      <c r="G94" s="233"/>
      <c r="H94" s="233"/>
      <c r="I94" s="234"/>
    </row>
    <row r="95" spans="1:9" x14ac:dyDescent="0.2">
      <c r="A95" s="350" t="s">
        <v>351</v>
      </c>
      <c r="B95" s="351"/>
      <c r="C95" s="351"/>
      <c r="D95" s="351"/>
      <c r="E95" s="351"/>
      <c r="F95" s="351"/>
      <c r="G95" s="351"/>
      <c r="H95" s="352"/>
      <c r="I95" s="342"/>
    </row>
    <row r="96" spans="1:9" x14ac:dyDescent="0.2">
      <c r="A96" s="353" t="s">
        <v>391</v>
      </c>
      <c r="B96" s="351"/>
      <c r="C96" s="351"/>
      <c r="D96" s="351"/>
      <c r="E96" s="351"/>
      <c r="F96" s="351"/>
      <c r="G96" s="351"/>
      <c r="H96" s="352"/>
      <c r="I96" s="343"/>
    </row>
    <row r="97" spans="1:9" x14ac:dyDescent="0.2">
      <c r="A97" s="349" t="s">
        <v>352</v>
      </c>
      <c r="B97" s="347"/>
      <c r="C97" s="347"/>
      <c r="D97" s="347"/>
      <c r="E97" s="347"/>
      <c r="F97" s="347"/>
      <c r="G97" s="347"/>
      <c r="H97" s="348"/>
      <c r="I97" s="344" t="s">
        <v>482</v>
      </c>
    </row>
    <row r="98" spans="1:9" x14ac:dyDescent="0.2">
      <c r="A98" s="209" t="s">
        <v>391</v>
      </c>
      <c r="B98" s="347"/>
      <c r="C98" s="347"/>
      <c r="D98" s="347"/>
      <c r="E98" s="347"/>
      <c r="F98" s="347"/>
      <c r="G98" s="347"/>
      <c r="H98" s="348"/>
      <c r="I98" s="344"/>
    </row>
    <row r="99" spans="1:9" x14ac:dyDescent="0.2">
      <c r="A99" s="349" t="s">
        <v>353</v>
      </c>
      <c r="B99" s="347"/>
      <c r="C99" s="347"/>
      <c r="D99" s="347"/>
      <c r="E99" s="347"/>
      <c r="F99" s="347"/>
      <c r="G99" s="347"/>
      <c r="H99" s="348"/>
      <c r="I99" s="345"/>
    </row>
    <row r="100" spans="1:9" x14ac:dyDescent="0.2">
      <c r="A100" s="209" t="s">
        <v>391</v>
      </c>
      <c r="B100" s="347"/>
      <c r="C100" s="347"/>
      <c r="D100" s="347"/>
      <c r="E100" s="347"/>
      <c r="F100" s="347"/>
      <c r="G100" s="347"/>
      <c r="H100" s="348"/>
      <c r="I100" s="346"/>
    </row>
    <row r="101" spans="1:9" x14ac:dyDescent="0.2">
      <c r="A101" s="349" t="s">
        <v>354</v>
      </c>
      <c r="B101" s="347"/>
      <c r="C101" s="347"/>
      <c r="D101" s="347"/>
      <c r="E101" s="347"/>
      <c r="F101" s="347"/>
      <c r="G101" s="347"/>
      <c r="H101" s="348"/>
      <c r="I101" s="344" t="s">
        <v>484</v>
      </c>
    </row>
    <row r="102" spans="1:9" x14ac:dyDescent="0.2">
      <c r="A102" s="209" t="s">
        <v>391</v>
      </c>
      <c r="B102" s="347"/>
      <c r="C102" s="347"/>
      <c r="D102" s="347"/>
      <c r="E102" s="347"/>
      <c r="F102" s="347"/>
      <c r="G102" s="347"/>
      <c r="H102" s="348"/>
      <c r="I102" s="344"/>
    </row>
    <row r="103" spans="1:9" x14ac:dyDescent="0.2">
      <c r="A103" s="349" t="s">
        <v>355</v>
      </c>
      <c r="B103" s="347"/>
      <c r="C103" s="347"/>
      <c r="D103" s="347"/>
      <c r="E103" s="347"/>
      <c r="F103" s="347"/>
      <c r="G103" s="347"/>
      <c r="H103" s="348"/>
      <c r="I103" s="344" t="s">
        <v>484</v>
      </c>
    </row>
    <row r="104" spans="1:9" x14ac:dyDescent="0.2">
      <c r="A104" s="209" t="s">
        <v>391</v>
      </c>
      <c r="B104" s="347"/>
      <c r="C104" s="347"/>
      <c r="D104" s="347"/>
      <c r="E104" s="347"/>
      <c r="F104" s="347"/>
      <c r="G104" s="347"/>
      <c r="H104" s="348"/>
      <c r="I104" s="344"/>
    </row>
    <row r="105" spans="1:9" x14ac:dyDescent="0.2">
      <c r="A105" s="350" t="s">
        <v>356</v>
      </c>
      <c r="B105" s="351"/>
      <c r="C105" s="351"/>
      <c r="D105" s="351"/>
      <c r="E105" s="351"/>
      <c r="F105" s="351"/>
      <c r="G105" s="351"/>
      <c r="H105" s="352"/>
      <c r="I105" s="345"/>
    </row>
    <row r="106" spans="1:9" x14ac:dyDescent="0.2">
      <c r="A106" s="353" t="s">
        <v>391</v>
      </c>
      <c r="B106" s="351"/>
      <c r="C106" s="351"/>
      <c r="D106" s="351"/>
      <c r="E106" s="351"/>
      <c r="F106" s="351"/>
      <c r="G106" s="351"/>
      <c r="H106" s="352"/>
      <c r="I106" s="346"/>
    </row>
    <row r="107" spans="1:9" x14ac:dyDescent="0.2">
      <c r="A107" s="350" t="s">
        <v>357</v>
      </c>
      <c r="B107" s="351"/>
      <c r="C107" s="351"/>
      <c r="D107" s="351"/>
      <c r="E107" s="351"/>
      <c r="F107" s="351"/>
      <c r="G107" s="351"/>
      <c r="H107" s="352"/>
      <c r="I107" s="345"/>
    </row>
    <row r="108" spans="1:9" x14ac:dyDescent="0.2">
      <c r="A108" s="353" t="s">
        <v>391</v>
      </c>
      <c r="B108" s="351"/>
      <c r="C108" s="351"/>
      <c r="D108" s="351"/>
      <c r="E108" s="351"/>
      <c r="F108" s="351"/>
      <c r="G108" s="351"/>
      <c r="H108" s="352"/>
      <c r="I108" s="346"/>
    </row>
    <row r="109" spans="1:9" x14ac:dyDescent="0.2">
      <c r="A109" s="350" t="s">
        <v>358</v>
      </c>
      <c r="B109" s="351"/>
      <c r="C109" s="351"/>
      <c r="D109" s="351"/>
      <c r="E109" s="351"/>
      <c r="F109" s="351"/>
      <c r="G109" s="351"/>
      <c r="H109" s="352"/>
      <c r="I109" s="345"/>
    </row>
    <row r="110" spans="1:9" x14ac:dyDescent="0.2">
      <c r="A110" s="353" t="s">
        <v>391</v>
      </c>
      <c r="B110" s="351"/>
      <c r="C110" s="351"/>
      <c r="D110" s="351"/>
      <c r="E110" s="351"/>
      <c r="F110" s="351"/>
      <c r="G110" s="351"/>
      <c r="H110" s="352"/>
      <c r="I110" s="346"/>
    </row>
    <row r="111" spans="1:9" x14ac:dyDescent="0.2">
      <c r="A111" s="350" t="s">
        <v>359</v>
      </c>
      <c r="B111" s="351"/>
      <c r="C111" s="351"/>
      <c r="D111" s="351"/>
      <c r="E111" s="351"/>
      <c r="F111" s="351"/>
      <c r="G111" s="351"/>
      <c r="H111" s="352"/>
      <c r="I111" s="345"/>
    </row>
    <row r="112" spans="1:9" x14ac:dyDescent="0.2">
      <c r="A112" s="353" t="s">
        <v>391</v>
      </c>
      <c r="B112" s="351"/>
      <c r="C112" s="351"/>
      <c r="D112" s="351"/>
      <c r="E112" s="351"/>
      <c r="F112" s="351"/>
      <c r="G112" s="351"/>
      <c r="H112" s="352"/>
      <c r="I112" s="346"/>
    </row>
    <row r="113" spans="1:9" x14ac:dyDescent="0.2">
      <c r="A113" s="350" t="s">
        <v>360</v>
      </c>
      <c r="B113" s="351"/>
      <c r="C113" s="351"/>
      <c r="D113" s="351"/>
      <c r="E113" s="351"/>
      <c r="F113" s="351"/>
      <c r="G113" s="351"/>
      <c r="H113" s="352"/>
      <c r="I113" s="345"/>
    </row>
    <row r="114" spans="1:9" x14ac:dyDescent="0.2">
      <c r="A114" s="353" t="s">
        <v>485</v>
      </c>
      <c r="B114" s="351"/>
      <c r="C114" s="351"/>
      <c r="D114" s="351"/>
      <c r="E114" s="351"/>
      <c r="F114" s="351"/>
      <c r="G114" s="351"/>
      <c r="H114" s="352"/>
      <c r="I114" s="346"/>
    </row>
    <row r="115" spans="1:9" x14ac:dyDescent="0.2">
      <c r="A115" s="350" t="s">
        <v>361</v>
      </c>
      <c r="B115" s="351"/>
      <c r="C115" s="351"/>
      <c r="D115" s="351"/>
      <c r="E115" s="351"/>
      <c r="F115" s="351"/>
      <c r="G115" s="351"/>
      <c r="H115" s="352"/>
      <c r="I115" s="345"/>
    </row>
    <row r="116" spans="1:9" x14ac:dyDescent="0.2">
      <c r="A116" s="353" t="s">
        <v>391</v>
      </c>
      <c r="B116" s="351"/>
      <c r="C116" s="351"/>
      <c r="D116" s="351"/>
      <c r="E116" s="351"/>
      <c r="F116" s="351"/>
      <c r="G116" s="351"/>
      <c r="H116" s="352"/>
      <c r="I116" s="346"/>
    </row>
    <row r="117" spans="1:9" x14ac:dyDescent="0.2">
      <c r="A117" s="350" t="s">
        <v>362</v>
      </c>
      <c r="B117" s="351"/>
      <c r="C117" s="351"/>
      <c r="D117" s="351"/>
      <c r="E117" s="351"/>
      <c r="F117" s="351"/>
      <c r="G117" s="351"/>
      <c r="H117" s="352"/>
      <c r="I117" s="345"/>
    </row>
    <row r="118" spans="1:9" x14ac:dyDescent="0.2">
      <c r="A118" s="353" t="s">
        <v>391</v>
      </c>
      <c r="B118" s="351"/>
      <c r="C118" s="351"/>
      <c r="D118" s="351"/>
      <c r="E118" s="351"/>
      <c r="F118" s="351"/>
      <c r="G118" s="351"/>
      <c r="H118" s="352"/>
      <c r="I118" s="346"/>
    </row>
  </sheetData>
  <mergeCells count="86">
    <mergeCell ref="I15:I16"/>
    <mergeCell ref="I89:I93"/>
    <mergeCell ref="A85:H85"/>
    <mergeCell ref="A36:I36"/>
    <mergeCell ref="G37:H57"/>
    <mergeCell ref="A84:I84"/>
    <mergeCell ref="I85:I88"/>
    <mergeCell ref="C86:H88"/>
    <mergeCell ref="C71:H83"/>
    <mergeCell ref="I37:I57"/>
    <mergeCell ref="B38:B47"/>
    <mergeCell ref="B48:B57"/>
    <mergeCell ref="I71:I83"/>
    <mergeCell ref="G59:H69"/>
    <mergeCell ref="I59:I69"/>
    <mergeCell ref="B60:B69"/>
    <mergeCell ref="A118:H118"/>
    <mergeCell ref="A113:H113"/>
    <mergeCell ref="A114:H114"/>
    <mergeCell ref="A115:H115"/>
    <mergeCell ref="A116:H116"/>
    <mergeCell ref="A117:H117"/>
    <mergeCell ref="I13:I14"/>
    <mergeCell ref="I21:I35"/>
    <mergeCell ref="I18:I19"/>
    <mergeCell ref="A13:H13"/>
    <mergeCell ref="A15:H15"/>
    <mergeCell ref="A18:H18"/>
    <mergeCell ref="B23:B35"/>
    <mergeCell ref="C23:C35"/>
    <mergeCell ref="D23:D35"/>
    <mergeCell ref="E23:E35"/>
    <mergeCell ref="F23:F35"/>
    <mergeCell ref="A21:H21"/>
    <mergeCell ref="A17:I17"/>
    <mergeCell ref="A14:H14"/>
    <mergeCell ref="A16:H16"/>
    <mergeCell ref="A19:H19"/>
    <mergeCell ref="A2:H2"/>
    <mergeCell ref="A10:H10"/>
    <mergeCell ref="A12:H12"/>
    <mergeCell ref="A7:H7"/>
    <mergeCell ref="A5:H5"/>
    <mergeCell ref="A8:I8"/>
    <mergeCell ref="I4:I5"/>
    <mergeCell ref="I6:I7"/>
    <mergeCell ref="I9:I10"/>
    <mergeCell ref="I11:I12"/>
    <mergeCell ref="A9:H9"/>
    <mergeCell ref="A11:H11"/>
    <mergeCell ref="A3:I3"/>
    <mergeCell ref="A6:H6"/>
    <mergeCell ref="A4:H4"/>
    <mergeCell ref="I113:I114"/>
    <mergeCell ref="I115:I116"/>
    <mergeCell ref="I117:I118"/>
    <mergeCell ref="A94:I94"/>
    <mergeCell ref="A95:H95"/>
    <mergeCell ref="A97:H97"/>
    <mergeCell ref="A99:H99"/>
    <mergeCell ref="A103:H103"/>
    <mergeCell ref="A104:H104"/>
    <mergeCell ref="A105:H105"/>
    <mergeCell ref="I105:I106"/>
    <mergeCell ref="I107:I108"/>
    <mergeCell ref="A106:H106"/>
    <mergeCell ref="A107:H107"/>
    <mergeCell ref="A101:H101"/>
    <mergeCell ref="A96:H96"/>
    <mergeCell ref="I101:I102"/>
    <mergeCell ref="I103:I104"/>
    <mergeCell ref="I111:I112"/>
    <mergeCell ref="A98:H98"/>
    <mergeCell ref="A100:H100"/>
    <mergeCell ref="A102:H102"/>
    <mergeCell ref="I109:I110"/>
    <mergeCell ref="A108:H108"/>
    <mergeCell ref="A109:H109"/>
    <mergeCell ref="A110:H110"/>
    <mergeCell ref="A111:H111"/>
    <mergeCell ref="A112:H112"/>
    <mergeCell ref="F90:H93"/>
    <mergeCell ref="A89:H89"/>
    <mergeCell ref="I95:I96"/>
    <mergeCell ref="I97:I98"/>
    <mergeCell ref="I99:I100"/>
  </mergeCells>
  <dataValidations count="1">
    <dataValidation allowBlank="1" showInputMessage="1" showErrorMessage="1" prompt="O título desta folha de cálculo está nesta célula" sqref="A2" xr:uid="{842162F0-D249-4950-A8F0-F8CA5808708D}"/>
  </dataValidations>
  <pageMargins left="0.7" right="0.7" top="0.75" bottom="0.75" header="0.3" footer="0.3"/>
  <pageSetup paperSize="9" orientation="portrait" r:id="rId1"/>
  <headerFooter>
    <oddHeader>&amp;L&amp;"Calibri"&amp;10&amp;K000000 Confidential&amp;1#_x000D_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AD5AA-5254-4204-917A-5FA61E5D624F}">
  <sheetPr codeName="Sheet7"/>
  <dimension ref="A1:B22"/>
  <sheetViews>
    <sheetView showGridLines="0" zoomScale="80" zoomScaleNormal="80" workbookViewId="0">
      <pane ySplit="2" topLeftCell="A3" activePane="bottomLeft" state="frozen"/>
      <selection pane="bottomLeft" activeCell="A23" sqref="A23"/>
    </sheetView>
  </sheetViews>
  <sheetFormatPr defaultColWidth="8.625" defaultRowHeight="18.75" x14ac:dyDescent="0.2"/>
  <cols>
    <col min="1" max="1" width="99.875" style="14" customWidth="1"/>
    <col min="2" max="2" width="113.25" style="17" customWidth="1"/>
    <col min="3" max="16384" width="8.625" style="14"/>
  </cols>
  <sheetData>
    <row r="1" spans="1:2" x14ac:dyDescent="0.2">
      <c r="A1" s="15" t="s">
        <v>363</v>
      </c>
    </row>
    <row r="2" spans="1:2" x14ac:dyDescent="0.2">
      <c r="A2" s="12" t="s">
        <v>5</v>
      </c>
      <c r="B2" s="18" t="s">
        <v>6</v>
      </c>
    </row>
    <row r="3" spans="1:2" x14ac:dyDescent="0.2">
      <c r="A3" s="387" t="s">
        <v>363</v>
      </c>
      <c r="B3" s="388"/>
    </row>
    <row r="4" spans="1:2" x14ac:dyDescent="0.2">
      <c r="A4" s="200" t="s">
        <v>364</v>
      </c>
      <c r="B4" s="202"/>
    </row>
    <row r="5" spans="1:2" x14ac:dyDescent="0.2">
      <c r="A5" s="121" t="s">
        <v>365</v>
      </c>
      <c r="B5" s="245" t="s">
        <v>495</v>
      </c>
    </row>
    <row r="6" spans="1:2" x14ac:dyDescent="0.2">
      <c r="A6" s="120">
        <v>263653</v>
      </c>
      <c r="B6" s="246"/>
    </row>
    <row r="7" spans="1:2" ht="56.25" x14ac:dyDescent="0.2">
      <c r="A7" s="13" t="s">
        <v>366</v>
      </c>
      <c r="B7" s="245" t="s">
        <v>496</v>
      </c>
    </row>
    <row r="8" spans="1:2" x14ac:dyDescent="0.2">
      <c r="A8" s="120">
        <f>76383+30200</f>
        <v>106583</v>
      </c>
      <c r="B8" s="246"/>
    </row>
    <row r="9" spans="1:2" x14ac:dyDescent="0.2">
      <c r="A9" s="13" t="s">
        <v>367</v>
      </c>
      <c r="B9" s="185"/>
    </row>
    <row r="10" spans="1:2" x14ac:dyDescent="0.2">
      <c r="A10" s="120">
        <v>1318</v>
      </c>
      <c r="B10" s="186"/>
    </row>
    <row r="11" spans="1:2" x14ac:dyDescent="0.2">
      <c r="A11" s="13" t="s">
        <v>368</v>
      </c>
      <c r="B11" s="185"/>
    </row>
    <row r="12" spans="1:2" x14ac:dyDescent="0.2">
      <c r="A12" s="119">
        <v>0</v>
      </c>
      <c r="B12" s="186"/>
    </row>
    <row r="13" spans="1:2" x14ac:dyDescent="0.2">
      <c r="A13" s="200" t="s">
        <v>369</v>
      </c>
      <c r="B13" s="202"/>
    </row>
    <row r="14" spans="1:2" ht="37.5" x14ac:dyDescent="0.2">
      <c r="A14" s="84" t="s">
        <v>370</v>
      </c>
      <c r="B14" s="245" t="s">
        <v>497</v>
      </c>
    </row>
    <row r="15" spans="1:2" x14ac:dyDescent="0.2">
      <c r="A15" s="118">
        <v>23187</v>
      </c>
      <c r="B15" s="246"/>
    </row>
    <row r="16" spans="1:2" x14ac:dyDescent="0.2">
      <c r="A16" s="122" t="s">
        <v>371</v>
      </c>
      <c r="B16" s="245" t="s">
        <v>498</v>
      </c>
    </row>
    <row r="17" spans="1:2" x14ac:dyDescent="0.2">
      <c r="A17" s="118">
        <v>256964</v>
      </c>
      <c r="B17" s="246"/>
    </row>
    <row r="18" spans="1:2" x14ac:dyDescent="0.2">
      <c r="A18" s="204" t="s">
        <v>372</v>
      </c>
      <c r="B18" s="206"/>
    </row>
    <row r="19" spans="1:2" x14ac:dyDescent="0.2">
      <c r="A19" s="121" t="s">
        <v>373</v>
      </c>
      <c r="B19" s="245" t="s">
        <v>499</v>
      </c>
    </row>
    <row r="20" spans="1:2" x14ac:dyDescent="0.2">
      <c r="A20" s="118">
        <f>2746+969</f>
        <v>3715</v>
      </c>
      <c r="B20" s="246"/>
    </row>
    <row r="21" spans="1:2" x14ac:dyDescent="0.2">
      <c r="A21" s="122" t="s">
        <v>371</v>
      </c>
      <c r="B21" s="245" t="s">
        <v>500</v>
      </c>
    </row>
    <row r="22" spans="1:2" x14ac:dyDescent="0.2">
      <c r="A22" s="118">
        <f>17629+58531</f>
        <v>76160</v>
      </c>
      <c r="B22" s="246"/>
    </row>
  </sheetData>
  <autoFilter ref="A2:B22" xr:uid="{D3AAD5AA-5254-4204-917A-5FA61E5D624F}"/>
  <mergeCells count="12">
    <mergeCell ref="A3:B3"/>
    <mergeCell ref="A4:B4"/>
    <mergeCell ref="A13:B13"/>
    <mergeCell ref="A18:B18"/>
    <mergeCell ref="B14:B15"/>
    <mergeCell ref="B16:B17"/>
    <mergeCell ref="B21:B22"/>
    <mergeCell ref="B5:B6"/>
    <mergeCell ref="B7:B8"/>
    <mergeCell ref="B19:B20"/>
    <mergeCell ref="B9:B10"/>
    <mergeCell ref="B11:B12"/>
  </mergeCells>
  <pageMargins left="0.7" right="0.7" top="0.75" bottom="0.75" header="0.3" footer="0.3"/>
  <pageSetup paperSize="9" orientation="portrait" r:id="rId1"/>
  <headerFooter>
    <oddHeader>&amp;L&amp;"Calibri"&amp;10&amp;K000000 Confidential&amp;1#_x000D_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D5929-BEE7-4538-8816-118903B9C3A7}">
  <sheetPr codeName="Sheet8"/>
  <dimension ref="A1:G13"/>
  <sheetViews>
    <sheetView showGridLines="0" zoomScale="80" zoomScaleNormal="80" workbookViewId="0">
      <pane ySplit="2" topLeftCell="A3" activePane="bottomLeft" state="frozen"/>
      <selection activeCell="A7" sqref="A7"/>
      <selection pane="bottomLeft" activeCell="A3" sqref="A3:B3"/>
    </sheetView>
  </sheetViews>
  <sheetFormatPr defaultColWidth="8.875" defaultRowHeight="18.75" x14ac:dyDescent="0.2"/>
  <cols>
    <col min="1" max="1" width="100.625" style="9" bestFit="1" customWidth="1"/>
    <col min="2" max="5" width="76.75" style="9" customWidth="1"/>
    <col min="6" max="6" width="15.125" style="9" bestFit="1" customWidth="1"/>
    <col min="7" max="7" width="21.75" style="9" customWidth="1"/>
    <col min="8" max="8" width="13.25" style="9" bestFit="1" customWidth="1"/>
    <col min="9" max="16384" width="8.875" style="9"/>
  </cols>
  <sheetData>
    <row r="1" spans="1:7" x14ac:dyDescent="0.2">
      <c r="A1" s="8" t="s">
        <v>4</v>
      </c>
    </row>
    <row r="2" spans="1:7" x14ac:dyDescent="0.2">
      <c r="A2" s="6" t="s">
        <v>5</v>
      </c>
      <c r="B2" s="7" t="s">
        <v>6</v>
      </c>
    </row>
    <row r="3" spans="1:7" x14ac:dyDescent="0.2">
      <c r="A3" s="387" t="s">
        <v>403</v>
      </c>
      <c r="B3" s="388"/>
    </row>
    <row r="4" spans="1:7" x14ac:dyDescent="0.2">
      <c r="A4" s="10" t="s">
        <v>404</v>
      </c>
      <c r="B4" s="245" t="s">
        <v>501</v>
      </c>
      <c r="G4" s="112"/>
    </row>
    <row r="5" spans="1:7" x14ac:dyDescent="0.2">
      <c r="A5" s="97">
        <f>427703+324936+115</f>
        <v>752754</v>
      </c>
      <c r="B5" s="389"/>
      <c r="G5" s="112"/>
    </row>
    <row r="6" spans="1:7" ht="37.5" x14ac:dyDescent="0.2">
      <c r="A6" s="10" t="s">
        <v>405</v>
      </c>
      <c r="B6" s="185"/>
      <c r="G6" s="112"/>
    </row>
    <row r="7" spans="1:7" x14ac:dyDescent="0.2">
      <c r="A7" s="99">
        <f>24982451933.35+285629025.95+2877374.08</f>
        <v>25270958333.380001</v>
      </c>
      <c r="B7" s="186"/>
      <c r="G7" s="112"/>
    </row>
    <row r="8" spans="1:7" x14ac:dyDescent="0.2">
      <c r="G8" s="111"/>
    </row>
    <row r="13" spans="1:7" x14ac:dyDescent="0.2">
      <c r="B13" s="11"/>
    </row>
  </sheetData>
  <autoFilter ref="A2:B7" xr:uid="{923D5929-BEE7-4538-8816-118903B9C3A7}"/>
  <mergeCells count="3">
    <mergeCell ref="A3:B3"/>
    <mergeCell ref="B4:B5"/>
    <mergeCell ref="B6:B7"/>
  </mergeCells>
  <phoneticPr fontId="40" type="noConversion"/>
  <dataValidations count="1">
    <dataValidation allowBlank="1" showInputMessage="1" showErrorMessage="1" prompt="O título desta folha de cálculo está nesta célula" sqref="A2" xr:uid="{0B6907CA-32FF-46C2-9893-3A6BBD56D3EF}"/>
  </dataValidations>
  <pageMargins left="0.7" right="0.7" top="0.75" bottom="0.75" header="0.3" footer="0.3"/>
  <pageSetup paperSize="9" orientation="portrait" r:id="rId1"/>
  <headerFooter>
    <oddHeader>&amp;L&amp;"Calibri"&amp;10&amp;K000000 Confidential&amp;1#_x000D_</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4AE95-AB24-465B-A754-03CE5EA4E682}">
  <sheetPr codeName="Sheet9"/>
  <dimension ref="A1:B11"/>
  <sheetViews>
    <sheetView showGridLines="0" zoomScale="80" zoomScaleNormal="80" workbookViewId="0">
      <pane ySplit="2" topLeftCell="A3" activePane="bottomLeft" state="frozen"/>
      <selection activeCell="A7" sqref="A7"/>
      <selection pane="bottomLeft" activeCell="A12" sqref="A12"/>
    </sheetView>
  </sheetViews>
  <sheetFormatPr defaultColWidth="8.875" defaultRowHeight="18.75" x14ac:dyDescent="0.2"/>
  <cols>
    <col min="1" max="1" width="92.625" style="9" customWidth="1"/>
    <col min="2" max="2" width="66.625" style="9" customWidth="1"/>
    <col min="3" max="16384" width="8.875" style="9"/>
  </cols>
  <sheetData>
    <row r="1" spans="1:2" x14ac:dyDescent="0.2">
      <c r="A1" s="8" t="s">
        <v>374</v>
      </c>
    </row>
    <row r="2" spans="1:2" x14ac:dyDescent="0.2">
      <c r="A2" s="6" t="s">
        <v>5</v>
      </c>
      <c r="B2" s="7" t="s">
        <v>6</v>
      </c>
    </row>
    <row r="3" spans="1:2" x14ac:dyDescent="0.2">
      <c r="A3" s="275" t="s">
        <v>375</v>
      </c>
      <c r="B3" s="275"/>
    </row>
    <row r="4" spans="1:2" ht="37.5" x14ac:dyDescent="0.2">
      <c r="A4" s="16" t="s">
        <v>376</v>
      </c>
      <c r="B4" s="245" t="s">
        <v>502</v>
      </c>
    </row>
    <row r="5" spans="1:2" x14ac:dyDescent="0.2">
      <c r="A5" s="116">
        <v>350700</v>
      </c>
      <c r="B5" s="390"/>
    </row>
    <row r="6" spans="1:2" ht="37.5" x14ac:dyDescent="0.2">
      <c r="A6" s="16" t="s">
        <v>458</v>
      </c>
      <c r="B6" s="390"/>
    </row>
    <row r="7" spans="1:2" x14ac:dyDescent="0.2">
      <c r="A7" s="163">
        <v>576070201.74000001</v>
      </c>
      <c r="B7" s="246"/>
    </row>
    <row r="8" spans="1:2" ht="75" x14ac:dyDescent="0.2">
      <c r="A8" s="16" t="s">
        <v>377</v>
      </c>
      <c r="B8" s="188"/>
    </row>
    <row r="9" spans="1:2" x14ac:dyDescent="0.2">
      <c r="A9" s="98" t="s">
        <v>391</v>
      </c>
      <c r="B9" s="189"/>
    </row>
    <row r="10" spans="1:2" x14ac:dyDescent="0.2">
      <c r="A10" s="16" t="s">
        <v>378</v>
      </c>
      <c r="B10" s="188"/>
    </row>
    <row r="11" spans="1:2" x14ac:dyDescent="0.2">
      <c r="A11" s="98" t="s">
        <v>112</v>
      </c>
      <c r="B11" s="189"/>
    </row>
  </sheetData>
  <autoFilter ref="A2:B11" xr:uid="{B644AE95-AB24-465B-A754-03CE5EA4E682}"/>
  <mergeCells count="4">
    <mergeCell ref="A3:B3"/>
    <mergeCell ref="B4:B7"/>
    <mergeCell ref="B8:B9"/>
    <mergeCell ref="B10:B11"/>
  </mergeCells>
  <dataValidations count="1">
    <dataValidation allowBlank="1" showInputMessage="1" showErrorMessage="1" prompt="O título desta folha de cálculo está nesta célula" sqref="A2" xr:uid="{3C61B055-C039-4338-8551-EF1D31526C0C}"/>
  </dataValidations>
  <pageMargins left="0.7" right="0.7" top="0.75" bottom="0.75" header="0.3" footer="0.3"/>
  <pageSetup paperSize="9" orientation="portrait" r:id="rId1"/>
  <headerFooter>
    <oddHeader>&amp;L&amp;"Calibri"&amp;10&amp;K000000 Confidential&amp;1#_x000D_</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61655-3305-4D10-A1CA-6FC85140F903}">
  <sheetPr codeName="Sheet10"/>
  <dimension ref="A1:F52"/>
  <sheetViews>
    <sheetView showGridLines="0" zoomScale="80" zoomScaleNormal="80" workbookViewId="0">
      <pane ySplit="2" topLeftCell="A3" activePane="bottomLeft" state="frozen"/>
      <selection activeCell="A7" sqref="A7"/>
      <selection pane="bottomLeft" activeCell="A3" sqref="A3:C3"/>
    </sheetView>
  </sheetViews>
  <sheetFormatPr defaultColWidth="8.875" defaultRowHeight="18.75" x14ac:dyDescent="0.2"/>
  <cols>
    <col min="1" max="1" width="53.625" style="14" customWidth="1"/>
    <col min="2" max="2" width="45.625" style="14" customWidth="1"/>
    <col min="3" max="3" width="93" style="17" customWidth="1"/>
    <col min="4" max="4" width="93" style="27" customWidth="1"/>
    <col min="5" max="6" width="93" style="14" customWidth="1"/>
    <col min="7" max="16384" width="8.875" style="14"/>
  </cols>
  <sheetData>
    <row r="1" spans="1:4" x14ac:dyDescent="0.2">
      <c r="A1" s="15" t="s">
        <v>379</v>
      </c>
      <c r="B1" s="15"/>
    </row>
    <row r="2" spans="1:4" x14ac:dyDescent="0.2">
      <c r="A2" s="288" t="s">
        <v>5</v>
      </c>
      <c r="B2" s="401"/>
      <c r="C2" s="7" t="s">
        <v>122</v>
      </c>
    </row>
    <row r="3" spans="1:4" x14ac:dyDescent="0.2">
      <c r="A3" s="200" t="s">
        <v>380</v>
      </c>
      <c r="B3" s="201"/>
      <c r="C3" s="202"/>
    </row>
    <row r="4" spans="1:4" x14ac:dyDescent="0.2">
      <c r="A4" s="200" t="s">
        <v>381</v>
      </c>
      <c r="B4" s="201"/>
      <c r="C4" s="202"/>
    </row>
    <row r="5" spans="1:4" x14ac:dyDescent="0.2">
      <c r="A5" s="391" t="s">
        <v>382</v>
      </c>
      <c r="B5" s="392"/>
      <c r="C5" s="185"/>
    </row>
    <row r="6" spans="1:4" x14ac:dyDescent="0.2">
      <c r="A6" s="255">
        <v>46050</v>
      </c>
      <c r="B6" s="257"/>
      <c r="C6" s="186"/>
    </row>
    <row r="7" spans="1:4" x14ac:dyDescent="0.2">
      <c r="A7" s="222" t="s">
        <v>461</v>
      </c>
      <c r="B7" s="394"/>
      <c r="C7" s="185"/>
    </row>
    <row r="8" spans="1:4" x14ac:dyDescent="0.2">
      <c r="A8" s="395">
        <v>776</v>
      </c>
      <c r="B8" s="396"/>
      <c r="C8" s="186"/>
    </row>
    <row r="9" spans="1:4" x14ac:dyDescent="0.2">
      <c r="A9" s="391" t="s">
        <v>383</v>
      </c>
      <c r="B9" s="392"/>
      <c r="C9" s="185"/>
    </row>
    <row r="10" spans="1:4" x14ac:dyDescent="0.2">
      <c r="A10" s="395">
        <v>0</v>
      </c>
      <c r="B10" s="396"/>
      <c r="C10" s="186"/>
    </row>
    <row r="11" spans="1:4" x14ac:dyDescent="0.2">
      <c r="A11" s="391" t="s">
        <v>384</v>
      </c>
      <c r="B11" s="392"/>
      <c r="C11" s="185"/>
    </row>
    <row r="12" spans="1:4" x14ac:dyDescent="0.2">
      <c r="A12" s="395">
        <v>0</v>
      </c>
      <c r="B12" s="396"/>
      <c r="C12" s="186"/>
    </row>
    <row r="13" spans="1:4" x14ac:dyDescent="0.2">
      <c r="A13" s="200" t="s">
        <v>385</v>
      </c>
      <c r="B13" s="201"/>
      <c r="C13" s="202"/>
    </row>
    <row r="14" spans="1:4" x14ac:dyDescent="0.2">
      <c r="A14" s="391" t="s">
        <v>386</v>
      </c>
      <c r="B14" s="392"/>
      <c r="C14" s="185"/>
      <c r="D14" s="14"/>
    </row>
    <row r="15" spans="1:4" x14ac:dyDescent="0.2">
      <c r="A15" s="395">
        <v>355721</v>
      </c>
      <c r="B15" s="396"/>
      <c r="C15" s="186"/>
    </row>
    <row r="16" spans="1:4" x14ac:dyDescent="0.2">
      <c r="A16" s="391" t="s">
        <v>387</v>
      </c>
      <c r="B16" s="392"/>
      <c r="C16" s="185"/>
    </row>
    <row r="17" spans="1:6" x14ac:dyDescent="0.2">
      <c r="A17" s="395">
        <v>8974</v>
      </c>
      <c r="B17" s="396"/>
      <c r="C17" s="186"/>
    </row>
    <row r="18" spans="1:6" x14ac:dyDescent="0.2">
      <c r="A18" s="200" t="s">
        <v>388</v>
      </c>
      <c r="B18" s="201"/>
      <c r="C18" s="202"/>
    </row>
    <row r="19" spans="1:6" x14ac:dyDescent="0.2">
      <c r="A19" s="222" t="s">
        <v>389</v>
      </c>
      <c r="B19" s="394"/>
      <c r="C19" s="185"/>
    </row>
    <row r="20" spans="1:6" x14ac:dyDescent="0.2">
      <c r="A20" s="399" t="s">
        <v>512</v>
      </c>
      <c r="B20" s="400"/>
      <c r="C20" s="186"/>
    </row>
    <row r="21" spans="1:6" x14ac:dyDescent="0.2">
      <c r="A21" s="391" t="s">
        <v>390</v>
      </c>
      <c r="B21" s="392"/>
      <c r="C21" s="185"/>
    </row>
    <row r="22" spans="1:6" x14ac:dyDescent="0.2">
      <c r="A22" s="399" t="s">
        <v>391</v>
      </c>
      <c r="B22" s="400"/>
      <c r="C22" s="186"/>
    </row>
    <row r="23" spans="1:6" x14ac:dyDescent="0.2">
      <c r="A23" s="391" t="s">
        <v>392</v>
      </c>
      <c r="B23" s="392"/>
      <c r="C23" s="216"/>
    </row>
    <row r="24" spans="1:6" s="20" customFormat="1" x14ac:dyDescent="0.2">
      <c r="A24" s="21" t="s">
        <v>333</v>
      </c>
      <c r="B24" s="21" t="s">
        <v>88</v>
      </c>
      <c r="C24" s="216"/>
      <c r="D24" s="75"/>
      <c r="E24" s="75"/>
    </row>
    <row r="25" spans="1:6" s="20" customFormat="1" x14ac:dyDescent="0.2">
      <c r="A25" s="126" t="s">
        <v>301</v>
      </c>
      <c r="B25" s="126">
        <v>1312610</v>
      </c>
      <c r="C25" s="216"/>
      <c r="D25" s="28"/>
      <c r="E25" s="74"/>
      <c r="F25" s="74"/>
    </row>
    <row r="26" spans="1:6" s="20" customFormat="1" x14ac:dyDescent="0.2">
      <c r="A26" s="126" t="s">
        <v>303</v>
      </c>
      <c r="B26" s="126">
        <v>43982</v>
      </c>
      <c r="C26" s="216"/>
      <c r="D26" s="28"/>
      <c r="E26" s="28"/>
      <c r="F26" s="74"/>
    </row>
    <row r="27" spans="1:6" s="20" customFormat="1" x14ac:dyDescent="0.2">
      <c r="A27" s="126" t="s">
        <v>305</v>
      </c>
      <c r="B27" s="126">
        <v>22607</v>
      </c>
      <c r="C27" s="216"/>
      <c r="D27" s="28"/>
      <c r="E27" s="28"/>
    </row>
    <row r="28" spans="1:6" x14ac:dyDescent="0.2">
      <c r="A28" s="200" t="s">
        <v>393</v>
      </c>
      <c r="B28" s="201"/>
      <c r="C28" s="227"/>
      <c r="D28" s="76"/>
      <c r="E28" s="76"/>
    </row>
    <row r="29" spans="1:6" x14ac:dyDescent="0.2">
      <c r="A29" s="200" t="s">
        <v>394</v>
      </c>
      <c r="B29" s="201"/>
      <c r="C29" s="202"/>
    </row>
    <row r="30" spans="1:6" x14ac:dyDescent="0.2">
      <c r="A30" s="391" t="s">
        <v>395</v>
      </c>
      <c r="B30" s="392"/>
      <c r="C30" s="390" t="s">
        <v>513</v>
      </c>
    </row>
    <row r="31" spans="1:6" x14ac:dyDescent="0.2">
      <c r="A31" s="395">
        <v>42945</v>
      </c>
      <c r="B31" s="396"/>
      <c r="C31" s="246"/>
    </row>
    <row r="32" spans="1:6" x14ac:dyDescent="0.2">
      <c r="A32" s="391" t="s">
        <v>396</v>
      </c>
      <c r="B32" s="392"/>
      <c r="C32" s="185"/>
    </row>
    <row r="33" spans="1:3" x14ac:dyDescent="0.2">
      <c r="A33" s="395">
        <v>42945</v>
      </c>
      <c r="B33" s="396"/>
      <c r="C33" s="186"/>
    </row>
    <row r="34" spans="1:3" x14ac:dyDescent="0.2">
      <c r="A34" s="391" t="s">
        <v>397</v>
      </c>
      <c r="B34" s="392"/>
      <c r="C34" s="185"/>
    </row>
    <row r="35" spans="1:3" x14ac:dyDescent="0.2">
      <c r="A35" s="395">
        <v>0</v>
      </c>
      <c r="B35" s="396"/>
      <c r="C35" s="186"/>
    </row>
    <row r="36" spans="1:3" x14ac:dyDescent="0.2">
      <c r="A36" s="391" t="s">
        <v>398</v>
      </c>
      <c r="B36" s="392"/>
      <c r="C36" s="185"/>
    </row>
    <row r="37" spans="1:3" x14ac:dyDescent="0.2">
      <c r="A37" s="395">
        <v>0</v>
      </c>
      <c r="B37" s="396"/>
      <c r="C37" s="186"/>
    </row>
    <row r="38" spans="1:3" x14ac:dyDescent="0.2">
      <c r="A38" s="200" t="s">
        <v>399</v>
      </c>
      <c r="B38" s="201"/>
      <c r="C38" s="202"/>
    </row>
    <row r="39" spans="1:3" x14ac:dyDescent="0.2">
      <c r="A39" s="391" t="s">
        <v>463</v>
      </c>
      <c r="B39" s="392"/>
      <c r="C39" s="245" t="s">
        <v>514</v>
      </c>
    </row>
    <row r="40" spans="1:3" x14ac:dyDescent="0.2">
      <c r="A40" s="395">
        <v>23664</v>
      </c>
      <c r="B40" s="396"/>
      <c r="C40" s="246"/>
    </row>
    <row r="41" spans="1:3" x14ac:dyDescent="0.2">
      <c r="A41" s="391" t="s">
        <v>400</v>
      </c>
      <c r="B41" s="392"/>
      <c r="C41" s="245" t="s">
        <v>514</v>
      </c>
    </row>
    <row r="42" spans="1:3" x14ac:dyDescent="0.2">
      <c r="A42" s="395">
        <v>15923</v>
      </c>
      <c r="B42" s="396"/>
      <c r="C42" s="246"/>
    </row>
    <row r="43" spans="1:3" x14ac:dyDescent="0.2">
      <c r="A43" s="222" t="s">
        <v>470</v>
      </c>
      <c r="B43" s="394"/>
      <c r="C43" s="397" t="s">
        <v>515</v>
      </c>
    </row>
    <row r="44" spans="1:3" x14ac:dyDescent="0.2">
      <c r="A44" s="395">
        <v>0</v>
      </c>
      <c r="B44" s="396"/>
      <c r="C44" s="398"/>
    </row>
    <row r="45" spans="1:3" x14ac:dyDescent="0.2">
      <c r="A45" s="402" t="s">
        <v>400</v>
      </c>
      <c r="B45" s="394"/>
      <c r="C45" s="392"/>
    </row>
    <row r="46" spans="1:3" x14ac:dyDescent="0.2">
      <c r="A46" s="395">
        <v>0</v>
      </c>
      <c r="B46" s="396"/>
      <c r="C46" s="393"/>
    </row>
    <row r="47" spans="1:3" x14ac:dyDescent="0.2">
      <c r="A47" s="222" t="s">
        <v>462</v>
      </c>
      <c r="B47" s="394"/>
      <c r="C47" s="185"/>
    </row>
    <row r="48" spans="1:3" x14ac:dyDescent="0.2">
      <c r="A48" s="395">
        <v>16769</v>
      </c>
      <c r="B48" s="396"/>
      <c r="C48" s="186"/>
    </row>
    <row r="49" spans="1:3" x14ac:dyDescent="0.2">
      <c r="A49" s="391" t="s">
        <v>401</v>
      </c>
      <c r="B49" s="392"/>
      <c r="C49" s="185"/>
    </row>
    <row r="50" spans="1:3" x14ac:dyDescent="0.2">
      <c r="A50" s="395">
        <v>23921</v>
      </c>
      <c r="B50" s="396"/>
      <c r="C50" s="186"/>
    </row>
    <row r="51" spans="1:3" x14ac:dyDescent="0.2">
      <c r="A51" s="204" t="s">
        <v>402</v>
      </c>
      <c r="B51" s="206"/>
      <c r="C51" s="185"/>
    </row>
    <row r="52" spans="1:3" x14ac:dyDescent="0.2">
      <c r="A52" s="395">
        <v>289</v>
      </c>
      <c r="B52" s="396"/>
      <c r="C52" s="186"/>
    </row>
  </sheetData>
  <autoFilter ref="A2:C52" xr:uid="{87761655-3305-4D10-A1CA-6FC85140F903}">
    <filterColumn colId="0" showButton="0"/>
  </autoFilter>
  <mergeCells count="67">
    <mergeCell ref="A44:B44"/>
    <mergeCell ref="A45:B45"/>
    <mergeCell ref="A46:B46"/>
    <mergeCell ref="A34:B34"/>
    <mergeCell ref="A35:B35"/>
    <mergeCell ref="A36:B36"/>
    <mergeCell ref="A37:B37"/>
    <mergeCell ref="A39:B39"/>
    <mergeCell ref="A40:B40"/>
    <mergeCell ref="A41:B41"/>
    <mergeCell ref="A42:B42"/>
    <mergeCell ref="A43:B43"/>
    <mergeCell ref="A23:B23"/>
    <mergeCell ref="A30:B30"/>
    <mergeCell ref="A3:C3"/>
    <mergeCell ref="A4:C4"/>
    <mergeCell ref="A18:C18"/>
    <mergeCell ref="C5:C6"/>
    <mergeCell ref="C7:C8"/>
    <mergeCell ref="A15:B15"/>
    <mergeCell ref="A17:B17"/>
    <mergeCell ref="A29:C29"/>
    <mergeCell ref="C19:C20"/>
    <mergeCell ref="A2:B2"/>
    <mergeCell ref="C14:C15"/>
    <mergeCell ref="C16:C17"/>
    <mergeCell ref="A22:B22"/>
    <mergeCell ref="A5:B5"/>
    <mergeCell ref="A6:B6"/>
    <mergeCell ref="A7:B7"/>
    <mergeCell ref="C21:C22"/>
    <mergeCell ref="C9:C10"/>
    <mergeCell ref="C11:C12"/>
    <mergeCell ref="A13:C13"/>
    <mergeCell ref="A10:B10"/>
    <mergeCell ref="A11:B11"/>
    <mergeCell ref="A12:B12"/>
    <mergeCell ref="A14:B14"/>
    <mergeCell ref="A8:B8"/>
    <mergeCell ref="A9:B9"/>
    <mergeCell ref="A19:B19"/>
    <mergeCell ref="A20:B20"/>
    <mergeCell ref="A21:B21"/>
    <mergeCell ref="A31:B31"/>
    <mergeCell ref="A32:B32"/>
    <mergeCell ref="A33:B33"/>
    <mergeCell ref="C39:C40"/>
    <mergeCell ref="C32:C33"/>
    <mergeCell ref="C34:C35"/>
    <mergeCell ref="A38:C38"/>
    <mergeCell ref="C30:C31"/>
    <mergeCell ref="A16:B16"/>
    <mergeCell ref="C51:C52"/>
    <mergeCell ref="C45:C46"/>
    <mergeCell ref="C47:C48"/>
    <mergeCell ref="A47:B47"/>
    <mergeCell ref="A48:B48"/>
    <mergeCell ref="A49:B49"/>
    <mergeCell ref="A50:B50"/>
    <mergeCell ref="A51:B51"/>
    <mergeCell ref="A52:B52"/>
    <mergeCell ref="C49:C50"/>
    <mergeCell ref="A28:C28"/>
    <mergeCell ref="C23:C27"/>
    <mergeCell ref="C41:C42"/>
    <mergeCell ref="C43:C44"/>
    <mergeCell ref="C36:C37"/>
  </mergeCells>
  <dataValidations count="1">
    <dataValidation allowBlank="1" showInputMessage="1" showErrorMessage="1" prompt="O título desta folha de cálculo está nesta célula" sqref="A2" xr:uid="{F3C5DE5F-2B65-4CB6-82E3-D6FFEBB33F5A}"/>
  </dataValidations>
  <pageMargins left="0.7" right="0.7" top="0.75" bottom="0.75" header="0.3" footer="0.3"/>
  <pageSetup paperSize="9" orientation="portrait" r:id="rId1"/>
  <headerFooter>
    <oddHeader>&amp;L&amp;"Calibri"&amp;10&amp;K000000 Confidential&amp;1#_x000D_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A0874B5E92DDC43AEE9A598BB9F45F7" ma:contentTypeVersion="12" ma:contentTypeDescription="Create a new document." ma:contentTypeScope="" ma:versionID="aebd1d5837f27ad7d4faf76c60b0b727">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924aa78f7c401a30f7d248c6651c0476"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Props1.xml><?xml version="1.0" encoding="utf-8"?>
<ds:datastoreItem xmlns:ds="http://schemas.openxmlformats.org/officeDocument/2006/customXml" ds:itemID="{E4994F8E-3141-47F3-91B7-8A348AFEAE97}">
  <ds:schemaRefs>
    <ds:schemaRef ds:uri="http://schemas.microsoft.com/sharepoint/v3/contenttype/forms"/>
  </ds:schemaRefs>
</ds:datastoreItem>
</file>

<file path=customXml/itemProps2.xml><?xml version="1.0" encoding="utf-8"?>
<ds:datastoreItem xmlns:ds="http://schemas.openxmlformats.org/officeDocument/2006/customXml" ds:itemID="{AA68207D-2CBD-4667-A5BB-BF8E1ACD0413}"/>
</file>

<file path=customXml/itemProps3.xml><?xml version="1.0" encoding="utf-8"?>
<ds:datastoreItem xmlns:ds="http://schemas.openxmlformats.org/officeDocument/2006/customXml" ds:itemID="{9B3E0A64-3B79-40D0-B5B8-9F6FE2202932}">
  <ds:schemaRefs>
    <ds:schemaRef ds:uri="http://purl.org/dc/dcmitype/"/>
    <ds:schemaRef ds:uri="http://schemas.microsoft.com/office/2006/documentManagement/types"/>
    <ds:schemaRef ds:uri="http://schemas.microsoft.com/office/2006/metadata/properties"/>
    <ds:schemaRef ds:uri="http://schemas.microsoft.com/office/infopath/2007/PartnerControls"/>
    <ds:schemaRef ds:uri="http://www.w3.org/XML/1998/namespace"/>
    <ds:schemaRef ds:uri="http://purl.org/dc/elements/1.1/"/>
    <ds:schemaRef ds:uri="235f0cb7-94af-4ed8-8564-10ec0e941f0c"/>
    <ds:schemaRef ds:uri="http://schemas.openxmlformats.org/package/2006/metadata/core-properties"/>
    <ds:schemaRef ds:uri="b9d2d0a8-5e32-4b90-af59-a28856e0c928"/>
    <ds:schemaRef ds:uri="http://schemas.microsoft.com/sharepoint/v3"/>
    <ds:schemaRef ds:uri="http://purl.org/dc/te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TM16400644</Template>
  <Application>Microsoft Excel</Application>
  <DocSecurity>0</DocSecurity>
  <ScaleCrop>false</ScaleCrop>
  <HeadingPairs>
    <vt:vector size="2" baseType="variant">
      <vt:variant>
        <vt:lpstr>Worksheets</vt:lpstr>
      </vt:variant>
      <vt:variant>
        <vt:i4>8</vt:i4>
      </vt:variant>
    </vt:vector>
  </HeadingPairs>
  <TitlesOfParts>
    <vt:vector size="8" baseType="lpstr">
      <vt:lpstr>2. RISCO INERENTE AO CLIENTE</vt:lpstr>
      <vt:lpstr>3. RISCO INERENTE PROD,SERV,OP</vt:lpstr>
      <vt:lpstr>5. RISCO INERENTE À GEOGRAFIA </vt:lpstr>
      <vt:lpstr>6. MODELO DE GESTÃO DE RISCO</vt:lpstr>
      <vt:lpstr>7. MONITORIZAÇÃO CONTINUA</vt:lpstr>
      <vt:lpstr>C. DEVER DE EXAME</vt:lpstr>
      <vt:lpstr>8. REGISTOS INFORMATIZADOS E CE</vt:lpstr>
      <vt:lpstr>B. DEVER DE IDENTIFICAÇÃO E DIL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Eduardo José Prata Gonzalez</dc:creator>
  <cp:keywords/>
  <dc:description/>
  <cp:lastModifiedBy>Dora da Silva Roxo</cp:lastModifiedBy>
  <cp:revision/>
  <dcterms:created xsi:type="dcterms:W3CDTF">2022-11-06T06:52:18Z</dcterms:created>
  <dcterms:modified xsi:type="dcterms:W3CDTF">2026-04-09T19:09:01Z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MSIP_Label_3c41c091-3cbc-4dba-8b59-ce62f19500db_Enabled">
    <vt:lpwstr>true</vt:lpwstr>
  </property>
  <property fmtid="{D5CDD505-2E9C-101B-9397-08002B2CF9AE}" pid="5" name="MSIP_Label_3c41c091-3cbc-4dba-8b59-ce62f19500db_SetDate">
    <vt:lpwstr>2025-05-07T10:51:13Z</vt:lpwstr>
  </property>
  <property fmtid="{D5CDD505-2E9C-101B-9397-08002B2CF9AE}" pid="6" name="MSIP_Label_3c41c091-3cbc-4dba-8b59-ce62f19500db_Method">
    <vt:lpwstr>Privileged</vt:lpwstr>
  </property>
  <property fmtid="{D5CDD505-2E9C-101B-9397-08002B2CF9AE}" pid="7" name="MSIP_Label_3c41c091-3cbc-4dba-8b59-ce62f19500db_Name">
    <vt:lpwstr>Confidential_0_1</vt:lpwstr>
  </property>
  <property fmtid="{D5CDD505-2E9C-101B-9397-08002B2CF9AE}" pid="8" name="MSIP_Label_3c41c091-3cbc-4dba-8b59-ce62f19500db_SiteId">
    <vt:lpwstr>35595a02-4d6d-44ac-99e1-f9ab4cd872db</vt:lpwstr>
  </property>
  <property fmtid="{D5CDD505-2E9C-101B-9397-08002B2CF9AE}" pid="9" name="MSIP_Label_3c41c091-3cbc-4dba-8b59-ce62f19500db_ActionId">
    <vt:lpwstr>262d2724-a6b4-405f-94fa-ce5c065a893f</vt:lpwstr>
  </property>
  <property fmtid="{D5CDD505-2E9C-101B-9397-08002B2CF9AE}" pid="10" name="MSIP_Label_3c41c091-3cbc-4dba-8b59-ce62f19500db_ContentBits">
    <vt:lpwstr>1</vt:lpwstr>
  </property>
  <property fmtid="{D5CDD505-2E9C-101B-9397-08002B2CF9AE}" pid="11" name="MSIP_Label_3c41c091-3cbc-4dba-8b59-ce62f19500db_Tag">
    <vt:lpwstr>10, 0, 1, 1</vt:lpwstr>
  </property>
  <property fmtid="{D5CDD505-2E9C-101B-9397-08002B2CF9AE}" pid="12" name="SV_QUERY_LIST_4F35BF76-6C0D-4D9B-82B2-816C12CF3733">
    <vt:lpwstr>empty_477D106A-C0D6-4607-AEBD-E2C9D60EA279</vt:lpwstr>
  </property>
  <property fmtid="{D5CDD505-2E9C-101B-9397-08002B2CF9AE}" pid="13" name="SV_HIDDEN_GRID_QUERY_LIST_4F35BF76-6C0D-4D9B-82B2-816C12CF3733">
    <vt:lpwstr>empty_477D106A-C0D6-4607-AEBD-E2C9D60EA279</vt:lpwstr>
  </property>
</Properties>
</file>