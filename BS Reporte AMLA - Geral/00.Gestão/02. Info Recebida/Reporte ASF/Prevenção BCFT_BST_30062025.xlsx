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s302669\Desktop\"/>
    </mc:Choice>
  </mc:AlternateContent>
  <xr:revisionPtr revIDLastSave="0" documentId="13_ncr:1_{BCB4AD5A-3C7A-4A48-8C9F-715FA877CAE6}" xr6:coauthVersionLast="47" xr6:coauthVersionMax="47" xr10:uidLastSave="{00000000-0000-0000-0000-000000000000}"/>
  <workbookProtection workbookAlgorithmName="SHA-512" workbookHashValue="/nmmZpBEvl5AcgKrdNyCT0DyW1UoCexc1PoxglL0CWlGOZa4ouOnKfeJhd0qziOwhXYIiZoEQVo8i2wZraochw==" workbookSaltValue="yi4+EPE7fuxkwlSZVHE3VQ==" workbookSpinCount="100000" lockStructure="1"/>
  <bookViews>
    <workbookView xWindow="-110" yWindow="-110" windowWidth="19420" windowHeight="10300" xr2:uid="{109FB143-F645-4E94-9A75-81F42D0BC997}"/>
  </bookViews>
  <sheets>
    <sheet name="Cabeçalho" sheetId="3" r:id="rId1"/>
    <sheet name="Info Institucional" sheetId="22" r:id="rId2"/>
    <sheet name="DC - Controlo" sheetId="5" r:id="rId3"/>
    <sheet name="DC - Avaliação da eficácia" sheetId="7" r:id="rId4"/>
    <sheet name="DC - Documentos" sheetId="8" r:id="rId5"/>
    <sheet name="DC - Perfis de risco" sheetId="9" r:id="rId6"/>
    <sheet name="DC - Qualificação de pessoas" sheetId="10" r:id="rId7"/>
    <sheet name="Identificação e Diligência" sheetId="12" r:id="rId8"/>
    <sheet name="Medidas" sheetId="13" r:id="rId9"/>
    <sheet name="Terceiros" sheetId="14" r:id="rId10"/>
    <sheet name="Comunicação" sheetId="15" r:id="rId11"/>
    <sheet name="Abstenção" sheetId="16" r:id="rId12"/>
    <sheet name="Recusa" sheetId="17" r:id="rId13"/>
    <sheet name="Conservação" sheetId="18" r:id="rId14"/>
    <sheet name="Exame" sheetId="19" r:id="rId15"/>
    <sheet name="Colaboração" sheetId="20" r:id="rId16"/>
    <sheet name="Não Divulgação" sheetId="23" r:id="rId17"/>
    <sheet name="Formação" sheetId="21" r:id="rId18"/>
    <sheet name="Oportunidades de melhoria" sheetId="24" r:id="rId19"/>
    <sheet name="Outras informações" sheetId="25" r:id="rId20"/>
    <sheet name="Validações" sheetId="27" r:id="rId21"/>
    <sheet name="versao" sheetId="29" state="hidden" r:id="rId22"/>
  </sheets>
  <definedNames>
    <definedName name="_AMO_UniqueIdentifier" localSheetId="21" hidden="1">"'29dcaf87-8fa2-4ca1-b130-b1f0859627fb'"</definedName>
    <definedName name="Excel_BuiltIn_Sheet_Title_1">"Cabeçalho"</definedName>
    <definedName name="Excel_BuiltIn_Sheet_Title_10">"Descrição contratos fechados"</definedName>
    <definedName name="Excel_BuiltIn_Sheet_Title_11">"Operações Reporte"</definedName>
    <definedName name="Excel_BuiltIn_Sheet_Title_12">"Empréstimo de valores"</definedName>
    <definedName name="Excel_BuiltIn_Sheet_Title_13">"Validações"</definedName>
    <definedName name="Excel_BuiltIn_Sheet_Title_14">"Instruções"</definedName>
    <definedName name="Excel_BuiltIn_Sheet_Title_15">"versao"</definedName>
    <definedName name="Excel_BuiltIn_Sheet_Title_2">"Provisões Técnicas"</definedName>
    <definedName name="Excel_BuiltIn_Sheet_Title_3">"Representação"</definedName>
    <definedName name="Excel_BuiltIn_Sheet_Title_4">"Grupo económico"</definedName>
    <definedName name="Excel_BuiltIn_Sheet_Title_5">"Carteira"</definedName>
    <definedName name="Excel_BuiltIn_Sheet_Title_6">"Mapa Carteira 2"</definedName>
    <definedName name="Excel_BuiltIn_Sheet_Title_7">"Mapa Carteira 3"</definedName>
    <definedName name="Excel_BuiltIn_Sheet_Title_8">"Carteira Derivados"</definedName>
    <definedName name="Excel_BuiltIn_Sheet_Title_9">"Descrição contratos abertos"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29" l="1"/>
  <c r="F2" i="29"/>
  <c r="E2" i="29"/>
  <c r="D2" i="29"/>
  <c r="C2" i="29"/>
  <c r="C8" i="22" l="1"/>
  <c r="C7" i="22"/>
  <c r="F13" i="27"/>
  <c r="G13" i="27" s="1"/>
  <c r="F14" i="27"/>
  <c r="G14" i="27" s="1"/>
  <c r="F12" i="27"/>
  <c r="G12" i="27" s="1"/>
  <c r="F9" i="27"/>
  <c r="G9" i="27" s="1"/>
  <c r="F8" i="27"/>
  <c r="G8" i="27" s="1"/>
  <c r="F11" i="27" l="1"/>
  <c r="G11" i="27" s="1"/>
  <c r="F10" i="27"/>
  <c r="G10" i="27" s="1"/>
  <c r="F6" i="27"/>
  <c r="G6" i="27" s="1"/>
  <c r="F7" i="27"/>
  <c r="G7" i="27" s="1"/>
  <c r="F4" i="27"/>
  <c r="F3" i="27"/>
  <c r="F5" i="27"/>
  <c r="G5" i="27" s="1"/>
  <c r="F2" i="27"/>
  <c r="G2" i="27" s="1"/>
  <c r="B10" i="3"/>
  <c r="C12" i="22"/>
  <c r="C11" i="22"/>
  <c r="J6" i="10"/>
</calcChain>
</file>

<file path=xl/sharedStrings.xml><?xml version="1.0" encoding="utf-8"?>
<sst xmlns="http://schemas.openxmlformats.org/spreadsheetml/2006/main" count="810" uniqueCount="572">
  <si>
    <t>Resposta ao Relatório de Prevenção do Branqueamento de Capitais e Financiamento do Terrorismo</t>
  </si>
  <si>
    <t>Data:</t>
  </si>
  <si>
    <t>CE:</t>
  </si>
  <si>
    <t>NE:</t>
  </si>
  <si>
    <t>ID:</t>
  </si>
  <si>
    <t>Atividade em:</t>
  </si>
  <si>
    <t>GGG</t>
  </si>
  <si>
    <t>Tipo de período de reporte:</t>
  </si>
  <si>
    <t>Anual</t>
  </si>
  <si>
    <t>LEI:</t>
  </si>
  <si>
    <t>Ano a que respeita o reporte:</t>
  </si>
  <si>
    <t>INFORMAÇÃO RELATIVA AO TRATAMENTO DE DADOS PESSOAIS</t>
  </si>
  <si>
    <r>
      <t>(</t>
    </r>
    <r>
      <rPr>
        <i/>
        <sz val="10"/>
        <color theme="1"/>
        <rFont val="Calibri"/>
        <family val="2"/>
        <scheme val="minor"/>
      </rPr>
      <t>Titular de dados pessoais</t>
    </r>
    <r>
      <rPr>
        <sz val="10"/>
        <color theme="1"/>
        <rFont val="Calibri"/>
        <family val="2"/>
        <scheme val="minor"/>
      </rPr>
      <t xml:space="preserve">) </t>
    </r>
  </si>
  <si>
    <t>a) Responsável, fundamento e finalidades</t>
  </si>
  <si>
    <t>Os dados pessoais recolhidos através da presente norma regulamentar são tratados pela Autoridade de Supervisão de Seguros e Fundos de Pensões (ASF), pessoa coletiva de direito público com o n.º 501 328 599 e com sede na Avenida da República, n.º 76, 1600-205, Lisboa, no respeito pelo Regulamento (UE) n.º 2016/679, do Parlamento Europeu e do Conselho, de 27 de abril de 2016 (“RGPD”) e demais legislação de proteção de dados aplicável, com base no cumprimento de obrigação jurídica e no exercício de funções de interesse público de que a ASF está investida, conforme estabelecido nas alíneas c) e e) do n.º 1 do artigo 6.º do RGPD.</t>
  </si>
  <si>
    <t>O referido tratamento de dados pessoais tem como finalidade o exercício das competências de supervisão que estão legalmente cometidas à ASF, conforme previsto na alínea a) do n.º 1 do artigo 84.º e no artigo 85.º da Lei n.º 83/2017, de 18 de agosto, que estabelece as medidas de combate ao branqueamento de capitais e ao financiamento do terrorismo.</t>
  </si>
  <si>
    <t>Os dados pessoais recolhidos através da presente norma regulamentar podem ainda ser tratados pela ASF para as seguintes finalidades posteriores:
- Gestão de reclamações apresentadas junto da ASF, ao abrigo do disposto na alínea d) do n.º 7 do artigo 16.º dos Estatutos da ASF, aprovados pelo Decreto-Lei n.º 1/2015, de 6 de janeiro;
- Aplicação de sanções, ao abrigo do disposto no n.º 5 do artigo 16.º dos Estatutos da ASF, aprovados pelo Decreto-Lei n.º 1/2015, de 6 de janeiro, de acordo com a primeira parte do artigo 10.º do RGPD.</t>
  </si>
  <si>
    <t>b) Obrigatoriedade</t>
  </si>
  <si>
    <t>O fornecimento de dados pessoais à ASF pelas entidades obrigadas para estas finalidades é obrigatório, nos termos das alíneas j) e k) do n.º 1 e nas alíneas a) e d) do n.º 2 do artigo 3.º da Lei n.º 83/2017, de 18 de agosto.</t>
  </si>
  <si>
    <t>c) Conservação</t>
  </si>
  <si>
    <t xml:space="preserve">Os dados pessoais recolhidos serão conservados enquanto forem necessários ao cumprimento das finalidades inerentes à supervisão das entidades supervisionadas e, após a sua cessação, pelo tempo correspondente ao prazo prescricional do procedimento criminal ou contraordenacional aplicável por ilícitos relacionados com a atividade seguradora e de gestão de fundos de pensões. </t>
  </si>
  <si>
    <t>d) Destinatários</t>
  </si>
  <si>
    <t>Os dados pessoais recolhidos podem ser partilhados nos termos do regime legal de troca de informações aplicável à ASF, previsto no Capítulo IX da Lei n.º 83/2017, de 18 de agosto, nos artigos 32.º a 38.º do RJASR, 72.º a 75.º do RJDS e 202.º a 207.º do RJFP.</t>
  </si>
  <si>
    <t>O tratamento dos dados pessoais pelas pessoas que exercem funções na ASF está limitado a certas categorias de profissionais para cuja atividade estes se revelam necessários.</t>
  </si>
  <si>
    <t>e) Transferência de dados pessoais</t>
  </si>
  <si>
    <t xml:space="preserve">Poderá existir uma transferência internacional dos dados pessoais recolhidos, com destino a países terceiros ou organizações internacionais, ao abrigo do regime indicado na alínea anterior e apenas nas seguintes situações: </t>
  </si>
  <si>
    <t xml:space="preserve">i) Se a Comissão Europeia considerar que o país terceiro ou a organização internacional garantem um nível de proteção adequado para os direitos dos titulares dos dados; ou </t>
  </si>
  <si>
    <t xml:space="preserve">ii) Se os países terceiros ou organizações internacionais apresentarem garantias adequadas, nos termos previstos no RGPD, atestando-se que os titulares dos dados gozam de direitos oponíveis e de medidas jurídicas corretivas eficazes, informação que a ASF comunicará aos titulares ou disponibilizará através de sítio na Internet. </t>
  </si>
  <si>
    <t>f) Decisões individuais automatizadas</t>
  </si>
  <si>
    <t>O tratamento dos dados pessoais recolhidos não importa decisões individuais automatizadas.</t>
  </si>
  <si>
    <t>g) Medidas de segurança</t>
  </si>
  <si>
    <t>A ASF, na prossecução das suas atividades, recorre a medidas técnicas e organizativas que se mostrem mais adequadas à proteção dos dados pessoais, em particular para prevenir riscos associados à destruição, difusão, perda e alteração acidentais ou ilícitas, tratamento ou acesso não autorizado, bem como contra qualquer outra forma de tratamento ilícito, em respeito pela Diretriz n.º 1/2023 da CNPD, nomeadamente:
• Garantir que os sistemas operativos de servidores e terminais se encontram atualizados, bem como todas as aplicações;
• Utilizar controlos de acessos lógicos e de gestão de palavras-passe;
• Utilizar encriptação segura especialmente no caso de credenciais de acesso, de dados especiais, de dados de natureza altamente pessoal ou de dados financeiros;
• Utilizar controlos de segurança de rede e tecnologias de proteção contra ameaças; 
• Recorrer a controlos de acessos físicos e vigilância nas instalações;
• Realizar ações de formação e sensibilização dos trabalhadores.</t>
  </si>
  <si>
    <t>A ASF poderá adotar, além das mencionadas, outras medidas de segurança que considere adequadas à proteção de dados pessoais dos titulares.</t>
  </si>
  <si>
    <t>h) Direitos</t>
  </si>
  <si>
    <t>O titular dos dados tem direito de solicitar o acesso aos respetivos dados pessoais, bem como de solicitar a sua retificação, a limitação ou a oposição ao seu tratamento ou o seu apagamento, quando aplicáveis.</t>
  </si>
  <si>
    <t>Em relação aos direitos de limitação, oposição e apagamento, o seu exercício poderá sofrer, de acordo com medida legislativa estabelecida nos termos dos n.os 1 e 2 do artigo 23.º do RGPD, limitações justificadas e proporcionais relacionadas com o interesse público prosseguido pela ASF no caso concreto.</t>
  </si>
  <si>
    <t>i) Contactos</t>
  </si>
  <si>
    <t xml:space="preserve">Estes direitos podem ser exercidos presencialmente ou por escrito junto do encarregado da proteção de dados da Autoridade de Supervisão de Seguros e Fundos de Pensões (E-mail: EPD@asf.com.pt Correio postal: Encarregado da Proteção de Dados da ASF Avenida da República, 76, 1600-205 Lisboa). </t>
  </si>
  <si>
    <t>j) Reclamação</t>
  </si>
  <si>
    <t>O titular dos dados tem ainda direito a apresentar reclamação à autoridade de controlo (CNPD - Comissão Nacional de Proteção de Dados, www.cnpd.pt)</t>
  </si>
  <si>
    <t>Informação Institucional</t>
  </si>
  <si>
    <t>Questões</t>
  </si>
  <si>
    <t>Informação geral</t>
  </si>
  <si>
    <t>2.1. a)</t>
  </si>
  <si>
    <t>Denominação social</t>
  </si>
  <si>
    <t xml:space="preserve">2.1. b) </t>
  </si>
  <si>
    <t>Número de Identificação de Pessoa Coletiva (NIPC)</t>
  </si>
  <si>
    <t>2.1. c)</t>
  </si>
  <si>
    <r>
      <t>Código LEI (</t>
    </r>
    <r>
      <rPr>
        <i/>
        <sz val="10"/>
        <rFont val="Calibri"/>
        <family val="2"/>
        <scheme val="minor"/>
      </rPr>
      <t>Legal Entity Identifier</t>
    </r>
    <r>
      <rPr>
        <sz val="10"/>
        <rFont val="Calibri"/>
        <family val="2"/>
        <scheme val="minor"/>
      </rPr>
      <t>)</t>
    </r>
  </si>
  <si>
    <t>2.1. d)</t>
  </si>
  <si>
    <t>Número de registo junto da ASF</t>
  </si>
  <si>
    <t>2.1. e)</t>
  </si>
  <si>
    <t>Morada</t>
  </si>
  <si>
    <t>2.1. e) - i)</t>
  </si>
  <si>
    <t>Da sede, para as entidades obrigadas com sede em Portugal</t>
  </si>
  <si>
    <t>2.1. e) - ii)</t>
  </si>
  <si>
    <t>Do estabelecimento, para as sucursais situadas em território português das entidades obrigadas, ou outras de natureza equivalente, que tenham sede no estrangeiro</t>
  </si>
  <si>
    <t>2.1. f)</t>
  </si>
  <si>
    <t xml:space="preserve">Identificação dos beneficiários efetivos </t>
  </si>
  <si>
    <t>Nome</t>
  </si>
  <si>
    <t>Código do comprovativo da última submissão no RCBE</t>
  </si>
  <si>
    <t>Órgão de administração e recursos humanos</t>
  </si>
  <si>
    <t>2.2. a)</t>
  </si>
  <si>
    <t>Membros do órgão de administração e respetivos pelouros, sempre que aplicável</t>
  </si>
  <si>
    <t>Pelouro</t>
  </si>
  <si>
    <t>2.2. b)</t>
  </si>
  <si>
    <t>No caso das sucursais, identificação do mantário geral ou seu representante e respetivo(s) substituto(s)</t>
  </si>
  <si>
    <t>Mandatário geral</t>
  </si>
  <si>
    <t>Função</t>
  </si>
  <si>
    <t>Representante do mandatário geral</t>
  </si>
  <si>
    <t>Substituto</t>
  </si>
  <si>
    <t>2.2. c)</t>
  </si>
  <si>
    <t xml:space="preserve">	Número total de trabalhadores </t>
  </si>
  <si>
    <t>Atividade e áreas de negócio</t>
  </si>
  <si>
    <t>2.3. a)</t>
  </si>
  <si>
    <t xml:space="preserve">	Ativo total (líquido, em base individual)</t>
  </si>
  <si>
    <t>2.3. b)</t>
  </si>
  <si>
    <t>Volume de negócios, por referência ao ramo Vida e Fundos de Pensões</t>
  </si>
  <si>
    <t>2.3. c)</t>
  </si>
  <si>
    <t>Áreas de negócio exploradas</t>
  </si>
  <si>
    <t>a) Seguro de vida;</t>
  </si>
  <si>
    <t>b) Seguro de nupcialidade e seguro de natalidade;</t>
  </si>
  <si>
    <t>c) Seguros ligados a fundos de investimento;</t>
  </si>
  <si>
    <t>d) Operações de capitalização;</t>
  </si>
  <si>
    <t>e) Operações de gestão de fundos coletivos de pensões.</t>
  </si>
  <si>
    <t>2.3. d)</t>
  </si>
  <si>
    <t>Prémios brutos totais emitidos no período de referência para seguros do ramo Vida (se aplicável)</t>
  </si>
  <si>
    <t>Valor dos prémios de contratos celebrados para garantia de crédito bancário (se aplicável)</t>
  </si>
  <si>
    <t>Presença no exterior</t>
  </si>
  <si>
    <t>2.4. a), b), c)</t>
  </si>
  <si>
    <t xml:space="preserve">Tipo de autorização </t>
  </si>
  <si>
    <t>País/jurisdição</t>
  </si>
  <si>
    <t>Filial</t>
  </si>
  <si>
    <t>Sucursal</t>
  </si>
  <si>
    <t>Livre prestação de serviços</t>
  </si>
  <si>
    <t xml:space="preserve"> Dever de Controlo</t>
  </si>
  <si>
    <t>Membro do órgão de administração ou do mandatário geral responsável</t>
  </si>
  <si>
    <t xml:space="preserve">3.1. a) </t>
  </si>
  <si>
    <t>3.1. b)</t>
  </si>
  <si>
    <t>Endereço de correio eletrónico</t>
  </si>
  <si>
    <t>Função de responsável pelo cumprimento normativo</t>
  </si>
  <si>
    <t>3.2.1. a)</t>
  </si>
  <si>
    <t>Cargo</t>
  </si>
  <si>
    <t>Inserção na estrutura organizativa</t>
  </si>
  <si>
    <t>3.2.1. b)</t>
  </si>
  <si>
    <t>Data de início de funções</t>
  </si>
  <si>
    <t>3.2.1. c)</t>
  </si>
  <si>
    <t>Contacto telefónico</t>
  </si>
  <si>
    <t>3.2.1. d)</t>
  </si>
  <si>
    <t>Função autónoma ou cumulada com outra função</t>
  </si>
  <si>
    <t>Função com que cumula a função de responsável pelo cumprimento normativo</t>
  </si>
  <si>
    <t>3.2.1. e)</t>
  </si>
  <si>
    <t>Número de trabalhadores afetos à função</t>
  </si>
  <si>
    <t>Dos quais em exclusividade</t>
  </si>
  <si>
    <t>3.2.2.</t>
  </si>
  <si>
    <t>Caso não se verifique a segregação entre a função de responsável pelo cumprimento normativo e outras funções, descrição de quais os mecanismos de controlo adicionais existentes que permitam mitigar os potenciais conflitos e riscos acrescidos daí emergentes</t>
  </si>
  <si>
    <t xml:space="preserve">Serviço comum a um mesmo grupo </t>
  </si>
  <si>
    <t>Pertence a um grupo?</t>
  </si>
  <si>
    <t>3.3.</t>
  </si>
  <si>
    <t>Existe um serviço comum para o exercício partilhado das responsabilidades inerentes à função de responsável pelo cumprimento normativo dentro do grupo?</t>
  </si>
  <si>
    <r>
      <rPr>
        <sz val="10"/>
        <rFont val="Calibri"/>
        <family val="2"/>
        <scheme val="minor"/>
      </rPr>
      <t>NIPC</t>
    </r>
    <r>
      <rPr>
        <sz val="10"/>
        <color theme="1"/>
        <rFont val="Calibri"/>
        <family val="2"/>
        <scheme val="minor"/>
      </rPr>
      <t xml:space="preserve"> das entidades obrigadas que partilham o serviço</t>
    </r>
  </si>
  <si>
    <t>Entidade</t>
  </si>
  <si>
    <t>Serviços comuns</t>
  </si>
  <si>
    <t>3.3. a) e c)</t>
  </si>
  <si>
    <t>Entidade 1</t>
  </si>
  <si>
    <t>Entidade 2</t>
  </si>
  <si>
    <t>Entidade 3</t>
  </si>
  <si>
    <t>Entidade 4</t>
  </si>
  <si>
    <t>Entidade 5</t>
  </si>
  <si>
    <t>Entidade 6</t>
  </si>
  <si>
    <t>Entidade 7</t>
  </si>
  <si>
    <t>Entidade 8</t>
  </si>
  <si>
    <t>Entidade 9</t>
  </si>
  <si>
    <t>Entidade 10</t>
  </si>
  <si>
    <t>3.3. b)</t>
  </si>
  <si>
    <r>
      <rPr>
        <sz val="10"/>
        <rFont val="Calibri"/>
        <family val="2"/>
        <scheme val="minor"/>
      </rPr>
      <t>NIPC</t>
    </r>
    <r>
      <rPr>
        <sz val="10"/>
        <color theme="1"/>
        <rFont val="Calibri"/>
        <family val="2"/>
        <scheme val="minor"/>
      </rPr>
      <t xml:space="preserve"> da entidade obrigada responsável pelo serviço comum</t>
    </r>
  </si>
  <si>
    <t>Modelo de gestão de risco</t>
  </si>
  <si>
    <t>3.4.</t>
  </si>
  <si>
    <t>Descrição do modelo de gestão de risco, com indicação das suas características e princípios aplicáveis, nos termos do artigo 14.º da Lei n.º 83/2017, de 18 de agosto</t>
  </si>
  <si>
    <t>Questões 3.5. (avaliação da eficácia) e 3.6. (documentos aprovados e/ou atualizados) autonomizadas em folhas próprias</t>
  </si>
  <si>
    <t>Procedimentos e sistemas de informação</t>
  </si>
  <si>
    <t xml:space="preserve">A entidade recorre, para efeitos dos artigos 18.º e 19.º da Lei n.º 83/2017, de 18 de agosto, a: </t>
  </si>
  <si>
    <t>3.7.1. a)</t>
  </si>
  <si>
    <t>Ferramentas gerais</t>
  </si>
  <si>
    <t>Ferramentas específicas</t>
  </si>
  <si>
    <t>3.7.1. b)</t>
  </si>
  <si>
    <t>Sistemas de informação gerais</t>
  </si>
  <si>
    <t>Sistemas de informação específicos</t>
  </si>
  <si>
    <t>3.7.2.</t>
  </si>
  <si>
    <t>Descrição das ferramentas e/ou sistemas de informação utilizados, com indicação das correspondentes funcionalidades (i.e., identificando quais as ferramentas e/ou sistemas que pretendem dar resposta ao n.º 2 do artigo 18.º da Lei n.º 83/2017, de 18 de agosto)</t>
  </si>
  <si>
    <t>3.7.3.</t>
  </si>
  <si>
    <t>No âmbito do registo dos dados identificativos e demais elementos relativos aos clientes, seus representantes e beneficiários efetivos, descrição dos parâmetros definidos que desencadeiem a necessidade de atualização daqueles dados e elementos</t>
  </si>
  <si>
    <t>Questão 3.7.4. (informação sobre perfis de risco) autonomizada em folha própria</t>
  </si>
  <si>
    <t>3.7.5.</t>
  </si>
  <si>
    <t>A entidade dispõe de uma ferramenta automática dedicada à monitorização de clientes e operações, com geração de alertas, tendo em vista a deteção de transações ou condutas que comportem maior risco de branqueamento de capitais e financiamento do terrorismo?</t>
  </si>
  <si>
    <t>3.7.5. a)</t>
  </si>
  <si>
    <t>Esta ferramenta de monitorização de operações considera parâmetros especificamente vocacionados para a deteção de situações de financiamento do terrorismo?</t>
  </si>
  <si>
    <t>Descrição sumária sobre o seu funcionamento, incluindo a indicação de existência de parâmetros especificamente vocacionados para a deteção de situações de financiamento do terrorismo</t>
  </si>
  <si>
    <t>3.7.5. b)</t>
  </si>
  <si>
    <t>Esta ferramenta de monitorização de operações considera o perfil de risco de branqueamento de capitais e financiamento do terrorismo?</t>
  </si>
  <si>
    <t>3.7.5. c)</t>
  </si>
  <si>
    <t>Esta ferramenta de monitorização de operações permite o bloqueio de operações?</t>
  </si>
  <si>
    <t>Principais fatores suscetíveis de provocar um bloqueio automático de operações:</t>
  </si>
  <si>
    <t>Fator 1</t>
  </si>
  <si>
    <t>Fator 2</t>
  </si>
  <si>
    <t>Fator 3</t>
  </si>
  <si>
    <t>Fator 4</t>
  </si>
  <si>
    <t>Questões 3.7.6. e 3.7.7. (referentes à qualificação dos clientes, representantes e beneficiários efetivos) autonomizadas em folhas próprias</t>
  </si>
  <si>
    <t>Comunicação de irregularidades</t>
  </si>
  <si>
    <t>3.8</t>
  </si>
  <si>
    <t>Descrição dos canais específicos previstos no n.º 1 do artigo 20.º da Lei n.º 83/2017, de 18 de agosto</t>
  </si>
  <si>
    <t>3.8. a)</t>
  </si>
  <si>
    <t>Número de comunicações recebidas através dos canais específicos previstos no n.º 1 do artigo 20.º da Lei n.º 83/2017, de 18 de agosto</t>
  </si>
  <si>
    <t>3.8. b)</t>
  </si>
  <si>
    <t>Número de comunicações processadas através dos canais específicos previstos no n.º 1 do artigo 20.º da Lei n.º 83/2017, de 18 de agosto</t>
  </si>
  <si>
    <t>Medidas restritivas</t>
  </si>
  <si>
    <t>3.9</t>
  </si>
  <si>
    <t>Descrição dos meios e mecanismos implementados para assegurar o cumprimento das medidas restritivas, nos termos do artigo 21.º da Lei n.º 83/2017, de 18 de agosto</t>
  </si>
  <si>
    <t xml:space="preserve">Dever de Controlo - Avaliação da eficácia </t>
  </si>
  <si>
    <t xml:space="preserve">Avaliação da eficácia </t>
  </si>
  <si>
    <t>3.5</t>
  </si>
  <si>
    <t>Efetuaram avaliações à qualidade, adequação e eficácia das políticas e dos procedimentos e controlos em matéria de prevenção do branqueamento de capitais e financiamento do terrorismo?</t>
  </si>
  <si>
    <t>Lista de avaliações da eficácia (se aplicável)</t>
  </si>
  <si>
    <r>
      <t xml:space="preserve">Data
</t>
    </r>
    <r>
      <rPr>
        <sz val="10"/>
        <color theme="4"/>
        <rFont val="Calibri"/>
        <family val="2"/>
        <scheme val="minor"/>
      </rPr>
      <t>[Questão 3.5. a)]</t>
    </r>
  </si>
  <si>
    <r>
      <t xml:space="preserve">Responsável
</t>
    </r>
    <r>
      <rPr>
        <sz val="10"/>
        <color theme="4"/>
        <rFont val="Calibri"/>
        <family val="2"/>
        <scheme val="minor"/>
      </rPr>
      <t>[Questão 3.5. b)]</t>
    </r>
  </si>
  <si>
    <r>
      <rPr>
        <b/>
        <sz val="10"/>
        <rFont val="Calibri"/>
        <family val="2"/>
        <scheme val="minor"/>
      </rPr>
      <t>Resumo</t>
    </r>
    <r>
      <rPr>
        <b/>
        <sz val="10"/>
        <color theme="1"/>
        <rFont val="Calibri"/>
        <family val="2"/>
        <scheme val="minor"/>
      </rPr>
      <t xml:space="preserve"> dos resultados
</t>
    </r>
    <r>
      <rPr>
        <sz val="10"/>
        <color theme="4"/>
        <rFont val="Calibri"/>
        <family val="2"/>
        <scheme val="minor"/>
      </rPr>
      <t>[Questão 3.5. c)]</t>
    </r>
  </si>
  <si>
    <t>Auditoria interna</t>
  </si>
  <si>
    <t>Auditor externo</t>
  </si>
  <si>
    <t>Entidade terceira devidamente qualificada</t>
  </si>
  <si>
    <t>Dever de Controlo - Documentos aprovados e/ou atualizados</t>
  </si>
  <si>
    <t xml:space="preserve">Lista de documentos aprovados e/ou atualizados </t>
  </si>
  <si>
    <t>Nome do documento aprovado</t>
  </si>
  <si>
    <t xml:space="preserve">Data da aprovação </t>
  </si>
  <si>
    <t>Data da última atualização</t>
  </si>
  <si>
    <t>3.6. a)</t>
  </si>
  <si>
    <r>
      <t xml:space="preserve">Documentos que </t>
    </r>
    <r>
      <rPr>
        <u/>
        <sz val="10"/>
        <color theme="1"/>
        <rFont val="Calibri"/>
        <family val="2"/>
        <scheme val="minor"/>
      </rPr>
      <t>definam</t>
    </r>
    <r>
      <rPr>
        <sz val="10"/>
        <color theme="1"/>
        <rFont val="Calibri"/>
        <family val="2"/>
        <scheme val="minor"/>
      </rPr>
      <t xml:space="preserve"> as políticas e procedimentos e controlos relacionados com o artigo 12.º da Lei n.º 83/2017, de 18 de agosto</t>
    </r>
  </si>
  <si>
    <r>
      <t xml:space="preserve">Documentos que </t>
    </r>
    <r>
      <rPr>
        <u/>
        <sz val="10"/>
        <color theme="1"/>
        <rFont val="Calibri"/>
        <family val="2"/>
        <scheme val="minor"/>
      </rPr>
      <t>implementem</t>
    </r>
    <r>
      <rPr>
        <sz val="10"/>
        <color theme="1"/>
        <rFont val="Calibri"/>
        <family val="2"/>
        <scheme val="minor"/>
      </rPr>
      <t xml:space="preserve"> as políticas e procedimentos e controlos relacionados com o artigo 12.º da Lei n.º 83/2017, de 18 de agosto</t>
    </r>
  </si>
  <si>
    <r>
      <t xml:space="preserve">Documentos que </t>
    </r>
    <r>
      <rPr>
        <u/>
        <sz val="10"/>
        <color theme="1"/>
        <rFont val="Calibri"/>
        <family val="2"/>
        <scheme val="minor"/>
      </rPr>
      <t>definam e implementem</t>
    </r>
    <r>
      <rPr>
        <sz val="10"/>
        <color theme="1"/>
        <rFont val="Calibri"/>
        <family val="2"/>
        <scheme val="minor"/>
      </rPr>
      <t xml:space="preserve"> as políticas e procedimentos e controlos relacionados com o artigo 12.º da Lei n.º 83/2017, de 18 de agosto</t>
    </r>
  </si>
  <si>
    <t>3.6. b) - i)</t>
  </si>
  <si>
    <t>Documentos que identifiquem os riscos de branqueamento de capitais e financiamento do terrorismo, no âmbito do modelo de gestão de risco</t>
  </si>
  <si>
    <t>3.6. b) - ii)</t>
  </si>
  <si>
    <t>Documentos que identifiquem os processos utilizados para identificar, avaliar, acompanhar e controlar os riscos de branqueamento de capitais e financiamento do terrorismo, no âmbito do modelo de gestão de risco</t>
  </si>
  <si>
    <t>3.6. c)</t>
  </si>
  <si>
    <t>Documentos que demonstrem que a estrutura organizacional da entidade é adequada a prevenir conflitos de interesses e, sempre que necessário, promove a separação de funções no seio da organização</t>
  </si>
  <si>
    <t>3.6. d)</t>
  </si>
  <si>
    <t>Documentos que definam códigos de conduta relevantes para a promoção da cultura de prevenção do branqueamento de capitais e financiamento do terrorismo</t>
  </si>
  <si>
    <t>3.6. e)</t>
  </si>
  <si>
    <t>Documentos que contenham a avaliação periódica da qualidade, adequação e eficácia das políticas e procedimentos e controlos</t>
  </si>
  <si>
    <t>Documentos que assegurem a execução de medidas adequadas à correção das deficiências detetadas nas políticas e procedimentos e controlos</t>
  </si>
  <si>
    <t>Periodicidade</t>
  </si>
  <si>
    <t>Dever de Controlo - Perfis de risco de branqueamento de capitais e financiamento do terrorismo</t>
  </si>
  <si>
    <t>Inferior a um ano</t>
  </si>
  <si>
    <t>Informação sobre perfis de risco</t>
  </si>
  <si>
    <t>3.7.4. e)</t>
  </si>
  <si>
    <t>Existe um sistema automatizado para a classificação do perfil de risco de cada um dos clientes?</t>
  </si>
  <si>
    <t>Bienal</t>
  </si>
  <si>
    <t>3.7.4. g)</t>
  </si>
  <si>
    <t>O perfil de risco é recalculado automaticamente durante a relação de negócio sempre que a informação do cliente seja alterada?</t>
  </si>
  <si>
    <t>Trienal</t>
  </si>
  <si>
    <t>3.7.4. h)</t>
  </si>
  <si>
    <t>O perfil de risco é recalculado automaticamente durante a relação de negócio em função de alterações ao padrão operativo do cliente?</t>
  </si>
  <si>
    <t>Quadrienal</t>
  </si>
  <si>
    <t>O perfil de risco possibilita a alteração manual?</t>
  </si>
  <si>
    <t>Quinquenal</t>
  </si>
  <si>
    <t>3.7.4. i)</t>
  </si>
  <si>
    <t>Existe registo histórico das alterações do perfil de risco?</t>
  </si>
  <si>
    <t>Perfis de risco</t>
  </si>
  <si>
    <t>Variável 1</t>
  </si>
  <si>
    <t>Variável 2</t>
  </si>
  <si>
    <t>Variável 3</t>
  </si>
  <si>
    <t>Variável 4</t>
  </si>
  <si>
    <t>Código</t>
  </si>
  <si>
    <t>Peso</t>
  </si>
  <si>
    <t>Dever de Controlo - Qualificação de pessoas</t>
  </si>
  <si>
    <t xml:space="preserve">Percentagem de clientes, representantes de clientes e beneficiários efetivos de clientes face ao respetivo total </t>
  </si>
  <si>
    <t>Número total</t>
  </si>
  <si>
    <t>Clientes</t>
  </si>
  <si>
    <t>Representantes de clientes</t>
  </si>
  <si>
    <t>Beneficiários efetivos de clientes</t>
  </si>
  <si>
    <t>Clientes, representantes de clientes e beneficiários efetivos de clientes</t>
  </si>
  <si>
    <t>Total</t>
  </si>
  <si>
    <t>3.7.6. a)</t>
  </si>
  <si>
    <t>Pessoa politicamente exposta</t>
  </si>
  <si>
    <t>3.7.6. b)</t>
  </si>
  <si>
    <t>Membro próximo da família</t>
  </si>
  <si>
    <t>3.7.6. c)</t>
  </si>
  <si>
    <t>Pessoa reconhecida como estreitamente associada</t>
  </si>
  <si>
    <t>3.7.6. d)</t>
  </si>
  <si>
    <t>Titular de outro cargo político ou público</t>
  </si>
  <si>
    <t>3.7.7.</t>
  </si>
  <si>
    <t>Identificação das fontes/listas utilizadas para a qualificação</t>
  </si>
  <si>
    <t>Dever de Identificação e Diligência</t>
  </si>
  <si>
    <t>Comprovação diferida dos elementos identificativos</t>
  </si>
  <si>
    <t>Número</t>
  </si>
  <si>
    <t>Percentagem face ao total</t>
  </si>
  <si>
    <t>4.1</t>
  </si>
  <si>
    <t>Novas relações de negócio em que a verificação da identidade foi completada após o início da relação de negócio</t>
  </si>
  <si>
    <t>Informação sobre a origem e destino dos fundos</t>
  </si>
  <si>
    <t>4.2. a)</t>
  </si>
  <si>
    <t>Novas relações de negócio nas quais tenha tido lugar a obtenção de informação sobre a origem e o destino dos fundos justificada pelo perfil de risco do cliente</t>
  </si>
  <si>
    <t>4.2. b)</t>
  </si>
  <si>
    <t>Transações ocasionais efetuadas nas quais tenha tido lugar a obtenção de informação sobre a origem e o destino dos fundos justificada pelo perfil de risco do cliente</t>
  </si>
  <si>
    <t>Comprovação dos elementos identificativos dos beneficiários efetivos com base em declaração</t>
  </si>
  <si>
    <t>4.3. a)</t>
  </si>
  <si>
    <t>Novas relações de negócio nas quais a comprovação dos elementos identificativos dos beneficiários efetivos tenha sido realizada com base em declaração emitida pelo cliente ou por quem legalmente o represente</t>
  </si>
  <si>
    <t>4.3. b)</t>
  </si>
  <si>
    <t>Transações ocasionais efetuadas nas quais a comprovação dos elementos identificativos dos beneficiários efetivos tenha sido realizada com base em declaração emitida pelo cliente ou por quem legalmente o represente</t>
  </si>
  <si>
    <t>Medidas simplificadas e medidas reforçadas</t>
  </si>
  <si>
    <t>Medidas simplificadas</t>
  </si>
  <si>
    <t>5.1.1.</t>
  </si>
  <si>
    <t>Novas relações de negócio relativamente às quais tenha sido decidida a aplicação de medidas de diligência simplificadas</t>
  </si>
  <si>
    <t>Medidas reforçadas</t>
  </si>
  <si>
    <t>5.2.1.</t>
  </si>
  <si>
    <t>Novas relações de negócio relativamente às quais tenha tido lugar a intervenção do responsável pelo cumprimento normativo ou de outro membro da direção de topo, com a subsequente decisão de aplicação de medidas de diligência reforçada</t>
  </si>
  <si>
    <t>5.2.2.</t>
  </si>
  <si>
    <t>Relações de negócio, transações ocasionais ou operações que de algum modo se relacionem com países terceiros de risco elevado para efeito do disposto no n.º 1 do artigo 37.º da Lei n.º 83/2017, de 18 de agosto</t>
  </si>
  <si>
    <t>5.2.3. a)</t>
  </si>
  <si>
    <t>Novas relações de negócio estabelecidas com clientes detendo a qualidade de "pessoa politicamente exposta"</t>
  </si>
  <si>
    <t>5.2.3. b)</t>
  </si>
  <si>
    <t>Transações ocasionais efetuadas com clientes detendo a qualidade de "pessoa politicamente exposta"</t>
  </si>
  <si>
    <t xml:space="preserve">Execução dos procedimentos de identificação e de diligência por entidades terceiras e Externalização / Outsourcing </t>
  </si>
  <si>
    <t xml:space="preserve">Questões </t>
  </si>
  <si>
    <t>Recurso a entidades terceiras para a execução dos procedimentos de identificação e de diligência (artigo 41.º da Lei n.º 83/2017, de 18 de agosto) - Lista</t>
  </si>
  <si>
    <r>
      <t xml:space="preserve">Denominação
</t>
    </r>
    <r>
      <rPr>
        <sz val="10"/>
        <color theme="4"/>
        <rFont val="Calibri"/>
        <family val="2"/>
        <scheme val="minor"/>
      </rPr>
      <t>[Questão 6. a)]</t>
    </r>
  </si>
  <si>
    <r>
      <t xml:space="preserve">Tipo institucional
</t>
    </r>
    <r>
      <rPr>
        <sz val="10"/>
        <color theme="4"/>
        <rFont val="Calibri"/>
        <family val="2"/>
        <scheme val="minor"/>
      </rPr>
      <t>[Questão 6. b)]</t>
    </r>
  </si>
  <si>
    <r>
      <t xml:space="preserve">Jurisdição
</t>
    </r>
    <r>
      <rPr>
        <sz val="10"/>
        <color theme="4"/>
        <rFont val="Calibri"/>
        <family val="2"/>
        <scheme val="minor"/>
      </rPr>
      <t>[Questão 6. c)]</t>
    </r>
  </si>
  <si>
    <r>
      <t xml:space="preserve">Número de clientes objeto de procedimentos de identificação e diligência
</t>
    </r>
    <r>
      <rPr>
        <sz val="10"/>
        <color theme="4"/>
        <rFont val="Calibri"/>
        <family val="2"/>
        <scheme val="minor"/>
      </rPr>
      <t>[Questão 6. d)]</t>
    </r>
  </si>
  <si>
    <t>Empresa de seguros</t>
  </si>
  <si>
    <t>Sociedade gestora de fundos de pensões</t>
  </si>
  <si>
    <t>Mediador de seguros</t>
  </si>
  <si>
    <t>Outro</t>
  </si>
  <si>
    <r>
      <t xml:space="preserve">Externalização / </t>
    </r>
    <r>
      <rPr>
        <b/>
        <i/>
        <sz val="10"/>
        <rFont val="Calibri"/>
        <family val="2"/>
        <scheme val="minor"/>
      </rPr>
      <t xml:space="preserve">Outsourcing </t>
    </r>
  </si>
  <si>
    <t>Recorre a terceiros prestadores de serviços para executar processos, serviços ou atividades instrumentais ou auxiliares ao cumprimento dos deveres preventivos do branqueamento de capitais e financiamento do terrorismo?</t>
  </si>
  <si>
    <t>Dever de Comunicação</t>
  </si>
  <si>
    <t>Procedimentos implementados</t>
  </si>
  <si>
    <t>8.1.</t>
  </si>
  <si>
    <t>Descrição dos procedimentos implementados, incluindo o circuito de informação, intervenientes formais e funcionalidades informáticas associadas, para cumprimento do dever de comunicação previsto no artigo 43.º da Lei n.º 83/2017, de 18 de agosto</t>
  </si>
  <si>
    <t>Comunicação de operações suspeitas e comunicação sistemática de operações</t>
  </si>
  <si>
    <t>Montante</t>
  </si>
  <si>
    <t xml:space="preserve">8.2. c) </t>
  </si>
  <si>
    <t>Total de operações suspeitas comunicadas ao DCIAP e à UIF</t>
  </si>
  <si>
    <t>8.2. a) e c)</t>
  </si>
  <si>
    <t>Comunicações com informação de que certos fundos ou outros bens podem provir de atividades criminosas (que não estejam relacionadas com o financiamento do terrorismo)</t>
  </si>
  <si>
    <t>8.2. b) e c)</t>
  </si>
  <si>
    <t>Comunicações com informação de que certos fundos ou outros bens podem estar relacionados com o financiamento do terrorismo</t>
  </si>
  <si>
    <t>8.2. d)</t>
  </si>
  <si>
    <t>Operações comunicadas que se enquadrem no âmbito do dever de abstenção</t>
  </si>
  <si>
    <t>8.2. e)</t>
  </si>
  <si>
    <t>Operações comunicadas que se enquadrem no âmbito do exercício do dever de recusa</t>
  </si>
  <si>
    <t>8.3.</t>
  </si>
  <si>
    <t>Total de operações comunicadas ao DCIAP e à UIF, nos termos do artigo 45.º da Lei n.º 83/2017, de 18 de agosto (comunicação sistemática de operações)</t>
  </si>
  <si>
    <t>Dever de Abstenção</t>
  </si>
  <si>
    <t>9.1.</t>
  </si>
  <si>
    <t>Descrição dos procedimentos implementados para cumprimento do dever de abstenção previsto no artigo 47.º da Lei n.º 83/2017, de 18 de agosto</t>
  </si>
  <si>
    <t>Comunicações de operações suspeitas</t>
  </si>
  <si>
    <t>9.2. a)</t>
  </si>
  <si>
    <t>Comunicações resultantes de situações em que tenha executado uma operação suspeita por considerar que a abstenção da respetiva realização não era possível</t>
  </si>
  <si>
    <t>9.2. b)</t>
  </si>
  <si>
    <t>Comunicações resultantes de situações em que, após consulta ao DCIAP e à UIF, o exercício do dever de abstenção foi considerado suscetível de prejudicar a prevenção ou a futura investigação das atividades criminosas de que provenham fundos ou outros bens relacionados com branqueamento de capitais e financiamento do terrorismo</t>
  </si>
  <si>
    <t>9.2. c)</t>
  </si>
  <si>
    <t>Comunicações resultantes de situações em que tenha executado as operações relativamente às quais exerceu o dever de abstenção, nos termos no n.º 5 do artigo 47.º da Lei n.º 83/2017, de 18 de agosto</t>
  </si>
  <si>
    <t xml:space="preserve">Dever de Recusa </t>
  </si>
  <si>
    <t>10.1.</t>
  </si>
  <si>
    <t>Descrição dos procedimentos implementados para cumprimento do dever de recusa previsto no artigo 50.º da Lei n.º 83/2017, de 18 de agosto</t>
  </si>
  <si>
    <t>Número de relações de negócio</t>
  </si>
  <si>
    <t>Número de transações ocasionais</t>
  </si>
  <si>
    <t>Número de outras operações</t>
  </si>
  <si>
    <t>Não iniciadas</t>
  </si>
  <si>
    <t>10.2. a)</t>
  </si>
  <si>
    <t>Por não obtenção de elementos constantes da alínea a) do n.º 1 do artigo 50.º da Lei n.º 83/2017, de 18 de agosto</t>
  </si>
  <si>
    <t>10.2. b)</t>
  </si>
  <si>
    <t>Por não obtenção de elementos constantes da alínea b) do n.º 1 do artigo 50.º da Lei n.º 83/2017, de 18 de agosto</t>
  </si>
  <si>
    <t>10.2. c)</t>
  </si>
  <si>
    <t>Por não obtenção de outros elementos, nos termos do n.º 3 do artigo 50.º da Lei n.º 83/2017, de 18 de agosto</t>
  </si>
  <si>
    <t>Recusadas</t>
  </si>
  <si>
    <t>Terminadas</t>
  </si>
  <si>
    <t>Dever de Conservação</t>
  </si>
  <si>
    <t xml:space="preserve">Procedimentos implementados </t>
  </si>
  <si>
    <t>11.1.</t>
  </si>
  <si>
    <t>Descrição dos procedimentos implementados para cumprimento do dever de conservação previsto no artigo 51.º da Lei n.º 83/2017, de 18 de agosto</t>
  </si>
  <si>
    <t>Tipos de suporte duradouro utilizados</t>
  </si>
  <si>
    <t>11.2. a) e b)</t>
  </si>
  <si>
    <t>Suporte e local de arquivo</t>
  </si>
  <si>
    <t>Eletrónicos
(Sim/Não)</t>
  </si>
  <si>
    <t>Físicos</t>
  </si>
  <si>
    <t>Tipo de documento</t>
  </si>
  <si>
    <t>(Sim/Não)</t>
  </si>
  <si>
    <t>Local de arquivo</t>
  </si>
  <si>
    <t>Cópias, registos ou dados eletrónicos extraídos de todos os documentos no âmbito dos procedimentos de identificação e diligência [alínea a) do n.º 1 do artigo 51.º da Lei n.º 83/2017, de 18 de agosto]</t>
  </si>
  <si>
    <t>Documentação integrante dos processos ou ficheiros relativos aos clientes e às suas contas, incluindo a correspondência comercial enviada [alínea b) do n.º 1 do artigo 51.º da Lei n.º 83/2017, de 18 de agosto]</t>
  </si>
  <si>
    <t>Outros documentos, registos e análises, de foro interno ou externo, que formalizem o cumprimento da Lei n.º 83/2017, de 18 de agosto [alínea c) do n.º 1 do artigo 51.º da Lei n.º 83/2017, de 18 de agosto]</t>
  </si>
  <si>
    <t>Dever de Exame</t>
  </si>
  <si>
    <t>12.1.</t>
  </si>
  <si>
    <t>Descrição dos procedimentos implementados para cumprimento do dever de exame previsto no artigo 52.º da Lei n.º 83/2017, de 18 de agosto, incluindo a descrição da participação do responsável pelo cumprimento normativo da entidade obrigada no processo de exame, com indicação do momento em que o mesmo intervém</t>
  </si>
  <si>
    <t>Intervenientes e funcionalidades informáticas</t>
  </si>
  <si>
    <t>12.2.</t>
  </si>
  <si>
    <t>Descrição, relativamente a uma decisão de comunicação, dos procedimentos implementados para cumprimento do dever de exame, com informação sobre os intervenientes, o respetivo circuito hierárquico (com indicação do cargo/função) e as funcionalidades informáticas associadas</t>
  </si>
  <si>
    <t>Operações examinadas</t>
  </si>
  <si>
    <t>12.3.1</t>
  </si>
  <si>
    <t>Total de operações examinadas</t>
  </si>
  <si>
    <t>12.3.2. a)</t>
  </si>
  <si>
    <t>Operações examinadas em relação às quais não tenha havido comunicação às autoridades competentes</t>
  </si>
  <si>
    <t>12.3.2. b)</t>
  </si>
  <si>
    <t>Operações examinadas em relação às quais a revisão crítica, constante da alínea b) do n.º 3 do artigo 13.º da Lei n.º 83/2017, de 18 de agosto, tenha determinado a sua comunicação</t>
  </si>
  <si>
    <t>Dever de Colaboração</t>
  </si>
  <si>
    <t>13.1</t>
  </si>
  <si>
    <t>Descrição dos procedimentos implementados para cumprimento do dever de colaboração previsto no artigo 53.º da Lei n.º 83/2017, de 18 de agosto</t>
  </si>
  <si>
    <t>Entidade Requerente</t>
  </si>
  <si>
    <t>Número de pedidos de colaboração recebidos</t>
  </si>
  <si>
    <t>13.2. a)</t>
  </si>
  <si>
    <t>DCIAP</t>
  </si>
  <si>
    <t>13.2. b)</t>
  </si>
  <si>
    <t>UIF</t>
  </si>
  <si>
    <t>13.2. c)</t>
  </si>
  <si>
    <t>Autoridades judiciárias e policiais</t>
  </si>
  <si>
    <t>13.2. d)</t>
  </si>
  <si>
    <t>ASF</t>
  </si>
  <si>
    <t>Outras autoridades setoriais</t>
  </si>
  <si>
    <t>13.2. e)</t>
  </si>
  <si>
    <t>Autoridade Tributária e Aduaneira</t>
  </si>
  <si>
    <t>Dever de Não Divulgação</t>
  </si>
  <si>
    <t>Descrição dos procedimentos implementados para cumprimento do dever de não divulgação previsto no artigo 54.º da Lei n.º 83/2017, de 18 de agosto</t>
  </si>
  <si>
    <t>Natureza</t>
  </si>
  <si>
    <t>Ambiente</t>
  </si>
  <si>
    <t>Dever de Formação</t>
  </si>
  <si>
    <t>Interna</t>
  </si>
  <si>
    <t>Presencial</t>
  </si>
  <si>
    <t>Externa</t>
  </si>
  <si>
    <t>À distância</t>
  </si>
  <si>
    <t>15.1.</t>
  </si>
  <si>
    <t>Descrição dos procedimentos implementados para cumprimento do dever de formação previsto no artigo 55.º da Lei n.º 83/2017, de 18 de agosto</t>
  </si>
  <si>
    <t>Informação sobre ações de formação</t>
  </si>
  <si>
    <t>15.2.1.</t>
  </si>
  <si>
    <t>Foram ministradas ações de formação em matéria de prevenção do branqueamento de capitais e financiamento do terrorismo?</t>
  </si>
  <si>
    <t>Número de ações de formação em matéria de prevenção do branqueamento de capitais e financiamento do terrorismo dirigidas aos colaboradores relevantes</t>
  </si>
  <si>
    <t>15.2.3.</t>
  </si>
  <si>
    <t>O plano de formação em matéria de prevenção do branqueamento de capitais e financiamento do terrorismo aprovado foi cumprido?</t>
  </si>
  <si>
    <t>Informação fundamentada, qualitativa e quantitativa, sobre o cumprimento do plano de formação aprovado</t>
  </si>
  <si>
    <t>Lista de formações</t>
  </si>
  <si>
    <r>
      <t xml:space="preserve">Denominação da formação
</t>
    </r>
    <r>
      <rPr>
        <sz val="10"/>
        <color theme="4"/>
        <rFont val="Calibri"/>
        <family val="2"/>
        <scheme val="minor"/>
      </rPr>
      <t>[Questão 15.2.2. a)]</t>
    </r>
  </si>
  <si>
    <r>
      <t xml:space="preserve">Matéria sobre a qual versou a ação
</t>
    </r>
    <r>
      <rPr>
        <sz val="10"/>
        <color theme="4"/>
        <rFont val="Calibri"/>
        <family val="2"/>
        <scheme val="minor"/>
      </rPr>
      <t>[Questão 15.2.2. b)]</t>
    </r>
  </si>
  <si>
    <r>
      <t xml:space="preserve">Data da formação
</t>
    </r>
    <r>
      <rPr>
        <sz val="10"/>
        <color theme="4"/>
        <rFont val="Calibri"/>
        <family val="2"/>
        <scheme val="minor"/>
      </rPr>
      <t>[Questão 15.2.2. c)]</t>
    </r>
  </si>
  <si>
    <r>
      <t xml:space="preserve">Entidade formadora
</t>
    </r>
    <r>
      <rPr>
        <sz val="10"/>
        <color theme="4"/>
        <rFont val="Calibri"/>
        <family val="2"/>
        <scheme val="minor"/>
      </rPr>
      <t>[Questão 15.2.2. d)]</t>
    </r>
  </si>
  <si>
    <r>
      <t xml:space="preserve">Duração
(em horas)
</t>
    </r>
    <r>
      <rPr>
        <sz val="10"/>
        <color theme="4"/>
        <rFont val="Calibri"/>
        <family val="2"/>
        <scheme val="minor"/>
      </rPr>
      <t>[Questão 15.2.2. e)]</t>
    </r>
  </si>
  <si>
    <r>
      <t xml:space="preserve">Natureza
</t>
    </r>
    <r>
      <rPr>
        <sz val="10"/>
        <color theme="4"/>
        <rFont val="Calibri"/>
        <family val="2"/>
        <scheme val="minor"/>
      </rPr>
      <t>[Questão 15.2.2. f)]</t>
    </r>
  </si>
  <si>
    <r>
      <t xml:space="preserve">Ambiente
</t>
    </r>
    <r>
      <rPr>
        <sz val="10"/>
        <color theme="4"/>
        <rFont val="Calibri"/>
        <family val="2"/>
        <scheme val="minor"/>
      </rPr>
      <t>[Questão 15.2.2. g)]</t>
    </r>
  </si>
  <si>
    <r>
      <t xml:space="preserve">Funções dos formandos
</t>
    </r>
    <r>
      <rPr>
        <sz val="10"/>
        <color theme="4"/>
        <rFont val="Calibri"/>
        <family val="2"/>
        <scheme val="minor"/>
      </rPr>
      <t>[Questão 15.2.2. h)]</t>
    </r>
  </si>
  <si>
    <r>
      <t xml:space="preserve">Número de participantes
</t>
    </r>
    <r>
      <rPr>
        <sz val="10"/>
        <color theme="4"/>
        <rFont val="Calibri"/>
        <family val="2"/>
        <scheme val="minor"/>
      </rPr>
      <t>[Questão 15.2.2. i)]</t>
    </r>
  </si>
  <si>
    <r>
      <t xml:space="preserve">Teve avaliação final dos formandos?
</t>
    </r>
    <r>
      <rPr>
        <sz val="10"/>
        <color theme="4"/>
        <rFont val="Calibri"/>
        <family val="2"/>
        <scheme val="minor"/>
      </rPr>
      <t>[Questão 15.2.2. j)]</t>
    </r>
  </si>
  <si>
    <r>
      <t xml:space="preserve">Avaliação final média </t>
    </r>
    <r>
      <rPr>
        <b/>
        <sz val="10"/>
        <rFont val="Calibri"/>
        <family val="2"/>
        <scheme val="minor"/>
      </rPr>
      <t>ou mediana dos formandos</t>
    </r>
    <r>
      <rPr>
        <b/>
        <sz val="10"/>
        <color theme="1"/>
        <rFont val="Calibri"/>
        <family val="2"/>
        <scheme val="minor"/>
      </rPr>
      <t xml:space="preserve">
</t>
    </r>
    <r>
      <rPr>
        <sz val="10"/>
        <color theme="4"/>
        <rFont val="Calibri"/>
        <family val="2"/>
        <scheme val="minor"/>
      </rPr>
      <t>[Questão 15.2.2. j)]</t>
    </r>
  </si>
  <si>
    <t>Oportunidades de melhoria identificadas em matéria de prevenção do branqueamento de capitais e financiamento do terrorismo</t>
  </si>
  <si>
    <t>Identificação das oportunidades de melhoria constatadas referentes ao cumprimento dos deveres preventivos em matéria de branqueamento de capitais e financiamento do terrorismo</t>
  </si>
  <si>
    <t>Outras informações</t>
  </si>
  <si>
    <t>Informação adicional considerada relevante pela entidade obrigada</t>
  </si>
  <si>
    <t>17.1</t>
  </si>
  <si>
    <t>Outra informação julgada relevante pela entidade obrigada e associada ao período de referência, incluindo, se aplicável, alterações ocorridas na entidade obrigada, com impacto nas políticas e nos procedimentos e controlos preventivos do branqueamento de capitais e financiamento do terrorismo</t>
  </si>
  <si>
    <t>Outras informações a reportar por determinação da ASF</t>
  </si>
  <si>
    <t>17.2.</t>
  </si>
  <si>
    <t>Descrição de eventuais informações a reportar, de acordo com determinação da ASF, sem que para as mesmas exista um campo específico</t>
  </si>
  <si>
    <t>CodMapa</t>
  </si>
  <si>
    <t>DtReporte</t>
  </si>
  <si>
    <t>CodEntidade</t>
  </si>
  <si>
    <t>ID Validação</t>
  </si>
  <si>
    <t>Descrição da Validação</t>
  </si>
  <si>
    <t>Resultado</t>
  </si>
  <si>
    <t>Erro / Aviso</t>
  </si>
  <si>
    <t>Na folha "Info Institucional" apenas deve preencher uma dos campos "Morada - Da sede, para as entidades obrigadas com sede em Portugal" ou "Morada - Do estabelecimento, para as sucursais situadas em território português das entidades obrigadas, ou outras de natureza equivalente, que tenham sede no estrangeiro".</t>
  </si>
  <si>
    <t>Na folha "DC - Controlo", se a variável "Função autónoma ou cumulada com outra função" está preenchida com "Autónoma", então a variável "Função com que cumula a função de responsável pelo cumprimento normativo" não pode estar preenchida.</t>
  </si>
  <si>
    <t>Na folha "DC - Controlo", se a variável "Função autónoma ou cumulada com outra função" está preenchida com "Cumulada", então a variável "Função com que cumula a função de responsável pelo cumprimento normativo" tem de estar preenchida.</t>
  </si>
  <si>
    <t>Na folha "DC - Controlo", o valor reportado em "Função de responsável pelo cumprimento normativo - Número de trabalhadores afetos à função - Dos quais em exclusividade" deve ser menor ou igual ao valor reportado em "Função de responsável pelo cumprimento normativo - Número de trabalhadores afetos à função".</t>
  </si>
  <si>
    <t>Na folha "DC - Controlo", se a entidade não pertence a um grupo, a restante informação do ponto 3.3. não deve ser preenchida.</t>
  </si>
  <si>
    <t>Na folha "DC - Controlo", se a entidade pertence a um grupo, mas não existe um serviço comum para o exercício partilhado das responsabilidades inerentes à função de responsável pelo cumprimento normativo dentro do grupo, a restante informação do ponto 3.3. não deve ser preenchida.</t>
  </si>
  <si>
    <t>Na folha "DC - Avaliação da eficácia", se a entidade não efetuou avaliações à qualidade, adequação e eficácia das políticas e dos procedimentos e controlos em matéria de prevenção do branqueamento de capitais e financiamento do terrorismo, a restante informação do ponto 3.5. não deve ser preenchida.</t>
  </si>
  <si>
    <t>Na folha "DC - Avaliação da eficácia", se a entidade efetuou avaliações à qualidade, adequação e eficácia das políticas e dos procedimentos e controlos em matéria de prevenção do branqueamento de capitais e financiamento do terrorismo, deve haver pelo menos uma linha preenchida.</t>
  </si>
  <si>
    <t>Na folha "DC - Controlo", se a entidade não tem uma ferramenta de monitorização de operações permite o bloqueio de operações, a restante informação do ponto 3.7.5. c) não deve ser preenchida.</t>
  </si>
  <si>
    <t>Na folha "DC - Controlo", se a entidade tem uma ferramenta de monitorização de operações permite o bloqueio de operações, deve haver pelo menos um fator suscetível de provocar um bloqueio automático de operações preenchido.</t>
  </si>
  <si>
    <t>Relações de negócio, transações ocasionais ou outras operações não iniciadas, recusadas ou terminadas</t>
  </si>
  <si>
    <t>Na folha "Formação", se não foram ministradas ações de formação em matéria de prevenção do branqueamento de capitais e financiamento do terrorismo, o número de ações de formação em matéria de prevenção do branqueamento de capitais e financiamento do terrorismo dirigidas aos colaboradores relevantes deve ser zero.</t>
  </si>
  <si>
    <t>Na folha "Formação", se não foram ministradas ações de formação em matéria de prevenção do branqueamento de capitais e financiamento do terrorismo, a lista de formações não deve ser preenchida.</t>
  </si>
  <si>
    <t>Na folha "Formação", se foram ministradas ações de formação em matéria de prevenção do branqueamento de capitais e financiamento do terrorismo, o número de ações de formação em matéria de prevenção do branqueamento de capitais e financiamento do terrorismo dirigidas aos colaboradores relevantes deve ser diferente de zero e a lista de formações deve ter pelo menos uma linha preenchida.</t>
  </si>
  <si>
    <t xml:space="preserve">Identificação da entidade fornecedora </t>
  </si>
  <si>
    <t>Período de Referência</t>
  </si>
  <si>
    <t>1. a)</t>
  </si>
  <si>
    <t>Início</t>
  </si>
  <si>
    <t xml:space="preserve">1. b) </t>
  </si>
  <si>
    <t>Termo</t>
  </si>
  <si>
    <t>Designação</t>
  </si>
  <si>
    <r>
      <t xml:space="preserve">Método de cálculo do perfil de risco de branqueamento de capitais e financiamento do terrorismo
</t>
    </r>
    <r>
      <rPr>
        <sz val="10"/>
        <color theme="4"/>
        <rFont val="Calibri"/>
        <family val="2"/>
        <scheme val="minor"/>
      </rPr>
      <t>[Questão 3.7.4. f)]</t>
    </r>
  </si>
  <si>
    <t>Principais variáveis consideradas no cálculo do perfil de risco</t>
  </si>
  <si>
    <t>[Questão 3.7.4. a)]</t>
  </si>
  <si>
    <t>[Questão 3.7.4. b)]</t>
  </si>
  <si>
    <t>[Questão 3.7.4. d)]</t>
  </si>
  <si>
    <t>[Questão 3.7.4. c)]</t>
  </si>
  <si>
    <t>Caracterização</t>
  </si>
  <si>
    <t>Periodicidade de atualização</t>
  </si>
  <si>
    <t>Percentagem de clientes</t>
  </si>
  <si>
    <t>Descrição sumária</t>
  </si>
  <si>
    <t>Nível de cumprimento do plano de formação em matéria de prevenção do branqueamento de capitais e financiamento do terrorismo aprovado (entre 0% e 100%)</t>
  </si>
  <si>
    <t>Mapa</t>
  </si>
  <si>
    <t>versao</t>
  </si>
  <si>
    <t>DtDataReporte</t>
  </si>
  <si>
    <t>CodEstatistico</t>
  </si>
  <si>
    <t>LEI</t>
  </si>
  <si>
    <t>TipoPeriodo</t>
  </si>
  <si>
    <t>LocalActividade</t>
  </si>
  <si>
    <t>NrFundo</t>
  </si>
  <si>
    <t>NrAdesao</t>
  </si>
  <si>
    <t>CodLocLPS</t>
  </si>
  <si>
    <t>CodCogerido</t>
  </si>
  <si>
    <t>BCFT1</t>
  </si>
  <si>
    <t>BST</t>
  </si>
  <si>
    <t>José Mota Veiga - Financial Crime Compliance</t>
  </si>
  <si>
    <t>549300URJH9VSI58CS32</t>
  </si>
  <si>
    <t>Banco Santander Totta, S.A</t>
  </si>
  <si>
    <t>Rua do Ouro, 88 - 1100-063 Lisboa</t>
  </si>
  <si>
    <t xml:space="preserve">1.	José Carlos Brito Sítima;
2.	Pedro Aires Coruche Castro e Almeida;
3.	Amílcar da Silva Lourenço;
4.	Ana Isabel Abranches Pereira de Carvalho Morais;
5.	Cristina Alvarez Alvarez;
6.	Daniel Abel Monteiro Palhares Traça;
7.	Isabel Cristina da Silva Guerreiro;
8.	João Pedro Cabral Tavares;
9.	Manuel António Amaral Franco Preto;
10.	Manuel Maria de Olazábal Albuquerque;
11.	Maria Manuela Machado Costa Farelo Ataíde Marques;
12.	Miguel Belo de Carvalho;
13.	Remedios Ruiz Macia; e 
14.	Ricardo Lopes da Costa Jorge </t>
  </si>
  <si>
    <t>20c49af1-2acb-4f94-bcf6-000353545ecf</t>
  </si>
  <si>
    <t>Pedro Aires Coruche Castro e Almeida | CEO</t>
  </si>
  <si>
    <t>Pessoas e Cultura; Secretaria Geral; Cumprimento e Conduta; Gestão de Riscos; Suporte da Presidência; Comunicação.</t>
  </si>
  <si>
    <t>Manuel António Amaral Franco Preto | CFO</t>
  </si>
  <si>
    <t>Acompanhamento de Créditos; Compras e Custos; Contabilidade e Controlo de Gestão; Estratégia, Planeamento Financeiro e Estudos Económicos; Fiscalidade; Gestão Financeira e de Capital; Imóveis; Organização e Normas; Recuperações e Desinvestimento.</t>
  </si>
  <si>
    <t>Private Banking; Corporate &amp; Investment Banking; Crédito a Particulares; Wealth Management &amp; Insurance; Sustentabilidade; Customer Care; Universidades. Relacionamento com o Grupo Santander Totta Seguros e Santander Asset Management.</t>
  </si>
  <si>
    <t>Miguel Belo de Carvalho</t>
  </si>
  <si>
    <t>Isabel Cristina da Silva Guerreiro</t>
  </si>
  <si>
    <t>Área Comercial Particulares e Negócios; Banca Remota e Customer Experience; Gestão e Eficácia Comercial; Gestão e Estratégia de Segmento de Negócios; Gestão de Cliente e Performance Digital; Analítica e Modelos; Process; Tecnologia e Operações.</t>
  </si>
  <si>
    <t>Amílcar Silva Lourenço</t>
  </si>
  <si>
    <t>Área Comercial Empresas; Empresas Multinacionais; Grandes Empresas Norte; Grandes Empresas Sul; Gestão de Rorwa e Preço; Lending Office; Crédito Especializado e Protocolado; Fomento à Construção e IFRRU; Negócio Internacional; Projetos Especiais; Estratégia de Empresas. Responsável indicado por temas de Prevenção de Branqueamento de Capitais.</t>
  </si>
  <si>
    <t>Ricardo Lopes da Costa Jorge</t>
  </si>
  <si>
    <t>Everyday Banking; Comercialização de Soluções de Pagamento; Marca e Comunicação Corporativa.</t>
  </si>
  <si>
    <t>N/A</t>
  </si>
  <si>
    <t>Sim</t>
  </si>
  <si>
    <t>Não</t>
  </si>
  <si>
    <t>amilcar.lourenco@santander.pt</t>
  </si>
  <si>
    <t>Responsável área Financial Crime Compliance (FCC)</t>
  </si>
  <si>
    <t>Diretor</t>
  </si>
  <si>
    <t>jose.veiga@santander.pt</t>
  </si>
  <si>
    <t>Autónoma</t>
  </si>
  <si>
    <t>O Banco identifica, avalia e mitiga os riscos concretos de BC/FT existentes, no contexto da sua realidade operativa específica. Neste contexto, o Banco dispõe de um modelo eficaz para a avaliação, gestão e mitigação de tais riscos, recorrendo a práticas adequadas e procedendo, através de sistemas de informação, à análise de informação e da documentação pertinente de acordo com os requisitos legais e regulamentares aplicáveis. Recorre às ferramentas mais avançadas de screening e monitorização de transações para robustecer o ambiente de controlo, com vista a assegurar uma gestão eficaz das medidas restritivas, a identificação de clientes sujeitos a procedimentos de diligência reforçada (e.g. PEPs e ARIs), e também uma monitorização eficiente das transações, baseada no risco. Tem ainda definido e implementado um modelo de cálculo de risco do cliente - Customer Risk Assessment (CRA) - o qual permite gerir de forma eficiente o perfil de risco de BC/FT do cliente. Este processo permite aferir de forma contínua, o perfil de risco de toda a base de clientes, representantes e beneficiários efetivos, aquando do estabelecimento e manutenção das relações de negócio. O grau de risco aplicado decorre, nomeadamente, dos fatores de risco legal e regulamentarmente previstos, com o tipo de cliente, a natureza, dimensão e complexidade da atividade prosseguida, a origem e o destino dos fundos, os produtos e serviços utilizados, entre outros. Tal modelo considera 4 tipologias de atributos na ponderação do cálculo do risco BC/FT do cliente e que agrupam os diferentes fatores de risco, nomeadamente (i) atributos de risco demográfico, (ii) atributos de risco comportamental; (iii) atributos de risco automático e (iv) contágio de risco. Para os clientes em que existe um risco acrescido de branqueamento de capitais e financiamento do terrorismo são adotados procedimentos de verificação e diligência reforçados. O Banco consegue, desta forma, inferir de forma automática e contínua, o nível de risco do cliente, o que, por sua vez, permite definir a forma como o Banco se deve com ele relacionar durante o seu ciclo de vida.</t>
  </si>
  <si>
    <t>NORKOM – monitorização de transações (AML); filtragem de pagamentos domésticos (WLM) e  motor de cálculo de risco de BCFT;  
ORACLE- filtragem de clientes e pagamentos cross border;
Portal FCC – abertura e manutenção de contas – aceitação do risco de BCFT; 
Focus – gestão dos processos de KYC de clientes banca de correspondentes.
Partenon e Terminal Financeiro: sistemas de informação</t>
  </si>
  <si>
    <t xml:space="preserve">A informação e a documentação é atualizada periodicamente com base no nível de risco atribuído a cada  cliente. Alterações nas características do cliente que resultam numa alteração material do perfil de risco, desencadeiam uma atualização da informação e da documentação do cliente proporcional ao nível de due diligence, para aferir se o risco associado à relação comercial sofreu alterações. A atualização de dados e elementos segue os seguintes parâmetros: i) Clientes de Risco Alto: são submetidos a uma atualização anual; ii) Clientes  de Risco Medio: são submetidos a uma atualização a cada 3 anos e iii) Clientes de Risco Baixo: são submetidos a uma atualização a cada 5 anos. Não obstante o atrás referido, o Banco pode, a qualquer momento, solicitar a atualização de dados/elementos sempre que, no âmbito da monitorização contínua da relação comercial com o cliente e/ou com base na abordagem  baseada no risco, tal se justifique. </t>
  </si>
  <si>
    <t xml:space="preserve">As comunicações de participações podem ser efetuadas, verbalmente ou por escrito, presencialmente ou em reunião. Podem ser utilizados quaisquer dos seguintes canais:   
· Correio eletrónico para: irregularidades@santander.pt; 
· Por carta dirigida ao Presidente da Comissão de Auditoria, para a seguinte morada: Edifício do Centro Santander, Rua da Mesquita n.º 6, Torre B – 8º, 1070-238 Lisboa;
· Verbalmente ou em reunião junto do Presidente da Comissão de Auditoria, a agendar com a maior brevidade possível, atendendo à gravidade da participação recebida; 
· Através do Canal Aberto do Banco: 
- Número de telefone 800 181 323; 
- Por via da plataforma EthicsPoint através do link: https://secure.ethicspoint.eu/domain/media/pteu/gui/105862/index.html (também disponível através da Intranet).
As comunicações sobre irregularidades recebidas através do Canal Aberto serão levadas ao conhecimento da Comissão de Auditoria por parte da área de Cumprimento e Conduta. 
O colaborador que, por qualquer razão, receba uma comunicação, deve, com a maior brevidade possível, remetê-la ao Presidente da Comissão de Auditoria.
</t>
  </si>
  <si>
    <t>O Banco dispõe de ferramentas que permitem que a informação constante das listas externas seja filtrada contra a base de clientes do Banco. Diariamente é efetuado cruzamento das variações das listas contra a base de clientes e analisados os alertas gerados.  
Relativamente a transações, os detalhes de todas as transferências e débitos diretos, internacionais e domésticos, são filtrados contra a informação constante das listas externas, em real time. Os alertas gerados bloqueiam o processamento dos fundos até que se conclua a sua análise. O Banco recorre a um fornecedor externo (Dow Jones - Factiva) para providenciar a informação relativa às seguintes listas externas: OFAC; EU; UN; HMT; US Department of State Cuba Restricted List; HM Treasury Consolidated List; HM Treasury;  Investment Ban List; FinCEN Section 311 - Special Measures; (SOR) Sanction Ownership Research (from UN, OFAC, EU, UK)</t>
  </si>
  <si>
    <t>Política de Prevenção de Capitais e Financiamento do Terrorismo</t>
  </si>
  <si>
    <t xml:space="preserve">Manual de Procedimentos do Norkom Watchlist Management (“Manual WLM”) </t>
  </si>
  <si>
    <t xml:space="preserve">Manual de Procedimentos de Revisão Crítica e Controlo de Qualidade de Casos e Alertas (“Manual de Revisão Crítica e Controlo de Qualidade”) </t>
  </si>
  <si>
    <t>BST_Relatório de avaliação de risco PBC/FT (RCSA)</t>
  </si>
  <si>
    <t>Código Geral de Conduta</t>
  </si>
  <si>
    <t>Risco Alto</t>
  </si>
  <si>
    <t>Risco Médio</t>
  </si>
  <si>
    <t>Risco Baixo</t>
  </si>
  <si>
    <t>[30,50] - pontuação superior a 30 pontos e igual ou inferior a 50 pontos</t>
  </si>
  <si>
    <t>[20,30] - pontuação superior a 20 pontos e igual ou inferior a 30 pontos</t>
  </si>
  <si>
    <t>[10,20] - pontuação igual ou inferior a 20 pontos</t>
  </si>
  <si>
    <t>Lista PEP (Political Exposed Person)</t>
  </si>
  <si>
    <t xml:space="preserve">PEP Data; Dow Jones-Factiva </t>
  </si>
  <si>
    <t>No âmbito do início ou manutenção de uma relação de negócio, na realização de transações ocasionais ou de operações, é necessário um conjunto de documentos e informações (eg. elementos identificativos e respetivos comprovativos, informação sobre a natureza, objeto e finalidade da relação de negócios, entre outros) que, quando não obtidos pelo Banco, constituem fundamento para o exercício do dever de recusa, impedindo que a relação de negócio se inicie ou que seja colocado termo à mesma, consoante aplicável, desencadeando-se os tramites previstos na legislação aplicável.</t>
  </si>
  <si>
    <t>O Banco através das suas aplicações (vulgo Workflow´s) assegura a digitalização e o arquivo em suporte eletrónico e duradouro, de toda a documentação obrigatória prevista nos artigos 24.º e 25.º da Lei n.º 83/2027, de 18.08. 
O arquivo mantém-se acessível para consulta ou para outros fins, enquanto a relação comercial com o cliente se mantiver. Finda a relação, a documentação é conservada pelo prazo e nos termos previstos no art.º 51 Lei n.º 83/2027, de 18.08, ou por prazo superior, para efeitos de cumprimento (i) de outras obrigações legais não decorrentes desta lei e/ou (ii) de políticas do Grupo, no qual o Banco se insere.</t>
  </si>
  <si>
    <t>Uma comunicação é precedida dos procedimentos descritos no ponto 12.1 anterior, sendo que a mesma apenas ocorre se o RCN determinar a sua comunicação às autoridades competentes. As investigações relativamente às quais o RCN decide não ser efetuada a comunicação, são sujeitas a revisão crítica pelo membro da administração, designado nos termos no n.º 4, do art. 13.º da Lei 83/2017.
Os intervenientes no processo são: as unidades de negócio; analistas da área de FCC; RCN/RCN substituto e administrador (designado nos termos no n.º 4, do art. 13.º da Lei 83/2017). 
Circuito hierárquico: unidade de negócio - gestor de cliente/diretor de balcão; área de FCC - especialista de FCC; RCN substituto e administrador (designado nos termos no n.º 4, do art. 13.º da Lei 83/2017). Funcionalidades informáticas associadas: Norkom.</t>
  </si>
  <si>
    <t xml:space="preserve">A área de FCC presta, de forma cabal e pronta, a colaboração que lhe é requerida pelo DCIAP, pela Unidade de Informação Financeira, bem como pelas demais entidades judiciárias e policiais, pelas autoridades setoriais e pela Autoridade Tributária e Aduaneira.
Adicionalmente, o Banco dispõe de um área de Reportes a Entidades Oficiais que tem como funções, entre outras:  a) assegurar o envio aos Tribunais Criminais e Entidades de investigação criminal, de todas as informações e documentos solicitados, no âmbito dos processos de Branqueamento de Capitais, com reporte dos ofícios e cartas de resposta para o Departamento de Prevenção e Branqueamento de Capitais; e b) efetivar as determinações dos Tribunais Criminais para apreensão de valores depositados em contas bancárias, suspensão de movimentos a débito e/ou crédito e contumácias, assegurando os respetivos cativos e inibições, bem como, as respostas a estas entidades e aos titulares das contas afetadas, quando aplicável.
</t>
  </si>
  <si>
    <t>Na prevenção do branqueamento de capitais e do financiamento do terrorismo é essencial haver um conhecimento adequado do cliente, o que constitui um aspeto essencial para identificação do perfil desse cliente e para a avaliação da coerência da operativa realizada pelo cliente nas suas contas. Aplicam-se os procedimentos descritos no ponto 8.1. anterior, com vista a identificar cada situação em concreto. Atenta a natureza de cada uma destas situações, e ponderado o risco pela equipa comercial, e/ou mediante indicação da área de FCC é solicitada ao cliente justificação fiável da operação, a qual é avaliada quanto à sua suficiência e credibilidade.    Verificados que sejam os requisitos previstos no n.º 1 do art.º 47, a área de FCC, com autorização prévia do RCN ou do RCN substituto, reporta ao DCIAP e Ação Penal e à Unidade de Informação Financeira, de que se absteve de executar a operação ou conjunto de operações, consoante aplicável.</t>
  </si>
  <si>
    <t>O Banco assegura a monitorização da operativa dos clientes através de distintas linhas de atuação, suportadas, por sua vez, também em diferentes ferramentas e atende para o efeito a determinados elementos caracterizadores, tais como, a natureza, a finalidade, a frequência e a complexidade das operações, os montantes, a origem e o destino dos fundos movimentados, o local de origem e de destino das operações, bem como os meios de pagamento utilizados, sem prejuízo de considerar outros que se verifiquem adequados a cada caso concreto.A 1.ª linha de atuação é constituída pelas unidades de negócio, às quais incumbe assegurar a identificação dos clientes, a due diligence associada a essa identificação e a monitorização contínua da relação comercial. A operativa efetuada nas contas dos clientes ou em transações ocasionais, são analisadas através de uma aplicação informática corporativa designada por Norkom, no âmbito da qual são utilizados algoritmos comportamentais e de outra natureza, que geram alertas, que são analisados por equipa dedicada nos termos referidos no ponto 8.1. deste ficheiro e que, quando entende que há suspeita fundada efetua uma análise mais profunda e detalhada, que recebe a denominação interna de caso. Existindo operativa suspeita, é efetuada a proposta de COS (comunicação de operação suspeita) que, após aprovação pelo RCN ou RCN substituto, é remetida às autoridades competentes.</t>
  </si>
  <si>
    <t>Procedimentos implementados e circuito de informação: Toda a operação que seja eventualmente suspeita ou relativamente à qual haja razões suficientes para suspeitar que certos fundos ou outros bens, qualquer que seja o seu valor, provenham de atividades criminosas ou estão relacionados com o financiamento de terrorismo, é: (i) é identificada por intermédio de monitorização por aplicação informática (Norkom) e (ii) identificadas pela 1.ª LoD à área de FCC, por e-mail, mediante comunicação imediata. Na situação referida em (ii), FCC pondera a abertura de um caso em Norkom sempre que se justifique pela análise efetuada. Os alertas gerados em Norkom são analisados por um 1.º nível de decisão, que define se os mesmos reúnem os requisitos que sustentem a abertura de um caso.  Sendo a análise em sentido negativo, é fechado o alerta. Se a análise for em sentido positivo, o alerta é encaminhado para um 2.º nível de decisão, que pondera a abertura de um caso. Se a análise for em sentido negativo, o alerta é encerrado. Se o 2.º nível de decisão considerar que se justifica a abertura de caso, procede em conformidade.  A análise do caso é registada em Norkom. Quanto aos casos abertos em que o entendimento seja no sentido de ser efetuada comunicação, por se encontrarem reunidos os requisitos previstos no art.º 43, é remetida a proposta de comunicação ao RCN ou RCN substituto, que valida se o caso reúne os requisitos atrás indicados. Se reunir tais requisitos, autoriza que a comunicação seja realizada. Relativamente aos casos em que foi entendido não ser efetuada comunicação, estes são objeto de uma revisão crítica por uma equipa independente de revisão e controlo de qualidade, a qual, caso entenda necessário, propõe igualmente a comunicação da operativa suspeita. Todos os casos, bem como o resultado da revisão crítica realizada, são apresentados no Comité de Análise e Resolução (“CAR”), comité com competências em matéria de PBC/FT, presidido pelo membro da administração, designado nos termos no n.º 4, do art. 13.º da Lei 83/2017.Intervenientes formais no processo: o colaborador comunicante, analistas especialistas da área de FCC, analistas especialistas da Área de Revisão Crítica, RCN, membros permanentes do CAR, presidido pelo membro da administração, designado nos termos no n.º 4, do art. 13.º da Lei 83/2017.Funcionalidades informáticas associadas:  Norkom.</t>
  </si>
  <si>
    <t>Em setembro de 2024, foi iniciada uma Auditoria Interna focalizada na revisão sobre os procedimentos estabelecidos para a gestão dos riscos e cumprimento das respetivas exigências locais e corporativas (Grupo Santander), tendo sido efetuado um seguimento de todas as recomendações em matéria de FCC e seguimento da matéria pela Alta Direção. No seguimento desta auditoria, que concluiu com um rating global de “Necessita Melhorar” (relatório emitido em janeiro de 2025), foram emitidas 4 recomendações de ação prioritária. As deficiências identificadas foram classificadas como F2 – moderada (três recomendações de ação prioritária) e F1 – reduzida (uma recomendação de ação prioritária). As temáticas da PBCFT envolvem matérias de relevância fundamental para o Banco e para as quais existe uma necessidade de permanente atenção, de modo a assegurar a adequada gestão e mitigação dos riscos num contexto normativo e regulatório particularmente exigente e dinâmico, com riscos emergentes crescentes face ao crescimento exponencial dos casos e tipologias de fraude, nomeadamente online. Neste contexto, está na fase final de implementação no Banco um plano de ação detalhado para a melhoria permanente do seu sistema de controlo interno e da gestão dos riscos e do ambiente de controlo em PBCFT, no âmbito do programa de transformação do Grupo Santander (One FCC), mantendo o acompanhamento contínuo no que se refere à remediação das debilidades identificadas. Este plano de ação conta com uma equipa dedicada e inclui, nomeadamente, a implementação das recomendações de Auditoria Interna, em várias frentes de trabalho, das quais destacamos: avaliação de risco do branqueamento de capitais e do financiamento do terrorismo do negócio do Banco; revisão do modelo operativo da área de prevenção do branqueamento de capitais e do financiamento do terrorismo; programa específico de formação para os Órgãos Sociais e a Alta Direção do Banco; Upgrade das ferramentas de filtragem e de monitorização de transações; atualização de políticas e procedimentos em matéria de prevenção do branqueamento de capitais e do financiamento do terrorismo; desenvolvimento de informação de gestão; formação especializada para a equipa da área de prevenção do branqueamento de capitais e do financiamento do terrorismo; reforço da capacitação da área de prevenção do branqueamento de capitais e do financiamento do terrorismo para incrementar a sua efetividade e eficiência. A Comissão de Auditoria considera que todas estas ações evidenciam o foco do Banco na melhoria permanente do seu sistema de controlo interno em matéria de PBCFT e têm permitido ao Banco, no decurso do ano de 2024, atingir um reforço significativo e progressivo do ambiente de controlo, dos procedimentos e das práticas de gestão e mitigação de risco em tal matéria.</t>
  </si>
  <si>
    <t xml:space="preserve">LOQR, S.A. </t>
  </si>
  <si>
    <t>PRT</t>
  </si>
  <si>
    <t>PBC/CFT e Sanções Corporativo (Novos Colaboradores)</t>
  </si>
  <si>
    <t xml:space="preserve">PBC/CFT e Sanções Corporativo  </t>
  </si>
  <si>
    <t>PBC/CFT e Sanções Complementar</t>
  </si>
  <si>
    <t>Prevenção de Suborno, Corrupção e Fraude (PSCF)</t>
  </si>
  <si>
    <t xml:space="preserve">Prevenção da Fraude, Suborno e Corrupção (PFSC) </t>
  </si>
  <si>
    <t>PBC/CFT e Sanções</t>
  </si>
  <si>
    <t>PBC/CFT e Sanções – Órgãos Sociais</t>
  </si>
  <si>
    <t>PBC/CFT Específica Private Banking</t>
  </si>
  <si>
    <t>PBC/CFT Específica Banca Correspondente</t>
  </si>
  <si>
    <t>PBC/CFT Específica GCB / CIB</t>
  </si>
  <si>
    <t>PBC/CFT Específica Trade Finance</t>
  </si>
  <si>
    <t>Dotar os novos Colaboradores de conhecimentos sobre o cumprimento das políticas, processos e procedimentos relativos a PBC/CFT e Sanções e proteger o Banco de riscos de natureza reputacional e contraordenacional;
• Capacitar os novos colaboradores para reconhecer práticas, deveres e indicadores de risco de BC/FT:
o Princípios e Critérios do Banco Santander;
o Conceitos e Fases de BC;
o Crimes subjacentes ao BC;
o Consequências do BC;
o Conceitos e Fases de FT;
o Indícios do FT;
o Ideias iniciais sobre Sanções;
o Legislação em Vigor – Sujeitos Obrigados;
o Medidas de Prevenção (Políticas, Avaliação de Clientes, Fatores de Risco);
o Deveres de Prevenção de BC/F (Identificação e Diligências, BEFs, Deveres, SCI);
o Sanções e Contramedidas Financeiras (Listas de entidades, Transações, Deveres, Lei n.º 97/2017, Medidas Restritivas); e,
o Sanções – Coimas. riscos de natureza reputacional e contraordenacional;</t>
  </si>
  <si>
    <t>• Permitir recordar ou aprofundar os conhecimentos, por parte de todos os colaboradores do Grupo, em sede de PBC/CFT e Sanções:
o Crime Financeiro – Conceito;
o Prevenção do Crime Financeiro;
o KYC;
o Políticas e
o Procedimentos;
o Avaliação de Riscos;
o Área de Operações;
o Novo Desenvolvimento de Produto;
o Comunicação de Sanções;
o UIF, Intercâmbio de Informações e
o Relações de Correspondência; e,
o Teste de Avaliação e Certificado.</t>
  </si>
  <si>
    <t>• Contexto Regulamentar Nacional e Políticas e Procedimentos do Banco;
• Obrigações relacionadas com Imóveis.</t>
  </si>
  <si>
    <t>• Definições e enquadramento:
o o que é a Ética e o comportamento Ético;
o o triangulo da Fraude e a importância da prevenção deste crime.
o o suborno e a corrupção, bem como o enquadramento de facilitation payments.
o Conflitos de interesses;
o Gestão de presentes e outras gratificações atribuídas e recebidas.
o Elementos fundamentais para construir uma cultura de compliance.
o Vantagens da existência de uma cultura de compliance (para o management e colaboradores em geral);
o Gestão de presentes e outras gratificações atribuídas e recebidas.
• Exemplos de casos sobre maus comportamentos éticos, fraudes, suborno e corrupção;
• Riscos reputacionais e consequências do incumprimento</t>
  </si>
  <si>
    <t>• A legislação em vigor e os princípios base estabelecidos a nível nacional e internacional;
• Enquadramento legal e regulamentar do RGPC, incluindo as obrigações legais das entidades a quem se aplica o RGPC (com foco nas entidades privadas);
• Definições e enquadramento:
o o que é a Ética e o comportamento Ético;
o o triangulo da Fraude e a importância da prevenção deste crime.
o o suborno e a corrupção, bem como o enquadramento de facilitation payments.
o Conflitos de interesses;
o Elementos fundamentais para construir uma cultura de compliance.
o Vantagens da existência de uma cultura de compliance (para o management e colaboradores em geral);
o Gestão de presentes e outras gratificações atribuídas e recebidas.
• Tipologias, tendências e técnicas de prevenção, deteção e resposta;
• Quadro normativo interno, nomeadamente políticas, meios e procedimentos preventivos do BSP;
• Riscos reputacionais e consequências do incumprimento;
• Whistleblowing, com foco no canal de denúncias interno;
• Casos práticos.
• Penalizações / consequências de incumprimento.
o Gestão de presentes e outras gratificações atribuídas e recebidas.</t>
  </si>
  <si>
    <t>Reforçar o pensamento crítico, abordar os riscos de crimes financeiros e potenciar a eficiência e eficácia das investigações e outros processos e procedimentos da equipa;
• Aprofundar o enquadramento regulamentar, políticas, procedimentos e melhores práticas;
• e,
• Apresentação de casos de estudo e promoção do mindset adequado</t>
  </si>
  <si>
    <t>• Reforço de conhecimentos para o exercício das funções:
o Principais Conceitos (relevância do combate a BC/FT e do Compliance face a Sanções e Embargos Internacionais, uso do Banco para BC/FT, violação de Sanções e Embargos Internacionais);
o Enquadramento Regulamentar (evolução e princípios base a nível nacional e internacional, obrigações e responsabilidades, evolução da situação Portuguesa e Europeia, más práticas e impacto);
o PBC/CFT e Sanções na prática (ciclo e programa de PBC/CFT e Sanções, boas práticas, papel da Alta Direção, cultura e governance, falhas geralmente identificadas e importância da avaliação e gestão de risco de BC/FT e Sanções);
o Casos de Estudo (situações que levaram a penalização por falhas de PBC/CFT e Sanções); e
o Futuro do Compliance em termos de PBC/CFT e Sanções (discussão de tendências futuras e desafios).</t>
  </si>
  <si>
    <t>Apresentação dos riscos associados a private banking, da regulamentação em vigor e dos procedimentos a seguir para mitigar o risco de BC/FT neste contexto;
• Apresentação de exemplos práticos, incluindo operações suspeitas de BC/FT.</t>
  </si>
  <si>
    <t>• Apresentação dos riscos associados a relações de correspondência e chaves RMA, da regulamentação em vigor e dos procedimentos a seguir para mitigar o risco de BC/FT neste contexto;
• Apresentação de exemplos práticos, incluindo operações suspeitas de BC/FT.</t>
  </si>
  <si>
    <t>• Apresentação dos riscos associados a corporate banking, da regulamentação em vigor e dos procedimentos a seguir para mitigar o risco de BC/FT neste contexto;
• Apresentação de exemplos práticos, incluindo operações suspeitas de BC/FT.</t>
  </si>
  <si>
    <t>Apresentação dos riscos associados a operações de Trade Finance, da regulamentação em vigor e dos procedimentos a seguir para mitigar o risco de BC/FT neste contexto;
• Dotar os colaboradores de conhecimentos que permitam exercer o dever de exame, e verificar a consistência da operação proposta com a atividade e o perfil do Cliente;
• Apresentação de exemplos práticos, incluindo operações suspeitas de BC/FT.</t>
  </si>
  <si>
    <t>Decorre ao longo do ano</t>
  </si>
  <si>
    <t>Academia Santander</t>
  </si>
  <si>
    <t xml:space="preserve"> Instituto de Formação Bancária- IFB </t>
  </si>
  <si>
    <t xml:space="preserve">Área Corporativa e Responsável pela Área de Private Banking </t>
  </si>
  <si>
    <t>KPMG Advisory – Consultores de Gestão, S.A. - Entidade externa com credenciais em matérias de PBC/CFT</t>
  </si>
  <si>
    <t>6h</t>
  </si>
  <si>
    <t>1,5h</t>
  </si>
  <si>
    <t>1h</t>
  </si>
  <si>
    <t>3,5h</t>
  </si>
  <si>
    <t>5h</t>
  </si>
  <si>
    <t>Colaboradores de diversas Áreas</t>
  </si>
  <si>
    <t xml:space="preserve">Todos os colaboradores </t>
  </si>
  <si>
    <t>Colaboradores (especialistas) da Área de FCC</t>
  </si>
  <si>
    <t>Órgãos Sociais (Comissão Auditoria e Comissão Executiva) e Alta Direção (chefias com reporte à Admisntração ou à Europa)</t>
  </si>
  <si>
    <t>Colaboradores da Área de Private Banking</t>
  </si>
  <si>
    <t>Colaboradores alocados à Área responsável por relações de Banca Correspondente</t>
  </si>
  <si>
    <t>Colaboradores alocados à área responsável por GCB/CIB</t>
  </si>
  <si>
    <t>Colaboradores alocados à área responsável por Trade Finance</t>
  </si>
  <si>
    <t>A conclusão da formação está sujeita a um teste final de avaliação, o qual requer, no minímo, 8 respostas corretas em 10.</t>
  </si>
  <si>
    <t>O normativo interno do Banco proíbe a revelação ao cliente, ou a terceiros, da divulgação de quaisquer informações relativas a comunicações, independentemente de as mesmas decorrerem de análises internas ou de pedidos efetuados pelas autoridades judiciárias, policiais ou sectoriais, que se encontram ou possam vir a encontrar-se em curso, bem como, de quaisquer outras investigações, inquéritos, averiguações, análises ou procedimentos legais a conduzidos pelas autoridades, quaisquer outras informações ou análises de foro interno ou externo. De forma a assegurar o cumprimento do dever de confidencialidade, o Banco tem, para além de normativo interno, um plano de formação que abrange conteúdos sobre os deveres preventivos, nos quais o tema é abordado e reforçado.</t>
  </si>
  <si>
    <t xml:space="preserve">N/A
</t>
  </si>
  <si>
    <t>O Banco dispõe de cenários específicos nesta matéria, nomeadamente: (i) cenário 12 (Transferências Recebidas Mensais) e (ii) Cenário 18 (Fracionamento de Transações Mensal). Ambos os cenários aplicam o critério CFR (Country Risk Factor) em que é verificado e aplicado o risco País mais gravoso. Em primeiro lugar é feita verificação sobre se existe um país identificado com risco de Terrorismo. Caso não se aplique, é feita validação sobre se existe um país com risco de fraude fiscal e, se também não for aplicável, é feita validação sobre se é um país de risco alto.</t>
  </si>
  <si>
    <t xml:space="preserve">
O Banco garante a formação permanente e adequada aos seus colaboradores, incluindo a Alta Direção e membros dos Órgãos Sociais, visando o (i) cumprimento das obrigações impostas pela legislação e regulamentação aplicável; o (ii) desenvolvimento das competências dos seus colaboradores e (iii) o reforço do cumprimento dos procedimentos implementados para efeitos de controlo. Para o efeito, é aprovado anualmente um Plano de Formação em matéria de PBC/FT. O Plano visa ainda definir os conteúdos programáticos necessários à promoção da cultura de Prevenção do Crime Financeiro, com especial enfoque na PBC/FT e compliance com as Sanções Internacionais no Banco,  Prevenção da Fraude, Suborno e Corrupção e ao cumprimento da legislação aplicável por todos os colaboradores, em especial por aqueles cujas funções se relacionem com estas temáticas. O Plano é precedido de parecer prévio do RCN e é aprovado no Comité competente. </t>
  </si>
  <si>
    <t xml:space="preserve">O Plano de formação é cumprido através da realização de formações presenciais e na modalidade de sala virtual via teams. Complementarmente, e por via de e-learning, cada colaborador do Banco tem à sua disposição os conteúdos formações adicionais em matéria de PBC/FT, tendo em conta a sua função específica. As ações formativas são asseguradas por pessoas ou entidades com reconhecida competência e experiência no domínio da PBC/FT, Sanções e Prevenção da Fraude, Suborno e Corrupção. A cada colaborador com o curso concluído será atribuído um certificado de formação, ficando o mesmo disponível e consultável na ferramenta disponível para o efeito. O seguimento do Plano de Formação é reportado no Comité competente, pelo menos, duas vezes por ano. Abaixo estão elencados os cursos ministrados no âmbito do Plano de Formação para 2024. </t>
  </si>
  <si>
    <t>Remete-se para a resposta constante no separador "DC - Avaliação da Eficácia", na questão  3.5.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</si>
</sst>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11"/>
      <color theme="1"/>
      <name val="Calibri"/>
      <family val="2"/>
      <scheme val="minor"/>
    </font>
    <font>
      <sz val="8"/>
      <name val="Calibri"/>
      <family val="2"/>
      <scheme val="minor"/>
    </font>
    <font>
      <b/>
      <sz val="10"/>
      <color theme="1"/>
      <name val="Calibri"/>
      <family val="2"/>
      <scheme val="minor"/>
    </font>
    <font>
      <sz val="10"/>
      <color theme="1"/>
      <name val="Calibri"/>
      <family val="2"/>
      <scheme val="minor"/>
    </font>
    <font>
      <b/>
      <sz val="10"/>
      <name val="Calibri"/>
      <family val="2"/>
      <scheme val="minor"/>
    </font>
    <font>
      <sz val="10"/>
      <name val="Calibri"/>
      <family val="2"/>
      <scheme val="minor"/>
    </font>
    <font>
      <sz val="10"/>
      <color rgb="FF0070C0"/>
      <name val="Calibri"/>
      <family val="2"/>
      <scheme val="minor"/>
    </font>
    <font>
      <b/>
      <i/>
      <sz val="10"/>
      <name val="Calibri"/>
      <family val="2"/>
      <scheme val="minor"/>
    </font>
    <font>
      <sz val="10"/>
      <color rgb="FFFF0000"/>
      <name val="Calibri"/>
      <family val="2"/>
      <scheme val="minor"/>
    </font>
    <font>
      <b/>
      <sz val="10"/>
      <color theme="4"/>
      <name val="Calibri"/>
      <family val="2"/>
      <scheme val="minor"/>
    </font>
    <font>
      <b/>
      <sz val="10"/>
      <color rgb="FF0070C0"/>
      <name val="Calibri"/>
      <family val="2"/>
      <scheme val="minor"/>
    </font>
    <font>
      <sz val="10"/>
      <color theme="4"/>
      <name val="Calibri"/>
      <family val="2"/>
      <scheme val="minor"/>
    </font>
    <font>
      <sz val="9"/>
      <name val="Calibri"/>
      <family val="2"/>
      <scheme val="minor"/>
    </font>
    <font>
      <u/>
      <sz val="10"/>
      <color theme="1"/>
      <name val="Calibri"/>
      <family val="2"/>
      <scheme val="minor"/>
    </font>
    <font>
      <i/>
      <sz val="10"/>
      <color rgb="FF0070C0"/>
      <name val="Calibri"/>
      <family val="2"/>
      <scheme val="minor"/>
    </font>
    <font>
      <i/>
      <sz val="10"/>
      <name val="Calibri"/>
      <family val="2"/>
      <scheme val="minor"/>
    </font>
    <font>
      <i/>
      <sz val="10"/>
      <color theme="1"/>
      <name val="Calibri"/>
      <family val="2"/>
      <scheme val="minor"/>
    </font>
    <font>
      <sz val="10"/>
      <name val="Arial"/>
      <family val="2"/>
    </font>
    <font>
      <sz val="10"/>
      <name val="Arial"/>
      <family val="2"/>
    </font>
    <font>
      <sz val="10"/>
      <color theme="0"/>
      <name val="Calibri"/>
      <family val="2"/>
      <scheme val="minor"/>
    </font>
    <font>
      <sz val="10"/>
      <color theme="0"/>
      <name val="Segoe UI"/>
      <family val="2"/>
    </font>
    <font>
      <b/>
      <sz val="10"/>
      <color theme="0"/>
      <name val="Calibri"/>
      <family val="2"/>
      <scheme val="minor"/>
    </font>
    <font>
      <sz val="9"/>
      <color theme="0"/>
      <name val="Segoe UI"/>
      <family val="2"/>
    </font>
    <font>
      <sz val="9"/>
      <color theme="1"/>
      <name val="Calibri"/>
      <family val="2"/>
      <scheme val="minor"/>
    </font>
    <font>
      <sz val="8"/>
      <color theme="1"/>
      <name val="Calibri"/>
      <family val="2"/>
      <scheme val="minor"/>
    </font>
  </fonts>
  <fills count="6">
    <fill>
      <patternFill patternType="none"/>
    </fill>
    <fill>
      <patternFill patternType="gray125"/>
    </fill>
    <fill>
      <patternFill patternType="solid">
        <fgColor indexed="42"/>
        <bgColor indexed="64"/>
      </patternFill>
    </fill>
    <fill>
      <patternFill patternType="solid">
        <fgColor indexed="47"/>
        <bgColor indexed="64"/>
      </patternFill>
    </fill>
    <fill>
      <patternFill patternType="solid">
        <fgColor theme="0"/>
        <bgColor indexed="64"/>
      </patternFill>
    </fill>
    <fill>
      <patternFill patternType="solid">
        <fgColor rgb="FFFFCC99"/>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
    <xf numFmtId="0" fontId="0" fillId="0" borderId="0"/>
    <xf numFmtId="9" fontId="1" fillId="0" borderId="0" applyFont="0" applyFill="0" applyBorder="0" applyAlignment="0" applyProtection="0"/>
    <xf numFmtId="0" fontId="18" fillId="0" borderId="0"/>
    <xf numFmtId="0" fontId="19" fillId="0" borderId="0"/>
  </cellStyleXfs>
  <cellXfs count="160">
    <xf numFmtId="0" fontId="0" fillId="0" borderId="0" xfId="0"/>
    <xf numFmtId="49" fontId="6" fillId="2" borderId="0" xfId="0" applyNumberFormat="1" applyFont="1" applyFill="1" applyAlignment="1" applyProtection="1">
      <alignment horizontal="left"/>
      <protection locked="0"/>
    </xf>
    <xf numFmtId="4" fontId="6" fillId="2" borderId="0" xfId="0" applyNumberFormat="1" applyFont="1" applyFill="1" applyAlignment="1" applyProtection="1">
      <alignment vertical="center"/>
      <protection locked="0"/>
    </xf>
    <xf numFmtId="14" fontId="6" fillId="2" borderId="0" xfId="0" applyNumberFormat="1" applyFont="1" applyFill="1" applyAlignment="1" applyProtection="1">
      <alignment horizontal="left"/>
      <protection locked="0"/>
    </xf>
    <xf numFmtId="1" fontId="6" fillId="2" borderId="0" xfId="0" applyNumberFormat="1" applyFont="1" applyFill="1" applyAlignment="1" applyProtection="1">
      <alignment horizontal="left"/>
      <protection locked="0"/>
    </xf>
    <xf numFmtId="10" fontId="6" fillId="2" borderId="0" xfId="1" applyNumberFormat="1" applyFont="1" applyFill="1" applyAlignment="1" applyProtection="1">
      <alignment vertical="center"/>
      <protection locked="0"/>
    </xf>
    <xf numFmtId="14" fontId="6" fillId="2" borderId="0" xfId="0" applyNumberFormat="1" applyFont="1" applyFill="1" applyAlignment="1" applyProtection="1">
      <alignment horizontal="center"/>
      <protection locked="0"/>
    </xf>
    <xf numFmtId="49" fontId="13" fillId="2" borderId="0" xfId="0" applyNumberFormat="1" applyFont="1" applyFill="1" applyAlignment="1" applyProtection="1">
      <alignment horizontal="left" vertical="center" indent="2"/>
      <protection locked="0"/>
    </xf>
    <xf numFmtId="49" fontId="6" fillId="2" borderId="0" xfId="0" applyNumberFormat="1" applyFont="1" applyFill="1" applyAlignment="1" applyProtection="1">
      <alignment vertical="center"/>
      <protection locked="0"/>
    </xf>
    <xf numFmtId="49" fontId="6" fillId="2" borderId="0" xfId="0" applyNumberFormat="1" applyFont="1" applyFill="1" applyAlignment="1" applyProtection="1">
      <alignment horizontal="left" vertical="center" indent="2"/>
      <protection locked="0"/>
    </xf>
    <xf numFmtId="3" fontId="6" fillId="2" borderId="0" xfId="0" applyNumberFormat="1" applyFont="1" applyFill="1" applyAlignment="1" applyProtection="1">
      <alignment vertical="center"/>
      <protection locked="0"/>
    </xf>
    <xf numFmtId="1" fontId="6" fillId="2" borderId="0" xfId="0" applyNumberFormat="1" applyFont="1" applyFill="1" applyAlignment="1" applyProtection="1">
      <alignment vertical="center"/>
      <protection locked="0"/>
    </xf>
    <xf numFmtId="9" fontId="6" fillId="2" borderId="0" xfId="1" applyFont="1" applyFill="1" applyAlignment="1" applyProtection="1">
      <alignment vertical="center"/>
      <protection locked="0"/>
    </xf>
    <xf numFmtId="3" fontId="6" fillId="2" borderId="0" xfId="1" applyNumberFormat="1" applyFont="1" applyFill="1" applyAlignment="1" applyProtection="1">
      <alignment vertical="center"/>
      <protection locked="0"/>
    </xf>
    <xf numFmtId="0" fontId="6" fillId="2" borderId="0" xfId="0" applyFont="1" applyFill="1" applyAlignment="1" applyProtection="1">
      <alignment horizontal="left" vertical="center"/>
      <protection locked="0"/>
    </xf>
    <xf numFmtId="14" fontId="6" fillId="2" borderId="0" xfId="0" applyNumberFormat="1" applyFont="1" applyFill="1" applyAlignment="1" applyProtection="1">
      <alignment horizontal="center" vertical="center"/>
      <protection locked="0"/>
    </xf>
    <xf numFmtId="49" fontId="6" fillId="2" borderId="0" xfId="0" applyNumberFormat="1" applyFont="1" applyFill="1" applyAlignment="1" applyProtection="1">
      <alignment horizontal="center" vertical="center" wrapText="1"/>
      <protection locked="0"/>
    </xf>
    <xf numFmtId="14" fontId="6" fillId="2" borderId="0" xfId="0" applyNumberFormat="1" applyFont="1" applyFill="1" applyAlignment="1" applyProtection="1">
      <alignment horizontal="center" vertical="center" wrapText="1"/>
      <protection locked="0"/>
    </xf>
    <xf numFmtId="10" fontId="6" fillId="2" borderId="0" xfId="1" applyNumberFormat="1" applyFont="1" applyFill="1" applyAlignment="1" applyProtection="1">
      <alignment horizontal="center" vertical="center"/>
      <protection locked="0"/>
    </xf>
    <xf numFmtId="9" fontId="6" fillId="2" borderId="0" xfId="1" applyFont="1" applyFill="1" applyAlignment="1" applyProtection="1">
      <alignment horizontal="center" vertical="center"/>
      <protection locked="0"/>
    </xf>
    <xf numFmtId="49" fontId="6" fillId="2" borderId="0" xfId="0" quotePrefix="1" applyNumberFormat="1" applyFont="1" applyFill="1" applyAlignment="1" applyProtection="1">
      <alignment horizontal="left" vertical="center"/>
      <protection locked="0"/>
    </xf>
    <xf numFmtId="49" fontId="6" fillId="2" borderId="0" xfId="0" applyNumberFormat="1" applyFont="1" applyFill="1" applyAlignment="1" applyProtection="1">
      <alignment horizontal="left" vertical="center"/>
      <protection locked="0"/>
    </xf>
    <xf numFmtId="0" fontId="19" fillId="0" borderId="0" xfId="3"/>
    <xf numFmtId="0" fontId="18" fillId="0" borderId="0" xfId="3" applyFont="1"/>
    <xf numFmtId="0" fontId="18" fillId="0" borderId="0" xfId="3" quotePrefix="1" applyFont="1" applyAlignment="1">
      <alignment horizontal="left"/>
    </xf>
    <xf numFmtId="14" fontId="19" fillId="0" borderId="0" xfId="3" applyNumberFormat="1"/>
    <xf numFmtId="1" fontId="19" fillId="0" borderId="0" xfId="3" applyNumberFormat="1"/>
    <xf numFmtId="4" fontId="19" fillId="0" borderId="0" xfId="3" applyNumberFormat="1"/>
    <xf numFmtId="0" fontId="3" fillId="0" borderId="0" xfId="0" quotePrefix="1" applyFont="1" applyAlignment="1">
      <alignment horizontal="left"/>
    </xf>
    <xf numFmtId="0" fontId="4" fillId="0" borderId="0" xfId="0" applyFont="1"/>
    <xf numFmtId="0" fontId="6" fillId="0" borderId="0" xfId="0" applyFont="1"/>
    <xf numFmtId="4" fontId="6" fillId="5" borderId="0" xfId="0" applyNumberFormat="1" applyFont="1" applyFill="1"/>
    <xf numFmtId="4" fontId="6" fillId="3" borderId="0" xfId="0" applyNumberFormat="1" applyFont="1" applyFill="1"/>
    <xf numFmtId="0" fontId="6" fillId="3" borderId="0" xfId="0" applyFont="1" applyFill="1" applyAlignment="1">
      <alignment horizontal="left"/>
    </xf>
    <xf numFmtId="0" fontId="5" fillId="0" borderId="0" xfId="0" applyFont="1"/>
    <xf numFmtId="0" fontId="3" fillId="0" borderId="0" xfId="0" applyFont="1"/>
    <xf numFmtId="0" fontId="4" fillId="0" borderId="0" xfId="0" applyFont="1" applyAlignment="1">
      <alignment vertical="center"/>
    </xf>
    <xf numFmtId="0" fontId="3" fillId="0" borderId="0" xfId="0" quotePrefix="1" applyFont="1" applyAlignment="1">
      <alignment horizontal="left" indent="1"/>
    </xf>
    <xf numFmtId="0" fontId="11" fillId="0" borderId="0" xfId="0" quotePrefix="1" applyFont="1" applyAlignment="1">
      <alignment horizontal="left" vertical="center"/>
    </xf>
    <xf numFmtId="0" fontId="6" fillId="0" borderId="0" xfId="0" applyFont="1" applyAlignment="1">
      <alignment horizontal="left" vertical="center" indent="1"/>
    </xf>
    <xf numFmtId="0" fontId="5" fillId="0" borderId="0" xfId="0" applyFont="1" applyAlignment="1">
      <alignment horizontal="left" vertical="center" indent="1"/>
    </xf>
    <xf numFmtId="0" fontId="6" fillId="0" borderId="0" xfId="0" applyFont="1" applyAlignment="1">
      <alignment horizontal="left" vertical="center" indent="2"/>
    </xf>
    <xf numFmtId="0" fontId="7" fillId="0" borderId="0" xfId="0" quotePrefix="1" applyFont="1" applyAlignment="1">
      <alignment horizontal="left" vertical="center"/>
    </xf>
    <xf numFmtId="0" fontId="6" fillId="0" borderId="0" xfId="0" applyFont="1" applyAlignment="1">
      <alignment horizontal="left" vertical="center" indent="3"/>
    </xf>
    <xf numFmtId="14" fontId="6" fillId="3" borderId="0" xfId="0" applyNumberFormat="1" applyFont="1" applyFill="1" applyAlignment="1">
      <alignment horizontal="left"/>
    </xf>
    <xf numFmtId="0" fontId="6" fillId="3" borderId="0" xfId="0" applyFont="1" applyFill="1"/>
    <xf numFmtId="0" fontId="4" fillId="0" borderId="0" xfId="0" applyFont="1" applyAlignment="1">
      <alignment horizontal="left" vertical="center" indent="3"/>
    </xf>
    <xf numFmtId="0" fontId="4" fillId="0" borderId="0" xfId="0" quotePrefix="1" applyFont="1" applyAlignment="1">
      <alignment horizontal="left" vertical="center" wrapText="1" indent="3"/>
    </xf>
    <xf numFmtId="0" fontId="5" fillId="0" borderId="0" xfId="0" applyFont="1" applyAlignment="1">
      <alignment horizontal="left" vertical="center"/>
    </xf>
    <xf numFmtId="0" fontId="5" fillId="0" borderId="1" xfId="0" applyFont="1" applyBorder="1" applyAlignment="1">
      <alignment horizontal="left" vertical="center" indent="2"/>
    </xf>
    <xf numFmtId="0" fontId="3" fillId="0" borderId="1" xfId="0" applyFont="1" applyBorder="1" applyAlignment="1">
      <alignment horizontal="left"/>
    </xf>
    <xf numFmtId="0" fontId="5" fillId="0" borderId="0" xfId="0" quotePrefix="1" applyFont="1" applyAlignment="1">
      <alignment horizontal="left" vertical="center"/>
    </xf>
    <xf numFmtId="0" fontId="6" fillId="0" borderId="0" xfId="0" applyFont="1" applyAlignment="1">
      <alignment horizontal="left" vertical="center" wrapText="1" indent="1"/>
    </xf>
    <xf numFmtId="0" fontId="5" fillId="0" borderId="0" xfId="0" applyFont="1" applyAlignment="1">
      <alignment horizontal="left" vertical="center" wrapText="1"/>
    </xf>
    <xf numFmtId="49" fontId="5" fillId="0" borderId="0" xfId="0" quotePrefix="1" applyNumberFormat="1" applyFont="1" applyAlignment="1">
      <alignment horizontal="left" vertical="center"/>
    </xf>
    <xf numFmtId="0" fontId="7" fillId="0" borderId="0" xfId="0" quotePrefix="1" applyFont="1" applyAlignment="1">
      <alignment horizontal="left"/>
    </xf>
    <xf numFmtId="0" fontId="4" fillId="0" borderId="0" xfId="0" quotePrefix="1" applyFont="1" applyAlignment="1">
      <alignment horizontal="left"/>
    </xf>
    <xf numFmtId="0" fontId="4" fillId="0" borderId="0" xfId="0" applyFont="1" applyAlignment="1">
      <alignment horizontal="left" indent="4"/>
    </xf>
    <xf numFmtId="0" fontId="0" fillId="0" borderId="0" xfId="0" quotePrefix="1" applyAlignment="1">
      <alignment horizontal="left" wrapText="1" indent="1"/>
    </xf>
    <xf numFmtId="0" fontId="20" fillId="0" borderId="0" xfId="0" applyFont="1" applyAlignment="1">
      <alignment horizontal="left"/>
    </xf>
    <xf numFmtId="0" fontId="20" fillId="0" borderId="0" xfId="0" applyFont="1"/>
    <xf numFmtId="0" fontId="20" fillId="0" borderId="0" xfId="0" quotePrefix="1" applyFont="1" applyAlignment="1">
      <alignment horizontal="left" vertical="center"/>
    </xf>
    <xf numFmtId="0" fontId="10" fillId="0" borderId="0" xfId="0" applyFont="1" applyAlignment="1">
      <alignment vertical="center"/>
    </xf>
    <xf numFmtId="0" fontId="6" fillId="0" borderId="0" xfId="0" applyFont="1" applyAlignment="1">
      <alignment vertical="center"/>
    </xf>
    <xf numFmtId="0" fontId="6" fillId="0" borderId="0" xfId="0" quotePrefix="1" applyFont="1" applyAlignment="1">
      <alignment horizontal="left" vertical="center" wrapText="1" indent="1"/>
    </xf>
    <xf numFmtId="0" fontId="6" fillId="0" borderId="0" xfId="0" quotePrefix="1" applyFont="1" applyAlignment="1">
      <alignment horizontal="left" vertical="center" indent="2"/>
    </xf>
    <xf numFmtId="0" fontId="6" fillId="0" borderId="0" xfId="0" quotePrefix="1" applyFont="1" applyAlignment="1">
      <alignment horizontal="left" vertical="center" wrapText="1" indent="3"/>
    </xf>
    <xf numFmtId="0" fontId="4" fillId="0" borderId="0" xfId="0" quotePrefix="1" applyFont="1" applyAlignment="1">
      <alignment horizontal="left" indent="3"/>
    </xf>
    <xf numFmtId="0" fontId="7" fillId="0" borderId="0" xfId="0" quotePrefix="1" applyFont="1" applyAlignment="1">
      <alignment horizontal="left" vertical="top"/>
    </xf>
    <xf numFmtId="0" fontId="6" fillId="0" borderId="0" xfId="0" applyFont="1" applyAlignment="1">
      <alignment horizontal="left" vertical="top" wrapText="1" indent="1"/>
    </xf>
    <xf numFmtId="0" fontId="4" fillId="0" borderId="0" xfId="0" quotePrefix="1" applyFont="1" applyAlignment="1">
      <alignment horizontal="left" vertical="center" wrapText="1" indent="1"/>
    </xf>
    <xf numFmtId="0" fontId="4" fillId="0" borderId="0" xfId="0" quotePrefix="1" applyFont="1" applyAlignment="1">
      <alignment horizontal="left" vertical="center" wrapText="1" indent="2"/>
    </xf>
    <xf numFmtId="0" fontId="5" fillId="0" borderId="0" xfId="0" applyFont="1" applyAlignment="1">
      <alignment vertical="center"/>
    </xf>
    <xf numFmtId="0" fontId="4" fillId="0" borderId="0" xfId="0" applyFont="1" applyAlignment="1">
      <alignment horizontal="left" vertical="top" wrapText="1" indent="1"/>
    </xf>
    <xf numFmtId="0" fontId="4" fillId="0" borderId="0" xfId="0" applyFont="1" applyAlignment="1">
      <alignment horizontal="left" wrapText="1" indent="1"/>
    </xf>
    <xf numFmtId="0" fontId="15" fillId="0" borderId="0" xfId="0" quotePrefix="1" applyFont="1" applyAlignment="1">
      <alignment horizontal="left" vertical="center"/>
    </xf>
    <xf numFmtId="0" fontId="4" fillId="0" borderId="0" xfId="0" quotePrefix="1" applyFont="1" applyAlignment="1">
      <alignment horizontal="left" indent="2"/>
    </xf>
    <xf numFmtId="0" fontId="4" fillId="0" borderId="0" xfId="0" quotePrefix="1" applyFont="1" applyAlignment="1">
      <alignment horizontal="left" vertical="top" wrapText="1" indent="2"/>
    </xf>
    <xf numFmtId="0" fontId="4" fillId="0" borderId="0" xfId="0" quotePrefix="1" applyFont="1" applyAlignment="1">
      <alignment horizontal="left" wrapText="1" indent="3"/>
    </xf>
    <xf numFmtId="0" fontId="4" fillId="0" borderId="0" xfId="0" quotePrefix="1" applyFont="1" applyAlignment="1">
      <alignment horizontal="left" vertical="top" wrapText="1" indent="3"/>
    </xf>
    <xf numFmtId="0" fontId="4" fillId="0" borderId="0" xfId="0" quotePrefix="1" applyFont="1" applyAlignment="1">
      <alignment horizontal="left" wrapText="1" indent="2"/>
    </xf>
    <xf numFmtId="0" fontId="6" fillId="0" borderId="0" xfId="0" quotePrefix="1" applyFont="1" applyAlignment="1">
      <alignment horizontal="left" vertical="top" wrapText="1" indent="1"/>
    </xf>
    <xf numFmtId="0" fontId="4" fillId="0" borderId="0" xfId="0" quotePrefix="1" applyFont="1" applyAlignment="1">
      <alignment horizontal="left" wrapText="1" indent="1"/>
    </xf>
    <xf numFmtId="0" fontId="3" fillId="0" borderId="1" xfId="0" quotePrefix="1" applyFont="1" applyBorder="1" applyAlignment="1">
      <alignment horizontal="center" vertical="center" wrapText="1"/>
    </xf>
    <xf numFmtId="0" fontId="3" fillId="0" borderId="1" xfId="0" applyFont="1" applyBorder="1" applyAlignment="1">
      <alignment horizontal="center" vertical="center" wrapText="1"/>
    </xf>
    <xf numFmtId="0" fontId="21" fillId="0" borderId="0" xfId="0" applyFont="1" applyAlignment="1">
      <alignment vertical="center"/>
    </xf>
    <xf numFmtId="0" fontId="11" fillId="0" borderId="0" xfId="0" applyFont="1" applyAlignment="1">
      <alignment vertical="center"/>
    </xf>
    <xf numFmtId="0" fontId="5" fillId="0" borderId="1" xfId="0" quotePrefix="1" applyFont="1" applyBorder="1" applyAlignment="1">
      <alignment horizontal="center"/>
    </xf>
    <xf numFmtId="0" fontId="7" fillId="0" borderId="0" xfId="0" applyFont="1" applyAlignment="1">
      <alignment vertical="center"/>
    </xf>
    <xf numFmtId="0" fontId="4" fillId="0" borderId="0" xfId="0" quotePrefix="1" applyFont="1" applyAlignment="1">
      <alignment horizontal="left" wrapText="1"/>
    </xf>
    <xf numFmtId="0" fontId="3" fillId="0" borderId="0" xfId="0" quotePrefix="1" applyFont="1" applyAlignment="1">
      <alignment horizontal="left" vertical="center"/>
    </xf>
    <xf numFmtId="0" fontId="4" fillId="0" borderId="0" xfId="0" applyFont="1" applyAlignment="1">
      <alignment vertical="center" wrapText="1"/>
    </xf>
    <xf numFmtId="0" fontId="3" fillId="0" borderId="0" xfId="0" quotePrefix="1" applyFont="1" applyAlignment="1">
      <alignment horizontal="left" vertical="center" indent="1"/>
    </xf>
    <xf numFmtId="0" fontId="11" fillId="0" borderId="0" xfId="0" quotePrefix="1" applyFont="1" applyAlignment="1">
      <alignment horizontal="left"/>
    </xf>
    <xf numFmtId="0" fontId="4" fillId="0" borderId="0" xfId="0" quotePrefix="1" applyFont="1" applyAlignment="1">
      <alignment horizontal="left" vertical="center" wrapText="1"/>
    </xf>
    <xf numFmtId="0" fontId="3" fillId="4" borderId="5" xfId="0" quotePrefix="1" applyFont="1" applyFill="1" applyBorder="1" applyAlignment="1">
      <alignment horizontal="center" wrapText="1"/>
    </xf>
    <xf numFmtId="0" fontId="3" fillId="4" borderId="5" xfId="0" quotePrefix="1" applyFont="1" applyFill="1" applyBorder="1" applyAlignment="1">
      <alignment horizontal="center" vertical="center" wrapText="1"/>
    </xf>
    <xf numFmtId="0" fontId="12" fillId="4" borderId="6" xfId="0" quotePrefix="1" applyFont="1" applyFill="1" applyBorder="1" applyAlignment="1">
      <alignment horizontal="center" vertical="center" wrapText="1"/>
    </xf>
    <xf numFmtId="0" fontId="5" fillId="0" borderId="1" xfId="0" quotePrefix="1" applyFont="1" applyBorder="1" applyAlignment="1">
      <alignment horizontal="center" vertical="center" wrapText="1"/>
    </xf>
    <xf numFmtId="0" fontId="5" fillId="0" borderId="1" xfId="0" applyFont="1" applyBorder="1" applyAlignment="1">
      <alignment horizontal="center" vertical="center"/>
    </xf>
    <xf numFmtId="0" fontId="3" fillId="0" borderId="1" xfId="0" applyFont="1" applyBorder="1" applyAlignment="1">
      <alignment horizontal="center" vertical="center"/>
    </xf>
    <xf numFmtId="0" fontId="7" fillId="4" borderId="0" xfId="0" quotePrefix="1" applyFont="1" applyFill="1" applyAlignment="1">
      <alignment horizontal="left"/>
    </xf>
    <xf numFmtId="0" fontId="22" fillId="0" borderId="0" xfId="0" quotePrefix="1" applyFont="1" applyAlignment="1">
      <alignment horizontal="left" vertical="center"/>
    </xf>
    <xf numFmtId="0" fontId="20" fillId="0" borderId="0" xfId="0" applyFont="1" applyAlignment="1">
      <alignment vertical="center"/>
    </xf>
    <xf numFmtId="0" fontId="3" fillId="0" borderId="0" xfId="0" applyFont="1" applyAlignment="1">
      <alignment horizontal="center" vertical="center"/>
    </xf>
    <xf numFmtId="0" fontId="4" fillId="4" borderId="0" xfId="0" applyFont="1" applyFill="1" applyAlignment="1">
      <alignment vertical="center"/>
    </xf>
    <xf numFmtId="0" fontId="3" fillId="0" borderId="0" xfId="0" applyFont="1" applyAlignment="1">
      <alignment vertical="center"/>
    </xf>
    <xf numFmtId="3" fontId="6" fillId="5" borderId="0" xfId="0" applyNumberFormat="1" applyFont="1" applyFill="1" applyAlignment="1">
      <alignment vertical="center"/>
    </xf>
    <xf numFmtId="3" fontId="6" fillId="4" borderId="0" xfId="0" applyNumberFormat="1" applyFont="1" applyFill="1" applyAlignment="1">
      <alignment vertical="center"/>
    </xf>
    <xf numFmtId="0" fontId="7" fillId="4" borderId="0" xfId="0" quotePrefix="1" applyFont="1" applyFill="1" applyAlignment="1">
      <alignment horizontal="left" vertical="center"/>
    </xf>
    <xf numFmtId="0" fontId="12" fillId="0" borderId="0" xfId="0" quotePrefix="1" applyFont="1" applyAlignment="1">
      <alignment horizontal="left" vertical="center"/>
    </xf>
    <xf numFmtId="0" fontId="12" fillId="0" borderId="0" xfId="0" applyFont="1" applyAlignment="1">
      <alignment vertical="center"/>
    </xf>
    <xf numFmtId="0" fontId="3" fillId="0" borderId="0" xfId="0" applyFont="1" applyAlignment="1">
      <alignment horizontal="left" vertical="center"/>
    </xf>
    <xf numFmtId="0" fontId="11" fillId="0" borderId="0" xfId="0" quotePrefix="1" applyFont="1" applyAlignment="1">
      <alignment horizontal="center" vertical="center"/>
    </xf>
    <xf numFmtId="0" fontId="7" fillId="0" borderId="0" xfId="0" quotePrefix="1" applyFont="1" applyAlignment="1">
      <alignment horizontal="center" vertical="center"/>
    </xf>
    <xf numFmtId="0" fontId="9" fillId="0" borderId="0" xfId="0" quotePrefix="1" applyFont="1" applyAlignment="1">
      <alignment horizontal="left" vertical="center" wrapText="1"/>
    </xf>
    <xf numFmtId="0" fontId="9" fillId="0" borderId="0" xfId="0" quotePrefix="1" applyFont="1" applyAlignment="1">
      <alignment horizontal="left" vertical="top"/>
    </xf>
    <xf numFmtId="0" fontId="23" fillId="0" borderId="0" xfId="0" applyFont="1" applyAlignment="1">
      <alignment vertical="center"/>
    </xf>
    <xf numFmtId="0" fontId="4" fillId="0" borderId="0" xfId="0" applyFont="1" applyAlignment="1">
      <alignment vertical="top" wrapText="1"/>
    </xf>
    <xf numFmtId="0" fontId="6" fillId="0" borderId="0" xfId="0" applyFont="1" applyAlignment="1">
      <alignment wrapText="1"/>
    </xf>
    <xf numFmtId="0" fontId="3" fillId="0" borderId="0" xfId="0" applyFont="1" applyAlignment="1">
      <alignment horizontal="left" indent="1"/>
    </xf>
    <xf numFmtId="0" fontId="4" fillId="0" borderId="0" xfId="0" applyFont="1" applyAlignment="1">
      <alignment horizontal="left" indent="1"/>
    </xf>
    <xf numFmtId="0" fontId="3" fillId="0" borderId="0" xfId="0" quotePrefix="1" applyFont="1" applyAlignment="1">
      <alignment horizontal="left" vertical="center" wrapText="1"/>
    </xf>
    <xf numFmtId="3" fontId="4" fillId="0" borderId="0" xfId="0" applyNumberFormat="1" applyFont="1" applyAlignment="1">
      <alignment vertical="center"/>
    </xf>
    <xf numFmtId="0" fontId="3" fillId="0" borderId="0" xfId="0" quotePrefix="1" applyFont="1" applyAlignment="1">
      <alignment vertical="center" wrapText="1"/>
    </xf>
    <xf numFmtId="0" fontId="4" fillId="0" borderId="0" xfId="0" quotePrefix="1" applyFont="1" applyAlignment="1">
      <alignment vertical="center" wrapText="1"/>
    </xf>
    <xf numFmtId="0" fontId="4" fillId="0" borderId="0" xfId="0" quotePrefix="1" applyFont="1" applyAlignment="1">
      <alignment horizontal="left" vertical="top" wrapText="1"/>
    </xf>
    <xf numFmtId="0" fontId="4" fillId="0" borderId="0" xfId="0" applyFont="1" applyAlignment="1">
      <alignment wrapText="1"/>
    </xf>
    <xf numFmtId="0" fontId="4" fillId="0" borderId="0" xfId="0" applyFont="1" applyAlignment="1">
      <alignment horizontal="center" vertical="center" wrapText="1"/>
    </xf>
    <xf numFmtId="0" fontId="3" fillId="0" borderId="2" xfId="0" quotePrefix="1" applyFont="1" applyBorder="1" applyAlignment="1">
      <alignment horizontal="center" vertical="center" wrapText="1"/>
    </xf>
    <xf numFmtId="0" fontId="22" fillId="0" borderId="0" xfId="0" applyFont="1" applyAlignment="1">
      <alignment vertical="center"/>
    </xf>
    <xf numFmtId="49" fontId="6" fillId="2" borderId="0" xfId="0" quotePrefix="1" applyNumberFormat="1" applyFont="1" applyFill="1" applyAlignment="1" applyProtection="1">
      <alignment horizontal="center" vertical="center" wrapText="1"/>
      <protection locked="0"/>
    </xf>
    <xf numFmtId="0" fontId="5" fillId="0" borderId="1" xfId="2" applyFont="1" applyBorder="1" applyAlignment="1">
      <alignment horizontal="center" vertical="center"/>
    </xf>
    <xf numFmtId="0" fontId="5" fillId="0" borderId="1" xfId="2" applyFont="1" applyBorder="1" applyAlignment="1">
      <alignment horizontal="center" vertical="center" wrapText="1"/>
    </xf>
    <xf numFmtId="0" fontId="6" fillId="0" borderId="0" xfId="2" applyFont="1" applyAlignment="1">
      <alignment horizontal="center" vertical="center"/>
    </xf>
    <xf numFmtId="0" fontId="6" fillId="0" borderId="1" xfId="2" applyFont="1" applyBorder="1" applyAlignment="1">
      <alignment vertical="center"/>
    </xf>
    <xf numFmtId="0" fontId="6" fillId="0" borderId="1" xfId="2" quotePrefix="1" applyFont="1" applyBorder="1" applyAlignment="1">
      <alignment horizontal="left" vertical="center" wrapText="1"/>
    </xf>
    <xf numFmtId="0" fontId="6" fillId="0" borderId="0" xfId="2" applyFont="1" applyAlignment="1">
      <alignment vertical="center"/>
    </xf>
    <xf numFmtId="0" fontId="6" fillId="0" borderId="0" xfId="2" applyFont="1" applyAlignment="1">
      <alignment vertical="center" wrapText="1"/>
    </xf>
    <xf numFmtId="49" fontId="24" fillId="2" borderId="0" xfId="0" applyNumberFormat="1" applyFont="1" applyFill="1" applyAlignment="1" applyProtection="1">
      <alignment vertical="center" wrapText="1"/>
      <protection locked="0"/>
    </xf>
    <xf numFmtId="49" fontId="25" fillId="2" borderId="0" xfId="0" applyNumberFormat="1" applyFont="1" applyFill="1" applyAlignment="1" applyProtection="1">
      <alignment vertical="center"/>
      <protection locked="0"/>
    </xf>
    <xf numFmtId="0" fontId="4" fillId="0" borderId="0" xfId="0" applyFont="1" applyAlignment="1">
      <alignment horizontal="left" wrapText="1"/>
    </xf>
    <xf numFmtId="1" fontId="6" fillId="2" borderId="0" xfId="0" applyNumberFormat="1" applyFont="1" applyFill="1" applyAlignment="1" applyProtection="1">
      <alignment horizontal="left" vertical="top" wrapText="1"/>
      <protection locked="0"/>
    </xf>
    <xf numFmtId="49" fontId="6" fillId="2" borderId="0" xfId="0" applyNumberFormat="1" applyFont="1" applyFill="1" applyAlignment="1" applyProtection="1">
      <alignment horizontal="left" vertical="center"/>
      <protection locked="0"/>
    </xf>
    <xf numFmtId="0" fontId="4" fillId="0" borderId="0" xfId="0" quotePrefix="1" applyFont="1" applyAlignment="1">
      <alignment horizontal="left" wrapText="1"/>
    </xf>
    <xf numFmtId="0" fontId="3" fillId="0" borderId="1" xfId="0" quotePrefix="1" applyFont="1" applyBorder="1" applyAlignment="1">
      <alignment horizontal="center" vertical="center" wrapText="1"/>
    </xf>
    <xf numFmtId="0" fontId="3" fillId="0" borderId="1" xfId="0" applyFont="1" applyBorder="1" applyAlignment="1">
      <alignment horizontal="center" vertical="center" wrapText="1"/>
    </xf>
    <xf numFmtId="0" fontId="3" fillId="0" borderId="5" xfId="0" quotePrefix="1" applyFont="1" applyBorder="1" applyAlignment="1">
      <alignment horizontal="center" vertical="center"/>
    </xf>
    <xf numFmtId="0" fontId="3" fillId="0" borderId="6" xfId="0" quotePrefix="1" applyFont="1" applyBorder="1" applyAlignment="1">
      <alignment horizontal="center" vertical="center"/>
    </xf>
    <xf numFmtId="0" fontId="4" fillId="0" borderId="0" xfId="0" applyFont="1" applyAlignment="1">
      <alignment horizontal="left" vertical="center" wrapText="1" indent="1"/>
    </xf>
    <xf numFmtId="0" fontId="4" fillId="0" borderId="0" xfId="0" quotePrefix="1" applyFont="1" applyAlignment="1">
      <alignment horizontal="left" vertical="center" wrapText="1" indent="1"/>
    </xf>
    <xf numFmtId="0" fontId="3" fillId="0" borderId="1" xfId="0" quotePrefix="1" applyFont="1" applyBorder="1" applyAlignment="1">
      <alignment horizontal="center" vertical="center"/>
    </xf>
    <xf numFmtId="0" fontId="3" fillId="0" borderId="2" xfId="0" quotePrefix="1" applyFont="1" applyBorder="1" applyAlignment="1">
      <alignment horizontal="center" vertical="center"/>
    </xf>
    <xf numFmtId="0" fontId="3" fillId="0" borderId="3" xfId="0" quotePrefix="1" applyFont="1" applyBorder="1" applyAlignment="1">
      <alignment horizontal="center" vertical="center"/>
    </xf>
    <xf numFmtId="0" fontId="3" fillId="0" borderId="4" xfId="0" quotePrefix="1" applyFont="1" applyBorder="1" applyAlignment="1">
      <alignment horizontal="center" vertical="center"/>
    </xf>
    <xf numFmtId="0" fontId="6" fillId="0" borderId="0" xfId="0" applyFont="1" applyAlignment="1">
      <alignment horizontal="left" vertical="center" wrapText="1" indent="1"/>
    </xf>
    <xf numFmtId="49" fontId="6" fillId="2" borderId="0" xfId="0" quotePrefix="1" applyNumberFormat="1" applyFont="1" applyFill="1" applyAlignment="1" applyProtection="1">
      <alignment horizontal="left" vertical="top" wrapText="1"/>
      <protection locked="0"/>
    </xf>
    <xf numFmtId="49" fontId="6" fillId="2" borderId="0" xfId="0" applyNumberFormat="1" applyFont="1" applyFill="1" applyAlignment="1" applyProtection="1">
      <alignment horizontal="left" vertical="top" wrapText="1"/>
      <protection locked="0"/>
    </xf>
    <xf numFmtId="0" fontId="4" fillId="0" borderId="0" xfId="0" quotePrefix="1" applyFont="1" applyAlignment="1">
      <alignment horizontal="left" vertical="center" wrapText="1"/>
    </xf>
    <xf numFmtId="49" fontId="6" fillId="2" borderId="0" xfId="0" applyNumberFormat="1" applyFont="1" applyFill="1" applyAlignment="1" applyProtection="1">
      <alignment horizontal="center" vertical="top" wrapText="1"/>
      <protection locked="0"/>
    </xf>
  </cellXfs>
  <cellStyles count="4">
    <cellStyle name="Normal" xfId="0" builtinId="0"/>
    <cellStyle name="Normal 2" xfId="2" xr:uid="{81E1BBCE-13CD-4F56-96C7-6866E05DEE29}"/>
    <cellStyle name="Normal 3" xfId="3" xr:uid="{17F86BF9-6934-4048-99C3-4D0C77199C0E}"/>
    <cellStyle name="Percent" xfId="1" builtinId="5"/>
  </cellStyles>
  <dxfs count="0"/>
  <tableStyles count="0" defaultTableStyle="TableStyleMedium2" defaultPivotStyle="PivotStyleLight16"/>
  <colors>
    <mruColors>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40FFA-446E-4FDC-9DBA-2526B6929627}">
  <dimension ref="A1:H43"/>
  <sheetViews>
    <sheetView showGridLines="0" tabSelected="1" zoomScaleNormal="100" workbookViewId="0">
      <selection activeCell="B5" sqref="B5"/>
    </sheetView>
  </sheetViews>
  <sheetFormatPr defaultColWidth="23.08984375" defaultRowHeight="13" x14ac:dyDescent="0.3"/>
  <cols>
    <col min="1" max="1" width="24.453125" style="29" customWidth="1"/>
    <col min="2" max="2" width="21.90625" style="29" customWidth="1"/>
    <col min="3" max="3" width="23.08984375" style="29"/>
    <col min="4" max="4" width="11.6328125" style="29" customWidth="1"/>
    <col min="5" max="5" width="12.6328125" style="29" customWidth="1"/>
    <col min="6" max="6" width="13.08984375" style="29" customWidth="1"/>
    <col min="7" max="7" width="12.453125" style="29" customWidth="1"/>
    <col min="8" max="8" width="14.54296875" style="29" customWidth="1"/>
    <col min="9" max="16384" width="23.08984375" style="29"/>
  </cols>
  <sheetData>
    <row r="1" spans="1:2" x14ac:dyDescent="0.3">
      <c r="A1" s="28" t="s">
        <v>0</v>
      </c>
    </row>
    <row r="3" spans="1:2" x14ac:dyDescent="0.3">
      <c r="A3" s="30" t="s">
        <v>1</v>
      </c>
      <c r="B3" s="3">
        <v>45657</v>
      </c>
    </row>
    <row r="4" spans="1:2" x14ac:dyDescent="0.3">
      <c r="A4" s="30" t="s">
        <v>2</v>
      </c>
      <c r="B4" s="4">
        <v>419501250</v>
      </c>
    </row>
    <row r="5" spans="1:2" x14ac:dyDescent="0.3">
      <c r="A5" s="30" t="s">
        <v>3</v>
      </c>
      <c r="B5" s="1" t="s">
        <v>470</v>
      </c>
    </row>
    <row r="6" spans="1:2" ht="14" customHeight="1" x14ac:dyDescent="0.3">
      <c r="A6" s="30" t="s">
        <v>4</v>
      </c>
      <c r="B6" s="1" t="s">
        <v>471</v>
      </c>
    </row>
    <row r="7" spans="1:2" x14ac:dyDescent="0.3">
      <c r="A7" s="30" t="s">
        <v>5</v>
      </c>
      <c r="B7" s="31" t="s">
        <v>6</v>
      </c>
    </row>
    <row r="8" spans="1:2" x14ac:dyDescent="0.3">
      <c r="A8" s="30" t="s">
        <v>7</v>
      </c>
      <c r="B8" s="32" t="s">
        <v>8</v>
      </c>
    </row>
    <row r="9" spans="1:2" x14ac:dyDescent="0.3">
      <c r="A9" s="30" t="s">
        <v>9</v>
      </c>
      <c r="B9" s="4" t="s">
        <v>472</v>
      </c>
    </row>
    <row r="10" spans="1:2" x14ac:dyDescent="0.3">
      <c r="A10" s="30" t="s">
        <v>10</v>
      </c>
      <c r="B10" s="33">
        <f>IF(B3=0,"",YEAR(B3))</f>
        <v>2024</v>
      </c>
    </row>
    <row r="14" spans="1:2" x14ac:dyDescent="0.3">
      <c r="A14" s="34" t="s">
        <v>11</v>
      </c>
    </row>
    <row r="15" spans="1:2" x14ac:dyDescent="0.3">
      <c r="A15" s="29" t="s">
        <v>12</v>
      </c>
    </row>
    <row r="17" spans="1:8" x14ac:dyDescent="0.3">
      <c r="A17" s="35" t="s">
        <v>13</v>
      </c>
    </row>
    <row r="18" spans="1:8" ht="69" customHeight="1" x14ac:dyDescent="0.3">
      <c r="A18" s="141" t="s">
        <v>14</v>
      </c>
      <c r="B18" s="141"/>
      <c r="C18" s="141"/>
      <c r="D18" s="141"/>
      <c r="E18" s="141"/>
      <c r="F18" s="141"/>
      <c r="G18" s="141"/>
      <c r="H18" s="141"/>
    </row>
    <row r="19" spans="1:8" ht="42" customHeight="1" x14ac:dyDescent="0.3">
      <c r="A19" s="141" t="s">
        <v>15</v>
      </c>
      <c r="B19" s="141"/>
      <c r="C19" s="141"/>
      <c r="D19" s="141"/>
      <c r="E19" s="141"/>
      <c r="F19" s="141"/>
      <c r="G19" s="141"/>
      <c r="H19" s="141"/>
    </row>
    <row r="20" spans="1:8" ht="69" customHeight="1" x14ac:dyDescent="0.3">
      <c r="A20" s="141" t="s">
        <v>16</v>
      </c>
      <c r="B20" s="141"/>
      <c r="C20" s="141"/>
      <c r="D20" s="141"/>
      <c r="E20" s="141"/>
      <c r="F20" s="141"/>
      <c r="G20" s="141"/>
      <c r="H20" s="141"/>
    </row>
    <row r="21" spans="1:8" ht="27" customHeight="1" x14ac:dyDescent="0.3">
      <c r="A21" s="35" t="s">
        <v>17</v>
      </c>
    </row>
    <row r="22" spans="1:8" ht="28.5" customHeight="1" x14ac:dyDescent="0.3">
      <c r="A22" s="141" t="s">
        <v>18</v>
      </c>
      <c r="B22" s="141"/>
      <c r="C22" s="141"/>
      <c r="D22" s="141"/>
      <c r="E22" s="141"/>
      <c r="F22" s="141"/>
      <c r="G22" s="141"/>
      <c r="H22" s="141"/>
    </row>
    <row r="23" spans="1:8" ht="27" customHeight="1" x14ac:dyDescent="0.3">
      <c r="A23" s="35" t="s">
        <v>19</v>
      </c>
    </row>
    <row r="24" spans="1:8" ht="42" customHeight="1" x14ac:dyDescent="0.3">
      <c r="A24" s="141" t="s">
        <v>20</v>
      </c>
      <c r="B24" s="141"/>
      <c r="C24" s="141"/>
      <c r="D24" s="141"/>
      <c r="E24" s="141"/>
      <c r="F24" s="141"/>
      <c r="G24" s="141"/>
      <c r="H24" s="141"/>
    </row>
    <row r="25" spans="1:8" ht="27" customHeight="1" x14ac:dyDescent="0.3">
      <c r="A25" s="35" t="s">
        <v>21</v>
      </c>
    </row>
    <row r="26" spans="1:8" ht="28.5" customHeight="1" x14ac:dyDescent="0.3">
      <c r="A26" s="141" t="s">
        <v>22</v>
      </c>
      <c r="B26" s="141"/>
      <c r="C26" s="141"/>
      <c r="D26" s="141"/>
      <c r="E26" s="141"/>
      <c r="F26" s="141"/>
      <c r="G26" s="141"/>
      <c r="H26" s="141"/>
    </row>
    <row r="27" spans="1:8" ht="29.25" customHeight="1" x14ac:dyDescent="0.3">
      <c r="A27" s="141" t="s">
        <v>23</v>
      </c>
      <c r="B27" s="141"/>
      <c r="C27" s="141"/>
      <c r="D27" s="141"/>
      <c r="E27" s="141"/>
      <c r="F27" s="141"/>
      <c r="G27" s="141"/>
      <c r="H27" s="141"/>
    </row>
    <row r="28" spans="1:8" ht="27" customHeight="1" x14ac:dyDescent="0.3">
      <c r="A28" s="35" t="s">
        <v>24</v>
      </c>
    </row>
    <row r="29" spans="1:8" ht="29.25" customHeight="1" x14ac:dyDescent="0.3">
      <c r="A29" s="141" t="s">
        <v>25</v>
      </c>
      <c r="B29" s="141"/>
      <c r="C29" s="141"/>
      <c r="D29" s="141"/>
      <c r="E29" s="141"/>
      <c r="F29" s="141"/>
      <c r="G29" s="141"/>
      <c r="H29" s="141"/>
    </row>
    <row r="30" spans="1:8" ht="30.75" customHeight="1" x14ac:dyDescent="0.3">
      <c r="A30" s="141" t="s">
        <v>26</v>
      </c>
      <c r="B30" s="141"/>
      <c r="C30" s="141"/>
      <c r="D30" s="141"/>
      <c r="E30" s="141"/>
      <c r="F30" s="141"/>
      <c r="G30" s="141"/>
      <c r="H30" s="141"/>
    </row>
    <row r="31" spans="1:8" ht="41.25" customHeight="1" x14ac:dyDescent="0.3">
      <c r="A31" s="141" t="s">
        <v>27</v>
      </c>
      <c r="B31" s="141"/>
      <c r="C31" s="141"/>
      <c r="D31" s="141"/>
      <c r="E31" s="141"/>
      <c r="F31" s="141"/>
      <c r="G31" s="141"/>
      <c r="H31" s="141"/>
    </row>
    <row r="32" spans="1:8" ht="27" customHeight="1" x14ac:dyDescent="0.3">
      <c r="A32" s="35" t="s">
        <v>28</v>
      </c>
    </row>
    <row r="33" spans="1:8" ht="15" customHeight="1" x14ac:dyDescent="0.3">
      <c r="A33" s="29" t="s">
        <v>29</v>
      </c>
    </row>
    <row r="34" spans="1:8" ht="27" customHeight="1" x14ac:dyDescent="0.3">
      <c r="A34" s="35" t="s">
        <v>30</v>
      </c>
    </row>
    <row r="35" spans="1:8" ht="129.75" customHeight="1" x14ac:dyDescent="0.3">
      <c r="A35" s="141" t="s">
        <v>31</v>
      </c>
      <c r="B35" s="141"/>
      <c r="C35" s="141"/>
      <c r="D35" s="141"/>
      <c r="E35" s="141"/>
      <c r="F35" s="141"/>
      <c r="G35" s="141"/>
      <c r="H35" s="141"/>
    </row>
    <row r="36" spans="1:8" ht="18" customHeight="1" x14ac:dyDescent="0.3">
      <c r="A36" s="29" t="s">
        <v>32</v>
      </c>
    </row>
    <row r="37" spans="1:8" ht="27" customHeight="1" x14ac:dyDescent="0.3">
      <c r="A37" s="35" t="s">
        <v>33</v>
      </c>
    </row>
    <row r="38" spans="1:8" ht="27" customHeight="1" x14ac:dyDescent="0.3">
      <c r="A38" s="141" t="s">
        <v>34</v>
      </c>
      <c r="B38" s="141"/>
      <c r="C38" s="141"/>
      <c r="D38" s="141"/>
      <c r="E38" s="141"/>
      <c r="F38" s="141"/>
      <c r="G38" s="141"/>
      <c r="H38" s="141"/>
    </row>
    <row r="39" spans="1:8" ht="29.25" customHeight="1" x14ac:dyDescent="0.3">
      <c r="A39" s="141" t="s">
        <v>35</v>
      </c>
      <c r="B39" s="141"/>
      <c r="C39" s="141"/>
      <c r="D39" s="141"/>
      <c r="E39" s="141"/>
      <c r="F39" s="141"/>
      <c r="G39" s="141"/>
      <c r="H39" s="141"/>
    </row>
    <row r="40" spans="1:8" ht="27" customHeight="1" x14ac:dyDescent="0.3">
      <c r="A40" s="35" t="s">
        <v>36</v>
      </c>
    </row>
    <row r="41" spans="1:8" ht="29.25" customHeight="1" x14ac:dyDescent="0.3">
      <c r="A41" s="141" t="s">
        <v>37</v>
      </c>
      <c r="B41" s="141"/>
      <c r="C41" s="141"/>
      <c r="D41" s="141"/>
      <c r="E41" s="141"/>
      <c r="F41" s="141"/>
      <c r="G41" s="141"/>
      <c r="H41" s="141"/>
    </row>
    <row r="42" spans="1:8" ht="27" customHeight="1" x14ac:dyDescent="0.3">
      <c r="A42" s="35" t="s">
        <v>38</v>
      </c>
    </row>
    <row r="43" spans="1:8" ht="16.5" customHeight="1" x14ac:dyDescent="0.3">
      <c r="A43" s="29" t="s">
        <v>39</v>
      </c>
    </row>
  </sheetData>
  <sheetProtection algorithmName="SHA-512" hashValue="rQ22ZBV6l7vUihzISZQB0y4yPlX14IYP1W3L908IKpo5sx23VggTjEXNrnBGK74rHjj6sW+Ohm5FnUmouMWM8A==" saltValue="PDP8L4wdoshbLXctsEBtgg==" spinCount="100000" sheet="1" objects="1" scenarios="1"/>
  <mergeCells count="14">
    <mergeCell ref="A38:H38"/>
    <mergeCell ref="A39:H39"/>
    <mergeCell ref="A41:H41"/>
    <mergeCell ref="A26:H26"/>
    <mergeCell ref="A27:H27"/>
    <mergeCell ref="A29:H29"/>
    <mergeCell ref="A30:H30"/>
    <mergeCell ref="A31:H31"/>
    <mergeCell ref="A35:H35"/>
    <mergeCell ref="A18:H18"/>
    <mergeCell ref="A19:H19"/>
    <mergeCell ref="A20:H20"/>
    <mergeCell ref="A22:H22"/>
    <mergeCell ref="A24:H24"/>
  </mergeCells>
  <dataValidations count="5">
    <dataValidation type="textLength" operator="equal" allowBlank="1" showInputMessage="1" showErrorMessage="1" errorTitle="LEI" error="Esta célula deverá conter um código com 20 caracteres." sqref="B9" xr:uid="{435B4A1F-0F7C-4F54-99FD-496F655AF15B}">
      <formula1>20</formula1>
    </dataValidation>
    <dataValidation type="whole" allowBlank="1" showInputMessage="1" showErrorMessage="1" errorTitle="CE" error="Esta célula deverá conter um valor inteiro com, no máximo, 9 dígitos" sqref="B4" xr:uid="{0419BC2E-1F69-4EB5-8A1B-92CC13EC74E0}">
      <formula1>1000</formula1>
      <formula2>999999999</formula2>
    </dataValidation>
    <dataValidation type="textLength" operator="equal" allowBlank="1" showInputMessage="1" showErrorMessage="1" errorTitle="Actividade" error="Código ISO 3166 incorrecto." sqref="B7" xr:uid="{BFCE80F0-64BF-4526-AEC0-489CE0CE2E13}">
      <formula1>3</formula1>
    </dataValidation>
    <dataValidation type="date" allowBlank="1" showInputMessage="1" showErrorMessage="1" errorTitle="Data" error="Esta célula deverá conter uma data no formato DD-MM-AAAA" sqref="B3" xr:uid="{515E74D3-929A-4DF2-A43E-A32F3BCC7381}">
      <formula1>32874</formula1>
      <formula2>401768</formula2>
    </dataValidation>
    <dataValidation allowBlank="1" showInputMessage="1" showErrorMessage="1" error="Tipo de período de reporte incorrecto" sqref="B8" xr:uid="{E57DB618-3105-4212-B550-8B50F308CAA7}"/>
  </dataValidations>
  <pageMargins left="0.70866141732283472" right="0.70866141732283472" top="0.74803149606299213" bottom="0.74803149606299213" header="0.31496062992125984" footer="0.31496062992125984"/>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D69C5-7B42-47EE-AD8A-FF52BD74E4DB}">
  <sheetPr>
    <pageSetUpPr fitToPage="1"/>
  </sheetPr>
  <dimension ref="A1:G114"/>
  <sheetViews>
    <sheetView showGridLines="0" zoomScale="115" zoomScaleNormal="115" workbookViewId="0">
      <selection activeCell="B19" sqref="B19"/>
    </sheetView>
  </sheetViews>
  <sheetFormatPr defaultColWidth="8.90625" defaultRowHeight="13" x14ac:dyDescent="0.3"/>
  <cols>
    <col min="1" max="1" width="13.6328125" style="36" customWidth="1"/>
    <col min="2" max="2" width="70.36328125" style="29" customWidth="1"/>
    <col min="3" max="3" width="30.6328125" style="29" customWidth="1"/>
    <col min="4" max="4" width="10.36328125" style="29" customWidth="1"/>
    <col min="5" max="16384" width="8.90625" style="29"/>
  </cols>
  <sheetData>
    <row r="1" spans="1:5" x14ac:dyDescent="0.3">
      <c r="B1" s="28" t="s">
        <v>0</v>
      </c>
    </row>
    <row r="2" spans="1:5" x14ac:dyDescent="0.3">
      <c r="B2" s="37" t="s">
        <v>40</v>
      </c>
    </row>
    <row r="4" spans="1:5" customFormat="1" ht="14.5" x14ac:dyDescent="0.35">
      <c r="A4" s="38" t="s">
        <v>41</v>
      </c>
      <c r="B4" s="39"/>
      <c r="C4" s="36"/>
      <c r="D4" s="29"/>
      <c r="E4" s="29"/>
    </row>
    <row r="5" spans="1:5" customFormat="1" ht="15" customHeight="1" x14ac:dyDescent="0.35">
      <c r="A5" s="38"/>
      <c r="B5" s="40" t="s">
        <v>42</v>
      </c>
      <c r="C5" s="36"/>
      <c r="D5" s="29"/>
      <c r="E5" s="29"/>
    </row>
    <row r="6" spans="1:5" customFormat="1" ht="14.5" x14ac:dyDescent="0.35">
      <c r="A6" s="38"/>
      <c r="B6" s="41" t="s">
        <v>441</v>
      </c>
      <c r="C6" s="36"/>
      <c r="D6" s="29"/>
      <c r="E6" s="29"/>
    </row>
    <row r="7" spans="1:5" customFormat="1" ht="14.5" x14ac:dyDescent="0.35">
      <c r="A7" s="42" t="s">
        <v>442</v>
      </c>
      <c r="B7" s="43" t="s">
        <v>443</v>
      </c>
      <c r="C7" s="33" t="str">
        <f>+IF(Cabeçalho!B3=0,"","01/01/"&amp;YEAR((Cabeçalho!B3)))</f>
        <v>01/01/2024</v>
      </c>
      <c r="D7" s="29"/>
      <c r="E7" s="29"/>
    </row>
    <row r="8" spans="1:5" customFormat="1" ht="14.5" x14ac:dyDescent="0.35">
      <c r="A8" s="42" t="s">
        <v>444</v>
      </c>
      <c r="B8" s="43" t="s">
        <v>445</v>
      </c>
      <c r="C8" s="44">
        <f>IF(Cabeçalho!B3=0,"",Cabeçalho!B3)</f>
        <v>45657</v>
      </c>
      <c r="D8" s="29"/>
      <c r="E8" s="29"/>
    </row>
    <row r="9" spans="1:5" customFormat="1" ht="14.5" x14ac:dyDescent="0.35">
      <c r="A9" s="42" t="s">
        <v>43</v>
      </c>
      <c r="B9" s="41" t="s">
        <v>44</v>
      </c>
      <c r="C9" s="8" t="s">
        <v>473</v>
      </c>
      <c r="D9" s="29"/>
      <c r="E9" s="29"/>
    </row>
    <row r="10" spans="1:5" customFormat="1" ht="14.5" x14ac:dyDescent="0.35">
      <c r="A10" s="42" t="s">
        <v>45</v>
      </c>
      <c r="B10" s="41" t="s">
        <v>46</v>
      </c>
      <c r="C10" s="10">
        <v>500844321</v>
      </c>
      <c r="D10" s="29"/>
      <c r="E10" s="29"/>
    </row>
    <row r="11" spans="1:5" customFormat="1" ht="14.5" x14ac:dyDescent="0.35">
      <c r="A11" s="42" t="s">
        <v>47</v>
      </c>
      <c r="B11" s="41" t="s">
        <v>48</v>
      </c>
      <c r="C11" s="45" t="str">
        <f>IF(Cabeçalho!B9=0,"",Cabeçalho!B9)</f>
        <v>549300URJH9VSI58CS32</v>
      </c>
      <c r="D11" s="29"/>
      <c r="E11" s="29"/>
    </row>
    <row r="12" spans="1:5" customFormat="1" ht="14.5" x14ac:dyDescent="0.35">
      <c r="A12" s="42" t="s">
        <v>49</v>
      </c>
      <c r="B12" s="41" t="s">
        <v>50</v>
      </c>
      <c r="C12" s="33">
        <f>IF(Cabeçalho!B4=0,"",Cabeçalho!B4)</f>
        <v>419501250</v>
      </c>
      <c r="D12" s="29"/>
      <c r="E12" s="29"/>
    </row>
    <row r="13" spans="1:5" customFormat="1" ht="14.5" x14ac:dyDescent="0.35">
      <c r="A13" s="42" t="s">
        <v>51</v>
      </c>
      <c r="B13" s="41" t="s">
        <v>52</v>
      </c>
      <c r="C13" s="36"/>
      <c r="D13" s="29"/>
      <c r="E13" s="29"/>
    </row>
    <row r="14" spans="1:5" customFormat="1" ht="14.5" x14ac:dyDescent="0.35">
      <c r="A14" s="42" t="s">
        <v>53</v>
      </c>
      <c r="B14" s="46" t="s">
        <v>54</v>
      </c>
      <c r="C14" s="8" t="s">
        <v>474</v>
      </c>
      <c r="D14" s="29"/>
      <c r="E14" s="29"/>
    </row>
    <row r="15" spans="1:5" customFormat="1" ht="42" customHeight="1" x14ac:dyDescent="0.35">
      <c r="A15" s="42" t="s">
        <v>55</v>
      </c>
      <c r="B15" s="47" t="s">
        <v>56</v>
      </c>
      <c r="C15" s="8"/>
      <c r="D15" s="29"/>
      <c r="E15" s="29"/>
    </row>
    <row r="16" spans="1:5" customFormat="1" ht="14.5" x14ac:dyDescent="0.35">
      <c r="A16" s="42" t="s">
        <v>57</v>
      </c>
      <c r="B16" s="41" t="s">
        <v>58</v>
      </c>
      <c r="C16" s="36"/>
      <c r="D16" s="29"/>
      <c r="E16" s="29"/>
    </row>
    <row r="17" spans="1:5" customFormat="1" ht="14.5" x14ac:dyDescent="0.35">
      <c r="A17" s="42"/>
      <c r="B17" s="46" t="s">
        <v>59</v>
      </c>
      <c r="C17" s="8" t="s">
        <v>475</v>
      </c>
      <c r="D17" s="29"/>
      <c r="E17" s="29"/>
    </row>
    <row r="18" spans="1:5" customFormat="1" ht="14.5" x14ac:dyDescent="0.35">
      <c r="A18" s="42"/>
      <c r="B18" s="46" t="s">
        <v>59</v>
      </c>
      <c r="C18" s="8"/>
      <c r="D18" s="29"/>
      <c r="E18" s="29"/>
    </row>
    <row r="19" spans="1:5" customFormat="1" ht="14.5" x14ac:dyDescent="0.35">
      <c r="A19" s="42"/>
      <c r="B19" s="46" t="s">
        <v>59</v>
      </c>
      <c r="C19" s="8"/>
      <c r="D19" s="29"/>
      <c r="E19" s="29"/>
    </row>
    <row r="20" spans="1:5" customFormat="1" ht="14.5" x14ac:dyDescent="0.35">
      <c r="A20" s="42"/>
      <c r="B20" s="46" t="s">
        <v>59</v>
      </c>
      <c r="C20" s="8"/>
      <c r="D20" s="29"/>
      <c r="E20" s="29"/>
    </row>
    <row r="21" spans="1:5" customFormat="1" ht="14.5" x14ac:dyDescent="0.35">
      <c r="A21" s="42"/>
      <c r="B21" s="41" t="s">
        <v>60</v>
      </c>
      <c r="C21" s="8" t="s">
        <v>476</v>
      </c>
      <c r="D21" s="29"/>
      <c r="E21" s="29"/>
    </row>
    <row r="22" spans="1:5" customFormat="1" ht="14.5" x14ac:dyDescent="0.35">
      <c r="A22" s="42"/>
      <c r="B22" s="41"/>
      <c r="C22" s="29"/>
      <c r="D22" s="29"/>
      <c r="E22" s="29"/>
    </row>
    <row r="23" spans="1:5" customFormat="1" ht="14.5" x14ac:dyDescent="0.35">
      <c r="A23" s="38"/>
      <c r="B23" s="39"/>
      <c r="C23" s="36"/>
      <c r="D23" s="29"/>
      <c r="E23" s="29"/>
    </row>
    <row r="24" spans="1:5" customFormat="1" ht="14.5" x14ac:dyDescent="0.35">
      <c r="A24" s="38"/>
      <c r="B24" s="48" t="s">
        <v>61</v>
      </c>
      <c r="C24" s="36"/>
      <c r="D24" s="29"/>
      <c r="E24" s="29"/>
    </row>
    <row r="25" spans="1:5" customFormat="1" ht="14.5" x14ac:dyDescent="0.35">
      <c r="A25" s="42" t="s">
        <v>62</v>
      </c>
      <c r="B25" s="39" t="s">
        <v>63</v>
      </c>
      <c r="C25" s="29"/>
      <c r="D25" s="29"/>
      <c r="E25" s="29"/>
    </row>
    <row r="26" spans="1:5" customFormat="1" ht="14.5" x14ac:dyDescent="0.35">
      <c r="A26" s="42"/>
      <c r="B26" s="49" t="s">
        <v>59</v>
      </c>
      <c r="C26" s="50" t="s">
        <v>64</v>
      </c>
      <c r="D26" s="29"/>
      <c r="E26" s="29"/>
    </row>
    <row r="27" spans="1:5" customFormat="1" ht="14.5" x14ac:dyDescent="0.35">
      <c r="A27" s="42"/>
      <c r="B27" s="8" t="s">
        <v>477</v>
      </c>
      <c r="C27" s="8" t="s">
        <v>478</v>
      </c>
      <c r="D27" s="29"/>
      <c r="E27" s="29"/>
    </row>
    <row r="28" spans="1:5" customFormat="1" ht="14.5" x14ac:dyDescent="0.35">
      <c r="A28" s="42"/>
      <c r="B28" s="8" t="s">
        <v>479</v>
      </c>
      <c r="C28" s="8" t="s">
        <v>480</v>
      </c>
      <c r="D28" s="29"/>
      <c r="E28" s="29"/>
    </row>
    <row r="29" spans="1:5" customFormat="1" ht="14.5" x14ac:dyDescent="0.35">
      <c r="A29" s="42"/>
      <c r="B29" s="8" t="s">
        <v>482</v>
      </c>
      <c r="C29" s="8" t="s">
        <v>481</v>
      </c>
      <c r="D29" s="29"/>
      <c r="E29" s="29"/>
    </row>
    <row r="30" spans="1:5" customFormat="1" ht="14.5" x14ac:dyDescent="0.35">
      <c r="A30" s="42"/>
      <c r="B30" s="8" t="s">
        <v>483</v>
      </c>
      <c r="C30" s="8" t="s">
        <v>484</v>
      </c>
      <c r="D30" s="29"/>
      <c r="E30" s="29"/>
    </row>
    <row r="31" spans="1:5" customFormat="1" ht="14.5" x14ac:dyDescent="0.35">
      <c r="A31" s="42"/>
      <c r="B31" s="8" t="s">
        <v>485</v>
      </c>
      <c r="C31" s="8" t="s">
        <v>486</v>
      </c>
      <c r="D31" s="29"/>
      <c r="E31" s="29"/>
    </row>
    <row r="32" spans="1:5" customFormat="1" ht="14.5" x14ac:dyDescent="0.35">
      <c r="A32" s="42"/>
      <c r="B32" s="8" t="s">
        <v>487</v>
      </c>
      <c r="C32" s="8" t="s">
        <v>488</v>
      </c>
      <c r="D32" s="29"/>
      <c r="E32" s="29"/>
    </row>
    <row r="33" spans="1:7" customFormat="1" ht="14.5" x14ac:dyDescent="0.35">
      <c r="A33" s="42"/>
      <c r="B33" s="8"/>
      <c r="C33" s="8"/>
      <c r="D33" s="29"/>
      <c r="E33" s="29"/>
    </row>
    <row r="34" spans="1:7" customFormat="1" ht="14.5" x14ac:dyDescent="0.35">
      <c r="A34" s="42"/>
      <c r="B34" s="8"/>
      <c r="C34" s="8"/>
      <c r="D34" s="29"/>
      <c r="E34" s="29"/>
    </row>
    <row r="35" spans="1:7" customFormat="1" ht="14.5" x14ac:dyDescent="0.35">
      <c r="A35" s="42"/>
      <c r="B35" s="8"/>
      <c r="C35" s="8"/>
      <c r="D35" s="29"/>
      <c r="E35" s="29"/>
    </row>
    <row r="36" spans="1:7" customFormat="1" ht="14.5" x14ac:dyDescent="0.35">
      <c r="A36" s="42"/>
      <c r="B36" s="8"/>
      <c r="C36" s="8"/>
      <c r="D36" s="29"/>
      <c r="E36" s="29"/>
    </row>
    <row r="37" spans="1:7" customFormat="1" ht="14.5" x14ac:dyDescent="0.35">
      <c r="A37" s="42"/>
      <c r="B37" s="8"/>
      <c r="C37" s="8"/>
      <c r="D37" s="29"/>
      <c r="E37" s="29"/>
    </row>
    <row r="38" spans="1:7" customFormat="1" ht="14.5" x14ac:dyDescent="0.35">
      <c r="A38" s="42"/>
      <c r="B38" s="8"/>
      <c r="C38" s="8"/>
      <c r="D38" s="29"/>
      <c r="E38" s="29"/>
    </row>
    <row r="39" spans="1:7" customFormat="1" ht="14.5" x14ac:dyDescent="0.35">
      <c r="A39" s="42"/>
      <c r="B39" s="8"/>
      <c r="C39" s="8"/>
      <c r="D39" s="29"/>
      <c r="E39" s="29"/>
    </row>
    <row r="40" spans="1:7" customFormat="1" ht="14.5" x14ac:dyDescent="0.35">
      <c r="A40" s="42"/>
      <c r="B40" s="8"/>
      <c r="C40" s="8"/>
      <c r="D40" s="29"/>
      <c r="E40" s="29"/>
    </row>
    <row r="41" spans="1:7" customFormat="1" ht="14.5" x14ac:dyDescent="0.35">
      <c r="A41" s="42"/>
      <c r="B41" s="8"/>
      <c r="C41" s="8"/>
      <c r="D41" s="29"/>
      <c r="E41" s="29"/>
    </row>
    <row r="42" spans="1:7" customFormat="1" ht="14.5" x14ac:dyDescent="0.35">
      <c r="A42" s="36"/>
      <c r="B42" s="29"/>
      <c r="C42" s="29"/>
      <c r="D42" s="29"/>
      <c r="E42" s="29"/>
      <c r="G42" s="29"/>
    </row>
    <row r="43" spans="1:7" customFormat="1" ht="14.5" x14ac:dyDescent="0.35">
      <c r="A43" s="42" t="s">
        <v>65</v>
      </c>
      <c r="B43" s="39" t="s">
        <v>66</v>
      </c>
      <c r="C43" s="29"/>
      <c r="D43" s="29"/>
      <c r="E43" s="29"/>
      <c r="G43" s="60" t="s">
        <v>67</v>
      </c>
    </row>
    <row r="44" spans="1:7" customFormat="1" ht="14.5" x14ac:dyDescent="0.35">
      <c r="A44" s="42"/>
      <c r="B44" s="49" t="s">
        <v>59</v>
      </c>
      <c r="C44" s="50" t="s">
        <v>68</v>
      </c>
      <c r="D44" s="29"/>
      <c r="E44" s="29"/>
      <c r="G44" s="60" t="s">
        <v>69</v>
      </c>
    </row>
    <row r="45" spans="1:7" customFormat="1" ht="14.5" x14ac:dyDescent="0.35">
      <c r="A45" s="42"/>
      <c r="B45" s="8" t="s">
        <v>489</v>
      </c>
      <c r="C45" s="8"/>
      <c r="D45" s="29"/>
      <c r="E45" s="29"/>
      <c r="G45" s="60" t="s">
        <v>70</v>
      </c>
    </row>
    <row r="46" spans="1:7" customFormat="1" ht="14.5" x14ac:dyDescent="0.35">
      <c r="A46" s="42"/>
      <c r="B46" s="8"/>
      <c r="C46" s="8"/>
      <c r="D46" s="29"/>
      <c r="E46" s="29"/>
    </row>
    <row r="47" spans="1:7" customFormat="1" ht="14.5" x14ac:dyDescent="0.35">
      <c r="A47" s="42"/>
      <c r="B47" s="8"/>
      <c r="C47" s="8"/>
      <c r="D47" s="29"/>
      <c r="E47" s="29"/>
    </row>
    <row r="48" spans="1:7" customFormat="1" ht="14.5" x14ac:dyDescent="0.35">
      <c r="A48" s="42"/>
      <c r="B48" s="8"/>
      <c r="C48" s="8"/>
      <c r="D48" s="29"/>
      <c r="E48" s="29"/>
    </row>
    <row r="49" spans="1:5" customFormat="1" ht="14.5" x14ac:dyDescent="0.35">
      <c r="A49" s="42"/>
      <c r="B49" s="8"/>
      <c r="C49" s="8"/>
      <c r="D49" s="29"/>
      <c r="E49" s="29"/>
    </row>
    <row r="50" spans="1:5" customFormat="1" ht="14.5" x14ac:dyDescent="0.35">
      <c r="A50" s="42"/>
      <c r="B50" s="29"/>
      <c r="C50" s="29"/>
      <c r="D50" s="29"/>
      <c r="E50" s="29"/>
    </row>
    <row r="51" spans="1:5" customFormat="1" ht="14.5" x14ac:dyDescent="0.35">
      <c r="A51" s="42" t="s">
        <v>71</v>
      </c>
      <c r="B51" s="39" t="s">
        <v>72</v>
      </c>
      <c r="C51" s="11">
        <v>4610</v>
      </c>
      <c r="D51" s="29"/>
      <c r="E51" s="29"/>
    </row>
    <row r="52" spans="1:5" customFormat="1" ht="14.5" x14ac:dyDescent="0.35">
      <c r="A52" s="42"/>
      <c r="B52" s="39"/>
      <c r="C52" s="29"/>
      <c r="D52" s="29"/>
      <c r="E52" s="29"/>
    </row>
    <row r="53" spans="1:5" customFormat="1" ht="14.5" x14ac:dyDescent="0.35">
      <c r="A53" s="36"/>
      <c r="B53" s="51" t="s">
        <v>73</v>
      </c>
      <c r="C53" s="36"/>
      <c r="D53" s="29"/>
      <c r="E53" s="29"/>
    </row>
    <row r="54" spans="1:5" customFormat="1" ht="14.5" x14ac:dyDescent="0.35">
      <c r="A54" s="42" t="s">
        <v>74</v>
      </c>
      <c r="B54" s="52" t="s">
        <v>75</v>
      </c>
      <c r="C54" s="2">
        <v>57068000000</v>
      </c>
      <c r="D54" s="29"/>
      <c r="E54" s="29"/>
    </row>
    <row r="55" spans="1:5" customFormat="1" ht="14.5" x14ac:dyDescent="0.35">
      <c r="A55" s="42" t="s">
        <v>76</v>
      </c>
      <c r="B55" s="52" t="s">
        <v>77</v>
      </c>
      <c r="C55" s="2">
        <v>86670000</v>
      </c>
      <c r="D55" s="29"/>
      <c r="E55" s="29"/>
    </row>
    <row r="56" spans="1:5" customFormat="1" ht="14.5" x14ac:dyDescent="0.35">
      <c r="A56" s="42" t="s">
        <v>78</v>
      </c>
      <c r="B56" s="52" t="s">
        <v>79</v>
      </c>
      <c r="C56" s="29"/>
      <c r="D56" s="29"/>
      <c r="E56" s="29"/>
    </row>
    <row r="57" spans="1:5" customFormat="1" ht="14.5" x14ac:dyDescent="0.35">
      <c r="A57" s="42"/>
      <c r="B57" s="46" t="s">
        <v>80</v>
      </c>
      <c r="C57" s="21" t="s">
        <v>490</v>
      </c>
      <c r="D57" s="29"/>
      <c r="E57" s="29"/>
    </row>
    <row r="58" spans="1:5" customFormat="1" ht="14.5" x14ac:dyDescent="0.35">
      <c r="A58" s="42"/>
      <c r="B58" s="46" t="s">
        <v>81</v>
      </c>
      <c r="C58" s="21" t="s">
        <v>491</v>
      </c>
      <c r="D58" s="29"/>
      <c r="E58" s="29"/>
    </row>
    <row r="59" spans="1:5" customFormat="1" ht="14.5" x14ac:dyDescent="0.35">
      <c r="A59" s="42"/>
      <c r="B59" s="46" t="s">
        <v>82</v>
      </c>
      <c r="C59" s="21" t="s">
        <v>490</v>
      </c>
      <c r="D59" s="29"/>
      <c r="E59" s="29"/>
    </row>
    <row r="60" spans="1:5" customFormat="1" ht="14.5" x14ac:dyDescent="0.35">
      <c r="A60" s="42"/>
      <c r="B60" s="46" t="s">
        <v>83</v>
      </c>
      <c r="C60" s="21" t="s">
        <v>490</v>
      </c>
      <c r="D60" s="29"/>
      <c r="E60" s="29"/>
    </row>
    <row r="61" spans="1:5" customFormat="1" ht="14.5" x14ac:dyDescent="0.35">
      <c r="A61" s="42"/>
      <c r="B61" s="46" t="s">
        <v>84</v>
      </c>
      <c r="C61" s="21" t="s">
        <v>490</v>
      </c>
      <c r="D61" s="29"/>
      <c r="E61" s="29"/>
    </row>
    <row r="62" spans="1:5" customFormat="1" ht="26" x14ac:dyDescent="0.35">
      <c r="A62" s="42" t="s">
        <v>85</v>
      </c>
      <c r="B62" s="52" t="s">
        <v>86</v>
      </c>
      <c r="C62" s="2">
        <v>0</v>
      </c>
      <c r="D62" s="29"/>
      <c r="E62" s="29"/>
    </row>
    <row r="63" spans="1:5" customFormat="1" ht="26" x14ac:dyDescent="0.35">
      <c r="A63" s="42" t="s">
        <v>85</v>
      </c>
      <c r="B63" s="52" t="s">
        <v>87</v>
      </c>
      <c r="C63" s="2">
        <v>0</v>
      </c>
      <c r="D63" s="29"/>
      <c r="E63" s="29"/>
    </row>
    <row r="64" spans="1:5" x14ac:dyDescent="0.3">
      <c r="A64" s="42"/>
      <c r="B64" s="41"/>
      <c r="C64" s="36"/>
    </row>
    <row r="65" spans="1:6" customFormat="1" ht="14.5" x14ac:dyDescent="0.35">
      <c r="A65" s="42"/>
      <c r="B65" s="51" t="s">
        <v>88</v>
      </c>
      <c r="C65" s="36"/>
      <c r="D65" s="29"/>
      <c r="E65" s="29"/>
    </row>
    <row r="66" spans="1:6" customFormat="1" ht="14.5" x14ac:dyDescent="0.35">
      <c r="A66" s="42" t="s">
        <v>89</v>
      </c>
      <c r="B66" s="53" t="s">
        <v>90</v>
      </c>
      <c r="C66" s="54" t="s">
        <v>91</v>
      </c>
      <c r="D66" s="29"/>
      <c r="E66" s="29"/>
    </row>
    <row r="67" spans="1:6" x14ac:dyDescent="0.3">
      <c r="A67" s="42"/>
      <c r="B67" s="9"/>
      <c r="C67" s="21" t="s">
        <v>489</v>
      </c>
    </row>
    <row r="68" spans="1:6" x14ac:dyDescent="0.3">
      <c r="A68" s="42"/>
      <c r="B68" s="9"/>
      <c r="C68" s="21"/>
    </row>
    <row r="69" spans="1:6" x14ac:dyDescent="0.3">
      <c r="A69" s="42"/>
      <c r="B69" s="9"/>
      <c r="C69" s="21"/>
    </row>
    <row r="70" spans="1:6" x14ac:dyDescent="0.3">
      <c r="A70" s="42"/>
      <c r="B70" s="9"/>
      <c r="C70" s="21"/>
    </row>
    <row r="71" spans="1:6" customFormat="1" ht="14.5" x14ac:dyDescent="0.35">
      <c r="A71" s="42"/>
      <c r="B71" s="9"/>
      <c r="C71" s="21"/>
      <c r="D71" s="29"/>
      <c r="E71" s="29"/>
    </row>
    <row r="72" spans="1:6" x14ac:dyDescent="0.3">
      <c r="A72" s="42"/>
      <c r="B72" s="9"/>
      <c r="C72" s="21"/>
    </row>
    <row r="73" spans="1:6" x14ac:dyDescent="0.3">
      <c r="A73" s="42"/>
      <c r="B73" s="9"/>
      <c r="C73" s="21"/>
    </row>
    <row r="74" spans="1:6" x14ac:dyDescent="0.3">
      <c r="A74" s="42"/>
      <c r="B74" s="9"/>
      <c r="C74" s="21"/>
    </row>
    <row r="75" spans="1:6" x14ac:dyDescent="0.3">
      <c r="A75" s="42"/>
      <c r="B75" s="9"/>
      <c r="C75" s="21"/>
    </row>
    <row r="76" spans="1:6" customFormat="1" ht="14.5" x14ac:dyDescent="0.35">
      <c r="A76" s="42"/>
      <c r="B76" s="9"/>
      <c r="C76" s="21"/>
      <c r="D76" s="29"/>
      <c r="E76" s="29"/>
    </row>
    <row r="77" spans="1:6" x14ac:dyDescent="0.3">
      <c r="B77" s="9"/>
      <c r="C77" s="21"/>
      <c r="F77" s="55"/>
    </row>
    <row r="78" spans="1:6" x14ac:dyDescent="0.3">
      <c r="B78" s="9"/>
      <c r="C78" s="21"/>
    </row>
    <row r="79" spans="1:6" x14ac:dyDescent="0.3">
      <c r="B79" s="9"/>
      <c r="C79" s="21"/>
    </row>
    <row r="80" spans="1:6" x14ac:dyDescent="0.3">
      <c r="B80" s="9"/>
      <c r="C80" s="21"/>
    </row>
    <row r="81" spans="2:7" x14ac:dyDescent="0.3">
      <c r="B81" s="7"/>
      <c r="C81" s="21"/>
      <c r="F81" s="55"/>
    </row>
    <row r="82" spans="2:7" x14ac:dyDescent="0.3">
      <c r="B82" s="7"/>
      <c r="C82" s="21"/>
    </row>
    <row r="83" spans="2:7" x14ac:dyDescent="0.3">
      <c r="B83" s="7"/>
      <c r="C83" s="21"/>
      <c r="F83" s="55"/>
    </row>
    <row r="84" spans="2:7" x14ac:dyDescent="0.3">
      <c r="B84" s="7"/>
      <c r="C84" s="21"/>
      <c r="F84" s="55"/>
    </row>
    <row r="85" spans="2:7" x14ac:dyDescent="0.3">
      <c r="B85" s="7"/>
      <c r="C85" s="21"/>
      <c r="F85" s="55"/>
    </row>
    <row r="86" spans="2:7" x14ac:dyDescent="0.3">
      <c r="B86" s="7"/>
      <c r="C86" s="21"/>
      <c r="F86" s="55"/>
    </row>
    <row r="87" spans="2:7" x14ac:dyDescent="0.3">
      <c r="B87" s="7"/>
      <c r="C87" s="21"/>
      <c r="F87" s="55"/>
    </row>
    <row r="88" spans="2:7" x14ac:dyDescent="0.3">
      <c r="B88" s="7"/>
      <c r="C88" s="21"/>
      <c r="F88" s="55"/>
    </row>
    <row r="89" spans="2:7" x14ac:dyDescent="0.3">
      <c r="B89" s="7"/>
      <c r="C89" s="21"/>
      <c r="F89" s="55"/>
    </row>
    <row r="90" spans="2:7" x14ac:dyDescent="0.3">
      <c r="B90" s="7"/>
      <c r="C90" s="21"/>
      <c r="F90" s="55"/>
    </row>
    <row r="91" spans="2:7" x14ac:dyDescent="0.3">
      <c r="B91" s="7"/>
      <c r="C91" s="21"/>
      <c r="F91" s="55"/>
    </row>
    <row r="92" spans="2:7" x14ac:dyDescent="0.3">
      <c r="B92" s="7"/>
      <c r="C92" s="21"/>
      <c r="F92" s="55"/>
    </row>
    <row r="93" spans="2:7" x14ac:dyDescent="0.3">
      <c r="B93" s="7"/>
      <c r="C93" s="21"/>
      <c r="F93" s="55"/>
    </row>
    <row r="94" spans="2:7" x14ac:dyDescent="0.3">
      <c r="B94" s="7"/>
      <c r="C94" s="21"/>
      <c r="F94" s="55"/>
      <c r="G94" s="56"/>
    </row>
    <row r="95" spans="2:7" ht="15" customHeight="1" x14ac:dyDescent="0.3">
      <c r="B95" s="7"/>
      <c r="C95" s="21"/>
    </row>
    <row r="96" spans="2:7" x14ac:dyDescent="0.3">
      <c r="B96" s="7"/>
      <c r="C96" s="21"/>
    </row>
    <row r="97" spans="2:6" x14ac:dyDescent="0.3">
      <c r="B97" s="7"/>
      <c r="C97" s="21"/>
    </row>
    <row r="98" spans="2:6" x14ac:dyDescent="0.3">
      <c r="B98" s="7"/>
      <c r="C98" s="21"/>
      <c r="F98" s="55"/>
    </row>
    <row r="99" spans="2:6" x14ac:dyDescent="0.3">
      <c r="B99" s="7"/>
      <c r="C99" s="21"/>
      <c r="F99" s="55"/>
    </row>
    <row r="100" spans="2:6" x14ac:dyDescent="0.3">
      <c r="B100" s="7"/>
      <c r="C100" s="21"/>
      <c r="F100" s="55"/>
    </row>
    <row r="101" spans="2:6" x14ac:dyDescent="0.3">
      <c r="B101" s="7"/>
      <c r="C101" s="21"/>
      <c r="F101" s="55"/>
    </row>
    <row r="102" spans="2:6" x14ac:dyDescent="0.3">
      <c r="B102" s="7"/>
      <c r="C102" s="21"/>
    </row>
    <row r="103" spans="2:6" x14ac:dyDescent="0.3">
      <c r="B103" s="7"/>
      <c r="C103" s="21"/>
    </row>
    <row r="104" spans="2:6" x14ac:dyDescent="0.3">
      <c r="B104" s="7"/>
      <c r="C104" s="21"/>
      <c r="F104" s="55"/>
    </row>
    <row r="105" spans="2:6" x14ac:dyDescent="0.3">
      <c r="B105" s="7"/>
      <c r="C105" s="21"/>
      <c r="F105" s="55"/>
    </row>
    <row r="106" spans="2:6" x14ac:dyDescent="0.3">
      <c r="B106" s="7"/>
      <c r="C106" s="21"/>
      <c r="F106" s="55"/>
    </row>
    <row r="107" spans="2:6" x14ac:dyDescent="0.3">
      <c r="B107" s="7"/>
      <c r="C107" s="21"/>
      <c r="F107" s="55"/>
    </row>
    <row r="108" spans="2:6" x14ac:dyDescent="0.3">
      <c r="B108" s="7"/>
      <c r="C108" s="21"/>
      <c r="F108" s="55"/>
    </row>
    <row r="109" spans="2:6" x14ac:dyDescent="0.3">
      <c r="B109" s="57"/>
      <c r="F109" s="55"/>
    </row>
    <row r="110" spans="2:6" x14ac:dyDescent="0.3">
      <c r="B110" s="59" t="s">
        <v>92</v>
      </c>
      <c r="F110" s="55"/>
    </row>
    <row r="111" spans="2:6" ht="15" customHeight="1" x14ac:dyDescent="0.3">
      <c r="B111" s="60" t="s">
        <v>93</v>
      </c>
    </row>
    <row r="112" spans="2:6" x14ac:dyDescent="0.3">
      <c r="B112" s="61" t="s">
        <v>94</v>
      </c>
    </row>
    <row r="113" spans="2:6" ht="14.5" x14ac:dyDescent="0.35">
      <c r="B113" s="58"/>
      <c r="F113" s="55"/>
    </row>
    <row r="114" spans="2:6" ht="14.5" x14ac:dyDescent="0.35">
      <c r="B114" s="58"/>
      <c r="F114" s="55"/>
    </row>
  </sheetData>
  <sheetProtection algorithmName="SHA-512" hashValue="+ycnF+fcEdh1yWtwnIbxtm6ExLHxlRy9HMBc9WFaQM88X1lo3J/JMKsx7qwkUNqlVNvZTL132iKKLuT5HEQtUg==" saltValue="/G8pjsA8If7o7zQLbGQTOA==" spinCount="100000" sheet="1" objects="1" scenarios="1"/>
  <dataValidations count="13">
    <dataValidation type="whole" operator="greaterThanOrEqual" allowBlank="1" showInputMessage="1" showErrorMessage="1" error="Esta célula deverá conter um valor inteiro maior ou igual a zero" sqref="C113:C114" xr:uid="{45E3EF93-A5E2-419F-8430-0016DD7E1BAF}">
      <formula1>0</formula1>
    </dataValidation>
    <dataValidation type="list" allowBlank="1" showInputMessage="1" showErrorMessage="1" sqref="C57:C61" xr:uid="{C7F7FDC9-5184-4CEA-9F6B-6DF245CC4563}">
      <formula1>"Sim,Não"</formula1>
    </dataValidation>
    <dataValidation type="whole" operator="greaterThanOrEqual" allowBlank="1" showInputMessage="1" showErrorMessage="1" error="Esta célula deverá conter um valor inteiro positivo" sqref="C51" xr:uid="{5EAC0FBF-6E3F-4A9A-A439-AA44D50BE6FD}">
      <formula1>0</formula1>
    </dataValidation>
    <dataValidation type="list" allowBlank="1" showInputMessage="1" showErrorMessage="1" sqref="B67:B108" xr:uid="{7A7200BD-BA42-4BC7-A84D-582DB0605F45}">
      <formula1>$B$110:$B$112</formula1>
    </dataValidation>
    <dataValidation type="whole" allowBlank="1" showInputMessage="1" showErrorMessage="1" error="Esta célula deverá conter um valor inteiro com nove dígitos" sqref="C10" xr:uid="{32D5C5B7-F450-4835-87D3-ADBA40DF31EE}">
      <formula1>100000000</formula1>
      <formula2>999999999</formula2>
    </dataValidation>
    <dataValidation type="list" operator="greaterThanOrEqual" allowBlank="1" showInputMessage="1" showErrorMessage="1" error="Esta célula deverá conter um valor inteiro maior ou igual a zero" sqref="C45:C49" xr:uid="{4A76C8FA-B4F2-4160-A330-154B8273416A}">
      <formula1>$G$43:$G$45</formula1>
    </dataValidation>
    <dataValidation type="decimal" allowBlank="1" showInputMessage="1" showErrorMessage="1" error="Esta célula deverá conter um valor numérico" sqref="C54:C55 C62:C63" xr:uid="{BCAB03B6-0CDF-4517-A079-A54D1CD6570C}">
      <formula1>-9999999999999990000</formula1>
      <formula2>9999999999999990000</formula2>
    </dataValidation>
    <dataValidation operator="equal" allowBlank="1" showInputMessage="1" showErrorMessage="1" errorTitle="LEI" error="Esta célula deverá conter um código com 20 caracteres" sqref="C11:C12" xr:uid="{10672B49-7F0F-46A0-B014-EFD26FB58F9C}"/>
    <dataValidation type="textLength" operator="equal" allowBlank="1" showInputMessage="1" showErrorMessage="1" error="Esta célula deverá conter um código ISO 3166-1 alpha 3" sqref="C67:C108" xr:uid="{D9FF0B44-EA74-4885-B93F-7E648538DCBD}">
      <formula1>3</formula1>
    </dataValidation>
    <dataValidation type="textLength" operator="lessThanOrEqual" allowBlank="1" showInputMessage="1" showErrorMessage="1" error="Este campo não pode exceder 100 caracteres." sqref="C9 C14:C15 B45:B49 C17:C19 B27:B40" xr:uid="{08213DA0-678A-487B-93D8-4CEE14620A66}">
      <formula1>100</formula1>
    </dataValidation>
    <dataValidation type="textLength" operator="lessThanOrEqual" allowBlank="1" showInputMessage="1" showErrorMessage="1" error="Este campo não pode exceder 50 caracteres." sqref="C21 C27:C40" xr:uid="{38AE0A99-40C6-40AB-B811-7E7721A182D1}">
      <formula1>50</formula1>
    </dataValidation>
    <dataValidation type="textLength" operator="lessThanOrEqual" allowBlank="1" showInputMessage="1" showErrorMessage="1" error="Este campo não pode exceder 1000 caracteres." sqref="C20 B41" xr:uid="{87E690F6-CFEC-4D91-8FDF-BF0D2B9316EC}">
      <formula1>1000</formula1>
    </dataValidation>
    <dataValidation type="textLength" operator="lessThanOrEqual" allowBlank="1" showInputMessage="1" showErrorMessage="1" error="Este campo não pode exceder 500 caracteres." sqref="C41" xr:uid="{9BEF882C-EB3F-4D02-817F-7430D0285586}">
      <formula1>500</formula1>
    </dataValidation>
  </dataValidations>
  <pageMargins left="0.7" right="0.7" top="0.75" bottom="0.75" header="0.3" footer="0.3"/>
  <pageSetup paperSize="8"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9469C-CACE-44C4-9330-D06C38EADBE1}">
  <sheetPr>
    <pageSetUpPr fitToPage="1"/>
  </sheetPr>
  <dimension ref="A1:D74"/>
  <sheetViews>
    <sheetView showGridLines="0" zoomScale="110" zoomScaleNormal="110" workbookViewId="0">
      <selection activeCell="B40" sqref="B40"/>
    </sheetView>
  </sheetViews>
  <sheetFormatPr defaultColWidth="8.90625" defaultRowHeight="13" x14ac:dyDescent="0.3"/>
  <cols>
    <col min="1" max="1" width="9.36328125" style="36" customWidth="1"/>
    <col min="2" max="2" width="71.453125" style="29" customWidth="1"/>
    <col min="3" max="3" width="14.54296875" style="29" customWidth="1"/>
    <col min="4" max="4" width="68.453125" style="29" customWidth="1"/>
    <col min="5" max="16384" width="8.90625" style="29"/>
  </cols>
  <sheetData>
    <row r="1" spans="1:4" x14ac:dyDescent="0.3">
      <c r="B1" s="28" t="s">
        <v>0</v>
      </c>
    </row>
    <row r="2" spans="1:4" x14ac:dyDescent="0.3">
      <c r="B2" s="37" t="s">
        <v>95</v>
      </c>
    </row>
    <row r="4" spans="1:4" x14ac:dyDescent="0.3">
      <c r="A4" s="62" t="s">
        <v>41</v>
      </c>
      <c r="B4" s="51" t="s">
        <v>96</v>
      </c>
      <c r="C4" s="63"/>
      <c r="D4" s="63"/>
    </row>
    <row r="5" spans="1:4" x14ac:dyDescent="0.3">
      <c r="A5" s="42" t="s">
        <v>97</v>
      </c>
      <c r="B5" s="39" t="s">
        <v>59</v>
      </c>
      <c r="C5" s="143" t="s">
        <v>485</v>
      </c>
      <c r="D5" s="143"/>
    </row>
    <row r="6" spans="1:4" x14ac:dyDescent="0.3">
      <c r="A6" s="42" t="s">
        <v>98</v>
      </c>
      <c r="B6" s="39" t="s">
        <v>99</v>
      </c>
      <c r="C6" s="143" t="s">
        <v>492</v>
      </c>
      <c r="D6" s="143"/>
    </row>
    <row r="7" spans="1:4" x14ac:dyDescent="0.3">
      <c r="C7" s="36"/>
    </row>
    <row r="8" spans="1:4" x14ac:dyDescent="0.3">
      <c r="B8" s="51" t="s">
        <v>100</v>
      </c>
      <c r="C8" s="36"/>
    </row>
    <row r="9" spans="1:4" x14ac:dyDescent="0.3">
      <c r="A9" s="42"/>
      <c r="B9" s="64" t="s">
        <v>100</v>
      </c>
      <c r="C9" s="52"/>
    </row>
    <row r="10" spans="1:4" x14ac:dyDescent="0.3">
      <c r="A10" s="42" t="s">
        <v>101</v>
      </c>
      <c r="B10" s="65" t="s">
        <v>102</v>
      </c>
      <c r="C10" s="143" t="s">
        <v>493</v>
      </c>
      <c r="D10" s="143"/>
    </row>
    <row r="11" spans="1:4" x14ac:dyDescent="0.3">
      <c r="A11" s="42" t="s">
        <v>101</v>
      </c>
      <c r="B11" s="65" t="s">
        <v>103</v>
      </c>
      <c r="C11" s="143" t="s">
        <v>494</v>
      </c>
      <c r="D11" s="143"/>
    </row>
    <row r="12" spans="1:4" x14ac:dyDescent="0.3">
      <c r="A12" s="42" t="s">
        <v>104</v>
      </c>
      <c r="B12" s="41" t="s">
        <v>105</v>
      </c>
      <c r="C12" s="3">
        <v>44972</v>
      </c>
    </row>
    <row r="13" spans="1:4" x14ac:dyDescent="0.3">
      <c r="A13" s="42" t="s">
        <v>106</v>
      </c>
      <c r="B13" s="41" t="s">
        <v>107</v>
      </c>
      <c r="C13" s="10">
        <v>938886047</v>
      </c>
    </row>
    <row r="14" spans="1:4" x14ac:dyDescent="0.3">
      <c r="A14" s="42" t="s">
        <v>106</v>
      </c>
      <c r="B14" s="41" t="s">
        <v>99</v>
      </c>
      <c r="C14" s="143" t="s">
        <v>495</v>
      </c>
      <c r="D14" s="143"/>
    </row>
    <row r="15" spans="1:4" x14ac:dyDescent="0.3">
      <c r="A15" s="42" t="s">
        <v>108</v>
      </c>
      <c r="B15" s="65" t="s">
        <v>109</v>
      </c>
      <c r="C15" s="20" t="s">
        <v>496</v>
      </c>
    </row>
    <row r="16" spans="1:4" x14ac:dyDescent="0.3">
      <c r="A16" s="42" t="s">
        <v>108</v>
      </c>
      <c r="B16" s="66" t="s">
        <v>110</v>
      </c>
      <c r="C16" s="143"/>
      <c r="D16" s="143"/>
    </row>
    <row r="17" spans="1:4" x14ac:dyDescent="0.3">
      <c r="A17" s="42" t="s">
        <v>111</v>
      </c>
      <c r="B17" s="65" t="s">
        <v>112</v>
      </c>
      <c r="C17" s="10">
        <v>90</v>
      </c>
    </row>
    <row r="18" spans="1:4" x14ac:dyDescent="0.3">
      <c r="A18" s="42" t="s">
        <v>111</v>
      </c>
      <c r="B18" s="67" t="s">
        <v>113</v>
      </c>
      <c r="C18" s="10">
        <v>81</v>
      </c>
    </row>
    <row r="19" spans="1:4" ht="100" customHeight="1" x14ac:dyDescent="0.3">
      <c r="A19" s="68" t="s">
        <v>114</v>
      </c>
      <c r="B19" s="69" t="s">
        <v>115</v>
      </c>
      <c r="C19" s="142" t="s">
        <v>489</v>
      </c>
      <c r="D19" s="142"/>
    </row>
    <row r="20" spans="1:4" x14ac:dyDescent="0.3">
      <c r="A20" s="42"/>
      <c r="B20" s="52"/>
    </row>
    <row r="21" spans="1:4" x14ac:dyDescent="0.3">
      <c r="A21" s="42"/>
      <c r="B21" s="52"/>
    </row>
    <row r="22" spans="1:4" x14ac:dyDescent="0.3">
      <c r="B22" s="51" t="s">
        <v>116</v>
      </c>
    </row>
    <row r="23" spans="1:4" x14ac:dyDescent="0.3">
      <c r="B23" s="70" t="s">
        <v>117</v>
      </c>
      <c r="C23" s="21" t="s">
        <v>490</v>
      </c>
    </row>
    <row r="24" spans="1:4" ht="26" x14ac:dyDescent="0.3">
      <c r="A24" s="42" t="s">
        <v>118</v>
      </c>
      <c r="B24" s="70" t="s">
        <v>119</v>
      </c>
      <c r="C24" s="21" t="s">
        <v>491</v>
      </c>
    </row>
    <row r="25" spans="1:4" x14ac:dyDescent="0.3">
      <c r="A25" s="42"/>
      <c r="B25" s="71" t="s">
        <v>120</v>
      </c>
      <c r="C25" s="72" t="s">
        <v>121</v>
      </c>
      <c r="D25" s="72" t="s">
        <v>122</v>
      </c>
    </row>
    <row r="26" spans="1:4" x14ac:dyDescent="0.3">
      <c r="A26" s="42" t="s">
        <v>123</v>
      </c>
      <c r="B26" s="47" t="s">
        <v>124</v>
      </c>
      <c r="C26" s="8"/>
      <c r="D26" s="8"/>
    </row>
    <row r="27" spans="1:4" x14ac:dyDescent="0.3">
      <c r="A27" s="42" t="s">
        <v>123</v>
      </c>
      <c r="B27" s="47" t="s">
        <v>125</v>
      </c>
      <c r="C27" s="8"/>
      <c r="D27" s="8"/>
    </row>
    <row r="28" spans="1:4" x14ac:dyDescent="0.3">
      <c r="A28" s="42" t="s">
        <v>123</v>
      </c>
      <c r="B28" s="47" t="s">
        <v>126</v>
      </c>
      <c r="C28" s="8"/>
      <c r="D28" s="8"/>
    </row>
    <row r="29" spans="1:4" x14ac:dyDescent="0.3">
      <c r="A29" s="42" t="s">
        <v>123</v>
      </c>
      <c r="B29" s="47" t="s">
        <v>127</v>
      </c>
      <c r="C29" s="8"/>
      <c r="D29" s="8"/>
    </row>
    <row r="30" spans="1:4" x14ac:dyDescent="0.3">
      <c r="A30" s="42" t="s">
        <v>123</v>
      </c>
      <c r="B30" s="47" t="s">
        <v>128</v>
      </c>
      <c r="C30" s="8"/>
      <c r="D30" s="8"/>
    </row>
    <row r="31" spans="1:4" x14ac:dyDescent="0.3">
      <c r="A31" s="42" t="s">
        <v>123</v>
      </c>
      <c r="B31" s="47" t="s">
        <v>129</v>
      </c>
      <c r="C31" s="8"/>
      <c r="D31" s="8"/>
    </row>
    <row r="32" spans="1:4" x14ac:dyDescent="0.3">
      <c r="A32" s="42" t="s">
        <v>123</v>
      </c>
      <c r="B32" s="47" t="s">
        <v>130</v>
      </c>
      <c r="C32" s="8"/>
      <c r="D32" s="8"/>
    </row>
    <row r="33" spans="1:4" x14ac:dyDescent="0.3">
      <c r="A33" s="42" t="s">
        <v>123</v>
      </c>
      <c r="B33" s="47" t="s">
        <v>131</v>
      </c>
      <c r="C33" s="8"/>
      <c r="D33" s="8"/>
    </row>
    <row r="34" spans="1:4" x14ac:dyDescent="0.3">
      <c r="A34" s="42" t="s">
        <v>123</v>
      </c>
      <c r="B34" s="47" t="s">
        <v>132</v>
      </c>
      <c r="C34" s="8"/>
      <c r="D34" s="8"/>
    </row>
    <row r="35" spans="1:4" x14ac:dyDescent="0.3">
      <c r="A35" s="42" t="s">
        <v>123</v>
      </c>
      <c r="B35" s="47" t="s">
        <v>133</v>
      </c>
      <c r="C35" s="8"/>
      <c r="D35" s="8"/>
    </row>
    <row r="36" spans="1:4" x14ac:dyDescent="0.3">
      <c r="A36" s="42" t="s">
        <v>134</v>
      </c>
      <c r="B36" s="71" t="s">
        <v>135</v>
      </c>
      <c r="C36" s="8"/>
    </row>
    <row r="37" spans="1:4" x14ac:dyDescent="0.3">
      <c r="A37" s="42"/>
    </row>
    <row r="38" spans="1:4" x14ac:dyDescent="0.3">
      <c r="A38" s="42"/>
      <c r="B38" s="35" t="s">
        <v>136</v>
      </c>
    </row>
    <row r="39" spans="1:4" ht="100" customHeight="1" x14ac:dyDescent="0.3">
      <c r="A39" s="68" t="s">
        <v>137</v>
      </c>
      <c r="B39" s="73" t="s">
        <v>138</v>
      </c>
      <c r="C39" s="142" t="s">
        <v>497</v>
      </c>
      <c r="D39" s="142"/>
    </row>
    <row r="40" spans="1:4" x14ac:dyDescent="0.3">
      <c r="A40" s="42"/>
      <c r="B40" s="74"/>
    </row>
    <row r="41" spans="1:4" x14ac:dyDescent="0.3">
      <c r="A41" s="75" t="s">
        <v>139</v>
      </c>
      <c r="B41" s="74"/>
    </row>
    <row r="43" spans="1:4" x14ac:dyDescent="0.3">
      <c r="B43" s="51" t="s">
        <v>140</v>
      </c>
    </row>
    <row r="44" spans="1:4" x14ac:dyDescent="0.3">
      <c r="B44" s="76" t="s">
        <v>141</v>
      </c>
    </row>
    <row r="45" spans="1:4" x14ac:dyDescent="0.3">
      <c r="A45" s="42" t="s">
        <v>142</v>
      </c>
      <c r="B45" s="67" t="s">
        <v>143</v>
      </c>
      <c r="C45" s="21" t="s">
        <v>490</v>
      </c>
    </row>
    <row r="46" spans="1:4" x14ac:dyDescent="0.3">
      <c r="A46" s="42" t="s">
        <v>142</v>
      </c>
      <c r="B46" s="67" t="s">
        <v>144</v>
      </c>
      <c r="C46" s="21" t="s">
        <v>490</v>
      </c>
    </row>
    <row r="47" spans="1:4" x14ac:dyDescent="0.3">
      <c r="A47" s="42" t="s">
        <v>145</v>
      </c>
      <c r="B47" s="67" t="s">
        <v>146</v>
      </c>
      <c r="C47" s="21" t="s">
        <v>490</v>
      </c>
    </row>
    <row r="48" spans="1:4" x14ac:dyDescent="0.3">
      <c r="A48" s="42" t="s">
        <v>145</v>
      </c>
      <c r="B48" s="67" t="s">
        <v>147</v>
      </c>
      <c r="C48" s="21" t="s">
        <v>490</v>
      </c>
    </row>
    <row r="49" spans="1:4" x14ac:dyDescent="0.3">
      <c r="A49" s="42"/>
      <c r="B49" s="67"/>
      <c r="C49" s="67"/>
    </row>
    <row r="50" spans="1:4" ht="100" customHeight="1" x14ac:dyDescent="0.3">
      <c r="A50" s="68" t="s">
        <v>148</v>
      </c>
      <c r="B50" s="77" t="s">
        <v>149</v>
      </c>
      <c r="C50" s="142" t="s">
        <v>498</v>
      </c>
      <c r="D50" s="142"/>
    </row>
    <row r="51" spans="1:4" ht="100" customHeight="1" x14ac:dyDescent="0.3">
      <c r="A51" s="68" t="s">
        <v>150</v>
      </c>
      <c r="B51" s="77" t="s">
        <v>151</v>
      </c>
      <c r="C51" s="142" t="s">
        <v>499</v>
      </c>
      <c r="D51" s="142"/>
    </row>
    <row r="52" spans="1:4" x14ac:dyDescent="0.3">
      <c r="A52" s="42"/>
      <c r="B52" s="78"/>
      <c r="C52" s="78"/>
      <c r="D52" s="78"/>
    </row>
    <row r="53" spans="1:4" x14ac:dyDescent="0.3">
      <c r="A53" s="75" t="s">
        <v>152</v>
      </c>
      <c r="B53" s="78"/>
      <c r="C53" s="78"/>
      <c r="D53" s="78"/>
    </row>
    <row r="54" spans="1:4" x14ac:dyDescent="0.3">
      <c r="B54" s="67"/>
      <c r="C54" s="67"/>
    </row>
    <row r="55" spans="1:4" ht="52" x14ac:dyDescent="0.3">
      <c r="A55" s="42" t="s">
        <v>153</v>
      </c>
      <c r="B55" s="70" t="s">
        <v>154</v>
      </c>
      <c r="C55" s="21" t="s">
        <v>490</v>
      </c>
    </row>
    <row r="56" spans="1:4" ht="26" x14ac:dyDescent="0.3">
      <c r="A56" s="42" t="s">
        <v>155</v>
      </c>
      <c r="B56" s="71" t="s">
        <v>156</v>
      </c>
      <c r="C56" s="21" t="s">
        <v>490</v>
      </c>
    </row>
    <row r="57" spans="1:4" ht="100" customHeight="1" x14ac:dyDescent="0.3">
      <c r="A57" s="68" t="s">
        <v>155</v>
      </c>
      <c r="B57" s="79" t="s">
        <v>157</v>
      </c>
      <c r="C57" s="142" t="s">
        <v>568</v>
      </c>
      <c r="D57" s="142"/>
    </row>
    <row r="58" spans="1:4" ht="26" x14ac:dyDescent="0.3">
      <c r="A58" s="42" t="s">
        <v>158</v>
      </c>
      <c r="B58" s="80" t="s">
        <v>159</v>
      </c>
      <c r="C58" s="21" t="s">
        <v>490</v>
      </c>
    </row>
    <row r="59" spans="1:4" x14ac:dyDescent="0.3">
      <c r="A59" s="42" t="s">
        <v>160</v>
      </c>
      <c r="B59" s="80" t="s">
        <v>161</v>
      </c>
      <c r="C59" s="21" t="s">
        <v>491</v>
      </c>
    </row>
    <row r="60" spans="1:4" x14ac:dyDescent="0.3">
      <c r="A60" s="42"/>
      <c r="B60" s="67" t="s">
        <v>162</v>
      </c>
    </row>
    <row r="61" spans="1:4" x14ac:dyDescent="0.3">
      <c r="A61" s="42" t="s">
        <v>160</v>
      </c>
      <c r="B61" s="57" t="s">
        <v>163</v>
      </c>
      <c r="C61" s="143"/>
      <c r="D61" s="143"/>
    </row>
    <row r="62" spans="1:4" x14ac:dyDescent="0.3">
      <c r="A62" s="42" t="s">
        <v>160</v>
      </c>
      <c r="B62" s="57" t="s">
        <v>164</v>
      </c>
      <c r="C62" s="143"/>
      <c r="D62" s="143"/>
    </row>
    <row r="63" spans="1:4" x14ac:dyDescent="0.3">
      <c r="A63" s="42" t="s">
        <v>160</v>
      </c>
      <c r="B63" s="57" t="s">
        <v>165</v>
      </c>
      <c r="C63" s="143"/>
      <c r="D63" s="143"/>
    </row>
    <row r="64" spans="1:4" x14ac:dyDescent="0.3">
      <c r="A64" s="42" t="s">
        <v>160</v>
      </c>
      <c r="B64" s="57" t="s">
        <v>166</v>
      </c>
      <c r="C64" s="143"/>
      <c r="D64" s="143"/>
    </row>
    <row r="65" spans="1:4" x14ac:dyDescent="0.3">
      <c r="A65" s="42"/>
      <c r="B65" s="57"/>
      <c r="C65" s="57"/>
      <c r="D65" s="57"/>
    </row>
    <row r="66" spans="1:4" x14ac:dyDescent="0.3">
      <c r="A66" s="75" t="s">
        <v>167</v>
      </c>
      <c r="B66" s="36"/>
    </row>
    <row r="67" spans="1:4" x14ac:dyDescent="0.3">
      <c r="A67" s="75"/>
      <c r="B67" s="36"/>
    </row>
    <row r="68" spans="1:4" x14ac:dyDescent="0.3">
      <c r="B68" s="51" t="s">
        <v>168</v>
      </c>
    </row>
    <row r="69" spans="1:4" ht="100" customHeight="1" x14ac:dyDescent="0.3">
      <c r="A69" s="68" t="s">
        <v>169</v>
      </c>
      <c r="B69" s="81" t="s">
        <v>170</v>
      </c>
      <c r="C69" s="142" t="s">
        <v>500</v>
      </c>
      <c r="D69" s="142"/>
    </row>
    <row r="70" spans="1:4" ht="26" x14ac:dyDescent="0.3">
      <c r="A70" s="42" t="s">
        <v>171</v>
      </c>
      <c r="B70" s="82" t="s">
        <v>172</v>
      </c>
      <c r="C70" s="10">
        <v>0</v>
      </c>
    </row>
    <row r="71" spans="1:4" ht="26" x14ac:dyDescent="0.3">
      <c r="A71" s="42" t="s">
        <v>173</v>
      </c>
      <c r="B71" s="82" t="s">
        <v>174</v>
      </c>
      <c r="C71" s="10">
        <v>0</v>
      </c>
    </row>
    <row r="73" spans="1:4" x14ac:dyDescent="0.3">
      <c r="B73" s="35" t="s">
        <v>175</v>
      </c>
    </row>
    <row r="74" spans="1:4" ht="100" customHeight="1" x14ac:dyDescent="0.3">
      <c r="A74" s="68" t="s">
        <v>176</v>
      </c>
      <c r="B74" s="73" t="s">
        <v>177</v>
      </c>
      <c r="C74" s="142" t="s">
        <v>501</v>
      </c>
      <c r="D74" s="142"/>
    </row>
  </sheetData>
  <sheetProtection algorithmName="SHA-512" hashValue="Rzcew7vJ0nCN2oBk5hZ/SS+hVsfpfW3JLfszNEY1XFmLqNk2DYhaCWqlTOqeS4+6LD3Mo+pH4wMe72hkPjVUBg==" saltValue="1y2DieMemIjAXCy/U98dKQ==" spinCount="100000" sheet="1" objects="1" scenarios="1"/>
  <mergeCells count="17">
    <mergeCell ref="C16:D16"/>
    <mergeCell ref="C19:D19"/>
    <mergeCell ref="C50:D50"/>
    <mergeCell ref="C51:D51"/>
    <mergeCell ref="C57:D57"/>
    <mergeCell ref="C39:D39"/>
    <mergeCell ref="C5:D5"/>
    <mergeCell ref="C6:D6"/>
    <mergeCell ref="C10:D10"/>
    <mergeCell ref="C11:D11"/>
    <mergeCell ref="C14:D14"/>
    <mergeCell ref="C69:D69"/>
    <mergeCell ref="C74:D74"/>
    <mergeCell ref="C63:D63"/>
    <mergeCell ref="C61:D61"/>
    <mergeCell ref="C62:D62"/>
    <mergeCell ref="C64:D64"/>
  </mergeCells>
  <phoneticPr fontId="2" type="noConversion"/>
  <dataValidations count="11">
    <dataValidation type="list" allowBlank="1" showInputMessage="1" showErrorMessage="1" sqref="C45:C48 C23:C24 C55:C56 C58:C59" xr:uid="{4FC0DE48-C4DB-42E8-8CA6-52296662CF5A}">
      <formula1>"Sim,Não"</formula1>
    </dataValidation>
    <dataValidation type="list" allowBlank="1" showInputMessage="1" showErrorMessage="1" sqref="C15" xr:uid="{4DD9A7AD-BAA5-4BCA-9FA8-1A3F9904AC82}">
      <formula1>"Autónoma,Cumulada"</formula1>
    </dataValidation>
    <dataValidation type="whole" operator="greaterThanOrEqual" allowBlank="1" showInputMessage="1" showErrorMessage="1" error="Esta célula deverá conter um valor inteiro maior ou igual a zero" sqref="C17:C18 C70:C71" xr:uid="{4EA77690-7BA5-49A2-85E1-DD8FDEE5A47B}">
      <formula1>0</formula1>
    </dataValidation>
    <dataValidation type="date" allowBlank="1" showInputMessage="1" showErrorMessage="1" errorTitle="Data" error="Esta célula deverá conter uma data no formato DD-MM-AAAA" sqref="C12" xr:uid="{1FA71447-98D2-4AB6-BBC9-E4C2587A683A}">
      <formula1>32874</formula1>
      <formula2>401768</formula2>
    </dataValidation>
    <dataValidation type="whole" allowBlank="1" showInputMessage="1" showErrorMessage="1" errorTitle="Código estatístico" error="Esta célula deverá conter um valor inteiro com 4 dígitos" sqref="C40:C41" xr:uid="{15B3B906-7F6A-4F99-8F86-25DD1FE54CA7}">
      <formula1>1000</formula1>
      <formula2>9999</formula2>
    </dataValidation>
    <dataValidation type="whole" operator="greaterThan" allowBlank="1" showInputMessage="1" showErrorMessage="1" sqref="C13" xr:uid="{E0F85704-1185-44ED-80ED-76B951B44619}">
      <formula1>0</formula1>
    </dataValidation>
    <dataValidation type="textLength" operator="lessThanOrEqual" allowBlank="1" showInputMessage="1" showErrorMessage="1" error="Este campo não pode exceder 1000 caracteres." sqref="C19:D19 C39:D39 C50:D51 C57:D57 C69:D69 C74:D74" xr:uid="{FE72D0FF-280D-4865-9C63-FC2A00B23977}">
      <formula1>1000</formula1>
    </dataValidation>
    <dataValidation type="textLength" operator="lessThanOrEqual" allowBlank="1" showInputMessage="1" showErrorMessage="1" error="Este campo não pode exceder 100 caracteres." sqref="C61:D64 C11:D11 C5:D5" xr:uid="{629ABB65-FADD-44DA-9F66-B69C5AD59B14}">
      <formula1>100</formula1>
    </dataValidation>
    <dataValidation type="textLength" operator="lessThanOrEqual" allowBlank="1" showInputMessage="1" showErrorMessage="1" error="Este campo não pode exceder 50 caracteres." sqref="C14:D14 C10:D10 C16:D16 C6:D6" xr:uid="{ECB05735-E8F3-47F6-8A40-C8D30C84A896}">
      <formula1>50</formula1>
    </dataValidation>
    <dataValidation type="textLength" operator="lessThanOrEqual" allowBlank="1" showInputMessage="1" showErrorMessage="1" error="Este campo não pode exceder 20 caracteres." sqref="C26:C36" xr:uid="{16E0D58B-A7F8-45FD-84A6-222F12E1E3DC}">
      <formula1>20</formula1>
    </dataValidation>
    <dataValidation type="textLength" operator="lessThanOrEqual" allowBlank="1" showInputMessage="1" showErrorMessage="1" error="Este campo não pode exceder 500 caracteres." sqref="D26:D35" xr:uid="{BEE5D0FB-2448-4D52-B8D2-9109D8802D7B}">
      <formula1>500</formula1>
    </dataValidation>
  </dataValidations>
  <pageMargins left="0.7" right="0.7" top="0.75" bottom="0.75" header="0.3" footer="0.3"/>
  <pageSetup paperSize="8"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DCBDB-3B18-4318-9A9D-C586DB61ADEF}">
  <sheetPr>
    <pageSetUpPr fitToPage="1"/>
  </sheetPr>
  <dimension ref="A1:L27"/>
  <sheetViews>
    <sheetView showGridLines="0" workbookViewId="0">
      <selection activeCell="D9" sqref="D9"/>
    </sheetView>
  </sheetViews>
  <sheetFormatPr defaultColWidth="8.90625" defaultRowHeight="13" x14ac:dyDescent="0.3"/>
  <cols>
    <col min="1" max="1" width="9.08984375" style="36" customWidth="1"/>
    <col min="2" max="2" width="22" style="29" customWidth="1"/>
    <col min="3" max="3" width="34.08984375" style="29" customWidth="1"/>
    <col min="4" max="4" width="64" style="29" customWidth="1"/>
    <col min="5" max="5" width="12.36328125" style="29" customWidth="1"/>
    <col min="6" max="6" width="25" style="29" customWidth="1"/>
    <col min="7" max="10" width="8.90625" style="29"/>
    <col min="11" max="11" width="25.6328125" style="29" bestFit="1" customWidth="1"/>
    <col min="12" max="12" width="29.6328125" style="29" bestFit="1" customWidth="1"/>
    <col min="13" max="16384" width="8.90625" style="29"/>
  </cols>
  <sheetData>
    <row r="1" spans="1:12" x14ac:dyDescent="0.3">
      <c r="B1" s="28" t="s">
        <v>0</v>
      </c>
      <c r="C1" s="28"/>
    </row>
    <row r="2" spans="1:12" x14ac:dyDescent="0.3">
      <c r="B2" s="37" t="s">
        <v>178</v>
      </c>
      <c r="C2" s="28"/>
      <c r="G2" s="55"/>
    </row>
    <row r="3" spans="1:12" x14ac:dyDescent="0.3">
      <c r="K3" s="28"/>
      <c r="L3" s="28"/>
    </row>
    <row r="4" spans="1:12" x14ac:dyDescent="0.3">
      <c r="A4" s="38" t="s">
        <v>41</v>
      </c>
      <c r="B4" s="51" t="s">
        <v>179</v>
      </c>
      <c r="K4" s="56"/>
      <c r="L4" s="56"/>
    </row>
    <row r="5" spans="1:12" x14ac:dyDescent="0.3">
      <c r="A5" s="42" t="s">
        <v>180</v>
      </c>
      <c r="B5" s="144" t="s">
        <v>181</v>
      </c>
      <c r="C5" s="144"/>
      <c r="D5" s="144"/>
      <c r="E5" s="144"/>
      <c r="F5" s="144"/>
      <c r="G5" s="21" t="s">
        <v>490</v>
      </c>
      <c r="L5" s="56"/>
    </row>
    <row r="6" spans="1:12" x14ac:dyDescent="0.3">
      <c r="B6" s="82"/>
      <c r="C6" s="82"/>
    </row>
    <row r="7" spans="1:12" x14ac:dyDescent="0.3">
      <c r="B7" s="51" t="s">
        <v>182</v>
      </c>
      <c r="C7" s="82"/>
      <c r="K7" s="56"/>
      <c r="L7" s="56"/>
    </row>
    <row r="8" spans="1:12" ht="26" x14ac:dyDescent="0.3">
      <c r="B8" s="83" t="s">
        <v>183</v>
      </c>
      <c r="C8" s="83" t="s">
        <v>184</v>
      </c>
      <c r="D8" s="84" t="s">
        <v>185</v>
      </c>
      <c r="K8" s="56"/>
      <c r="L8" s="56"/>
    </row>
    <row r="9" spans="1:12" ht="45" customHeight="1" x14ac:dyDescent="0.3">
      <c r="B9" s="17">
        <v>45674</v>
      </c>
      <c r="C9" s="131" t="s">
        <v>186</v>
      </c>
      <c r="D9" s="140" t="s">
        <v>522</v>
      </c>
    </row>
    <row r="10" spans="1:12" ht="45" customHeight="1" x14ac:dyDescent="0.3">
      <c r="B10" s="17"/>
      <c r="C10" s="16"/>
      <c r="D10" s="8"/>
    </row>
    <row r="11" spans="1:12" ht="45" customHeight="1" x14ac:dyDescent="0.3">
      <c r="B11" s="17"/>
      <c r="C11" s="16"/>
      <c r="D11" s="8"/>
    </row>
    <row r="12" spans="1:12" ht="45" customHeight="1" x14ac:dyDescent="0.3">
      <c r="B12" s="17"/>
      <c r="C12" s="16"/>
      <c r="D12" s="8"/>
    </row>
    <row r="13" spans="1:12" ht="45" customHeight="1" x14ac:dyDescent="0.3">
      <c r="B13" s="17"/>
      <c r="C13" s="16"/>
      <c r="D13" s="8"/>
    </row>
    <row r="14" spans="1:12" ht="45" customHeight="1" x14ac:dyDescent="0.3">
      <c r="B14" s="17"/>
      <c r="C14" s="16"/>
      <c r="D14" s="8"/>
    </row>
    <row r="15" spans="1:12" ht="45" customHeight="1" x14ac:dyDescent="0.3">
      <c r="B15" s="17"/>
      <c r="C15" s="16"/>
      <c r="D15" s="8"/>
    </row>
    <row r="16" spans="1:12" ht="45" customHeight="1" x14ac:dyDescent="0.3">
      <c r="B16" s="17"/>
      <c r="C16" s="16"/>
      <c r="D16" s="8"/>
    </row>
    <row r="17" spans="2:4" ht="45" customHeight="1" x14ac:dyDescent="0.3">
      <c r="B17" s="17"/>
      <c r="C17" s="16"/>
      <c r="D17" s="8"/>
    </row>
    <row r="18" spans="2:4" ht="45" customHeight="1" x14ac:dyDescent="0.3">
      <c r="B18" s="17"/>
      <c r="C18" s="16"/>
      <c r="D18" s="8"/>
    </row>
    <row r="19" spans="2:4" ht="45" customHeight="1" x14ac:dyDescent="0.3">
      <c r="B19" s="17"/>
      <c r="C19" s="16"/>
      <c r="D19" s="8"/>
    </row>
    <row r="20" spans="2:4" ht="45" customHeight="1" x14ac:dyDescent="0.3">
      <c r="B20" s="17"/>
      <c r="C20" s="16"/>
      <c r="D20" s="8"/>
    </row>
    <row r="21" spans="2:4" ht="45" customHeight="1" x14ac:dyDescent="0.3">
      <c r="B21" s="17"/>
      <c r="C21" s="16"/>
      <c r="D21" s="8"/>
    </row>
    <row r="22" spans="2:4" ht="45" customHeight="1" x14ac:dyDescent="0.3">
      <c r="B22" s="17"/>
      <c r="C22" s="16"/>
      <c r="D22" s="8"/>
    </row>
    <row r="23" spans="2:4" ht="45" customHeight="1" x14ac:dyDescent="0.3">
      <c r="B23" s="17"/>
      <c r="C23" s="16"/>
      <c r="D23" s="8"/>
    </row>
    <row r="25" spans="2:4" ht="16" x14ac:dyDescent="0.3">
      <c r="C25" s="85" t="s">
        <v>186</v>
      </c>
    </row>
    <row r="26" spans="2:4" ht="16" x14ac:dyDescent="0.3">
      <c r="C26" s="85" t="s">
        <v>187</v>
      </c>
    </row>
    <row r="27" spans="2:4" ht="16" x14ac:dyDescent="0.3">
      <c r="C27" s="85" t="s">
        <v>188</v>
      </c>
    </row>
  </sheetData>
  <sheetProtection algorithmName="SHA-512" hashValue="c25gXIUuI3qzphBvzNIA0yT7g0ky+qdQJS2Rqcs2LOieCJd55BGOtDKS8BI7QV1H9Fuc3A9fuUHDo+0yT8sD0Q==" saltValue="PiSflmWd2KtLecHQCChvSw==" spinCount="100000" sheet="1" objects="1" scenarios="1"/>
  <mergeCells count="1">
    <mergeCell ref="B5:F5"/>
  </mergeCells>
  <dataValidations count="4">
    <dataValidation type="date" allowBlank="1" showInputMessage="1" showErrorMessage="1" errorTitle="Data" error="Esta célula deverá conter uma data no formato DD-MM-AAAA" sqref="B9:B23" xr:uid="{EF09FDD4-4FFE-43E1-A9D2-9A110466FDFC}">
      <formula1>32874</formula1>
      <formula2>401768</formula2>
    </dataValidation>
    <dataValidation type="list" allowBlank="1" showInputMessage="1" showErrorMessage="1" sqref="G5" xr:uid="{D466CC6D-12C0-43EB-A068-99CA124DD7D5}">
      <formula1>"Sim,Não"</formula1>
    </dataValidation>
    <dataValidation type="list" allowBlank="1" showInputMessage="1" showErrorMessage="1" sqref="C9:C23" xr:uid="{0AF011FE-75EC-439B-AB69-8A3A37640826}">
      <formula1>$C$25:$C$27</formula1>
    </dataValidation>
    <dataValidation type="textLength" operator="lessThanOrEqual" allowBlank="1" showInputMessage="1" showErrorMessage="1" error="Este campo não pode exceder 1000 caracteres." sqref="D10:D23" xr:uid="{49081D2F-B20F-4D5D-9D0C-D1C068AA0DBF}">
      <formula1>1000</formula1>
    </dataValidation>
  </dataValidations>
  <pageMargins left="0.7" right="0.7" top="0.75" bottom="0.75" header="0.3" footer="0.3"/>
  <pageSetup paperSize="8"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E2149-F1DC-468C-9C68-DA53D719113A}">
  <sheetPr>
    <pageSetUpPr fitToPage="1"/>
  </sheetPr>
  <dimension ref="A1:F14"/>
  <sheetViews>
    <sheetView showGridLines="0" zoomScaleNormal="100" workbookViewId="0">
      <selection activeCell="C14" sqref="C14"/>
    </sheetView>
  </sheetViews>
  <sheetFormatPr defaultColWidth="8.90625" defaultRowHeight="13" x14ac:dyDescent="0.3"/>
  <cols>
    <col min="1" max="1" width="9.6328125" style="36" customWidth="1"/>
    <col min="2" max="2" width="84.54296875" style="29" customWidth="1"/>
    <col min="3" max="3" width="28.90625" style="29" bestFit="1" customWidth="1"/>
    <col min="4" max="4" width="28.90625" style="29" customWidth="1"/>
    <col min="5" max="5" width="22.54296875" style="29" bestFit="1" customWidth="1"/>
    <col min="6" max="6" width="9.08984375" style="29" customWidth="1"/>
    <col min="7" max="16384" width="8.90625" style="29"/>
  </cols>
  <sheetData>
    <row r="1" spans="1:6" x14ac:dyDescent="0.3">
      <c r="B1" s="28" t="s">
        <v>0</v>
      </c>
      <c r="C1" s="28"/>
      <c r="D1" s="28"/>
      <c r="F1" s="55"/>
    </row>
    <row r="2" spans="1:6" x14ac:dyDescent="0.3">
      <c r="B2" s="37" t="s">
        <v>189</v>
      </c>
      <c r="C2" s="28"/>
      <c r="D2" s="28"/>
      <c r="F2" s="55"/>
    </row>
    <row r="4" spans="1:6" x14ac:dyDescent="0.3">
      <c r="A4" s="86" t="s">
        <v>41</v>
      </c>
      <c r="B4" s="51" t="s">
        <v>190</v>
      </c>
      <c r="C4" s="51"/>
      <c r="D4" s="51"/>
    </row>
    <row r="5" spans="1:6" x14ac:dyDescent="0.3">
      <c r="C5" s="87" t="s">
        <v>191</v>
      </c>
      <c r="D5" s="87" t="s">
        <v>192</v>
      </c>
      <c r="E5" s="87" t="s">
        <v>193</v>
      </c>
    </row>
    <row r="6" spans="1:6" ht="26" x14ac:dyDescent="0.3">
      <c r="A6" s="88" t="s">
        <v>194</v>
      </c>
      <c r="B6" s="89" t="s">
        <v>195</v>
      </c>
      <c r="C6" s="8" t="s">
        <v>502</v>
      </c>
      <c r="D6" s="15">
        <v>45503</v>
      </c>
      <c r="E6" s="15">
        <v>45503</v>
      </c>
    </row>
    <row r="7" spans="1:6" ht="26" x14ac:dyDescent="0.3">
      <c r="A7" s="88" t="s">
        <v>194</v>
      </c>
      <c r="B7" s="89" t="s">
        <v>196</v>
      </c>
      <c r="C7" s="8" t="s">
        <v>503</v>
      </c>
      <c r="D7" s="15">
        <v>45474</v>
      </c>
      <c r="E7" s="15">
        <v>45474</v>
      </c>
    </row>
    <row r="8" spans="1:6" ht="26" x14ac:dyDescent="0.3">
      <c r="A8" s="88" t="s">
        <v>194</v>
      </c>
      <c r="B8" s="89" t="s">
        <v>197</v>
      </c>
      <c r="C8" s="8" t="s">
        <v>504</v>
      </c>
      <c r="D8" s="15">
        <v>45474</v>
      </c>
      <c r="E8" s="15">
        <v>45474</v>
      </c>
    </row>
    <row r="9" spans="1:6" ht="26" x14ac:dyDescent="0.3">
      <c r="A9" s="42" t="s">
        <v>198</v>
      </c>
      <c r="B9" s="89" t="s">
        <v>199</v>
      </c>
      <c r="C9" s="8" t="s">
        <v>505</v>
      </c>
      <c r="D9" s="15">
        <v>45803</v>
      </c>
      <c r="E9" s="15">
        <v>45672</v>
      </c>
    </row>
    <row r="10" spans="1:6" ht="39" x14ac:dyDescent="0.3">
      <c r="A10" s="42" t="s">
        <v>200</v>
      </c>
      <c r="B10" s="89" t="s">
        <v>201</v>
      </c>
      <c r="C10" s="8" t="s">
        <v>505</v>
      </c>
      <c r="D10" s="15">
        <v>45803</v>
      </c>
      <c r="E10" s="15">
        <v>45672</v>
      </c>
    </row>
    <row r="11" spans="1:6" ht="25.5" customHeight="1" x14ac:dyDescent="0.3">
      <c r="A11" s="88" t="s">
        <v>202</v>
      </c>
      <c r="B11" s="89" t="s">
        <v>203</v>
      </c>
      <c r="C11" s="8" t="s">
        <v>506</v>
      </c>
      <c r="D11" s="15">
        <v>45713</v>
      </c>
      <c r="E11" s="15">
        <v>45742</v>
      </c>
    </row>
    <row r="12" spans="1:6" ht="26" x14ac:dyDescent="0.3">
      <c r="A12" s="88" t="s">
        <v>204</v>
      </c>
      <c r="B12" s="89" t="s">
        <v>205</v>
      </c>
      <c r="C12" s="8" t="s">
        <v>506</v>
      </c>
      <c r="D12" s="15">
        <v>45713</v>
      </c>
      <c r="E12" s="15">
        <v>45742</v>
      </c>
    </row>
    <row r="13" spans="1:6" ht="26" x14ac:dyDescent="0.3">
      <c r="A13" s="88" t="s">
        <v>206</v>
      </c>
      <c r="B13" s="89" t="s">
        <v>207</v>
      </c>
      <c r="C13" s="8" t="s">
        <v>505</v>
      </c>
      <c r="D13" s="15">
        <v>45803</v>
      </c>
      <c r="E13" s="15">
        <v>45672</v>
      </c>
    </row>
    <row r="14" spans="1:6" ht="26" x14ac:dyDescent="0.3">
      <c r="A14" s="88" t="s">
        <v>206</v>
      </c>
      <c r="B14" s="89" t="s">
        <v>208</v>
      </c>
      <c r="C14" s="8" t="s">
        <v>505</v>
      </c>
      <c r="D14" s="15">
        <v>45803</v>
      </c>
      <c r="E14" s="15">
        <v>45672</v>
      </c>
    </row>
  </sheetData>
  <sheetProtection algorithmName="SHA-512" hashValue="gxbLzM10uD8AueDvYWJ4C0V0X9AvdHU/4M0zVc0JX/zmcktp2VA79boc0VQtOg/32ALFzoKdeATIAACUM14YrQ==" saltValue="ifRmGn3KWd2iYnGT5qqfJA==" spinCount="100000" sheet="1" objects="1" scenarios="1"/>
  <dataValidations count="2">
    <dataValidation type="date" allowBlank="1" showInputMessage="1" showErrorMessage="1" errorTitle="Data" error="Esta célula deverá conter uma data no formato DD-MM-AAAA" sqref="D6:E14" xr:uid="{9DDE0882-2472-4372-9A1E-D3CB3B984EC5}">
      <formula1>32874</formula1>
      <formula2>401768</formula2>
    </dataValidation>
    <dataValidation type="textLength" operator="lessThanOrEqual" allowBlank="1" showInputMessage="1" showErrorMessage="1" error="Este campo não pode exceder 1000 caracteres." sqref="C6:C14" xr:uid="{E08245DA-F282-4511-8DF1-F3BBC9B1C08C}">
      <formula1>1000</formula1>
    </dataValidation>
  </dataValidations>
  <pageMargins left="0.7" right="0.7" top="0.75" bottom="0.75" header="0.3" footer="0.3"/>
  <pageSetup paperSize="8"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4C3CF-5AE4-44BC-818E-18133B9E5060}">
  <sheetPr>
    <pageSetUpPr fitToPage="1"/>
  </sheetPr>
  <dimension ref="A1:P30"/>
  <sheetViews>
    <sheetView showGridLines="0" zoomScale="93" zoomScaleNormal="93" workbookViewId="0">
      <selection activeCell="D20" sqref="D20"/>
    </sheetView>
  </sheetViews>
  <sheetFormatPr defaultColWidth="8.90625" defaultRowHeight="13" x14ac:dyDescent="0.35"/>
  <cols>
    <col min="1" max="1" width="11" style="36" customWidth="1"/>
    <col min="2" max="2" width="10.36328125" style="36" customWidth="1"/>
    <col min="3" max="3" width="34.54296875" style="36" customWidth="1"/>
    <col min="4" max="4" width="66.08984375" style="36" customWidth="1"/>
    <col min="5" max="5" width="16.36328125" style="91" customWidth="1"/>
    <col min="6" max="6" width="18.453125" style="91" customWidth="1"/>
    <col min="7" max="7" width="49.54296875" style="91" customWidth="1"/>
    <col min="8" max="8" width="27" style="36" customWidth="1"/>
    <col min="9" max="9" width="10.54296875" style="36" customWidth="1"/>
    <col min="10" max="10" width="24.6328125" style="36" bestFit="1" customWidth="1"/>
    <col min="11" max="11" width="10.54296875" style="36" customWidth="1"/>
    <col min="12" max="12" width="24.6328125" style="36" bestFit="1" customWidth="1"/>
    <col min="13" max="13" width="10.54296875" style="36" customWidth="1"/>
    <col min="14" max="14" width="24.6328125" style="36" bestFit="1" customWidth="1"/>
    <col min="15" max="15" width="10.54296875" style="36" customWidth="1"/>
    <col min="16" max="16384" width="8.90625" style="36"/>
  </cols>
  <sheetData>
    <row r="1" spans="1:16" x14ac:dyDescent="0.3">
      <c r="B1" s="28" t="s">
        <v>0</v>
      </c>
      <c r="C1" s="90"/>
      <c r="P1" s="102" t="s">
        <v>209</v>
      </c>
    </row>
    <row r="2" spans="1:16" x14ac:dyDescent="0.35">
      <c r="B2" s="92" t="s">
        <v>210</v>
      </c>
      <c r="C2" s="90"/>
      <c r="P2" s="102"/>
    </row>
    <row r="3" spans="1:16" x14ac:dyDescent="0.35">
      <c r="P3" s="61" t="s">
        <v>211</v>
      </c>
    </row>
    <row r="4" spans="1:16" ht="15" customHeight="1" x14ac:dyDescent="0.3">
      <c r="A4" s="93" t="s">
        <v>41</v>
      </c>
      <c r="B4" s="51" t="s">
        <v>212</v>
      </c>
      <c r="P4" s="103" t="s">
        <v>8</v>
      </c>
    </row>
    <row r="5" spans="1:16" x14ac:dyDescent="0.3">
      <c r="A5" s="55" t="s">
        <v>213</v>
      </c>
      <c r="B5" s="149" t="s">
        <v>214</v>
      </c>
      <c r="C5" s="149"/>
      <c r="D5" s="149"/>
      <c r="E5" s="21" t="s">
        <v>490</v>
      </c>
      <c r="F5" s="36"/>
      <c r="G5" s="36"/>
      <c r="P5" s="103" t="s">
        <v>215</v>
      </c>
    </row>
    <row r="6" spans="1:16" x14ac:dyDescent="0.3">
      <c r="A6" s="55" t="s">
        <v>216</v>
      </c>
      <c r="B6" s="149" t="s">
        <v>217</v>
      </c>
      <c r="C6" s="149"/>
      <c r="D6" s="149"/>
      <c r="E6" s="21" t="s">
        <v>490</v>
      </c>
      <c r="F6" s="36"/>
      <c r="G6" s="36"/>
      <c r="P6" s="103" t="s">
        <v>218</v>
      </c>
    </row>
    <row r="7" spans="1:16" x14ac:dyDescent="0.3">
      <c r="A7" s="55" t="s">
        <v>219</v>
      </c>
      <c r="B7" s="149" t="s">
        <v>220</v>
      </c>
      <c r="C7" s="149"/>
      <c r="D7" s="149"/>
      <c r="E7" s="21" t="s">
        <v>490</v>
      </c>
      <c r="F7" s="36"/>
      <c r="G7" s="36"/>
      <c r="P7" s="103" t="s">
        <v>221</v>
      </c>
    </row>
    <row r="8" spans="1:16" ht="15" customHeight="1" x14ac:dyDescent="0.3">
      <c r="A8" s="55" t="s">
        <v>219</v>
      </c>
      <c r="B8" s="149" t="s">
        <v>222</v>
      </c>
      <c r="C8" s="149"/>
      <c r="D8" s="149"/>
      <c r="E8" s="21" t="s">
        <v>490</v>
      </c>
      <c r="F8" s="36"/>
      <c r="G8" s="36"/>
      <c r="P8" s="103" t="s">
        <v>223</v>
      </c>
    </row>
    <row r="9" spans="1:16" ht="15" customHeight="1" x14ac:dyDescent="0.3">
      <c r="A9" s="55" t="s">
        <v>224</v>
      </c>
      <c r="B9" s="150" t="s">
        <v>225</v>
      </c>
      <c r="C9" s="149"/>
      <c r="D9" s="149"/>
      <c r="E9" s="21" t="s">
        <v>490</v>
      </c>
      <c r="F9" s="36"/>
      <c r="G9" s="36"/>
    </row>
    <row r="11" spans="1:16" ht="29.4" customHeight="1" x14ac:dyDescent="0.35">
      <c r="B11" s="51" t="s">
        <v>226</v>
      </c>
      <c r="G11" s="145" t="s">
        <v>447</v>
      </c>
      <c r="H11" s="146"/>
      <c r="I11" s="146"/>
      <c r="J11" s="146"/>
      <c r="K11" s="146"/>
      <c r="L11" s="146"/>
      <c r="M11" s="146"/>
      <c r="N11" s="146"/>
      <c r="O11" s="146"/>
    </row>
    <row r="12" spans="1:16" x14ac:dyDescent="0.35">
      <c r="B12" s="51"/>
      <c r="C12" s="94"/>
      <c r="G12" s="145" t="s">
        <v>456</v>
      </c>
      <c r="H12" s="145" t="s">
        <v>448</v>
      </c>
      <c r="I12" s="151"/>
      <c r="J12" s="151"/>
      <c r="K12" s="151"/>
      <c r="L12" s="151"/>
      <c r="M12" s="151"/>
      <c r="N12" s="151"/>
      <c r="O12" s="151"/>
    </row>
    <row r="13" spans="1:16" ht="26" x14ac:dyDescent="0.3">
      <c r="B13" s="147" t="s">
        <v>231</v>
      </c>
      <c r="C13" s="95" t="s">
        <v>446</v>
      </c>
      <c r="D13" s="95" t="s">
        <v>453</v>
      </c>
      <c r="E13" s="96" t="s">
        <v>454</v>
      </c>
      <c r="F13" s="96" t="s">
        <v>455</v>
      </c>
      <c r="G13" s="146"/>
      <c r="H13" s="151" t="s">
        <v>227</v>
      </c>
      <c r="I13" s="151"/>
      <c r="J13" s="151" t="s">
        <v>228</v>
      </c>
      <c r="K13" s="151"/>
      <c r="L13" s="151" t="s">
        <v>229</v>
      </c>
      <c r="M13" s="151"/>
      <c r="N13" s="151" t="s">
        <v>230</v>
      </c>
      <c r="O13" s="151"/>
    </row>
    <row r="14" spans="1:16" x14ac:dyDescent="0.35">
      <c r="B14" s="148"/>
      <c r="C14" s="97" t="s">
        <v>449</v>
      </c>
      <c r="D14" s="97" t="s">
        <v>450</v>
      </c>
      <c r="E14" s="97" t="s">
        <v>451</v>
      </c>
      <c r="F14" s="97" t="s">
        <v>452</v>
      </c>
      <c r="G14" s="146"/>
      <c r="H14" s="98" t="s">
        <v>446</v>
      </c>
      <c r="I14" s="99" t="s">
        <v>232</v>
      </c>
      <c r="J14" s="98" t="s">
        <v>446</v>
      </c>
      <c r="K14" s="99" t="s">
        <v>232</v>
      </c>
      <c r="L14" s="98" t="s">
        <v>446</v>
      </c>
      <c r="M14" s="99" t="s">
        <v>232</v>
      </c>
      <c r="N14" s="98" t="s">
        <v>446</v>
      </c>
      <c r="O14" s="100" t="s">
        <v>232</v>
      </c>
    </row>
    <row r="15" spans="1:16" ht="45" customHeight="1" x14ac:dyDescent="0.35">
      <c r="B15" s="8"/>
      <c r="C15" s="8" t="s">
        <v>507</v>
      </c>
      <c r="D15" s="8" t="s">
        <v>510</v>
      </c>
      <c r="E15" s="131" t="s">
        <v>8</v>
      </c>
      <c r="F15" s="18">
        <v>1.8499999999999999E-2</v>
      </c>
      <c r="G15" s="139"/>
      <c r="H15" s="8"/>
      <c r="I15" s="19"/>
      <c r="J15" s="8"/>
      <c r="K15" s="19"/>
      <c r="L15" s="8"/>
      <c r="M15" s="19"/>
      <c r="N15" s="8"/>
      <c r="O15" s="19"/>
    </row>
    <row r="16" spans="1:16" ht="45" customHeight="1" x14ac:dyDescent="0.35">
      <c r="B16" s="8"/>
      <c r="C16" s="8" t="s">
        <v>508</v>
      </c>
      <c r="D16" s="8" t="s">
        <v>511</v>
      </c>
      <c r="E16" s="131" t="s">
        <v>218</v>
      </c>
      <c r="F16" s="18">
        <v>7.0999999999999994E-2</v>
      </c>
      <c r="G16" s="8"/>
      <c r="H16" s="8"/>
      <c r="I16" s="19"/>
      <c r="J16" s="8"/>
      <c r="K16" s="19"/>
      <c r="L16" s="8"/>
      <c r="M16" s="19"/>
      <c r="N16" s="8"/>
      <c r="O16" s="19"/>
    </row>
    <row r="17" spans="2:15" ht="45" customHeight="1" x14ac:dyDescent="0.35">
      <c r="B17" s="8"/>
      <c r="C17" s="8" t="s">
        <v>509</v>
      </c>
      <c r="D17" s="8" t="s">
        <v>512</v>
      </c>
      <c r="E17" s="131" t="s">
        <v>223</v>
      </c>
      <c r="F17" s="18">
        <v>0.91049999999999998</v>
      </c>
      <c r="G17" s="8"/>
      <c r="H17" s="8"/>
      <c r="I17" s="19"/>
      <c r="J17" s="8"/>
      <c r="K17" s="19"/>
      <c r="L17" s="8"/>
      <c r="M17" s="19"/>
      <c r="N17" s="8"/>
      <c r="O17" s="19"/>
    </row>
    <row r="18" spans="2:15" ht="45" customHeight="1" x14ac:dyDescent="0.35">
      <c r="B18" s="8"/>
      <c r="C18" s="8"/>
      <c r="D18" s="8"/>
      <c r="E18" s="131"/>
      <c r="F18" s="18"/>
      <c r="G18" s="8"/>
      <c r="H18" s="8"/>
      <c r="I18" s="19"/>
      <c r="J18" s="8"/>
      <c r="K18" s="19"/>
      <c r="L18" s="8"/>
      <c r="M18" s="19"/>
      <c r="N18" s="8"/>
      <c r="O18" s="19"/>
    </row>
    <row r="19" spans="2:15" ht="45" customHeight="1" x14ac:dyDescent="0.35">
      <c r="B19" s="8"/>
      <c r="C19" s="8"/>
      <c r="D19" s="8"/>
      <c r="E19" s="131"/>
      <c r="F19" s="18"/>
      <c r="G19" s="8"/>
      <c r="H19" s="8"/>
      <c r="I19" s="19"/>
      <c r="J19" s="8"/>
      <c r="K19" s="19"/>
      <c r="L19" s="8"/>
      <c r="M19" s="19"/>
      <c r="N19" s="8"/>
      <c r="O19" s="19"/>
    </row>
    <row r="20" spans="2:15" ht="45" customHeight="1" x14ac:dyDescent="0.35">
      <c r="B20" s="8"/>
      <c r="C20" s="8"/>
      <c r="D20" s="8"/>
      <c r="E20" s="131"/>
      <c r="F20" s="18"/>
      <c r="G20" s="8"/>
      <c r="H20" s="8"/>
      <c r="I20" s="19"/>
      <c r="J20" s="8"/>
      <c r="K20" s="19"/>
      <c r="L20" s="8"/>
      <c r="M20" s="19"/>
      <c r="N20" s="8"/>
      <c r="O20" s="19"/>
    </row>
    <row r="21" spans="2:15" ht="45" customHeight="1" x14ac:dyDescent="0.35">
      <c r="B21" s="8"/>
      <c r="C21" s="8"/>
      <c r="D21" s="8"/>
      <c r="E21" s="131"/>
      <c r="F21" s="18"/>
      <c r="G21" s="8"/>
      <c r="H21" s="8"/>
      <c r="I21" s="19"/>
      <c r="J21" s="8"/>
      <c r="K21" s="19"/>
      <c r="L21" s="8"/>
      <c r="M21" s="19"/>
      <c r="N21" s="8"/>
      <c r="O21" s="19"/>
    </row>
    <row r="22" spans="2:15" ht="45" customHeight="1" x14ac:dyDescent="0.35">
      <c r="B22" s="8"/>
      <c r="C22" s="8"/>
      <c r="D22" s="8"/>
      <c r="E22" s="131"/>
      <c r="F22" s="18"/>
      <c r="G22" s="8"/>
      <c r="H22" s="8"/>
      <c r="I22" s="19"/>
      <c r="J22" s="8"/>
      <c r="K22" s="19"/>
      <c r="L22" s="8"/>
      <c r="M22" s="19"/>
      <c r="N22" s="8"/>
      <c r="O22" s="19"/>
    </row>
    <row r="23" spans="2:15" ht="45" customHeight="1" x14ac:dyDescent="0.35">
      <c r="B23" s="8"/>
      <c r="C23" s="8"/>
      <c r="D23" s="8"/>
      <c r="E23" s="131"/>
      <c r="F23" s="18"/>
      <c r="G23" s="8"/>
      <c r="H23" s="8"/>
      <c r="I23" s="19"/>
      <c r="J23" s="8"/>
      <c r="K23" s="19"/>
      <c r="L23" s="8"/>
      <c r="M23" s="19"/>
      <c r="N23" s="8"/>
      <c r="O23" s="19"/>
    </row>
    <row r="24" spans="2:15" ht="45" customHeight="1" x14ac:dyDescent="0.35">
      <c r="B24" s="8"/>
      <c r="C24" s="8"/>
      <c r="D24" s="8"/>
      <c r="E24" s="131"/>
      <c r="F24" s="18"/>
      <c r="G24" s="8"/>
      <c r="H24" s="8"/>
      <c r="I24" s="19"/>
      <c r="J24" s="8"/>
      <c r="K24" s="19"/>
      <c r="L24" s="8"/>
      <c r="M24" s="19"/>
      <c r="N24" s="8"/>
      <c r="O24" s="19"/>
    </row>
    <row r="25" spans="2:15" ht="45" customHeight="1" x14ac:dyDescent="0.35">
      <c r="B25" s="8"/>
      <c r="C25" s="8"/>
      <c r="D25" s="8"/>
      <c r="E25" s="131"/>
      <c r="F25" s="18"/>
      <c r="G25" s="8"/>
      <c r="H25" s="8"/>
      <c r="I25" s="19"/>
      <c r="J25" s="8"/>
      <c r="K25" s="19"/>
      <c r="L25" s="8"/>
      <c r="M25" s="19"/>
      <c r="N25" s="8"/>
      <c r="O25" s="19"/>
    </row>
    <row r="26" spans="2:15" ht="45" customHeight="1" x14ac:dyDescent="0.35">
      <c r="B26" s="8"/>
      <c r="C26" s="8"/>
      <c r="D26" s="8"/>
      <c r="E26" s="131"/>
      <c r="F26" s="18"/>
      <c r="G26" s="8"/>
      <c r="H26" s="8"/>
      <c r="I26" s="19"/>
      <c r="J26" s="8"/>
      <c r="K26" s="19"/>
      <c r="L26" s="8"/>
      <c r="M26" s="19"/>
      <c r="N26" s="8"/>
      <c r="O26" s="19"/>
    </row>
    <row r="27" spans="2:15" ht="45" customHeight="1" x14ac:dyDescent="0.35">
      <c r="B27" s="8"/>
      <c r="C27" s="8"/>
      <c r="D27" s="8"/>
      <c r="E27" s="131"/>
      <c r="F27" s="18"/>
      <c r="G27" s="8"/>
      <c r="H27" s="8"/>
      <c r="I27" s="19"/>
      <c r="J27" s="8"/>
      <c r="K27" s="19"/>
      <c r="L27" s="8"/>
      <c r="M27" s="19"/>
      <c r="N27" s="8"/>
      <c r="O27" s="19"/>
    </row>
    <row r="28" spans="2:15" ht="45" customHeight="1" x14ac:dyDescent="0.35">
      <c r="B28" s="8"/>
      <c r="C28" s="8"/>
      <c r="D28" s="8"/>
      <c r="E28" s="131"/>
      <c r="F28" s="18"/>
      <c r="G28" s="8"/>
      <c r="H28" s="8"/>
      <c r="I28" s="19"/>
      <c r="J28" s="8"/>
      <c r="K28" s="19"/>
      <c r="L28" s="8"/>
      <c r="M28" s="19"/>
      <c r="N28" s="8"/>
      <c r="O28" s="19"/>
    </row>
    <row r="29" spans="2:15" ht="45" customHeight="1" x14ac:dyDescent="0.35">
      <c r="B29" s="8"/>
      <c r="C29" s="8"/>
      <c r="D29" s="8"/>
      <c r="E29" s="131"/>
      <c r="F29" s="18"/>
      <c r="G29" s="8"/>
      <c r="H29" s="8"/>
      <c r="I29" s="19"/>
      <c r="J29" s="8"/>
      <c r="K29" s="19"/>
      <c r="L29" s="8"/>
      <c r="M29" s="19"/>
      <c r="N29" s="8"/>
      <c r="O29" s="19"/>
    </row>
    <row r="30" spans="2:15" x14ac:dyDescent="0.3">
      <c r="C30" s="101"/>
      <c r="D30" s="101"/>
      <c r="E30" s="101"/>
      <c r="F30" s="101"/>
      <c r="G30" s="101"/>
      <c r="H30" s="55"/>
      <c r="I30" s="55"/>
      <c r="J30" s="55"/>
      <c r="K30" s="55"/>
      <c r="L30" s="55"/>
      <c r="M30" s="55"/>
      <c r="N30" s="55"/>
      <c r="O30" s="55"/>
    </row>
  </sheetData>
  <sheetProtection algorithmName="SHA-512" hashValue="EPpZgZ73hcHYx6Q2VQ5G/szAJC52UuiiN833aAFmimZU0eqNBv6WmhQo2DGj91IT5LyF9peaYQkFLByy5J039g==" saltValue="NEYZpX0jdrinmenON0w17g==" spinCount="100000" sheet="1" objects="1" scenarios="1"/>
  <mergeCells count="13">
    <mergeCell ref="G11:O11"/>
    <mergeCell ref="B13:B14"/>
    <mergeCell ref="G12:G14"/>
    <mergeCell ref="B5:D5"/>
    <mergeCell ref="B6:D6"/>
    <mergeCell ref="B7:D7"/>
    <mergeCell ref="B9:D9"/>
    <mergeCell ref="B8:D8"/>
    <mergeCell ref="H13:I13"/>
    <mergeCell ref="J13:K13"/>
    <mergeCell ref="L13:M13"/>
    <mergeCell ref="N13:O13"/>
    <mergeCell ref="H12:O12"/>
  </mergeCells>
  <phoneticPr fontId="2" type="noConversion"/>
  <dataValidations count="6">
    <dataValidation type="decimal" allowBlank="1" showInputMessage="1" showErrorMessage="1" error="Esta célula deverá conter um valor entre 0% e 100%" sqref="I15:I29 M15:M29 K15:K29 F15:F29 O15:O29" xr:uid="{D6671C2A-9FB6-4DAF-B7E8-9D55F90756DD}">
      <formula1>0</formula1>
      <formula2>1</formula2>
    </dataValidation>
    <dataValidation type="list" allowBlank="1" showInputMessage="1" showErrorMessage="1" sqref="E15:E29" xr:uid="{589DF26C-5C16-4E03-AEC8-526E04557D0A}">
      <formula1>$P$3:$P$8</formula1>
    </dataValidation>
    <dataValidation type="list" allowBlank="1" showInputMessage="1" showErrorMessage="1" sqref="E5:E9" xr:uid="{54CD622C-7543-48AE-9A72-6E5B22B7A8C7}">
      <formula1>"Sim,Não"</formula1>
    </dataValidation>
    <dataValidation type="textLength" operator="lessThanOrEqual" allowBlank="1" showInputMessage="1" showErrorMessage="1" error="Este campo não pode exceder 100 caracteres." sqref="N15:N29 L15:L29 J15:J29 H15:H29 C15:C29" xr:uid="{D09D48A3-9B58-4509-90F3-8B1C7BAA9351}">
      <formula1>100</formula1>
    </dataValidation>
    <dataValidation type="textLength" operator="lessThanOrEqual" allowBlank="1" showInputMessage="1" showErrorMessage="1" error="Este campo não pode exceder 20 caracteres." sqref="B15:B29" xr:uid="{FB525914-82C3-4469-BEA8-97043B227976}">
      <formula1>20</formula1>
    </dataValidation>
    <dataValidation type="textLength" operator="lessThanOrEqual" allowBlank="1" showInputMessage="1" showErrorMessage="1" error="Este campo não pode exceder 1000 caracteres." sqref="D15 D16:D29 G16:G29" xr:uid="{172BF28A-2133-47AE-A9CD-DDA93AF23079}">
      <formula1>1000</formula1>
    </dataValidation>
  </dataValidations>
  <pageMargins left="0.7" right="0.7" top="0.75" bottom="0.75" header="0.3" footer="0.3"/>
  <pageSetup paperSize="8" scale="61"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0FA5-75DF-45B8-9EFF-D0B4AEF902D3}">
  <sheetPr>
    <pageSetUpPr fitToPage="1"/>
  </sheetPr>
  <dimension ref="A1:K16"/>
  <sheetViews>
    <sheetView showGridLines="0" zoomScaleNormal="100" workbookViewId="0">
      <selection activeCell="I6" sqref="I6"/>
    </sheetView>
  </sheetViews>
  <sheetFormatPr defaultColWidth="8.90625" defaultRowHeight="13" x14ac:dyDescent="0.35"/>
  <cols>
    <col min="1" max="1" width="8.90625" style="36"/>
    <col min="2" max="2" width="46.90625" style="36" customWidth="1"/>
    <col min="3" max="6" width="24.6328125" style="36" customWidth="1"/>
    <col min="7" max="7" width="24.6328125" style="91" customWidth="1"/>
    <col min="8" max="10" width="24.6328125" style="36" customWidth="1"/>
    <col min="11" max="16384" width="8.90625" style="36"/>
  </cols>
  <sheetData>
    <row r="1" spans="1:11" x14ac:dyDescent="0.3">
      <c r="B1" s="28" t="s">
        <v>0</v>
      </c>
      <c r="C1" s="90"/>
      <c r="D1" s="90"/>
      <c r="E1" s="90"/>
      <c r="K1" s="104"/>
    </row>
    <row r="2" spans="1:11" x14ac:dyDescent="0.35">
      <c r="B2" s="92" t="s">
        <v>233</v>
      </c>
      <c r="C2" s="90"/>
      <c r="D2" s="90"/>
      <c r="E2" s="90"/>
      <c r="K2" s="104"/>
    </row>
    <row r="4" spans="1:11" ht="15" customHeight="1" x14ac:dyDescent="0.35">
      <c r="C4" s="152" t="s">
        <v>234</v>
      </c>
      <c r="D4" s="154"/>
      <c r="E4" s="154"/>
      <c r="F4" s="153"/>
      <c r="G4" s="152" t="s">
        <v>235</v>
      </c>
      <c r="H4" s="154"/>
      <c r="I4" s="154"/>
      <c r="J4" s="153"/>
    </row>
    <row r="5" spans="1:11" ht="39" x14ac:dyDescent="0.35">
      <c r="A5" s="38" t="s">
        <v>41</v>
      </c>
      <c r="C5" s="83" t="s">
        <v>236</v>
      </c>
      <c r="D5" s="83" t="s">
        <v>237</v>
      </c>
      <c r="E5" s="83" t="s">
        <v>238</v>
      </c>
      <c r="F5" s="83" t="s">
        <v>239</v>
      </c>
      <c r="G5" s="83" t="s">
        <v>236</v>
      </c>
      <c r="H5" s="83" t="s">
        <v>237</v>
      </c>
      <c r="I5" s="83" t="s">
        <v>238</v>
      </c>
      <c r="J5" s="83" t="s">
        <v>239</v>
      </c>
      <c r="K5" s="105"/>
    </row>
    <row r="6" spans="1:11" x14ac:dyDescent="0.35">
      <c r="B6" s="106" t="s">
        <v>240</v>
      </c>
      <c r="G6" s="10">
        <v>2868287</v>
      </c>
      <c r="H6" s="10">
        <v>850134</v>
      </c>
      <c r="I6" s="10">
        <v>287360</v>
      </c>
      <c r="J6" s="107">
        <f>SUM(G6:I6)</f>
        <v>4005781</v>
      </c>
    </row>
    <row r="7" spans="1:11" ht="15" customHeight="1" x14ac:dyDescent="0.3">
      <c r="A7" s="55" t="s">
        <v>241</v>
      </c>
      <c r="B7" s="106" t="s">
        <v>242</v>
      </c>
      <c r="C7" s="12">
        <v>8.9999999999999998E-4</v>
      </c>
      <c r="D7" s="12">
        <v>1.25E-3</v>
      </c>
      <c r="E7" s="12">
        <v>1.6000000000000001E-3</v>
      </c>
      <c r="F7" s="12">
        <v>1.0200000000000001E-3</v>
      </c>
      <c r="G7" s="108"/>
      <c r="H7" s="108"/>
      <c r="I7" s="108"/>
      <c r="J7" s="108"/>
    </row>
    <row r="8" spans="1:11" ht="15" customHeight="1" x14ac:dyDescent="0.3">
      <c r="A8" s="55" t="s">
        <v>243</v>
      </c>
      <c r="B8" s="106" t="s">
        <v>244</v>
      </c>
      <c r="C8" s="12">
        <v>4.0000000000000002E-4</v>
      </c>
      <c r="D8" s="12">
        <v>1.4999999999999999E-4</v>
      </c>
      <c r="E8" s="12">
        <v>5.9999999999999995E-4</v>
      </c>
      <c r="F8" s="12">
        <v>3.6999999999999999E-4</v>
      </c>
      <c r="G8" s="108"/>
      <c r="H8" s="108"/>
      <c r="I8" s="108"/>
      <c r="J8" s="108"/>
    </row>
    <row r="9" spans="1:11" ht="15" customHeight="1" x14ac:dyDescent="0.3">
      <c r="A9" s="55" t="s">
        <v>245</v>
      </c>
      <c r="B9" s="106" t="s">
        <v>246</v>
      </c>
      <c r="C9" s="12">
        <v>2.0000000000000002E-5</v>
      </c>
      <c r="D9" s="12">
        <v>8.0000000000000007E-5</v>
      </c>
      <c r="E9" s="12">
        <v>1E-4</v>
      </c>
      <c r="F9" s="12">
        <v>4.0000000000000003E-5</v>
      </c>
      <c r="G9" s="108"/>
      <c r="H9" s="108"/>
      <c r="I9" s="108"/>
      <c r="J9" s="108"/>
    </row>
    <row r="10" spans="1:11" ht="15" customHeight="1" x14ac:dyDescent="0.3">
      <c r="A10" s="55" t="s">
        <v>247</v>
      </c>
      <c r="B10" s="106" t="s">
        <v>248</v>
      </c>
      <c r="C10" s="12">
        <v>6.0000000000000002E-5</v>
      </c>
      <c r="D10" s="12">
        <v>6.0000000000000002E-5</v>
      </c>
      <c r="E10" s="12">
        <v>1E-4</v>
      </c>
      <c r="F10" s="12">
        <v>6.0000000000000002E-5</v>
      </c>
      <c r="G10" s="108"/>
      <c r="H10" s="108"/>
      <c r="I10" s="108"/>
      <c r="J10" s="108"/>
    </row>
    <row r="11" spans="1:11" x14ac:dyDescent="0.35">
      <c r="C11" s="109"/>
      <c r="D11" s="109"/>
      <c r="E11" s="105"/>
    </row>
    <row r="12" spans="1:11" x14ac:dyDescent="0.3">
      <c r="A12" s="55" t="s">
        <v>249</v>
      </c>
      <c r="C12" s="152" t="s">
        <v>250</v>
      </c>
      <c r="D12" s="153"/>
      <c r="E12" s="152" t="s">
        <v>440</v>
      </c>
      <c r="F12" s="153"/>
      <c r="G12" s="36"/>
    </row>
    <row r="13" spans="1:11" x14ac:dyDescent="0.35">
      <c r="B13" s="106" t="s">
        <v>242</v>
      </c>
      <c r="C13" s="143" t="s">
        <v>513</v>
      </c>
      <c r="D13" s="143"/>
      <c r="E13" s="143" t="s">
        <v>514</v>
      </c>
      <c r="F13" s="143"/>
      <c r="G13" s="36"/>
    </row>
    <row r="14" spans="1:11" x14ac:dyDescent="0.35">
      <c r="B14" s="106" t="s">
        <v>244</v>
      </c>
      <c r="C14" s="143" t="s">
        <v>513</v>
      </c>
      <c r="D14" s="143"/>
      <c r="E14" s="143" t="s">
        <v>514</v>
      </c>
      <c r="F14" s="143"/>
      <c r="G14" s="36"/>
    </row>
    <row r="15" spans="1:11" x14ac:dyDescent="0.35">
      <c r="B15" s="106" t="s">
        <v>246</v>
      </c>
      <c r="C15" s="143" t="s">
        <v>513</v>
      </c>
      <c r="D15" s="143"/>
      <c r="E15" s="143" t="s">
        <v>514</v>
      </c>
      <c r="F15" s="143"/>
      <c r="G15" s="36"/>
    </row>
    <row r="16" spans="1:11" x14ac:dyDescent="0.35">
      <c r="B16" s="106" t="s">
        <v>248</v>
      </c>
      <c r="C16" s="143" t="s">
        <v>513</v>
      </c>
      <c r="D16" s="143"/>
      <c r="E16" s="143" t="s">
        <v>514</v>
      </c>
      <c r="F16" s="143"/>
      <c r="G16" s="36"/>
    </row>
  </sheetData>
  <sheetProtection algorithmName="SHA-512" hashValue="HeoMnLw8fOx9zR6M+gnbyKIQsT1qTo2LFvbt827vupWfhQW/THV2hmXmGZIHsWJBV5gXUtxWHBTjOQTb/9XMBA==" saltValue="cxclBp3K05tn1XsevD/rJg==" spinCount="100000" sheet="1" objects="1" scenarios="1"/>
  <mergeCells count="12">
    <mergeCell ref="C4:F4"/>
    <mergeCell ref="G4:J4"/>
    <mergeCell ref="C12:D12"/>
    <mergeCell ref="C13:D13"/>
    <mergeCell ref="C14:D14"/>
    <mergeCell ref="C15:D15"/>
    <mergeCell ref="C16:D16"/>
    <mergeCell ref="E12:F12"/>
    <mergeCell ref="E13:F13"/>
    <mergeCell ref="E14:F14"/>
    <mergeCell ref="E15:F15"/>
    <mergeCell ref="E16:F16"/>
  </mergeCells>
  <dataValidations count="4">
    <dataValidation type="decimal" allowBlank="1" showInputMessage="1" showErrorMessage="1" error="Esta célula deverá conter um valor entre 0% e 100%" sqref="C7:F10" xr:uid="{DEBDAB18-E56C-4B0D-8206-936FAF36F35E}">
      <formula1>0</formula1>
      <formula2>1</formula2>
    </dataValidation>
    <dataValidation type="whole" operator="greaterThanOrEqual" allowBlank="1" showInputMessage="1" showErrorMessage="1" error="Esta célula deverá conter um valor inteiro maior ou igual a zero" sqref="G6:J10" xr:uid="{544F3043-A088-4E92-AEF8-BAAD42584ACE}">
      <formula1>0</formula1>
    </dataValidation>
    <dataValidation type="textLength" operator="lessThanOrEqual" allowBlank="1" showInputMessage="1" showErrorMessage="1" error="Este campo não pode exceder 500 caracteres." sqref="C13:D16" xr:uid="{2CBA7EFE-DE98-46DE-BE6E-33E887197F38}">
      <formula1>500</formula1>
    </dataValidation>
    <dataValidation type="textLength" operator="lessThanOrEqual" allowBlank="1" showInputMessage="1" showErrorMessage="1" error="Este campo não pode exceder 100 caracteres." sqref="E13:F16" xr:uid="{014F346C-C555-47F3-B6E3-89D829BC64D3}">
      <formula1>100</formula1>
    </dataValidation>
  </dataValidations>
  <pageMargins left="0.7" right="0.7" top="0.75" bottom="0.75" header="0.3" footer="0.3"/>
  <pageSetup paperSize="8" scale="84" fitToHeight="0" orientation="landscape" r:id="rId1"/>
  <ignoredErrors>
    <ignoredError sqref="J6" unlocked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E6555-99DE-49E8-9553-75C2B2771901}">
  <sheetPr>
    <pageSetUpPr fitToPage="1"/>
  </sheetPr>
  <dimension ref="A1:D15"/>
  <sheetViews>
    <sheetView showGridLines="0" zoomScale="99" zoomScaleNormal="99" workbookViewId="0">
      <selection activeCell="C9" sqref="C9"/>
    </sheetView>
  </sheetViews>
  <sheetFormatPr defaultColWidth="8.90625" defaultRowHeight="13" x14ac:dyDescent="0.3"/>
  <cols>
    <col min="1" max="1" width="8.90625" style="36"/>
    <col min="2" max="2" width="79.54296875" style="29" customWidth="1"/>
    <col min="3" max="4" width="18" style="29" customWidth="1"/>
    <col min="5" max="16384" width="8.90625" style="29"/>
  </cols>
  <sheetData>
    <row r="1" spans="1:4" x14ac:dyDescent="0.3">
      <c r="B1" s="28" t="s">
        <v>0</v>
      </c>
    </row>
    <row r="2" spans="1:4" x14ac:dyDescent="0.3">
      <c r="B2" s="37" t="s">
        <v>251</v>
      </c>
    </row>
    <row r="4" spans="1:4" x14ac:dyDescent="0.3">
      <c r="A4" s="38" t="s">
        <v>41</v>
      </c>
      <c r="B4" s="51"/>
    </row>
    <row r="5" spans="1:4" ht="26" x14ac:dyDescent="0.3">
      <c r="B5" s="51" t="s">
        <v>252</v>
      </c>
      <c r="C5" s="83" t="s">
        <v>253</v>
      </c>
      <c r="D5" s="83" t="s">
        <v>254</v>
      </c>
    </row>
    <row r="6" spans="1:4" ht="26" x14ac:dyDescent="0.3">
      <c r="A6" s="110" t="s">
        <v>255</v>
      </c>
      <c r="B6" s="82" t="s">
        <v>256</v>
      </c>
      <c r="C6" s="10">
        <v>0</v>
      </c>
      <c r="D6" s="12">
        <v>0</v>
      </c>
    </row>
    <row r="7" spans="1:4" x14ac:dyDescent="0.3">
      <c r="A7" s="111"/>
    </row>
    <row r="8" spans="1:4" ht="26" x14ac:dyDescent="0.3">
      <c r="A8" s="111"/>
      <c r="B8" s="51" t="s">
        <v>257</v>
      </c>
      <c r="C8" s="83" t="s">
        <v>253</v>
      </c>
      <c r="D8" s="83" t="s">
        <v>254</v>
      </c>
    </row>
    <row r="9" spans="1:4" ht="26" x14ac:dyDescent="0.3">
      <c r="A9" s="110" t="s">
        <v>258</v>
      </c>
      <c r="B9" s="82" t="s">
        <v>259</v>
      </c>
      <c r="C9" s="10">
        <v>15318</v>
      </c>
      <c r="D9" s="12">
        <v>0.104</v>
      </c>
    </row>
    <row r="10" spans="1:4" ht="26" x14ac:dyDescent="0.3">
      <c r="A10" s="110" t="s">
        <v>260</v>
      </c>
      <c r="B10" s="82" t="s">
        <v>261</v>
      </c>
      <c r="C10" s="10">
        <v>17571</v>
      </c>
      <c r="D10" s="12">
        <v>1</v>
      </c>
    </row>
    <row r="11" spans="1:4" x14ac:dyDescent="0.3">
      <c r="A11" s="111"/>
      <c r="B11" s="76"/>
    </row>
    <row r="12" spans="1:4" ht="26" x14ac:dyDescent="0.3">
      <c r="A12" s="111"/>
      <c r="B12" s="51" t="s">
        <v>262</v>
      </c>
      <c r="C12" s="83" t="s">
        <v>253</v>
      </c>
      <c r="D12" s="83" t="s">
        <v>254</v>
      </c>
    </row>
    <row r="13" spans="1:4" ht="39" x14ac:dyDescent="0.3">
      <c r="A13" s="110" t="s">
        <v>263</v>
      </c>
      <c r="B13" s="82" t="s">
        <v>264</v>
      </c>
      <c r="C13" s="10">
        <v>0</v>
      </c>
      <c r="D13" s="13">
        <v>0</v>
      </c>
    </row>
    <row r="14" spans="1:4" ht="43.5" customHeight="1" x14ac:dyDescent="0.3">
      <c r="A14" s="110" t="s">
        <v>265</v>
      </c>
      <c r="B14" s="82" t="s">
        <v>266</v>
      </c>
      <c r="C14" s="10">
        <v>0</v>
      </c>
      <c r="D14" s="13">
        <v>0</v>
      </c>
    </row>
    <row r="15" spans="1:4" x14ac:dyDescent="0.3">
      <c r="B15" s="80"/>
    </row>
  </sheetData>
  <sheetProtection algorithmName="SHA-512" hashValue="fZmb+rFAwzLCHyiQqY46xSBx5Ix+vvvOAW36xe2NdCy2VLS36mL7dpuJgV91PL1EvGTO56/sHYjen+HSNh+3BA==" saltValue="GfKYR0gpNlZ96bKOYm/+GA==" spinCount="100000" sheet="1" objects="1" scenarios="1"/>
  <dataValidations count="2">
    <dataValidation type="whole" operator="greaterThanOrEqual" allowBlank="1" showInputMessage="1" showErrorMessage="1" error="Esta célula deverá conter um valor inteiro maior ou igual a zero" sqref="C6 C9:C10 C13:C14" xr:uid="{9B7BCD78-7D31-4E5B-B9A7-C0AA9FE98112}">
      <formula1>0</formula1>
    </dataValidation>
    <dataValidation type="decimal" allowBlank="1" showInputMessage="1" showErrorMessage="1" error="Esta célula deverá conter um valor entre 0% e 100%" sqref="D6 D9:D10 D13:D14" xr:uid="{DAE4EF76-B2EC-462C-8B31-3CA903B306E0}">
      <formula1>0</formula1>
      <formula2>1</formula2>
    </dataValidation>
  </dataValidations>
  <pageMargins left="0.7" right="0.7" top="0.75" bottom="0.75" header="0.3" footer="0.3"/>
  <pageSetup paperSize="8"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4906A-DBF9-4193-8FFF-64C4188E5BBE}">
  <sheetPr>
    <pageSetUpPr fitToPage="1"/>
  </sheetPr>
  <dimension ref="A1:D11"/>
  <sheetViews>
    <sheetView showGridLines="0" zoomScale="112" zoomScaleNormal="112" workbookViewId="0">
      <selection activeCell="G16" sqref="G16"/>
    </sheetView>
  </sheetViews>
  <sheetFormatPr defaultColWidth="8.90625" defaultRowHeight="13" x14ac:dyDescent="0.3"/>
  <cols>
    <col min="1" max="1" width="8.90625" style="36"/>
    <col min="2" max="2" width="75.54296875" style="29" customWidth="1"/>
    <col min="3" max="4" width="18" style="29" customWidth="1"/>
    <col min="5" max="16384" width="8.90625" style="29"/>
  </cols>
  <sheetData>
    <row r="1" spans="1:4" x14ac:dyDescent="0.3">
      <c r="B1" s="28" t="s">
        <v>0</v>
      </c>
    </row>
    <row r="2" spans="1:4" x14ac:dyDescent="0.3">
      <c r="B2" s="37" t="s">
        <v>267</v>
      </c>
    </row>
    <row r="4" spans="1:4" ht="26" x14ac:dyDescent="0.3">
      <c r="A4" s="38" t="s">
        <v>41</v>
      </c>
      <c r="B4" s="112" t="s">
        <v>268</v>
      </c>
      <c r="C4" s="83" t="s">
        <v>253</v>
      </c>
      <c r="D4" s="83" t="s">
        <v>254</v>
      </c>
    </row>
    <row r="5" spans="1:4" ht="26" x14ac:dyDescent="0.3">
      <c r="A5" s="42" t="s">
        <v>269</v>
      </c>
      <c r="B5" s="82" t="s">
        <v>270</v>
      </c>
      <c r="C5" s="10">
        <v>0</v>
      </c>
      <c r="D5" s="12">
        <v>0</v>
      </c>
    </row>
    <row r="6" spans="1:4" x14ac:dyDescent="0.3">
      <c r="B6" s="82"/>
    </row>
    <row r="7" spans="1:4" ht="26" x14ac:dyDescent="0.3">
      <c r="B7" s="112" t="s">
        <v>271</v>
      </c>
      <c r="C7" s="83" t="s">
        <v>253</v>
      </c>
      <c r="D7" s="83" t="s">
        <v>254</v>
      </c>
    </row>
    <row r="8" spans="1:4" ht="39" x14ac:dyDescent="0.3">
      <c r="A8" s="42" t="s">
        <v>272</v>
      </c>
      <c r="B8" s="82" t="s">
        <v>273</v>
      </c>
      <c r="C8" s="10">
        <v>1128</v>
      </c>
      <c r="D8" s="12">
        <v>1.8599999999999998E-2</v>
      </c>
    </row>
    <row r="9" spans="1:4" ht="39" x14ac:dyDescent="0.3">
      <c r="A9" s="42" t="s">
        <v>274</v>
      </c>
      <c r="B9" s="82" t="s">
        <v>275</v>
      </c>
      <c r="C9" s="10">
        <v>26683</v>
      </c>
      <c r="D9" s="12">
        <v>0.44230000000000003</v>
      </c>
    </row>
    <row r="10" spans="1:4" ht="26" x14ac:dyDescent="0.3">
      <c r="A10" s="42" t="s">
        <v>276</v>
      </c>
      <c r="B10" s="82" t="s">
        <v>277</v>
      </c>
      <c r="C10" s="10">
        <v>21</v>
      </c>
      <c r="D10" s="12">
        <v>8.9999999999999998E-4</v>
      </c>
    </row>
    <row r="11" spans="1:4" ht="26" x14ac:dyDescent="0.3">
      <c r="A11" s="42" t="s">
        <v>278</v>
      </c>
      <c r="B11" s="82" t="s">
        <v>279</v>
      </c>
      <c r="C11" s="10">
        <v>8</v>
      </c>
      <c r="D11" s="12">
        <v>1E-4</v>
      </c>
    </row>
  </sheetData>
  <sheetProtection algorithmName="SHA-512" hashValue="e43QWtHMrO+QkBE6qobEQmee3QuKwsqEjaqKZEHRS/P70mAzrLYPoSwEz98k/GXCC12uFhAi2auVcunRgL4MwA==" saltValue="R+EjAlQd2Wfkogqj/rJyJA==" spinCount="100000" sheet="1" objects="1" scenarios="1"/>
  <dataValidations count="2">
    <dataValidation type="decimal" allowBlank="1" showInputMessage="1" showErrorMessage="1" error="Esta célula deverá conter um valor entre 0% e 100%" sqref="D5 D8:D11" xr:uid="{C22BBE32-EDEA-4D69-9DCE-9AB5DF804726}">
      <formula1>0</formula1>
      <formula2>1</formula2>
    </dataValidation>
    <dataValidation type="whole" operator="greaterThanOrEqual" allowBlank="1" showInputMessage="1" showErrorMessage="1" error="Esta célula deverá conter um valor inteiro maior ou igual a zero" sqref="C5 C8:C11" xr:uid="{330755CB-69AD-4A93-ADEE-F11BE6836C9F}">
      <formula1>0</formula1>
    </dataValidation>
  </dataValidations>
  <pageMargins left="0.7" right="0.7" top="0.75" bottom="0.75" header="0.3" footer="0.3"/>
  <pageSetup paperSize="8"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B5162-E94A-4162-9A3E-A4996947613D}">
  <sheetPr>
    <pageSetUpPr fitToPage="1"/>
  </sheetPr>
  <dimension ref="A1:J26"/>
  <sheetViews>
    <sheetView showGridLines="0" zoomScale="82" zoomScaleNormal="82" workbookViewId="0">
      <selection activeCell="G11" sqref="G11"/>
    </sheetView>
  </sheetViews>
  <sheetFormatPr defaultColWidth="8.90625" defaultRowHeight="13" x14ac:dyDescent="0.35"/>
  <cols>
    <col min="1" max="1" width="8.90625" style="36"/>
    <col min="2" max="2" width="58.54296875" style="36" customWidth="1"/>
    <col min="3" max="3" width="36.08984375" style="36" customWidth="1"/>
    <col min="4" max="4" width="15.453125" style="36" customWidth="1"/>
    <col min="5" max="5" width="24.90625" style="91" customWidth="1"/>
    <col min="6" max="16384" width="8.90625" style="36"/>
  </cols>
  <sheetData>
    <row r="1" spans="1:10" x14ac:dyDescent="0.3">
      <c r="B1" s="28" t="s">
        <v>0</v>
      </c>
      <c r="C1" s="90"/>
    </row>
    <row r="2" spans="1:10" x14ac:dyDescent="0.35">
      <c r="B2" s="92" t="s">
        <v>280</v>
      </c>
      <c r="C2" s="90"/>
    </row>
    <row r="4" spans="1:10" x14ac:dyDescent="0.35">
      <c r="A4" s="113" t="s">
        <v>281</v>
      </c>
      <c r="B4" s="51" t="s">
        <v>282</v>
      </c>
      <c r="C4" s="94"/>
    </row>
    <row r="5" spans="1:10" x14ac:dyDescent="0.35">
      <c r="B5" s="51"/>
      <c r="C5" s="94"/>
    </row>
    <row r="6" spans="1:10" x14ac:dyDescent="0.35">
      <c r="B6" s="51"/>
      <c r="C6" s="94"/>
    </row>
    <row r="7" spans="1:10" ht="52" x14ac:dyDescent="0.35">
      <c r="A7" s="114">
        <v>6</v>
      </c>
      <c r="B7" s="83" t="s">
        <v>283</v>
      </c>
      <c r="C7" s="83" t="s">
        <v>284</v>
      </c>
      <c r="D7" s="83" t="s">
        <v>285</v>
      </c>
      <c r="E7" s="83" t="s">
        <v>286</v>
      </c>
    </row>
    <row r="8" spans="1:10" ht="15" customHeight="1" x14ac:dyDescent="0.35">
      <c r="B8" s="21" t="s">
        <v>523</v>
      </c>
      <c r="C8" s="21" t="s">
        <v>290</v>
      </c>
      <c r="D8" s="21" t="s">
        <v>524</v>
      </c>
      <c r="E8" s="10">
        <v>1737</v>
      </c>
      <c r="J8" s="117" t="s">
        <v>287</v>
      </c>
    </row>
    <row r="9" spans="1:10" ht="15" customHeight="1" x14ac:dyDescent="0.35">
      <c r="B9" s="21"/>
      <c r="C9" s="21"/>
      <c r="D9" s="21"/>
      <c r="E9" s="10"/>
      <c r="J9" s="117" t="s">
        <v>288</v>
      </c>
    </row>
    <row r="10" spans="1:10" ht="15" customHeight="1" x14ac:dyDescent="0.35">
      <c r="B10" s="21"/>
      <c r="C10" s="21"/>
      <c r="D10" s="21"/>
      <c r="E10" s="10"/>
      <c r="J10" s="117" t="s">
        <v>289</v>
      </c>
    </row>
    <row r="11" spans="1:10" ht="15" customHeight="1" x14ac:dyDescent="0.35">
      <c r="B11" s="21"/>
      <c r="C11" s="21"/>
      <c r="D11" s="21"/>
      <c r="E11" s="10"/>
      <c r="J11" s="117" t="s">
        <v>290</v>
      </c>
    </row>
    <row r="12" spans="1:10" ht="15" customHeight="1" x14ac:dyDescent="0.35">
      <c r="B12" s="21"/>
      <c r="C12" s="21"/>
      <c r="D12" s="21"/>
      <c r="E12" s="10"/>
    </row>
    <row r="13" spans="1:10" ht="15" customHeight="1" x14ac:dyDescent="0.35">
      <c r="B13" s="21"/>
      <c r="C13" s="21"/>
      <c r="D13" s="21"/>
      <c r="E13" s="10"/>
    </row>
    <row r="14" spans="1:10" ht="15" customHeight="1" x14ac:dyDescent="0.35">
      <c r="B14" s="21"/>
      <c r="C14" s="21"/>
      <c r="D14" s="21"/>
      <c r="E14" s="10"/>
    </row>
    <row r="15" spans="1:10" ht="15" customHeight="1" x14ac:dyDescent="0.35">
      <c r="B15" s="21"/>
      <c r="C15" s="21"/>
      <c r="D15" s="21"/>
      <c r="E15" s="10"/>
    </row>
    <row r="16" spans="1:10" ht="15" customHeight="1" x14ac:dyDescent="0.35">
      <c r="B16" s="21"/>
      <c r="C16" s="21"/>
      <c r="D16" s="21"/>
      <c r="E16" s="10"/>
    </row>
    <row r="17" spans="1:5" ht="15" customHeight="1" x14ac:dyDescent="0.35">
      <c r="B17" s="21"/>
      <c r="C17" s="21"/>
      <c r="D17" s="21"/>
      <c r="E17" s="10"/>
    </row>
    <row r="18" spans="1:5" ht="15" customHeight="1" x14ac:dyDescent="0.35">
      <c r="B18" s="21"/>
      <c r="C18" s="21"/>
      <c r="D18" s="21"/>
      <c r="E18" s="10"/>
    </row>
    <row r="19" spans="1:5" ht="15" customHeight="1" x14ac:dyDescent="0.35">
      <c r="B19" s="21"/>
      <c r="C19" s="21"/>
      <c r="D19" s="21"/>
      <c r="E19" s="10"/>
    </row>
    <row r="20" spans="1:5" ht="15" customHeight="1" x14ac:dyDescent="0.35">
      <c r="B20" s="21"/>
      <c r="C20" s="21"/>
      <c r="D20" s="21"/>
      <c r="E20" s="10"/>
    </row>
    <row r="21" spans="1:5" ht="15" customHeight="1" x14ac:dyDescent="0.35">
      <c r="B21" s="21"/>
      <c r="C21" s="21"/>
      <c r="D21" s="21"/>
      <c r="E21" s="10"/>
    </row>
    <row r="22" spans="1:5" ht="15" customHeight="1" x14ac:dyDescent="0.35">
      <c r="B22" s="21"/>
      <c r="C22" s="21"/>
      <c r="D22" s="21"/>
      <c r="E22" s="10"/>
    </row>
    <row r="23" spans="1:5" x14ac:dyDescent="0.3">
      <c r="B23" s="55"/>
      <c r="C23" s="55"/>
      <c r="D23" s="55"/>
      <c r="E23" s="55"/>
    </row>
    <row r="24" spans="1:5" x14ac:dyDescent="0.35">
      <c r="C24" s="115"/>
      <c r="D24" s="116"/>
    </row>
    <row r="25" spans="1:5" ht="15" customHeight="1" x14ac:dyDescent="0.35">
      <c r="B25" s="51" t="s">
        <v>291</v>
      </c>
    </row>
    <row r="26" spans="1:5" ht="27.75" customHeight="1" x14ac:dyDescent="0.35">
      <c r="A26" s="114">
        <v>7</v>
      </c>
      <c r="B26" s="155" t="s">
        <v>292</v>
      </c>
      <c r="C26" s="155"/>
      <c r="D26" s="155"/>
      <c r="E26" s="21" t="s">
        <v>490</v>
      </c>
    </row>
  </sheetData>
  <sheetProtection algorithmName="SHA-512" hashValue="ZXX7XnXFa2mzxE1xg0MbV+6D0tMPWMk5rjxWJauuW3gJuCIm9jAdq2LNDO+I3Pt1379eQW2kK5DcmOnWgSRqUg==" saltValue="eC3Qvaro6ikoyUMaesevQA==" spinCount="100000" sheet="1" objects="1" scenarios="1"/>
  <mergeCells count="1">
    <mergeCell ref="B26:D26"/>
  </mergeCells>
  <dataValidations count="5">
    <dataValidation type="whole" operator="greaterThanOrEqual" allowBlank="1" showInputMessage="1" showErrorMessage="1" error="Esta célula deverá conter um valor inteiro maior ou igual a zero" sqref="E8:E22" xr:uid="{73335087-4A69-4C6A-87BA-B0631A3D957E}">
      <formula1>0</formula1>
    </dataValidation>
    <dataValidation type="list" allowBlank="1" showInputMessage="1" showErrorMessage="1" sqref="E26" xr:uid="{4F75E380-C177-4F7A-B69E-B80147634040}">
      <formula1>"Sim,Não"</formula1>
    </dataValidation>
    <dataValidation type="list" allowBlank="1" showInputMessage="1" showErrorMessage="1" sqref="C8:C22" xr:uid="{09E17FA1-46E5-40C1-9EB5-2D17D8BCA735}">
      <formula1>$J$8:$J$11</formula1>
    </dataValidation>
    <dataValidation type="textLength" operator="equal" allowBlank="1" showInputMessage="1" showErrorMessage="1" error="Esta célula deverá conter um código ISO 3166-1 alpha 3" sqref="D8:D22" xr:uid="{E21EA18B-2455-4448-8831-63B294EC4C77}">
      <formula1>3</formula1>
    </dataValidation>
    <dataValidation type="textLength" operator="lessThanOrEqual" allowBlank="1" showInputMessage="1" showErrorMessage="1" error="Este campo não pode exceder 100 caracteres." sqref="B8:B22" xr:uid="{83DAFED6-6115-421E-9B7C-8A8BB0429FE1}">
      <formula1>100</formula1>
    </dataValidation>
  </dataValidations>
  <pageMargins left="0.7" right="0.7" top="0.75" bottom="0.75" header="0.3" footer="0.3"/>
  <pageSetup paperSize="8" scale="90"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10378-3734-4C86-AEA6-AA1B8EB6BCB9}">
  <sheetPr>
    <pageSetUpPr fitToPage="1"/>
  </sheetPr>
  <dimension ref="A1:I14"/>
  <sheetViews>
    <sheetView showGridLines="0" zoomScaleNormal="100" workbookViewId="0">
      <selection activeCell="C5" sqref="C5:I5"/>
    </sheetView>
  </sheetViews>
  <sheetFormatPr defaultColWidth="8.90625" defaultRowHeight="13" x14ac:dyDescent="0.3"/>
  <cols>
    <col min="1" max="1" width="8.90625" style="36"/>
    <col min="2" max="2" width="70" style="29" customWidth="1"/>
    <col min="3" max="4" width="18" style="29" customWidth="1"/>
    <col min="5" max="16384" width="8.90625" style="29"/>
  </cols>
  <sheetData>
    <row r="1" spans="1:9" x14ac:dyDescent="0.3">
      <c r="B1" s="28" t="s">
        <v>0</v>
      </c>
    </row>
    <row r="2" spans="1:9" x14ac:dyDescent="0.3">
      <c r="B2" s="37" t="s">
        <v>293</v>
      </c>
    </row>
    <row r="4" spans="1:9" x14ac:dyDescent="0.3">
      <c r="A4" s="38" t="s">
        <v>281</v>
      </c>
      <c r="B4" s="35" t="s">
        <v>294</v>
      </c>
    </row>
    <row r="5" spans="1:9" ht="100" customHeight="1" x14ac:dyDescent="0.3">
      <c r="A5" s="68" t="s">
        <v>295</v>
      </c>
      <c r="B5" s="118" t="s">
        <v>296</v>
      </c>
      <c r="C5" s="156" t="s">
        <v>521</v>
      </c>
      <c r="D5" s="157"/>
      <c r="E5" s="157"/>
      <c r="F5" s="157"/>
      <c r="G5" s="157"/>
      <c r="H5" s="157"/>
      <c r="I5" s="157"/>
    </row>
    <row r="6" spans="1:9" x14ac:dyDescent="0.3">
      <c r="A6" s="38"/>
    </row>
    <row r="7" spans="1:9" x14ac:dyDescent="0.3">
      <c r="A7" s="38"/>
      <c r="B7" s="35" t="s">
        <v>297</v>
      </c>
    </row>
    <row r="8" spans="1:9" x14ac:dyDescent="0.3">
      <c r="A8" s="29"/>
      <c r="C8" s="83" t="s">
        <v>253</v>
      </c>
      <c r="D8" s="83" t="s">
        <v>298</v>
      </c>
    </row>
    <row r="9" spans="1:9" s="36" customFormat="1" ht="23" customHeight="1" x14ac:dyDescent="0.35">
      <c r="A9" s="42" t="s">
        <v>299</v>
      </c>
      <c r="B9" s="94" t="s">
        <v>300</v>
      </c>
      <c r="C9" s="10">
        <v>955</v>
      </c>
      <c r="D9" s="2">
        <v>844501763</v>
      </c>
    </row>
    <row r="10" spans="1:9" s="36" customFormat="1" ht="36" customHeight="1" x14ac:dyDescent="0.35">
      <c r="A10" s="42" t="s">
        <v>301</v>
      </c>
      <c r="B10" s="94" t="s">
        <v>302</v>
      </c>
      <c r="C10" s="10">
        <v>955</v>
      </c>
      <c r="D10" s="2">
        <v>844501763</v>
      </c>
    </row>
    <row r="11" spans="1:9" s="36" customFormat="1" ht="36" customHeight="1" x14ac:dyDescent="0.35">
      <c r="A11" s="42" t="s">
        <v>303</v>
      </c>
      <c r="B11" s="94" t="s">
        <v>304</v>
      </c>
      <c r="C11" s="10">
        <v>0</v>
      </c>
      <c r="D11" s="2">
        <v>0</v>
      </c>
    </row>
    <row r="12" spans="1:9" s="36" customFormat="1" ht="23" customHeight="1" x14ac:dyDescent="0.35">
      <c r="A12" s="42" t="s">
        <v>305</v>
      </c>
      <c r="B12" s="94" t="s">
        <v>306</v>
      </c>
      <c r="C12" s="10">
        <v>250</v>
      </c>
    </row>
    <row r="13" spans="1:9" s="36" customFormat="1" ht="23" customHeight="1" x14ac:dyDescent="0.35">
      <c r="A13" s="42" t="s">
        <v>307</v>
      </c>
      <c r="B13" s="94" t="s">
        <v>308</v>
      </c>
      <c r="C13" s="10">
        <v>0</v>
      </c>
    </row>
    <row r="14" spans="1:9" ht="26" x14ac:dyDescent="0.3">
      <c r="A14" s="42" t="s">
        <v>309</v>
      </c>
      <c r="B14" s="119" t="s">
        <v>310</v>
      </c>
      <c r="C14" s="10">
        <v>7681</v>
      </c>
    </row>
  </sheetData>
  <sheetProtection algorithmName="SHA-512" hashValue="tp9OVZWOfYxcWJ6YQF78hK6LdS1vO8CooXFg+d4o5c3RIi4YPMXNJQn2iBRGHnbJvLyMSK37chMQfVvCREuolA==" saltValue="4JxTOL1oJdX9xQO6r9XWjQ==" spinCount="100000" sheet="1" objects="1" scenarios="1"/>
  <mergeCells count="1">
    <mergeCell ref="C5:I5"/>
  </mergeCells>
  <dataValidations count="3">
    <dataValidation type="whole" operator="greaterThanOrEqual" allowBlank="1" showInputMessage="1" showErrorMessage="1" error="Esta célula deverá conter um valor inteiro maior ou igual a zero" sqref="C9:C14" xr:uid="{5B79778D-C14B-41DF-92FA-02B39967A8B1}">
      <formula1>0</formula1>
    </dataValidation>
    <dataValidation type="decimal" operator="greaterThanOrEqual" allowBlank="1" showInputMessage="1" showErrorMessage="1" error="Esta célula deverá conter um valor maior ou igual a zero" sqref="D9:D11" xr:uid="{87D93B51-2465-4F4B-A447-AA6F49749DB3}">
      <formula1>0</formula1>
    </dataValidation>
    <dataValidation type="textLength" operator="lessThanOrEqual" allowBlank="1" showInputMessage="1" showErrorMessage="1" error="Este campo não pode exceder 1000 caracteres." sqref="C5:I5" xr:uid="{7A15F25F-CF8A-482C-9690-325A2DB92F92}">
      <formula1>1000</formula1>
    </dataValidation>
  </dataValidations>
  <pageMargins left="0.7" right="0.7" top="0.75" bottom="0.75" header="0.3" footer="0.3"/>
  <pageSetup paperSize="8"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84973-E222-474B-82B0-1A42EFEEEF4B}">
  <sheetPr>
    <pageSetUpPr fitToPage="1"/>
  </sheetPr>
  <dimension ref="A1:I10"/>
  <sheetViews>
    <sheetView showGridLines="0" zoomScaleNormal="100" workbookViewId="0">
      <selection activeCell="C5" sqref="C5:I5"/>
    </sheetView>
  </sheetViews>
  <sheetFormatPr defaultColWidth="8.90625" defaultRowHeight="13" x14ac:dyDescent="0.3"/>
  <cols>
    <col min="1" max="1" width="8.90625" style="29"/>
    <col min="2" max="2" width="73.90625" style="29" customWidth="1"/>
    <col min="3" max="4" width="15.6328125" style="29" customWidth="1"/>
    <col min="5" max="16384" width="8.90625" style="29"/>
  </cols>
  <sheetData>
    <row r="1" spans="1:9" x14ac:dyDescent="0.3">
      <c r="B1" s="28" t="s">
        <v>0</v>
      </c>
    </row>
    <row r="2" spans="1:9" x14ac:dyDescent="0.3">
      <c r="B2" s="120" t="s">
        <v>311</v>
      </c>
    </row>
    <row r="4" spans="1:9" x14ac:dyDescent="0.3">
      <c r="A4" s="38" t="s">
        <v>281</v>
      </c>
      <c r="B4" s="35" t="s">
        <v>294</v>
      </c>
    </row>
    <row r="5" spans="1:9" ht="100" customHeight="1" x14ac:dyDescent="0.3">
      <c r="A5" s="68" t="s">
        <v>312</v>
      </c>
      <c r="B5" s="118" t="s">
        <v>313</v>
      </c>
      <c r="C5" s="156" t="s">
        <v>519</v>
      </c>
      <c r="D5" s="157"/>
      <c r="E5" s="157"/>
      <c r="F5" s="157"/>
      <c r="G5" s="157"/>
      <c r="H5" s="157"/>
      <c r="I5" s="157"/>
    </row>
    <row r="6" spans="1:9" x14ac:dyDescent="0.3">
      <c r="A6" s="38"/>
    </row>
    <row r="7" spans="1:9" x14ac:dyDescent="0.3">
      <c r="A7" s="38"/>
      <c r="B7" s="35" t="s">
        <v>314</v>
      </c>
      <c r="C7" s="83" t="s">
        <v>253</v>
      </c>
    </row>
    <row r="8" spans="1:9" s="36" customFormat="1" ht="28.5" customHeight="1" x14ac:dyDescent="0.35">
      <c r="A8" s="42" t="s">
        <v>315</v>
      </c>
      <c r="B8" s="94" t="s">
        <v>316</v>
      </c>
      <c r="C8" s="10">
        <v>0</v>
      </c>
    </row>
    <row r="9" spans="1:9" s="36" customFormat="1" ht="55.5" customHeight="1" x14ac:dyDescent="0.35">
      <c r="A9" s="42" t="s">
        <v>317</v>
      </c>
      <c r="B9" s="94" t="s">
        <v>318</v>
      </c>
      <c r="C9" s="10">
        <v>0</v>
      </c>
    </row>
    <row r="10" spans="1:9" s="36" customFormat="1" ht="39" x14ac:dyDescent="0.35">
      <c r="A10" s="42" t="s">
        <v>319</v>
      </c>
      <c r="B10" s="94" t="s">
        <v>320</v>
      </c>
      <c r="C10" s="10">
        <v>0</v>
      </c>
    </row>
  </sheetData>
  <sheetProtection algorithmName="SHA-512" hashValue="bx5J9VDPJ+QYt3aEUGInXJ7fOHr06+cGIn+B6ow3glLPLhRkHgZfUP4seeKHSo2KbHMym2hskGSrFQdf3vugSg==" saltValue="takjid1BaO154TQU3a8m3A==" spinCount="100000" sheet="1" objects="1" scenarios="1"/>
  <mergeCells count="1">
    <mergeCell ref="C5:I5"/>
  </mergeCells>
  <dataValidations count="2">
    <dataValidation type="whole" operator="greaterThanOrEqual" allowBlank="1" showInputMessage="1" showErrorMessage="1" error="Esta célula deverá conter um valor inteiro maior ou igual a zero" sqref="C8:C10" xr:uid="{8C8DADCD-8285-44E4-BED7-C5912DBF682E}">
      <formula1>0</formula1>
    </dataValidation>
    <dataValidation type="textLength" operator="lessThanOrEqual" allowBlank="1" showInputMessage="1" showErrorMessage="1" error="Este campo não pode exceder 1000 caracteres." sqref="C5:I5" xr:uid="{0A42FA6A-96AC-40E7-9FF3-4C5460BBD50A}">
      <formula1>1000</formula1>
    </dataValidation>
  </dataValidations>
  <pageMargins left="0.7" right="0.7" top="0.75" bottom="0.75" header="0.3" footer="0.3"/>
  <pageSetup paperSize="8"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8C907-209F-49B4-BD8A-91D71D6E64A1}">
  <sheetPr>
    <pageSetUpPr fitToPage="1"/>
  </sheetPr>
  <dimension ref="A1:I20"/>
  <sheetViews>
    <sheetView showGridLines="0" zoomScale="85" zoomScaleNormal="85" workbookViewId="0">
      <selection activeCell="B26" sqref="B26"/>
    </sheetView>
  </sheetViews>
  <sheetFormatPr defaultColWidth="8.90625" defaultRowHeight="13" x14ac:dyDescent="0.3"/>
  <cols>
    <col min="1" max="1" width="8.90625" style="29"/>
    <col min="2" max="2" width="73.90625" style="29" customWidth="1"/>
    <col min="3" max="5" width="13.453125" style="29" customWidth="1"/>
    <col min="6" max="16384" width="8.90625" style="29"/>
  </cols>
  <sheetData>
    <row r="1" spans="1:9" x14ac:dyDescent="0.3">
      <c r="B1" s="28" t="s">
        <v>0</v>
      </c>
    </row>
    <row r="2" spans="1:9" x14ac:dyDescent="0.3">
      <c r="B2" s="120" t="s">
        <v>321</v>
      </c>
    </row>
    <row r="3" spans="1:9" x14ac:dyDescent="0.3">
      <c r="B3" s="121"/>
    </row>
    <row r="4" spans="1:9" x14ac:dyDescent="0.3">
      <c r="A4" s="38" t="s">
        <v>281</v>
      </c>
      <c r="B4" s="120" t="s">
        <v>294</v>
      </c>
    </row>
    <row r="5" spans="1:9" ht="100" customHeight="1" x14ac:dyDescent="0.3">
      <c r="A5" s="68" t="s">
        <v>322</v>
      </c>
      <c r="B5" s="118" t="s">
        <v>323</v>
      </c>
      <c r="C5" s="156" t="s">
        <v>515</v>
      </c>
      <c r="D5" s="157"/>
      <c r="E5" s="157"/>
      <c r="F5" s="157"/>
      <c r="G5" s="157"/>
      <c r="H5" s="157"/>
      <c r="I5" s="157"/>
    </row>
    <row r="6" spans="1:9" x14ac:dyDescent="0.3">
      <c r="B6" s="121"/>
    </row>
    <row r="7" spans="1:9" x14ac:dyDescent="0.3">
      <c r="B7" s="120" t="s">
        <v>436</v>
      </c>
    </row>
    <row r="8" spans="1:9" ht="39" x14ac:dyDescent="0.3">
      <c r="C8" s="83" t="s">
        <v>324</v>
      </c>
      <c r="D8" s="83" t="s">
        <v>325</v>
      </c>
      <c r="E8" s="83" t="s">
        <v>326</v>
      </c>
    </row>
    <row r="9" spans="1:9" s="36" customFormat="1" x14ac:dyDescent="0.35">
      <c r="B9" s="122" t="s">
        <v>327</v>
      </c>
    </row>
    <row r="10" spans="1:9" s="36" customFormat="1" ht="30" customHeight="1" x14ac:dyDescent="0.35">
      <c r="A10" s="42" t="s">
        <v>328</v>
      </c>
      <c r="B10" s="70" t="s">
        <v>329</v>
      </c>
      <c r="C10" s="10">
        <v>0</v>
      </c>
      <c r="D10" s="10">
        <v>0</v>
      </c>
      <c r="E10" s="10">
        <v>0</v>
      </c>
    </row>
    <row r="11" spans="1:9" s="36" customFormat="1" ht="30" customHeight="1" x14ac:dyDescent="0.35">
      <c r="A11" s="42" t="s">
        <v>330</v>
      </c>
      <c r="B11" s="70" t="s">
        <v>331</v>
      </c>
      <c r="C11" s="10">
        <v>0</v>
      </c>
      <c r="D11" s="10">
        <v>0</v>
      </c>
      <c r="E11" s="10">
        <v>0</v>
      </c>
    </row>
    <row r="12" spans="1:9" s="36" customFormat="1" ht="30" customHeight="1" x14ac:dyDescent="0.35">
      <c r="A12" s="42" t="s">
        <v>332</v>
      </c>
      <c r="B12" s="70" t="s">
        <v>333</v>
      </c>
      <c r="C12" s="10">
        <v>0</v>
      </c>
      <c r="D12" s="10">
        <v>0</v>
      </c>
      <c r="E12" s="10">
        <v>0</v>
      </c>
    </row>
    <row r="13" spans="1:9" s="36" customFormat="1" ht="18.649999999999999" customHeight="1" x14ac:dyDescent="0.35">
      <c r="A13" s="42"/>
      <c r="B13" s="122" t="s">
        <v>334</v>
      </c>
      <c r="C13" s="123"/>
      <c r="D13" s="123"/>
      <c r="E13" s="123"/>
    </row>
    <row r="14" spans="1:9" s="36" customFormat="1" ht="30" customHeight="1" x14ac:dyDescent="0.35">
      <c r="A14" s="42" t="s">
        <v>328</v>
      </c>
      <c r="B14" s="70" t="s">
        <v>329</v>
      </c>
      <c r="C14" s="10">
        <v>0</v>
      </c>
      <c r="D14" s="10">
        <v>0</v>
      </c>
      <c r="E14" s="10">
        <v>0</v>
      </c>
    </row>
    <row r="15" spans="1:9" s="36" customFormat="1" ht="30" customHeight="1" x14ac:dyDescent="0.35">
      <c r="A15" s="42" t="s">
        <v>330</v>
      </c>
      <c r="B15" s="70" t="s">
        <v>331</v>
      </c>
      <c r="C15" s="10">
        <v>0</v>
      </c>
      <c r="D15" s="10">
        <v>0</v>
      </c>
      <c r="E15" s="10">
        <v>0</v>
      </c>
    </row>
    <row r="16" spans="1:9" s="36" customFormat="1" ht="30" customHeight="1" x14ac:dyDescent="0.35">
      <c r="A16" s="42" t="s">
        <v>332</v>
      </c>
      <c r="B16" s="70" t="s">
        <v>333</v>
      </c>
      <c r="C16" s="10">
        <v>0</v>
      </c>
      <c r="D16" s="10">
        <v>0</v>
      </c>
      <c r="E16" s="10">
        <v>0</v>
      </c>
    </row>
    <row r="17" spans="1:5" s="36" customFormat="1" ht="18.649999999999999" customHeight="1" x14ac:dyDescent="0.35">
      <c r="A17" s="42"/>
      <c r="B17" s="122" t="s">
        <v>335</v>
      </c>
      <c r="C17" s="123"/>
      <c r="D17" s="123"/>
      <c r="E17" s="123"/>
    </row>
    <row r="18" spans="1:5" ht="30" customHeight="1" x14ac:dyDescent="0.3">
      <c r="A18" s="42" t="s">
        <v>328</v>
      </c>
      <c r="B18" s="70" t="s">
        <v>329</v>
      </c>
      <c r="C18" s="10">
        <v>0</v>
      </c>
      <c r="D18" s="10">
        <v>0</v>
      </c>
      <c r="E18" s="10">
        <v>0</v>
      </c>
    </row>
    <row r="19" spans="1:5" ht="30" customHeight="1" x14ac:dyDescent="0.3">
      <c r="A19" s="42" t="s">
        <v>330</v>
      </c>
      <c r="B19" s="70" t="s">
        <v>331</v>
      </c>
      <c r="C19" s="10">
        <v>0</v>
      </c>
      <c r="D19" s="10">
        <v>0</v>
      </c>
      <c r="E19" s="10">
        <v>0</v>
      </c>
    </row>
    <row r="20" spans="1:5" ht="30" customHeight="1" x14ac:dyDescent="0.3">
      <c r="A20" s="42" t="s">
        <v>332</v>
      </c>
      <c r="B20" s="70" t="s">
        <v>333</v>
      </c>
      <c r="C20" s="10">
        <v>0</v>
      </c>
      <c r="D20" s="10">
        <v>0</v>
      </c>
      <c r="E20" s="10">
        <v>0</v>
      </c>
    </row>
  </sheetData>
  <sheetProtection algorithmName="SHA-512" hashValue="XtW0ih4qxQCz5j9bpwSwpF+J3uH0iQYKU5zIxQaWBIYYXnK6GNXAhSqsoKg8V6I60JoGnkuz3Z16wOjv9VWxOg==" saltValue="03PVV5Pmm5o6lWG9WsBZcQ==" spinCount="100000" sheet="1" objects="1" scenarios="1"/>
  <mergeCells count="1">
    <mergeCell ref="C5:I5"/>
  </mergeCells>
  <dataValidations count="2">
    <dataValidation type="whole" operator="greaterThanOrEqual" allowBlank="1" showInputMessage="1" showErrorMessage="1" error="Esta célula deverá conter um valor inteiro maior ou igual a zero" sqref="C14:E16 C10:E12 C18:E20" xr:uid="{260BA3D6-2AAA-4D2F-A3DC-D03B9359B793}">
      <formula1>0</formula1>
    </dataValidation>
    <dataValidation type="textLength" operator="lessThanOrEqual" allowBlank="1" showInputMessage="1" showErrorMessage="1" error="Este campo não pode exceder 1000 caracteres." sqref="C5:I5" xr:uid="{6F31DACA-5B3B-4D43-8912-6CC02B4D8B08}">
      <formula1>1000</formula1>
    </dataValidation>
  </dataValidations>
  <pageMargins left="0.7" right="0.7" top="0.75" bottom="0.75" header="0.3" footer="0.3"/>
  <pageSetup paperSize="8"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4111C-A7FD-4D54-A03E-BC2B43F4A800}">
  <sheetPr>
    <pageSetUpPr fitToPage="1"/>
  </sheetPr>
  <dimension ref="A1:I13"/>
  <sheetViews>
    <sheetView showGridLines="0" zoomScaleNormal="100" workbookViewId="0">
      <selection activeCell="E10" sqref="E10"/>
    </sheetView>
  </sheetViews>
  <sheetFormatPr defaultColWidth="8.90625" defaultRowHeight="13" x14ac:dyDescent="0.3"/>
  <cols>
    <col min="1" max="1" width="10.08984375" style="29" customWidth="1"/>
    <col min="2" max="2" width="73.90625" style="29" customWidth="1"/>
    <col min="3" max="4" width="15.54296875" style="29" customWidth="1"/>
    <col min="5" max="5" width="28.54296875" style="29" customWidth="1"/>
    <col min="6" max="16384" width="8.90625" style="29"/>
  </cols>
  <sheetData>
    <row r="1" spans="1:9" x14ac:dyDescent="0.3">
      <c r="B1" s="28" t="s">
        <v>0</v>
      </c>
    </row>
    <row r="2" spans="1:9" x14ac:dyDescent="0.3">
      <c r="B2" s="37" t="s">
        <v>336</v>
      </c>
    </row>
    <row r="4" spans="1:9" x14ac:dyDescent="0.3">
      <c r="A4" s="38" t="s">
        <v>281</v>
      </c>
      <c r="B4" s="35" t="s">
        <v>337</v>
      </c>
    </row>
    <row r="5" spans="1:9" ht="100" customHeight="1" x14ac:dyDescent="0.3">
      <c r="A5" s="68" t="s">
        <v>338</v>
      </c>
      <c r="B5" s="118" t="s">
        <v>339</v>
      </c>
      <c r="C5" s="156" t="s">
        <v>516</v>
      </c>
      <c r="D5" s="157"/>
      <c r="E5" s="157"/>
      <c r="F5" s="157"/>
      <c r="G5" s="157"/>
      <c r="H5" s="157"/>
      <c r="I5" s="157"/>
    </row>
    <row r="7" spans="1:9" x14ac:dyDescent="0.3">
      <c r="C7" s="145" t="s">
        <v>340</v>
      </c>
      <c r="D7" s="145"/>
      <c r="E7" s="145"/>
    </row>
    <row r="8" spans="1:9" x14ac:dyDescent="0.3">
      <c r="A8" s="42" t="s">
        <v>341</v>
      </c>
      <c r="B8" s="35" t="s">
        <v>342</v>
      </c>
      <c r="C8" s="145" t="s">
        <v>343</v>
      </c>
      <c r="D8" s="145" t="s">
        <v>344</v>
      </c>
      <c r="E8" s="145"/>
    </row>
    <row r="9" spans="1:9" s="36" customFormat="1" x14ac:dyDescent="0.35">
      <c r="B9" s="124" t="s">
        <v>345</v>
      </c>
      <c r="C9" s="145"/>
      <c r="D9" s="100" t="s">
        <v>346</v>
      </c>
      <c r="E9" s="83" t="s">
        <v>347</v>
      </c>
    </row>
    <row r="10" spans="1:9" s="36" customFormat="1" ht="47" customHeight="1" x14ac:dyDescent="0.35">
      <c r="B10" s="125" t="s">
        <v>348</v>
      </c>
      <c r="C10" s="21" t="s">
        <v>490</v>
      </c>
      <c r="D10" s="21" t="s">
        <v>491</v>
      </c>
      <c r="E10" s="21" t="s">
        <v>489</v>
      </c>
    </row>
    <row r="11" spans="1:9" s="36" customFormat="1" ht="47" customHeight="1" x14ac:dyDescent="0.35">
      <c r="B11" s="125" t="s">
        <v>349</v>
      </c>
      <c r="C11" s="21" t="s">
        <v>490</v>
      </c>
      <c r="D11" s="21" t="s">
        <v>491</v>
      </c>
      <c r="E11" s="21" t="s">
        <v>489</v>
      </c>
    </row>
    <row r="12" spans="1:9" s="36" customFormat="1" ht="47" customHeight="1" x14ac:dyDescent="0.35">
      <c r="B12" s="125" t="s">
        <v>350</v>
      </c>
      <c r="C12" s="21" t="s">
        <v>490</v>
      </c>
      <c r="D12" s="21" t="s">
        <v>491</v>
      </c>
      <c r="E12" s="21" t="s">
        <v>489</v>
      </c>
    </row>
    <row r="13" spans="1:9" x14ac:dyDescent="0.3">
      <c r="C13" s="42"/>
      <c r="D13" s="42"/>
      <c r="E13" s="42"/>
    </row>
  </sheetData>
  <sheetProtection algorithmName="SHA-512" hashValue="zorr1vjiYVNU8YQbatWEE706vQV8AtMqCMxTd+RaAtExPZf+JdearbqeA1nUfRFDUOoivX4R/A0G9HNjmXBT9g==" saltValue="0UjdOeRpO/NUOFEYFY75lQ==" spinCount="100000" sheet="1" objects="1" scenarios="1"/>
  <mergeCells count="4">
    <mergeCell ref="C7:E7"/>
    <mergeCell ref="D8:E8"/>
    <mergeCell ref="C8:C9"/>
    <mergeCell ref="C5:I5"/>
  </mergeCells>
  <dataValidations count="3">
    <dataValidation type="list" allowBlank="1" showInputMessage="1" showErrorMessage="1" sqref="C10:D12" xr:uid="{DC661739-90F3-4F6F-9BAF-8D74069BE29B}">
      <formula1>"Sim,Não"</formula1>
    </dataValidation>
    <dataValidation type="textLength" operator="lessThanOrEqual" allowBlank="1" showInputMessage="1" showErrorMessage="1" error="Este campo não pode exceder 1000 caracteres." sqref="C5:I5" xr:uid="{486CB878-5297-4215-89A6-C3CFCB66DAFE}">
      <formula1>1000</formula1>
    </dataValidation>
    <dataValidation type="textLength" operator="lessThanOrEqual" allowBlank="1" showInputMessage="1" showErrorMessage="1" error="Este campo não pode exceder 100 caracteres." sqref="E10" xr:uid="{E8C20B98-0023-4301-A741-7739EA9D6501}">
      <formula1>100</formula1>
    </dataValidation>
  </dataValidations>
  <pageMargins left="0.7" right="0.7" top="0.75" bottom="0.75" header="0.3" footer="0.3"/>
  <pageSetup paperSize="8" fitToHeight="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E8A30-280D-4B4C-B312-83433A164EF0}">
  <sheetPr>
    <pageSetUpPr fitToPage="1"/>
  </sheetPr>
  <dimension ref="A1:I13"/>
  <sheetViews>
    <sheetView showGridLines="0" zoomScaleNormal="100" workbookViewId="0">
      <selection activeCell="C8" sqref="C8:I8"/>
    </sheetView>
  </sheetViews>
  <sheetFormatPr defaultColWidth="8.90625" defaultRowHeight="13" x14ac:dyDescent="0.3"/>
  <cols>
    <col min="1" max="1" width="8.90625" style="42"/>
    <col min="2" max="2" width="70" style="29" customWidth="1"/>
    <col min="3" max="4" width="18" style="29" customWidth="1"/>
    <col min="5" max="16384" width="8.90625" style="29"/>
  </cols>
  <sheetData>
    <row r="1" spans="1:9" x14ac:dyDescent="0.3">
      <c r="B1" s="28" t="s">
        <v>0</v>
      </c>
    </row>
    <row r="2" spans="1:9" x14ac:dyDescent="0.3">
      <c r="B2" s="37" t="s">
        <v>351</v>
      </c>
    </row>
    <row r="4" spans="1:9" x14ac:dyDescent="0.3">
      <c r="A4" s="38" t="s">
        <v>41</v>
      </c>
      <c r="B4" s="35" t="s">
        <v>294</v>
      </c>
    </row>
    <row r="5" spans="1:9" ht="120" customHeight="1" x14ac:dyDescent="0.3">
      <c r="A5" s="68" t="s">
        <v>352</v>
      </c>
      <c r="B5" s="118" t="s">
        <v>353</v>
      </c>
      <c r="C5" s="156" t="s">
        <v>520</v>
      </c>
      <c r="D5" s="157"/>
      <c r="E5" s="157"/>
      <c r="F5" s="157"/>
      <c r="G5" s="157"/>
      <c r="H5" s="157"/>
      <c r="I5" s="157"/>
    </row>
    <row r="7" spans="1:9" x14ac:dyDescent="0.3">
      <c r="A7" s="29"/>
      <c r="B7" s="35" t="s">
        <v>354</v>
      </c>
    </row>
    <row r="8" spans="1:9" ht="120" customHeight="1" x14ac:dyDescent="0.3">
      <c r="A8" s="68" t="s">
        <v>355</v>
      </c>
      <c r="B8" s="126" t="s">
        <v>356</v>
      </c>
      <c r="C8" s="156" t="s">
        <v>517</v>
      </c>
      <c r="D8" s="157"/>
      <c r="E8" s="157"/>
      <c r="F8" s="157"/>
      <c r="G8" s="157"/>
      <c r="H8" s="157"/>
      <c r="I8" s="157"/>
    </row>
    <row r="9" spans="1:9" x14ac:dyDescent="0.3">
      <c r="B9" s="127"/>
    </row>
    <row r="10" spans="1:9" x14ac:dyDescent="0.3">
      <c r="A10" s="29"/>
      <c r="B10" s="35" t="s">
        <v>357</v>
      </c>
      <c r="C10" s="83" t="s">
        <v>253</v>
      </c>
      <c r="D10" s="83" t="s">
        <v>298</v>
      </c>
    </row>
    <row r="11" spans="1:9" s="36" customFormat="1" ht="21" customHeight="1" x14ac:dyDescent="0.35">
      <c r="A11" s="42" t="s">
        <v>358</v>
      </c>
      <c r="B11" s="94" t="s">
        <v>359</v>
      </c>
      <c r="C11" s="10">
        <v>144545</v>
      </c>
      <c r="D11" s="2">
        <v>3636771742</v>
      </c>
      <c r="E11" s="42"/>
    </row>
    <row r="12" spans="1:9" s="36" customFormat="1" ht="41" customHeight="1" x14ac:dyDescent="0.35">
      <c r="A12" s="42" t="s">
        <v>360</v>
      </c>
      <c r="B12" s="94" t="s">
        <v>361</v>
      </c>
      <c r="C12" s="10">
        <v>7</v>
      </c>
      <c r="E12" s="42"/>
    </row>
    <row r="13" spans="1:9" ht="41" customHeight="1" x14ac:dyDescent="0.3">
      <c r="A13" s="42" t="s">
        <v>362</v>
      </c>
      <c r="B13" s="94" t="s">
        <v>363</v>
      </c>
      <c r="C13" s="10">
        <v>1</v>
      </c>
      <c r="E13" s="42"/>
    </row>
  </sheetData>
  <sheetProtection algorithmName="SHA-512" hashValue="IziU60iOiODqs7SJVLQuDuPh85/shK1B3HCPoOFtyBUv5u1/uua32u55MPR1eH4ThDPk+yypDoBJAOD0iNHliA==" saltValue="6I5ny6cNZXghkLiZ2UXXRA==" spinCount="100000" sheet="1" objects="1" scenarios="1"/>
  <mergeCells count="2">
    <mergeCell ref="C5:I5"/>
    <mergeCell ref="C8:I8"/>
  </mergeCells>
  <dataValidations count="3">
    <dataValidation type="decimal" operator="greaterThanOrEqual" allowBlank="1" showInputMessage="1" showErrorMessage="1" error="Esta célula deverá conter um valor maior ou igual a zero" sqref="D11" xr:uid="{C5D05B08-D83E-4719-8846-56333436D133}">
      <formula1>0</formula1>
    </dataValidation>
    <dataValidation type="whole" operator="greaterThanOrEqual" allowBlank="1" showInputMessage="1" showErrorMessage="1" error="Esta célula deverá conter um valor inteiro maior ou igual a zero" sqref="C11:C13" xr:uid="{7A7C3DF7-0AE2-44B6-8FA7-F79B9A4C0F07}">
      <formula1>0</formula1>
    </dataValidation>
    <dataValidation type="textLength" operator="lessThanOrEqual" allowBlank="1" showInputMessage="1" showErrorMessage="1" error="Este campo não pode exceder 1000 caracteres." sqref="C5:I5 C8:I8" xr:uid="{DFB2A947-B070-4ED4-B3B6-72C2E2E37840}">
      <formula1>1000</formula1>
    </dataValidation>
  </dataValidations>
  <pageMargins left="0.7" right="0.7" top="0.75" bottom="0.75" header="0.3" footer="0.3"/>
  <pageSetup paperSize="8" fitToHeight="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5EB7D-79B9-4CF1-8FD8-62CF802715FC}">
  <sheetPr>
    <pageSetUpPr fitToPage="1"/>
  </sheetPr>
  <dimension ref="A1:I13"/>
  <sheetViews>
    <sheetView showGridLines="0" zoomScaleNormal="100" workbookViewId="0">
      <selection activeCell="C5" sqref="C5:I5"/>
    </sheetView>
  </sheetViews>
  <sheetFormatPr defaultColWidth="8.90625" defaultRowHeight="13" x14ac:dyDescent="0.3"/>
  <cols>
    <col min="1" max="1" width="8.90625" style="29"/>
    <col min="2" max="2" width="73.90625" style="29" customWidth="1"/>
    <col min="3" max="3" width="18.90625" style="29" customWidth="1"/>
    <col min="4" max="16384" width="8.90625" style="29"/>
  </cols>
  <sheetData>
    <row r="1" spans="1:9" x14ac:dyDescent="0.3">
      <c r="B1" s="28" t="s">
        <v>0</v>
      </c>
    </row>
    <row r="2" spans="1:9" x14ac:dyDescent="0.3">
      <c r="B2" s="37" t="s">
        <v>364</v>
      </c>
    </row>
    <row r="4" spans="1:9" x14ac:dyDescent="0.3">
      <c r="A4" s="38" t="s">
        <v>41</v>
      </c>
      <c r="B4" s="35" t="s">
        <v>294</v>
      </c>
    </row>
    <row r="5" spans="1:9" ht="120" customHeight="1" x14ac:dyDescent="0.3">
      <c r="A5" s="68" t="s">
        <v>365</v>
      </c>
      <c r="B5" s="118" t="s">
        <v>366</v>
      </c>
      <c r="C5" s="156" t="s">
        <v>518</v>
      </c>
      <c r="D5" s="157"/>
      <c r="E5" s="157"/>
      <c r="F5" s="157"/>
      <c r="G5" s="157"/>
      <c r="H5" s="157"/>
      <c r="I5" s="157"/>
    </row>
    <row r="7" spans="1:9" ht="26" x14ac:dyDescent="0.3">
      <c r="B7" s="124" t="s">
        <v>367</v>
      </c>
      <c r="C7" s="83" t="s">
        <v>368</v>
      </c>
    </row>
    <row r="8" spans="1:9" s="36" customFormat="1" ht="23" customHeight="1" x14ac:dyDescent="0.35">
      <c r="A8" s="42" t="s">
        <v>369</v>
      </c>
      <c r="B8" s="70" t="s">
        <v>370</v>
      </c>
      <c r="C8" s="10">
        <v>681</v>
      </c>
    </row>
    <row r="9" spans="1:9" s="36" customFormat="1" ht="23" customHeight="1" x14ac:dyDescent="0.35">
      <c r="A9" s="42" t="s">
        <v>371</v>
      </c>
      <c r="B9" s="70" t="s">
        <v>372</v>
      </c>
      <c r="C9" s="10">
        <v>20</v>
      </c>
    </row>
    <row r="10" spans="1:9" s="36" customFormat="1" ht="23" customHeight="1" x14ac:dyDescent="0.35">
      <c r="A10" s="42" t="s">
        <v>373</v>
      </c>
      <c r="B10" s="70" t="s">
        <v>374</v>
      </c>
      <c r="C10" s="10">
        <v>1597</v>
      </c>
    </row>
    <row r="11" spans="1:9" s="36" customFormat="1" ht="23" customHeight="1" x14ac:dyDescent="0.35">
      <c r="A11" s="42" t="s">
        <v>375</v>
      </c>
      <c r="B11" s="70" t="s">
        <v>376</v>
      </c>
      <c r="C11" s="10">
        <v>0</v>
      </c>
    </row>
    <row r="12" spans="1:9" s="36" customFormat="1" ht="23" customHeight="1" x14ac:dyDescent="0.35">
      <c r="A12" s="42" t="s">
        <v>375</v>
      </c>
      <c r="B12" s="70" t="s">
        <v>377</v>
      </c>
      <c r="C12" s="10">
        <v>3</v>
      </c>
    </row>
    <row r="13" spans="1:9" s="36" customFormat="1" ht="23" customHeight="1" x14ac:dyDescent="0.35">
      <c r="A13" s="42" t="s">
        <v>378</v>
      </c>
      <c r="B13" s="70" t="s">
        <v>379</v>
      </c>
      <c r="C13" s="10">
        <v>45</v>
      </c>
    </row>
  </sheetData>
  <sheetProtection algorithmName="SHA-512" hashValue="259bqHiid80uTz+I2/XR1uJRUIfzA8ykU85AhWtBLjDGwXCSzq6S6iFVuSpmrL6rbIvxfwOvKIuoep+GE8TVsQ==" saltValue="pY2jjSjUjHWqHVi9/WIYIQ==" spinCount="100000" sheet="1" objects="1" scenarios="1"/>
  <mergeCells count="1">
    <mergeCell ref="C5:I5"/>
  </mergeCells>
  <dataValidations count="2">
    <dataValidation type="whole" operator="greaterThanOrEqual" allowBlank="1" showInputMessage="1" showErrorMessage="1" error="Esta célula deverá conter um valor inteiro maior ou igual a zero" sqref="C8:C13" xr:uid="{6471749C-8DA2-4AEF-80C7-731552F94E9A}">
      <formula1>0</formula1>
    </dataValidation>
    <dataValidation type="textLength" operator="lessThanOrEqual" allowBlank="1" showInputMessage="1" showErrorMessage="1" error="Este campo não pode exceder 1000 caracteres." sqref="C5:I5" xr:uid="{AECC6280-71B9-46DA-A2C5-7FCAB800771C}">
      <formula1>1000</formula1>
    </dataValidation>
  </dataValidations>
  <pageMargins left="0.7" right="0.7" top="0.75" bottom="0.75" header="0.3" footer="0.3"/>
  <pageSetup paperSize="8" fitToHeight="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67EC7-34EF-4337-B9B2-79496236762B}">
  <dimension ref="A1:I5"/>
  <sheetViews>
    <sheetView showGridLines="0" zoomScale="115" zoomScaleNormal="115" workbookViewId="0">
      <selection activeCell="C5" sqref="C5:I5"/>
    </sheetView>
  </sheetViews>
  <sheetFormatPr defaultColWidth="8.90625" defaultRowHeight="13" x14ac:dyDescent="0.3"/>
  <cols>
    <col min="1" max="1" width="8.90625" style="29"/>
    <col min="2" max="2" width="73.90625" style="29" customWidth="1"/>
    <col min="3" max="3" width="13.453125" style="29" customWidth="1"/>
    <col min="4" max="16384" width="8.90625" style="29"/>
  </cols>
  <sheetData>
    <row r="1" spans="1:9" x14ac:dyDescent="0.3">
      <c r="B1" s="28" t="s">
        <v>0</v>
      </c>
    </row>
    <row r="2" spans="1:9" x14ac:dyDescent="0.3">
      <c r="B2" s="37" t="s">
        <v>380</v>
      </c>
    </row>
    <row r="4" spans="1:9" x14ac:dyDescent="0.3">
      <c r="A4" s="38" t="s">
        <v>41</v>
      </c>
      <c r="B4" s="35"/>
    </row>
    <row r="5" spans="1:9" ht="120" customHeight="1" x14ac:dyDescent="0.3">
      <c r="A5" s="68">
        <v>14</v>
      </c>
      <c r="B5" s="118" t="s">
        <v>381</v>
      </c>
      <c r="C5" s="156" t="s">
        <v>566</v>
      </c>
      <c r="D5" s="157"/>
      <c r="E5" s="157"/>
      <c r="F5" s="157"/>
      <c r="G5" s="157"/>
      <c r="H5" s="157"/>
      <c r="I5" s="157"/>
    </row>
  </sheetData>
  <sheetProtection algorithmName="SHA-512" hashValue="9oTusYfGWSEBSatfISBrhAln7OGpZEG2cS7T+aUHox1x6JcE8IMAx7dmvspKozs6S0MjancOvOBGEYaGVEexFw==" saltValue="vJiLaCD8Y9KPKxTmWcLslw==" spinCount="100000" sheet="1" objects="1" scenarios="1"/>
  <mergeCells count="1">
    <mergeCell ref="C5:I5"/>
  </mergeCells>
  <dataValidations count="1">
    <dataValidation type="textLength" operator="lessThanOrEqual" allowBlank="1" showInputMessage="1" showErrorMessage="1" error="Este campo não pode exceder 1000 caracteres." sqref="C5:I5" xr:uid="{C6B86B05-3250-448E-821A-C98FB25EBA0C}">
      <formula1>1000</formula1>
    </dataValidation>
  </dataValidations>
  <pageMargins left="0.7" right="0.7" top="0.75" bottom="0.75" header="0.3" footer="0.3"/>
  <pageSetup paperSize="9"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35DC1-E665-4247-8437-B242D171F5E2}">
  <sheetPr>
    <pageSetUpPr fitToPage="1"/>
  </sheetPr>
  <dimension ref="A1:P116"/>
  <sheetViews>
    <sheetView showGridLines="0" topLeftCell="C1" zoomScale="96" zoomScaleNormal="96" workbookViewId="0">
      <selection activeCell="J13" sqref="J13"/>
    </sheetView>
  </sheetViews>
  <sheetFormatPr defaultColWidth="8.90625" defaultRowHeight="13" x14ac:dyDescent="0.35"/>
  <cols>
    <col min="1" max="1" width="8.90625" style="36"/>
    <col min="2" max="2" width="45.6328125" style="36" customWidth="1"/>
    <col min="3" max="3" width="30" style="36" customWidth="1"/>
    <col min="4" max="4" width="17" style="36" customWidth="1"/>
    <col min="5" max="5" width="45.6328125" style="91" customWidth="1"/>
    <col min="6" max="6" width="17.453125" style="91" customWidth="1"/>
    <col min="7" max="7" width="17" style="36" customWidth="1"/>
    <col min="8" max="8" width="17.08984375" style="36" customWidth="1"/>
    <col min="9" max="9" width="45.6328125" style="91" customWidth="1"/>
    <col min="10" max="10" width="18.6328125" style="36" customWidth="1"/>
    <col min="11" max="11" width="17.36328125" style="36" customWidth="1"/>
    <col min="12" max="12" width="19" style="36" customWidth="1"/>
    <col min="13" max="16384" width="8.90625" style="36"/>
  </cols>
  <sheetData>
    <row r="1" spans="1:16" x14ac:dyDescent="0.3">
      <c r="B1" s="28" t="s">
        <v>0</v>
      </c>
      <c r="C1" s="90"/>
      <c r="O1" s="130" t="s">
        <v>382</v>
      </c>
      <c r="P1" s="130" t="s">
        <v>383</v>
      </c>
    </row>
    <row r="2" spans="1:16" x14ac:dyDescent="0.35">
      <c r="B2" s="92" t="s">
        <v>384</v>
      </c>
      <c r="C2" s="90"/>
      <c r="O2" s="103" t="s">
        <v>385</v>
      </c>
      <c r="P2" s="103" t="s">
        <v>386</v>
      </c>
    </row>
    <row r="3" spans="1:16" x14ac:dyDescent="0.35">
      <c r="O3" s="103" t="s">
        <v>387</v>
      </c>
      <c r="P3" s="103" t="s">
        <v>388</v>
      </c>
    </row>
    <row r="4" spans="1:16" x14ac:dyDescent="0.35">
      <c r="A4" s="38" t="s">
        <v>41</v>
      </c>
      <c r="B4" s="106" t="s">
        <v>294</v>
      </c>
    </row>
    <row r="5" spans="1:16" s="29" customFormat="1" ht="120" customHeight="1" x14ac:dyDescent="0.3">
      <c r="A5" s="68" t="s">
        <v>389</v>
      </c>
      <c r="B5" s="118" t="s">
        <v>390</v>
      </c>
      <c r="C5" s="156" t="s">
        <v>569</v>
      </c>
      <c r="D5" s="157"/>
      <c r="E5" s="157"/>
      <c r="F5" s="157"/>
      <c r="G5" s="157"/>
      <c r="H5" s="157"/>
      <c r="I5" s="157"/>
    </row>
    <row r="6" spans="1:16" ht="15" customHeight="1" x14ac:dyDescent="0.35"/>
    <row r="7" spans="1:16" ht="15" customHeight="1" x14ac:dyDescent="0.35">
      <c r="B7" s="51" t="s">
        <v>391</v>
      </c>
    </row>
    <row r="8" spans="1:16" ht="21" customHeight="1" x14ac:dyDescent="0.3">
      <c r="A8" s="42" t="s">
        <v>392</v>
      </c>
      <c r="B8" s="158" t="s">
        <v>393</v>
      </c>
      <c r="C8" s="158"/>
      <c r="D8" s="158"/>
      <c r="E8" s="158"/>
      <c r="F8" s="21" t="s">
        <v>490</v>
      </c>
      <c r="G8" s="55"/>
      <c r="I8" s="36"/>
    </row>
    <row r="9" spans="1:16" ht="22.25" customHeight="1" x14ac:dyDescent="0.35">
      <c r="A9" s="42" t="s">
        <v>392</v>
      </c>
      <c r="B9" s="158" t="s">
        <v>394</v>
      </c>
      <c r="C9" s="158"/>
      <c r="D9" s="158"/>
      <c r="E9" s="158"/>
      <c r="F9" s="10">
        <v>11</v>
      </c>
      <c r="G9" s="42"/>
      <c r="I9" s="36"/>
    </row>
    <row r="10" spans="1:16" ht="21" customHeight="1" x14ac:dyDescent="0.3">
      <c r="A10" s="42" t="s">
        <v>395</v>
      </c>
      <c r="B10" s="158" t="s">
        <v>396</v>
      </c>
      <c r="C10" s="158"/>
      <c r="D10" s="158"/>
      <c r="E10" s="158"/>
      <c r="F10" s="21" t="s">
        <v>490</v>
      </c>
      <c r="G10" s="55"/>
      <c r="I10" s="36"/>
    </row>
    <row r="11" spans="1:16" ht="21" customHeight="1" x14ac:dyDescent="0.3">
      <c r="A11" s="42" t="s">
        <v>395</v>
      </c>
      <c r="B11" s="158" t="s">
        <v>457</v>
      </c>
      <c r="C11" s="158"/>
      <c r="D11" s="158"/>
      <c r="E11" s="158"/>
      <c r="F11" s="12">
        <v>1</v>
      </c>
      <c r="G11" s="55"/>
      <c r="I11" s="36"/>
    </row>
    <row r="13" spans="1:16" s="29" customFormat="1" ht="120" customHeight="1" x14ac:dyDescent="0.3">
      <c r="A13" s="68" t="s">
        <v>395</v>
      </c>
      <c r="B13" s="118" t="s">
        <v>397</v>
      </c>
      <c r="C13" s="156" t="s">
        <v>570</v>
      </c>
      <c r="D13" s="157"/>
      <c r="E13" s="157"/>
      <c r="F13" s="157"/>
      <c r="G13" s="157"/>
      <c r="H13" s="157"/>
      <c r="I13" s="157"/>
    </row>
    <row r="15" spans="1:16" x14ac:dyDescent="0.35">
      <c r="B15" s="51" t="s">
        <v>398</v>
      </c>
    </row>
    <row r="16" spans="1:16" s="128" customFormat="1" ht="52" x14ac:dyDescent="0.35">
      <c r="B16" s="83" t="s">
        <v>399</v>
      </c>
      <c r="C16" s="83" t="s">
        <v>400</v>
      </c>
      <c r="D16" s="83" t="s">
        <v>401</v>
      </c>
      <c r="E16" s="83" t="s">
        <v>402</v>
      </c>
      <c r="F16" s="129" t="s">
        <v>403</v>
      </c>
      <c r="G16" s="83" t="s">
        <v>404</v>
      </c>
      <c r="H16" s="84" t="s">
        <v>405</v>
      </c>
      <c r="I16" s="83" t="s">
        <v>406</v>
      </c>
      <c r="J16" s="83" t="s">
        <v>407</v>
      </c>
      <c r="K16" s="84" t="s">
        <v>408</v>
      </c>
      <c r="L16" s="84" t="s">
        <v>409</v>
      </c>
    </row>
    <row r="17" spans="2:12" ht="42" customHeight="1" x14ac:dyDescent="0.3">
      <c r="B17" s="21" t="s">
        <v>525</v>
      </c>
      <c r="C17" s="21" t="s">
        <v>536</v>
      </c>
      <c r="D17" s="6" t="s">
        <v>547</v>
      </c>
      <c r="E17" s="21" t="s">
        <v>548</v>
      </c>
      <c r="F17" s="2" t="s">
        <v>552</v>
      </c>
      <c r="G17" s="21" t="s">
        <v>385</v>
      </c>
      <c r="H17" s="5" t="s">
        <v>386</v>
      </c>
      <c r="I17" s="21" t="s">
        <v>557</v>
      </c>
      <c r="J17" s="10">
        <v>144</v>
      </c>
      <c r="K17" s="21" t="s">
        <v>490</v>
      </c>
      <c r="L17" s="14" t="s">
        <v>565</v>
      </c>
    </row>
    <row r="18" spans="2:12" ht="42" customHeight="1" x14ac:dyDescent="0.3">
      <c r="B18" s="21" t="s">
        <v>526</v>
      </c>
      <c r="C18" s="21" t="s">
        <v>537</v>
      </c>
      <c r="D18" s="6" t="s">
        <v>547</v>
      </c>
      <c r="E18" s="21" t="s">
        <v>548</v>
      </c>
      <c r="F18" s="2" t="s">
        <v>553</v>
      </c>
      <c r="G18" s="21" t="s">
        <v>385</v>
      </c>
      <c r="H18" s="5" t="s">
        <v>388</v>
      </c>
      <c r="I18" s="21" t="s">
        <v>558</v>
      </c>
      <c r="J18" s="10">
        <v>4201</v>
      </c>
      <c r="K18" s="21" t="s">
        <v>490</v>
      </c>
      <c r="L18" s="14" t="s">
        <v>565</v>
      </c>
    </row>
    <row r="19" spans="2:12" ht="42" customHeight="1" x14ac:dyDescent="0.3">
      <c r="B19" s="21" t="s">
        <v>527</v>
      </c>
      <c r="C19" s="21" t="s">
        <v>538</v>
      </c>
      <c r="D19" s="6" t="s">
        <v>547</v>
      </c>
      <c r="E19" s="21" t="s">
        <v>548</v>
      </c>
      <c r="F19" s="2" t="s">
        <v>554</v>
      </c>
      <c r="G19" s="21" t="s">
        <v>385</v>
      </c>
      <c r="H19" s="5" t="s">
        <v>388</v>
      </c>
      <c r="I19" s="21" t="s">
        <v>558</v>
      </c>
      <c r="J19" s="10">
        <v>4201</v>
      </c>
      <c r="K19" s="21" t="s">
        <v>490</v>
      </c>
      <c r="L19" s="14" t="s">
        <v>565</v>
      </c>
    </row>
    <row r="20" spans="2:12" ht="42" customHeight="1" x14ac:dyDescent="0.3">
      <c r="B20" s="21" t="s">
        <v>528</v>
      </c>
      <c r="C20" s="21" t="s">
        <v>539</v>
      </c>
      <c r="D20" s="6">
        <v>45413</v>
      </c>
      <c r="E20" s="21" t="s">
        <v>548</v>
      </c>
      <c r="F20" s="2" t="s">
        <v>553</v>
      </c>
      <c r="G20" s="21" t="s">
        <v>385</v>
      </c>
      <c r="H20" s="5" t="s">
        <v>388</v>
      </c>
      <c r="I20" s="21" t="s">
        <v>558</v>
      </c>
      <c r="J20" s="10">
        <v>4464</v>
      </c>
      <c r="K20" s="21" t="s">
        <v>490</v>
      </c>
      <c r="L20" s="14" t="s">
        <v>565</v>
      </c>
    </row>
    <row r="21" spans="2:12" ht="42" customHeight="1" x14ac:dyDescent="0.3">
      <c r="B21" s="21" t="s">
        <v>529</v>
      </c>
      <c r="C21" s="21" t="s">
        <v>540</v>
      </c>
      <c r="D21" s="6">
        <v>45474</v>
      </c>
      <c r="E21" s="21" t="s">
        <v>549</v>
      </c>
      <c r="F21" s="2" t="s">
        <v>555</v>
      </c>
      <c r="G21" s="21" t="s">
        <v>387</v>
      </c>
      <c r="H21" s="5" t="s">
        <v>388</v>
      </c>
      <c r="I21" s="21" t="s">
        <v>559</v>
      </c>
      <c r="J21" s="10">
        <v>13</v>
      </c>
      <c r="K21" s="21" t="s">
        <v>491</v>
      </c>
      <c r="L21" s="14" t="s">
        <v>489</v>
      </c>
    </row>
    <row r="22" spans="2:12" ht="42" customHeight="1" x14ac:dyDescent="0.3">
      <c r="B22" s="21" t="s">
        <v>530</v>
      </c>
      <c r="C22" s="21" t="s">
        <v>541</v>
      </c>
      <c r="D22" s="6">
        <v>45474</v>
      </c>
      <c r="E22" s="21" t="s">
        <v>549</v>
      </c>
      <c r="F22" s="2" t="s">
        <v>552</v>
      </c>
      <c r="G22" s="21" t="s">
        <v>387</v>
      </c>
      <c r="H22" s="5" t="s">
        <v>388</v>
      </c>
      <c r="I22" s="21" t="s">
        <v>559</v>
      </c>
      <c r="J22" s="10">
        <v>34</v>
      </c>
      <c r="K22" s="21" t="s">
        <v>491</v>
      </c>
      <c r="L22" s="14" t="s">
        <v>489</v>
      </c>
    </row>
    <row r="23" spans="2:12" ht="42" customHeight="1" x14ac:dyDescent="0.3">
      <c r="B23" s="21" t="s">
        <v>531</v>
      </c>
      <c r="C23" s="21" t="s">
        <v>542</v>
      </c>
      <c r="D23" s="6">
        <v>45627</v>
      </c>
      <c r="E23" s="21" t="s">
        <v>549</v>
      </c>
      <c r="F23" s="2" t="s">
        <v>556</v>
      </c>
      <c r="G23" s="21" t="s">
        <v>387</v>
      </c>
      <c r="H23" s="5" t="s">
        <v>386</v>
      </c>
      <c r="I23" s="21" t="s">
        <v>560</v>
      </c>
      <c r="J23" s="10">
        <v>15</v>
      </c>
      <c r="K23" s="21" t="s">
        <v>491</v>
      </c>
      <c r="L23" s="14" t="s">
        <v>489</v>
      </c>
    </row>
    <row r="24" spans="2:12" ht="42" customHeight="1" x14ac:dyDescent="0.3">
      <c r="B24" s="21" t="s">
        <v>531</v>
      </c>
      <c r="C24" s="21" t="s">
        <v>542</v>
      </c>
      <c r="D24" s="6">
        <v>45627</v>
      </c>
      <c r="E24" s="21" t="s">
        <v>549</v>
      </c>
      <c r="F24" s="2" t="s">
        <v>556</v>
      </c>
      <c r="G24" s="21" t="s">
        <v>387</v>
      </c>
      <c r="H24" s="5" t="s">
        <v>388</v>
      </c>
      <c r="I24" s="21" t="s">
        <v>560</v>
      </c>
      <c r="J24" s="10">
        <v>23</v>
      </c>
      <c r="K24" s="21" t="s">
        <v>491</v>
      </c>
      <c r="L24" s="14" t="s">
        <v>489</v>
      </c>
    </row>
    <row r="25" spans="2:12" ht="42" customHeight="1" x14ac:dyDescent="0.3">
      <c r="B25" s="21" t="s">
        <v>532</v>
      </c>
      <c r="C25" s="21" t="s">
        <v>543</v>
      </c>
      <c r="D25" s="6">
        <v>45566</v>
      </c>
      <c r="E25" s="21" t="s">
        <v>550</v>
      </c>
      <c r="F25" s="2" t="s">
        <v>554</v>
      </c>
      <c r="G25" s="21" t="s">
        <v>385</v>
      </c>
      <c r="H25" s="5" t="s">
        <v>388</v>
      </c>
      <c r="I25" s="21" t="s">
        <v>561</v>
      </c>
      <c r="J25" s="10">
        <v>77</v>
      </c>
      <c r="K25" s="21" t="s">
        <v>491</v>
      </c>
      <c r="L25" s="14" t="s">
        <v>489</v>
      </c>
    </row>
    <row r="26" spans="2:12" ht="42" customHeight="1" x14ac:dyDescent="0.3">
      <c r="B26" s="21" t="s">
        <v>533</v>
      </c>
      <c r="C26" s="21" t="s">
        <v>544</v>
      </c>
      <c r="D26" s="6">
        <v>45566</v>
      </c>
      <c r="E26" s="21" t="s">
        <v>551</v>
      </c>
      <c r="F26" s="2" t="s">
        <v>554</v>
      </c>
      <c r="G26" s="21" t="s">
        <v>385</v>
      </c>
      <c r="H26" s="5" t="s">
        <v>388</v>
      </c>
      <c r="I26" s="21" t="s">
        <v>562</v>
      </c>
      <c r="J26" s="10">
        <v>10</v>
      </c>
      <c r="K26" s="21" t="s">
        <v>491</v>
      </c>
      <c r="L26" s="14" t="s">
        <v>489</v>
      </c>
    </row>
    <row r="27" spans="2:12" ht="42" customHeight="1" x14ac:dyDescent="0.3">
      <c r="B27" s="21" t="s">
        <v>534</v>
      </c>
      <c r="C27" s="21" t="s">
        <v>545</v>
      </c>
      <c r="D27" s="6">
        <v>45597</v>
      </c>
      <c r="E27" s="21" t="s">
        <v>549</v>
      </c>
      <c r="F27" s="2" t="s">
        <v>554</v>
      </c>
      <c r="G27" s="21" t="s">
        <v>387</v>
      </c>
      <c r="H27" s="5" t="s">
        <v>388</v>
      </c>
      <c r="I27" s="21" t="s">
        <v>563</v>
      </c>
      <c r="J27" s="10">
        <v>38</v>
      </c>
      <c r="K27" s="21" t="s">
        <v>491</v>
      </c>
      <c r="L27" s="14" t="s">
        <v>489</v>
      </c>
    </row>
    <row r="28" spans="2:12" ht="42" customHeight="1" x14ac:dyDescent="0.3">
      <c r="B28" s="21" t="s">
        <v>535</v>
      </c>
      <c r="C28" s="21" t="s">
        <v>546</v>
      </c>
      <c r="D28" s="6">
        <v>45597</v>
      </c>
      <c r="E28" s="21" t="s">
        <v>549</v>
      </c>
      <c r="F28" s="2" t="s">
        <v>554</v>
      </c>
      <c r="G28" s="21" t="s">
        <v>387</v>
      </c>
      <c r="H28" s="5" t="s">
        <v>388</v>
      </c>
      <c r="I28" s="21" t="s">
        <v>564</v>
      </c>
      <c r="J28" s="10">
        <v>19</v>
      </c>
      <c r="K28" s="21" t="s">
        <v>491</v>
      </c>
      <c r="L28" s="14" t="s">
        <v>489</v>
      </c>
    </row>
    <row r="29" spans="2:12" ht="42" customHeight="1" x14ac:dyDescent="0.3">
      <c r="B29" s="21"/>
      <c r="C29" s="21"/>
      <c r="D29" s="6"/>
      <c r="E29" s="21"/>
      <c r="F29" s="2"/>
      <c r="G29" s="21"/>
      <c r="H29" s="5"/>
      <c r="I29" s="21"/>
      <c r="J29" s="10"/>
      <c r="K29" s="21"/>
      <c r="L29" s="14"/>
    </row>
    <row r="30" spans="2:12" ht="42" customHeight="1" x14ac:dyDescent="0.3">
      <c r="B30" s="21"/>
      <c r="C30" s="21"/>
      <c r="D30" s="6"/>
      <c r="E30" s="21"/>
      <c r="F30" s="2"/>
      <c r="G30" s="21"/>
      <c r="H30" s="5"/>
      <c r="I30" s="21"/>
      <c r="J30" s="10"/>
      <c r="K30" s="21"/>
      <c r="L30" s="14"/>
    </row>
    <row r="31" spans="2:12" ht="42" customHeight="1" x14ac:dyDescent="0.3">
      <c r="B31" s="21"/>
      <c r="C31" s="21"/>
      <c r="D31" s="6"/>
      <c r="E31" s="21"/>
      <c r="F31" s="2"/>
      <c r="G31" s="21"/>
      <c r="H31" s="5"/>
      <c r="I31" s="21"/>
      <c r="J31" s="10"/>
      <c r="K31" s="21"/>
      <c r="L31" s="14"/>
    </row>
    <row r="32" spans="2:12" ht="42" customHeight="1" x14ac:dyDescent="0.3">
      <c r="B32" s="21"/>
      <c r="C32" s="21"/>
      <c r="D32" s="6"/>
      <c r="E32" s="21"/>
      <c r="F32" s="2"/>
      <c r="G32" s="21"/>
      <c r="H32" s="5"/>
      <c r="I32" s="21"/>
      <c r="J32" s="10"/>
      <c r="K32" s="21"/>
      <c r="L32" s="14"/>
    </row>
    <row r="33" spans="2:12" ht="42" customHeight="1" x14ac:dyDescent="0.3">
      <c r="B33" s="21"/>
      <c r="C33" s="21"/>
      <c r="D33" s="6"/>
      <c r="E33" s="21"/>
      <c r="F33" s="2"/>
      <c r="G33" s="21"/>
      <c r="H33" s="5"/>
      <c r="I33" s="21"/>
      <c r="J33" s="10"/>
      <c r="K33" s="21"/>
      <c r="L33" s="14"/>
    </row>
    <row r="34" spans="2:12" ht="42" customHeight="1" x14ac:dyDescent="0.3">
      <c r="B34" s="21"/>
      <c r="C34" s="21"/>
      <c r="D34" s="6"/>
      <c r="E34" s="21"/>
      <c r="F34" s="2"/>
      <c r="G34" s="21"/>
      <c r="H34" s="5"/>
      <c r="I34" s="21"/>
      <c r="J34" s="10"/>
      <c r="K34" s="21"/>
      <c r="L34" s="14"/>
    </row>
    <row r="35" spans="2:12" ht="42" customHeight="1" x14ac:dyDescent="0.3">
      <c r="B35" s="21"/>
      <c r="C35" s="21"/>
      <c r="D35" s="6"/>
      <c r="E35" s="21"/>
      <c r="F35" s="2"/>
      <c r="G35" s="21"/>
      <c r="H35" s="5"/>
      <c r="I35" s="21"/>
      <c r="J35" s="10"/>
      <c r="K35" s="21"/>
      <c r="L35" s="14"/>
    </row>
    <row r="36" spans="2:12" ht="42" customHeight="1" x14ac:dyDescent="0.3">
      <c r="B36" s="21"/>
      <c r="C36" s="21"/>
      <c r="D36" s="6"/>
      <c r="E36" s="21"/>
      <c r="F36" s="2"/>
      <c r="G36" s="21"/>
      <c r="H36" s="5"/>
      <c r="I36" s="21"/>
      <c r="J36" s="10"/>
      <c r="K36" s="21"/>
      <c r="L36" s="14"/>
    </row>
    <row r="37" spans="2:12" ht="42" customHeight="1" x14ac:dyDescent="0.3">
      <c r="B37" s="21"/>
      <c r="C37" s="21"/>
      <c r="D37" s="6"/>
      <c r="E37" s="21"/>
      <c r="F37" s="2"/>
      <c r="G37" s="21"/>
      <c r="H37" s="5"/>
      <c r="I37" s="21"/>
      <c r="J37" s="10"/>
      <c r="K37" s="21"/>
      <c r="L37" s="14"/>
    </row>
    <row r="38" spans="2:12" ht="42" customHeight="1" x14ac:dyDescent="0.3">
      <c r="B38" s="21"/>
      <c r="C38" s="21"/>
      <c r="D38" s="6"/>
      <c r="E38" s="21"/>
      <c r="F38" s="2"/>
      <c r="G38" s="21"/>
      <c r="H38" s="5"/>
      <c r="I38" s="21"/>
      <c r="J38" s="10"/>
      <c r="K38" s="21"/>
      <c r="L38" s="14"/>
    </row>
    <row r="39" spans="2:12" ht="42" customHeight="1" x14ac:dyDescent="0.3">
      <c r="B39" s="21"/>
      <c r="C39" s="21"/>
      <c r="D39" s="6"/>
      <c r="E39" s="21"/>
      <c r="F39" s="2"/>
      <c r="G39" s="21"/>
      <c r="H39" s="5"/>
      <c r="I39" s="21"/>
      <c r="J39" s="10"/>
      <c r="K39" s="21"/>
      <c r="L39" s="14"/>
    </row>
    <row r="40" spans="2:12" ht="42" customHeight="1" x14ac:dyDescent="0.3">
      <c r="B40" s="21"/>
      <c r="C40" s="21"/>
      <c r="D40" s="6"/>
      <c r="E40" s="21"/>
      <c r="F40" s="2"/>
      <c r="G40" s="21"/>
      <c r="H40" s="5"/>
      <c r="I40" s="21"/>
      <c r="J40" s="10"/>
      <c r="K40" s="21"/>
      <c r="L40" s="14"/>
    </row>
    <row r="41" spans="2:12" ht="42" customHeight="1" x14ac:dyDescent="0.3">
      <c r="B41" s="21"/>
      <c r="C41" s="21"/>
      <c r="D41" s="6"/>
      <c r="E41" s="21"/>
      <c r="F41" s="2"/>
      <c r="G41" s="21"/>
      <c r="H41" s="5"/>
      <c r="I41" s="21"/>
      <c r="J41" s="10"/>
      <c r="K41" s="21"/>
      <c r="L41" s="14"/>
    </row>
    <row r="42" spans="2:12" ht="42" customHeight="1" x14ac:dyDescent="0.3">
      <c r="B42" s="21"/>
      <c r="C42" s="21"/>
      <c r="D42" s="6"/>
      <c r="E42" s="21"/>
      <c r="F42" s="2"/>
      <c r="G42" s="21"/>
      <c r="H42" s="5"/>
      <c r="I42" s="21"/>
      <c r="J42" s="10"/>
      <c r="K42" s="21"/>
      <c r="L42" s="14"/>
    </row>
    <row r="43" spans="2:12" ht="42" customHeight="1" x14ac:dyDescent="0.3">
      <c r="B43" s="21"/>
      <c r="C43" s="21"/>
      <c r="D43" s="6"/>
      <c r="E43" s="21"/>
      <c r="F43" s="2"/>
      <c r="G43" s="21"/>
      <c r="H43" s="5"/>
      <c r="I43" s="21"/>
      <c r="J43" s="10"/>
      <c r="K43" s="21"/>
      <c r="L43" s="14"/>
    </row>
    <row r="44" spans="2:12" ht="42" customHeight="1" x14ac:dyDescent="0.3">
      <c r="B44" s="21"/>
      <c r="C44" s="21"/>
      <c r="D44" s="6"/>
      <c r="E44" s="21"/>
      <c r="F44" s="2"/>
      <c r="G44" s="21"/>
      <c r="H44" s="5"/>
      <c r="I44" s="21"/>
      <c r="J44" s="10"/>
      <c r="K44" s="21"/>
      <c r="L44" s="14"/>
    </row>
    <row r="45" spans="2:12" ht="42" customHeight="1" x14ac:dyDescent="0.3">
      <c r="B45" s="21"/>
      <c r="C45" s="21"/>
      <c r="D45" s="6"/>
      <c r="E45" s="21"/>
      <c r="F45" s="2"/>
      <c r="G45" s="21"/>
      <c r="H45" s="5"/>
      <c r="I45" s="21"/>
      <c r="J45" s="10"/>
      <c r="K45" s="21"/>
      <c r="L45" s="14"/>
    </row>
    <row r="46" spans="2:12" ht="42" customHeight="1" x14ac:dyDescent="0.3">
      <c r="B46" s="21"/>
      <c r="C46" s="21"/>
      <c r="D46" s="6"/>
      <c r="E46" s="21"/>
      <c r="F46" s="2"/>
      <c r="G46" s="21"/>
      <c r="H46" s="5"/>
      <c r="I46" s="21"/>
      <c r="J46" s="10"/>
      <c r="K46" s="21"/>
      <c r="L46" s="14"/>
    </row>
    <row r="47" spans="2:12" ht="42" customHeight="1" x14ac:dyDescent="0.3">
      <c r="B47" s="21"/>
      <c r="C47" s="21"/>
      <c r="D47" s="6"/>
      <c r="E47" s="21"/>
      <c r="F47" s="2"/>
      <c r="G47" s="21"/>
      <c r="H47" s="5"/>
      <c r="I47" s="21"/>
      <c r="J47" s="10"/>
      <c r="K47" s="21"/>
      <c r="L47" s="14"/>
    </row>
    <row r="48" spans="2:12" ht="42" customHeight="1" x14ac:dyDescent="0.3">
      <c r="B48" s="21"/>
      <c r="C48" s="21"/>
      <c r="D48" s="6"/>
      <c r="E48" s="21"/>
      <c r="F48" s="2"/>
      <c r="G48" s="21"/>
      <c r="H48" s="5"/>
      <c r="I48" s="21"/>
      <c r="J48" s="10"/>
      <c r="K48" s="21"/>
      <c r="L48" s="14"/>
    </row>
    <row r="49" spans="2:12" ht="42" customHeight="1" x14ac:dyDescent="0.3">
      <c r="B49" s="21"/>
      <c r="C49" s="21"/>
      <c r="D49" s="6"/>
      <c r="E49" s="21"/>
      <c r="F49" s="2"/>
      <c r="G49" s="21"/>
      <c r="H49" s="5"/>
      <c r="I49" s="21"/>
      <c r="J49" s="10"/>
      <c r="K49" s="21"/>
      <c r="L49" s="14"/>
    </row>
    <row r="50" spans="2:12" ht="42" customHeight="1" x14ac:dyDescent="0.3">
      <c r="B50" s="21"/>
      <c r="C50" s="21"/>
      <c r="D50" s="6"/>
      <c r="E50" s="21"/>
      <c r="F50" s="2"/>
      <c r="G50" s="21"/>
      <c r="H50" s="5"/>
      <c r="I50" s="21"/>
      <c r="J50" s="10"/>
      <c r="K50" s="21"/>
      <c r="L50" s="14"/>
    </row>
    <row r="51" spans="2:12" ht="42" customHeight="1" x14ac:dyDescent="0.3">
      <c r="B51" s="21"/>
      <c r="C51" s="21"/>
      <c r="D51" s="6"/>
      <c r="E51" s="21"/>
      <c r="F51" s="2"/>
      <c r="G51" s="21"/>
      <c r="H51" s="5"/>
      <c r="I51" s="21"/>
      <c r="J51" s="10"/>
      <c r="K51" s="21"/>
      <c r="L51" s="14"/>
    </row>
    <row r="52" spans="2:12" ht="42" customHeight="1" x14ac:dyDescent="0.3">
      <c r="B52" s="21"/>
      <c r="C52" s="21"/>
      <c r="D52" s="6"/>
      <c r="E52" s="21"/>
      <c r="F52" s="2"/>
      <c r="G52" s="21"/>
      <c r="H52" s="5"/>
      <c r="I52" s="21"/>
      <c r="J52" s="10"/>
      <c r="K52" s="21"/>
      <c r="L52" s="14"/>
    </row>
    <row r="53" spans="2:12" ht="42" customHeight="1" x14ac:dyDescent="0.3">
      <c r="B53" s="21"/>
      <c r="C53" s="21"/>
      <c r="D53" s="6"/>
      <c r="E53" s="21"/>
      <c r="F53" s="2"/>
      <c r="G53" s="21"/>
      <c r="H53" s="5"/>
      <c r="I53" s="21"/>
      <c r="J53" s="10"/>
      <c r="K53" s="21"/>
      <c r="L53" s="14"/>
    </row>
    <row r="54" spans="2:12" ht="42" customHeight="1" x14ac:dyDescent="0.3">
      <c r="B54" s="21"/>
      <c r="C54" s="21"/>
      <c r="D54" s="6"/>
      <c r="E54" s="21"/>
      <c r="F54" s="2"/>
      <c r="G54" s="21"/>
      <c r="H54" s="5"/>
      <c r="I54" s="21"/>
      <c r="J54" s="10"/>
      <c r="K54" s="21"/>
      <c r="L54" s="14"/>
    </row>
    <row r="55" spans="2:12" ht="42" customHeight="1" x14ac:dyDescent="0.3">
      <c r="B55" s="21"/>
      <c r="C55" s="21"/>
      <c r="D55" s="6"/>
      <c r="E55" s="21"/>
      <c r="F55" s="2"/>
      <c r="G55" s="21"/>
      <c r="H55" s="5"/>
      <c r="I55" s="21"/>
      <c r="J55" s="10"/>
      <c r="K55" s="21"/>
      <c r="L55" s="14"/>
    </row>
    <row r="56" spans="2:12" ht="42" customHeight="1" x14ac:dyDescent="0.3">
      <c r="B56" s="21"/>
      <c r="C56" s="21"/>
      <c r="D56" s="6"/>
      <c r="E56" s="21"/>
      <c r="F56" s="2"/>
      <c r="G56" s="21"/>
      <c r="H56" s="5"/>
      <c r="I56" s="21"/>
      <c r="J56" s="10"/>
      <c r="K56" s="21"/>
      <c r="L56" s="14"/>
    </row>
    <row r="57" spans="2:12" ht="42" customHeight="1" x14ac:dyDescent="0.3">
      <c r="B57" s="21"/>
      <c r="C57" s="21"/>
      <c r="D57" s="6"/>
      <c r="E57" s="21"/>
      <c r="F57" s="2"/>
      <c r="G57" s="21"/>
      <c r="H57" s="5"/>
      <c r="I57" s="21"/>
      <c r="J57" s="10"/>
      <c r="K57" s="21"/>
      <c r="L57" s="14"/>
    </row>
    <row r="58" spans="2:12" ht="42" customHeight="1" x14ac:dyDescent="0.3">
      <c r="B58" s="21"/>
      <c r="C58" s="21"/>
      <c r="D58" s="6"/>
      <c r="E58" s="21"/>
      <c r="F58" s="2"/>
      <c r="G58" s="21"/>
      <c r="H58" s="5"/>
      <c r="I58" s="21"/>
      <c r="J58" s="10"/>
      <c r="K58" s="21"/>
      <c r="L58" s="14"/>
    </row>
    <row r="59" spans="2:12" ht="42" customHeight="1" x14ac:dyDescent="0.3">
      <c r="B59" s="21"/>
      <c r="C59" s="21"/>
      <c r="D59" s="6"/>
      <c r="E59" s="21"/>
      <c r="F59" s="2"/>
      <c r="G59" s="21"/>
      <c r="H59" s="5"/>
      <c r="I59" s="21"/>
      <c r="J59" s="10"/>
      <c r="K59" s="21"/>
      <c r="L59" s="14"/>
    </row>
    <row r="60" spans="2:12" ht="42" customHeight="1" x14ac:dyDescent="0.3">
      <c r="B60" s="21"/>
      <c r="C60" s="21"/>
      <c r="D60" s="6"/>
      <c r="E60" s="21"/>
      <c r="F60" s="2"/>
      <c r="G60" s="21"/>
      <c r="H60" s="5"/>
      <c r="I60" s="21"/>
      <c r="J60" s="10"/>
      <c r="K60" s="21"/>
      <c r="L60" s="14"/>
    </row>
    <row r="61" spans="2:12" ht="42" customHeight="1" x14ac:dyDescent="0.3">
      <c r="B61" s="21"/>
      <c r="C61" s="21"/>
      <c r="D61" s="6"/>
      <c r="E61" s="21"/>
      <c r="F61" s="2"/>
      <c r="G61" s="21"/>
      <c r="H61" s="5"/>
      <c r="I61" s="21"/>
      <c r="J61" s="10"/>
      <c r="K61" s="21"/>
      <c r="L61" s="14"/>
    </row>
    <row r="62" spans="2:12" ht="42" customHeight="1" x14ac:dyDescent="0.3">
      <c r="B62" s="21"/>
      <c r="C62" s="21"/>
      <c r="D62" s="6"/>
      <c r="E62" s="21"/>
      <c r="F62" s="2"/>
      <c r="G62" s="21"/>
      <c r="H62" s="5"/>
      <c r="I62" s="21"/>
      <c r="J62" s="10"/>
      <c r="K62" s="21"/>
      <c r="L62" s="14"/>
    </row>
    <row r="63" spans="2:12" ht="42" customHeight="1" x14ac:dyDescent="0.3">
      <c r="B63" s="21"/>
      <c r="C63" s="21"/>
      <c r="D63" s="6"/>
      <c r="E63" s="21"/>
      <c r="F63" s="2"/>
      <c r="G63" s="21"/>
      <c r="H63" s="5"/>
      <c r="I63" s="21"/>
      <c r="J63" s="10"/>
      <c r="K63" s="21"/>
      <c r="L63" s="14"/>
    </row>
    <row r="64" spans="2:12" ht="42" customHeight="1" x14ac:dyDescent="0.3">
      <c r="B64" s="21"/>
      <c r="C64" s="21"/>
      <c r="D64" s="6"/>
      <c r="E64" s="21"/>
      <c r="F64" s="2"/>
      <c r="G64" s="21"/>
      <c r="H64" s="5"/>
      <c r="I64" s="21"/>
      <c r="J64" s="10"/>
      <c r="K64" s="21"/>
      <c r="L64" s="14"/>
    </row>
    <row r="65" spans="2:12" ht="42" customHeight="1" x14ac:dyDescent="0.3">
      <c r="B65" s="21"/>
      <c r="C65" s="21"/>
      <c r="D65" s="6"/>
      <c r="E65" s="21"/>
      <c r="F65" s="2"/>
      <c r="G65" s="21"/>
      <c r="H65" s="5"/>
      <c r="I65" s="21"/>
      <c r="J65" s="10"/>
      <c r="K65" s="21"/>
      <c r="L65" s="14"/>
    </row>
    <row r="66" spans="2:12" ht="42" customHeight="1" x14ac:dyDescent="0.3">
      <c r="B66" s="21"/>
      <c r="C66" s="21"/>
      <c r="D66" s="6"/>
      <c r="E66" s="21"/>
      <c r="F66" s="2"/>
      <c r="G66" s="21"/>
      <c r="H66" s="5"/>
      <c r="I66" s="21"/>
      <c r="J66" s="10"/>
      <c r="K66" s="21"/>
      <c r="L66" s="14"/>
    </row>
    <row r="67" spans="2:12" ht="42" customHeight="1" x14ac:dyDescent="0.3">
      <c r="B67" s="21"/>
      <c r="C67" s="21"/>
      <c r="D67" s="6"/>
      <c r="E67" s="21"/>
      <c r="F67" s="2"/>
      <c r="G67" s="21"/>
      <c r="H67" s="5"/>
      <c r="I67" s="21"/>
      <c r="J67" s="10"/>
      <c r="K67" s="21"/>
      <c r="L67" s="14"/>
    </row>
    <row r="68" spans="2:12" ht="42" customHeight="1" x14ac:dyDescent="0.3">
      <c r="B68" s="21"/>
      <c r="C68" s="21"/>
      <c r="D68" s="6"/>
      <c r="E68" s="21"/>
      <c r="F68" s="2"/>
      <c r="G68" s="21"/>
      <c r="H68" s="5"/>
      <c r="I68" s="21"/>
      <c r="J68" s="10"/>
      <c r="K68" s="21"/>
      <c r="L68" s="14"/>
    </row>
    <row r="69" spans="2:12" ht="42" customHeight="1" x14ac:dyDescent="0.3">
      <c r="B69" s="21"/>
      <c r="C69" s="21"/>
      <c r="D69" s="6"/>
      <c r="E69" s="21"/>
      <c r="F69" s="2"/>
      <c r="G69" s="21"/>
      <c r="H69" s="5"/>
      <c r="I69" s="21"/>
      <c r="J69" s="10"/>
      <c r="K69" s="21"/>
      <c r="L69" s="14"/>
    </row>
    <row r="70" spans="2:12" ht="42" customHeight="1" x14ac:dyDescent="0.3">
      <c r="B70" s="21"/>
      <c r="C70" s="21"/>
      <c r="D70" s="6"/>
      <c r="E70" s="21"/>
      <c r="F70" s="2"/>
      <c r="G70" s="21"/>
      <c r="H70" s="5"/>
      <c r="I70" s="21"/>
      <c r="J70" s="10"/>
      <c r="K70" s="21"/>
      <c r="L70" s="14"/>
    </row>
    <row r="71" spans="2:12" ht="42" customHeight="1" x14ac:dyDescent="0.3">
      <c r="B71" s="21"/>
      <c r="C71" s="21"/>
      <c r="D71" s="6"/>
      <c r="E71" s="21"/>
      <c r="F71" s="2"/>
      <c r="G71" s="21"/>
      <c r="H71" s="5"/>
      <c r="I71" s="21"/>
      <c r="J71" s="10"/>
      <c r="K71" s="21"/>
      <c r="L71" s="14"/>
    </row>
    <row r="72" spans="2:12" ht="42" customHeight="1" x14ac:dyDescent="0.3">
      <c r="B72" s="21"/>
      <c r="C72" s="21"/>
      <c r="D72" s="6"/>
      <c r="E72" s="21"/>
      <c r="F72" s="2"/>
      <c r="G72" s="21"/>
      <c r="H72" s="5"/>
      <c r="I72" s="21"/>
      <c r="J72" s="10"/>
      <c r="K72" s="21"/>
      <c r="L72" s="14"/>
    </row>
    <row r="73" spans="2:12" ht="42" customHeight="1" x14ac:dyDescent="0.3">
      <c r="B73" s="21"/>
      <c r="C73" s="21"/>
      <c r="D73" s="6"/>
      <c r="E73" s="21"/>
      <c r="F73" s="2"/>
      <c r="G73" s="21"/>
      <c r="H73" s="5"/>
      <c r="I73" s="21"/>
      <c r="J73" s="10"/>
      <c r="K73" s="21"/>
      <c r="L73" s="14"/>
    </row>
    <row r="74" spans="2:12" ht="42" customHeight="1" x14ac:dyDescent="0.3">
      <c r="B74" s="21"/>
      <c r="C74" s="21"/>
      <c r="D74" s="6"/>
      <c r="E74" s="21"/>
      <c r="F74" s="2"/>
      <c r="G74" s="21"/>
      <c r="H74" s="5"/>
      <c r="I74" s="21"/>
      <c r="J74" s="10"/>
      <c r="K74" s="21"/>
      <c r="L74" s="14"/>
    </row>
    <row r="75" spans="2:12" ht="42" customHeight="1" x14ac:dyDescent="0.3">
      <c r="B75" s="21"/>
      <c r="C75" s="21"/>
      <c r="D75" s="6"/>
      <c r="E75" s="21"/>
      <c r="F75" s="2"/>
      <c r="G75" s="21"/>
      <c r="H75" s="5"/>
      <c r="I75" s="21"/>
      <c r="J75" s="10"/>
      <c r="K75" s="21"/>
      <c r="L75" s="14"/>
    </row>
    <row r="76" spans="2:12" ht="42" customHeight="1" x14ac:dyDescent="0.3">
      <c r="B76" s="21"/>
      <c r="C76" s="21"/>
      <c r="D76" s="6"/>
      <c r="E76" s="21"/>
      <c r="F76" s="2"/>
      <c r="G76" s="21"/>
      <c r="H76" s="5"/>
      <c r="I76" s="21"/>
      <c r="J76" s="10"/>
      <c r="K76" s="21"/>
      <c r="L76" s="14"/>
    </row>
    <row r="77" spans="2:12" ht="42" customHeight="1" x14ac:dyDescent="0.3">
      <c r="B77" s="21"/>
      <c r="C77" s="21"/>
      <c r="D77" s="6"/>
      <c r="E77" s="21"/>
      <c r="F77" s="2"/>
      <c r="G77" s="21"/>
      <c r="H77" s="5"/>
      <c r="I77" s="21"/>
      <c r="J77" s="10"/>
      <c r="K77" s="21"/>
      <c r="L77" s="14"/>
    </row>
    <row r="78" spans="2:12" ht="42" customHeight="1" x14ac:dyDescent="0.3">
      <c r="B78" s="21"/>
      <c r="C78" s="21"/>
      <c r="D78" s="6"/>
      <c r="E78" s="21"/>
      <c r="F78" s="2"/>
      <c r="G78" s="21"/>
      <c r="H78" s="5"/>
      <c r="I78" s="21"/>
      <c r="J78" s="10"/>
      <c r="K78" s="21"/>
      <c r="L78" s="14"/>
    </row>
    <row r="79" spans="2:12" ht="42" customHeight="1" x14ac:dyDescent="0.3">
      <c r="B79" s="21"/>
      <c r="C79" s="21"/>
      <c r="D79" s="6"/>
      <c r="E79" s="21"/>
      <c r="F79" s="2"/>
      <c r="G79" s="21"/>
      <c r="H79" s="5"/>
      <c r="I79" s="21"/>
      <c r="J79" s="10"/>
      <c r="K79" s="21"/>
      <c r="L79" s="14"/>
    </row>
    <row r="80" spans="2:12" ht="42" customHeight="1" x14ac:dyDescent="0.3">
      <c r="B80" s="21"/>
      <c r="C80" s="21"/>
      <c r="D80" s="6"/>
      <c r="E80" s="21"/>
      <c r="F80" s="2"/>
      <c r="G80" s="21"/>
      <c r="H80" s="5"/>
      <c r="I80" s="21"/>
      <c r="J80" s="10"/>
      <c r="K80" s="21"/>
      <c r="L80" s="14"/>
    </row>
    <row r="81" spans="2:12" ht="42" customHeight="1" x14ac:dyDescent="0.3">
      <c r="B81" s="21"/>
      <c r="C81" s="21"/>
      <c r="D81" s="6"/>
      <c r="E81" s="21"/>
      <c r="F81" s="2"/>
      <c r="G81" s="21"/>
      <c r="H81" s="5"/>
      <c r="I81" s="21"/>
      <c r="J81" s="10"/>
      <c r="K81" s="21"/>
      <c r="L81" s="14"/>
    </row>
    <row r="82" spans="2:12" ht="42" customHeight="1" x14ac:dyDescent="0.3">
      <c r="B82" s="21"/>
      <c r="C82" s="21"/>
      <c r="D82" s="6"/>
      <c r="E82" s="21"/>
      <c r="F82" s="2"/>
      <c r="G82" s="21"/>
      <c r="H82" s="5"/>
      <c r="I82" s="21"/>
      <c r="J82" s="10"/>
      <c r="K82" s="21"/>
      <c r="L82" s="14"/>
    </row>
    <row r="83" spans="2:12" ht="42" customHeight="1" x14ac:dyDescent="0.3">
      <c r="B83" s="21"/>
      <c r="C83" s="21"/>
      <c r="D83" s="6"/>
      <c r="E83" s="21"/>
      <c r="F83" s="2"/>
      <c r="G83" s="21"/>
      <c r="H83" s="5"/>
      <c r="I83" s="21"/>
      <c r="J83" s="10"/>
      <c r="K83" s="21"/>
      <c r="L83" s="14"/>
    </row>
    <row r="84" spans="2:12" ht="42" customHeight="1" x14ac:dyDescent="0.3">
      <c r="B84" s="21"/>
      <c r="C84" s="21"/>
      <c r="D84" s="6"/>
      <c r="E84" s="21"/>
      <c r="F84" s="2"/>
      <c r="G84" s="21"/>
      <c r="H84" s="5"/>
      <c r="I84" s="21"/>
      <c r="J84" s="10"/>
      <c r="K84" s="21"/>
      <c r="L84" s="14"/>
    </row>
    <row r="85" spans="2:12" ht="42" customHeight="1" x14ac:dyDescent="0.3">
      <c r="B85" s="21"/>
      <c r="C85" s="21"/>
      <c r="D85" s="6"/>
      <c r="E85" s="21"/>
      <c r="F85" s="2"/>
      <c r="G85" s="21"/>
      <c r="H85" s="5"/>
      <c r="I85" s="21"/>
      <c r="J85" s="10"/>
      <c r="K85" s="21"/>
      <c r="L85" s="14"/>
    </row>
    <row r="86" spans="2:12" ht="42" customHeight="1" x14ac:dyDescent="0.3">
      <c r="B86" s="21"/>
      <c r="C86" s="21"/>
      <c r="D86" s="6"/>
      <c r="E86" s="21"/>
      <c r="F86" s="2"/>
      <c r="G86" s="21"/>
      <c r="H86" s="5"/>
      <c r="I86" s="21"/>
      <c r="J86" s="10"/>
      <c r="K86" s="21"/>
      <c r="L86" s="14"/>
    </row>
    <row r="87" spans="2:12" ht="42" customHeight="1" x14ac:dyDescent="0.3">
      <c r="B87" s="21"/>
      <c r="C87" s="21"/>
      <c r="D87" s="6"/>
      <c r="E87" s="21"/>
      <c r="F87" s="2"/>
      <c r="G87" s="21"/>
      <c r="H87" s="5"/>
      <c r="I87" s="21"/>
      <c r="J87" s="10"/>
      <c r="K87" s="21"/>
      <c r="L87" s="14"/>
    </row>
    <row r="88" spans="2:12" ht="42" customHeight="1" x14ac:dyDescent="0.3">
      <c r="B88" s="21"/>
      <c r="C88" s="21"/>
      <c r="D88" s="6"/>
      <c r="E88" s="21"/>
      <c r="F88" s="2"/>
      <c r="G88" s="21"/>
      <c r="H88" s="5"/>
      <c r="I88" s="21"/>
      <c r="J88" s="10"/>
      <c r="K88" s="21"/>
      <c r="L88" s="14"/>
    </row>
    <row r="89" spans="2:12" ht="42" customHeight="1" x14ac:dyDescent="0.3">
      <c r="B89" s="21"/>
      <c r="C89" s="21"/>
      <c r="D89" s="6"/>
      <c r="E89" s="21"/>
      <c r="F89" s="2"/>
      <c r="G89" s="21"/>
      <c r="H89" s="5"/>
      <c r="I89" s="21"/>
      <c r="J89" s="10"/>
      <c r="K89" s="21"/>
      <c r="L89" s="14"/>
    </row>
    <row r="90" spans="2:12" ht="42" customHeight="1" x14ac:dyDescent="0.3">
      <c r="B90" s="21"/>
      <c r="C90" s="21"/>
      <c r="D90" s="6"/>
      <c r="E90" s="21"/>
      <c r="F90" s="2"/>
      <c r="G90" s="21"/>
      <c r="H90" s="5"/>
      <c r="I90" s="21"/>
      <c r="J90" s="10"/>
      <c r="K90" s="21"/>
      <c r="L90" s="14"/>
    </row>
    <row r="91" spans="2:12" ht="42" customHeight="1" x14ac:dyDescent="0.3">
      <c r="B91" s="21"/>
      <c r="C91" s="21"/>
      <c r="D91" s="6"/>
      <c r="E91" s="21"/>
      <c r="F91" s="2"/>
      <c r="G91" s="21"/>
      <c r="H91" s="5"/>
      <c r="I91" s="21"/>
      <c r="J91" s="10"/>
      <c r="K91" s="21"/>
      <c r="L91" s="14"/>
    </row>
    <row r="92" spans="2:12" ht="42" customHeight="1" x14ac:dyDescent="0.3">
      <c r="B92" s="21"/>
      <c r="C92" s="21"/>
      <c r="D92" s="6"/>
      <c r="E92" s="21"/>
      <c r="F92" s="2"/>
      <c r="G92" s="21"/>
      <c r="H92" s="5"/>
      <c r="I92" s="21"/>
      <c r="J92" s="10"/>
      <c r="K92" s="21"/>
      <c r="L92" s="14"/>
    </row>
    <row r="93" spans="2:12" ht="42" customHeight="1" x14ac:dyDescent="0.3">
      <c r="B93" s="21"/>
      <c r="C93" s="21"/>
      <c r="D93" s="6"/>
      <c r="E93" s="21"/>
      <c r="F93" s="2"/>
      <c r="G93" s="21"/>
      <c r="H93" s="5"/>
      <c r="I93" s="21"/>
      <c r="J93" s="10"/>
      <c r="K93" s="21"/>
      <c r="L93" s="14"/>
    </row>
    <row r="94" spans="2:12" ht="42" customHeight="1" x14ac:dyDescent="0.3">
      <c r="B94" s="21"/>
      <c r="C94" s="21"/>
      <c r="D94" s="6"/>
      <c r="E94" s="21"/>
      <c r="F94" s="2"/>
      <c r="G94" s="21"/>
      <c r="H94" s="5"/>
      <c r="I94" s="21"/>
      <c r="J94" s="10"/>
      <c r="K94" s="21"/>
      <c r="L94" s="14"/>
    </row>
    <row r="95" spans="2:12" ht="42" customHeight="1" x14ac:dyDescent="0.3">
      <c r="B95" s="21"/>
      <c r="C95" s="21"/>
      <c r="D95" s="6"/>
      <c r="E95" s="21"/>
      <c r="F95" s="2"/>
      <c r="G95" s="21"/>
      <c r="H95" s="5"/>
      <c r="I95" s="21"/>
      <c r="J95" s="10"/>
      <c r="K95" s="21"/>
      <c r="L95" s="14"/>
    </row>
    <row r="96" spans="2:12" ht="42" customHeight="1" x14ac:dyDescent="0.3">
      <c r="B96" s="21"/>
      <c r="C96" s="21"/>
      <c r="D96" s="6"/>
      <c r="E96" s="21"/>
      <c r="F96" s="2"/>
      <c r="G96" s="21"/>
      <c r="H96" s="5"/>
      <c r="I96" s="21"/>
      <c r="J96" s="10"/>
      <c r="K96" s="21"/>
      <c r="L96" s="14"/>
    </row>
    <row r="97" spans="2:12" ht="42" customHeight="1" x14ac:dyDescent="0.3">
      <c r="B97" s="21"/>
      <c r="C97" s="21"/>
      <c r="D97" s="6"/>
      <c r="E97" s="21"/>
      <c r="F97" s="2"/>
      <c r="G97" s="21"/>
      <c r="H97" s="5"/>
      <c r="I97" s="21"/>
      <c r="J97" s="10"/>
      <c r="K97" s="21"/>
      <c r="L97" s="14"/>
    </row>
    <row r="98" spans="2:12" ht="42" customHeight="1" x14ac:dyDescent="0.3">
      <c r="B98" s="21"/>
      <c r="C98" s="21"/>
      <c r="D98" s="6"/>
      <c r="E98" s="21"/>
      <c r="F98" s="2"/>
      <c r="G98" s="21"/>
      <c r="H98" s="5"/>
      <c r="I98" s="21"/>
      <c r="J98" s="10"/>
      <c r="K98" s="21"/>
      <c r="L98" s="14"/>
    </row>
    <row r="99" spans="2:12" ht="42" customHeight="1" x14ac:dyDescent="0.3">
      <c r="B99" s="21"/>
      <c r="C99" s="21"/>
      <c r="D99" s="6"/>
      <c r="E99" s="21"/>
      <c r="F99" s="2"/>
      <c r="G99" s="21"/>
      <c r="H99" s="5"/>
      <c r="I99" s="21"/>
      <c r="J99" s="10"/>
      <c r="K99" s="21"/>
      <c r="L99" s="14"/>
    </row>
    <row r="100" spans="2:12" ht="42" customHeight="1" x14ac:dyDescent="0.3">
      <c r="B100" s="21"/>
      <c r="C100" s="21"/>
      <c r="D100" s="6"/>
      <c r="E100" s="21"/>
      <c r="F100" s="2"/>
      <c r="G100" s="21"/>
      <c r="H100" s="5"/>
      <c r="I100" s="21"/>
      <c r="J100" s="10"/>
      <c r="K100" s="21"/>
      <c r="L100" s="14"/>
    </row>
    <row r="101" spans="2:12" ht="42" customHeight="1" x14ac:dyDescent="0.3">
      <c r="B101" s="21"/>
      <c r="C101" s="21"/>
      <c r="D101" s="6"/>
      <c r="E101" s="21"/>
      <c r="F101" s="2"/>
      <c r="G101" s="21"/>
      <c r="H101" s="5"/>
      <c r="I101" s="21"/>
      <c r="J101" s="10"/>
      <c r="K101" s="21"/>
      <c r="L101" s="14"/>
    </row>
    <row r="102" spans="2:12" ht="42" customHeight="1" x14ac:dyDescent="0.3">
      <c r="B102" s="21"/>
      <c r="C102" s="21"/>
      <c r="D102" s="6"/>
      <c r="E102" s="21"/>
      <c r="F102" s="2"/>
      <c r="G102" s="21"/>
      <c r="H102" s="5"/>
      <c r="I102" s="21"/>
      <c r="J102" s="10"/>
      <c r="K102" s="21"/>
      <c r="L102" s="14"/>
    </row>
    <row r="103" spans="2:12" ht="42" customHeight="1" x14ac:dyDescent="0.3">
      <c r="B103" s="21"/>
      <c r="C103" s="21"/>
      <c r="D103" s="6"/>
      <c r="E103" s="21"/>
      <c r="F103" s="2"/>
      <c r="G103" s="21"/>
      <c r="H103" s="5"/>
      <c r="I103" s="21"/>
      <c r="J103" s="10"/>
      <c r="K103" s="21"/>
      <c r="L103" s="14"/>
    </row>
    <row r="104" spans="2:12" ht="42" customHeight="1" x14ac:dyDescent="0.3">
      <c r="B104" s="21"/>
      <c r="C104" s="21"/>
      <c r="D104" s="6"/>
      <c r="E104" s="21"/>
      <c r="F104" s="2"/>
      <c r="G104" s="21"/>
      <c r="H104" s="5"/>
      <c r="I104" s="21"/>
      <c r="J104" s="10"/>
      <c r="K104" s="21"/>
      <c r="L104" s="14"/>
    </row>
    <row r="105" spans="2:12" ht="42" customHeight="1" x14ac:dyDescent="0.3">
      <c r="B105" s="21"/>
      <c r="C105" s="21"/>
      <c r="D105" s="6"/>
      <c r="E105" s="21"/>
      <c r="F105" s="2"/>
      <c r="G105" s="21"/>
      <c r="H105" s="5"/>
      <c r="I105" s="21"/>
      <c r="J105" s="10"/>
      <c r="K105" s="21"/>
      <c r="L105" s="14"/>
    </row>
    <row r="106" spans="2:12" ht="42" customHeight="1" x14ac:dyDescent="0.3">
      <c r="B106" s="21"/>
      <c r="C106" s="21"/>
      <c r="D106" s="6"/>
      <c r="E106" s="21"/>
      <c r="F106" s="2"/>
      <c r="G106" s="21"/>
      <c r="H106" s="5"/>
      <c r="I106" s="21"/>
      <c r="J106" s="10"/>
      <c r="K106" s="21"/>
      <c r="L106" s="14"/>
    </row>
    <row r="107" spans="2:12" ht="42" customHeight="1" x14ac:dyDescent="0.3">
      <c r="B107" s="21"/>
      <c r="C107" s="21"/>
      <c r="D107" s="6"/>
      <c r="E107" s="21"/>
      <c r="F107" s="2"/>
      <c r="G107" s="21"/>
      <c r="H107" s="5"/>
      <c r="I107" s="21"/>
      <c r="J107" s="10"/>
      <c r="K107" s="21"/>
      <c r="L107" s="14"/>
    </row>
    <row r="108" spans="2:12" ht="42" customHeight="1" x14ac:dyDescent="0.3">
      <c r="B108" s="21"/>
      <c r="C108" s="21"/>
      <c r="D108" s="6"/>
      <c r="E108" s="21"/>
      <c r="F108" s="2"/>
      <c r="G108" s="21"/>
      <c r="H108" s="5"/>
      <c r="I108" s="21"/>
      <c r="J108" s="10"/>
      <c r="K108" s="21"/>
      <c r="L108" s="14"/>
    </row>
    <row r="109" spans="2:12" ht="42" customHeight="1" x14ac:dyDescent="0.3">
      <c r="B109" s="21"/>
      <c r="C109" s="21"/>
      <c r="D109" s="6"/>
      <c r="E109" s="21"/>
      <c r="F109" s="2"/>
      <c r="G109" s="21"/>
      <c r="H109" s="5"/>
      <c r="I109" s="21"/>
      <c r="J109" s="10"/>
      <c r="K109" s="21"/>
      <c r="L109" s="14"/>
    </row>
    <row r="110" spans="2:12" ht="42" customHeight="1" x14ac:dyDescent="0.3">
      <c r="B110" s="21"/>
      <c r="C110" s="21"/>
      <c r="D110" s="6"/>
      <c r="E110" s="21"/>
      <c r="F110" s="2"/>
      <c r="G110" s="21"/>
      <c r="H110" s="5"/>
      <c r="I110" s="21"/>
      <c r="J110" s="10"/>
      <c r="K110" s="21"/>
      <c r="L110" s="14"/>
    </row>
    <row r="111" spans="2:12" ht="42" customHeight="1" x14ac:dyDescent="0.3">
      <c r="B111" s="21"/>
      <c r="C111" s="21"/>
      <c r="D111" s="6"/>
      <c r="E111" s="21"/>
      <c r="F111" s="2"/>
      <c r="G111" s="21"/>
      <c r="H111" s="5"/>
      <c r="I111" s="21"/>
      <c r="J111" s="10"/>
      <c r="K111" s="21"/>
      <c r="L111" s="14"/>
    </row>
    <row r="112" spans="2:12" ht="42" customHeight="1" x14ac:dyDescent="0.3">
      <c r="B112" s="21"/>
      <c r="C112" s="21"/>
      <c r="D112" s="6"/>
      <c r="E112" s="21"/>
      <c r="F112" s="2"/>
      <c r="G112" s="21"/>
      <c r="H112" s="5"/>
      <c r="I112" s="21"/>
      <c r="J112" s="10"/>
      <c r="K112" s="21"/>
      <c r="L112" s="14"/>
    </row>
    <row r="113" spans="2:12" ht="42" customHeight="1" x14ac:dyDescent="0.3">
      <c r="B113" s="21"/>
      <c r="C113" s="21"/>
      <c r="D113" s="6"/>
      <c r="E113" s="21"/>
      <c r="F113" s="2"/>
      <c r="G113" s="21"/>
      <c r="H113" s="5"/>
      <c r="I113" s="21"/>
      <c r="J113" s="10"/>
      <c r="K113" s="21"/>
      <c r="L113" s="14"/>
    </row>
    <row r="114" spans="2:12" ht="42" customHeight="1" x14ac:dyDescent="0.3">
      <c r="B114" s="21"/>
      <c r="C114" s="21"/>
      <c r="D114" s="6"/>
      <c r="E114" s="21"/>
      <c r="F114" s="2"/>
      <c r="G114" s="21"/>
      <c r="H114" s="5"/>
      <c r="I114" s="21"/>
      <c r="J114" s="10"/>
      <c r="K114" s="21"/>
      <c r="L114" s="14"/>
    </row>
    <row r="115" spans="2:12" ht="42" customHeight="1" x14ac:dyDescent="0.3">
      <c r="B115" s="21"/>
      <c r="C115" s="21"/>
      <c r="D115" s="6"/>
      <c r="E115" s="21"/>
      <c r="F115" s="2"/>
      <c r="G115" s="21"/>
      <c r="H115" s="5"/>
      <c r="I115" s="21"/>
      <c r="J115" s="10"/>
      <c r="K115" s="21"/>
      <c r="L115" s="14"/>
    </row>
    <row r="116" spans="2:12" ht="42" customHeight="1" x14ac:dyDescent="0.3">
      <c r="B116" s="21"/>
      <c r="C116" s="21"/>
      <c r="D116" s="6"/>
      <c r="E116" s="21"/>
      <c r="F116" s="2"/>
      <c r="G116" s="21"/>
      <c r="H116" s="5"/>
      <c r="I116" s="21"/>
      <c r="J116" s="10"/>
      <c r="K116" s="21"/>
      <c r="L116" s="14"/>
    </row>
  </sheetData>
  <sheetProtection algorithmName="SHA-512" hashValue="tLO/sXeF+uOl8dPoHfQlRfblEtxVHDd1TaDKRIqaX+fuPWhpWX84cFiKno0QyAWB0HFOhEIvhgzSabhZHmuloQ==" saltValue="9p2FPHY5cPP/B1YUTjZ+Vw==" spinCount="100000" sheet="1" objects="1" scenarios="1"/>
  <mergeCells count="6">
    <mergeCell ref="B8:E8"/>
    <mergeCell ref="B9:E9"/>
    <mergeCell ref="B10:E10"/>
    <mergeCell ref="C5:I5"/>
    <mergeCell ref="C13:I13"/>
    <mergeCell ref="B11:E11"/>
  </mergeCells>
  <dataValidations count="8">
    <dataValidation type="list" allowBlank="1" showInputMessage="1" showErrorMessage="1" sqref="F8 K17:K116 F10" xr:uid="{D4AE41F9-BC39-4F23-9561-C5B078E3AF0A}">
      <formula1>"Sim,Não"</formula1>
    </dataValidation>
    <dataValidation type="whole" operator="greaterThanOrEqual" allowBlank="1" showInputMessage="1" showErrorMessage="1" error="Esta célula deverá conter um valor inteiro maior ou igual a zero" sqref="F9 J17:J116" xr:uid="{1DBAB896-D199-4473-B1C8-B718C066DDAC}">
      <formula1>0</formula1>
    </dataValidation>
    <dataValidation type="date" allowBlank="1" showInputMessage="1" showErrorMessage="1" errorTitle="Data" error="Esta célula deverá conter uma data no formato DD-MM-AAAA" sqref="D17:D116" xr:uid="{848F95A0-92DB-44D5-9EC8-4E67C33C5951}">
      <formula1>32874</formula1>
      <formula2>401768</formula2>
    </dataValidation>
    <dataValidation type="decimal" operator="greaterThanOrEqual" allowBlank="1" showInputMessage="1" showErrorMessage="1" error="Esta célula deverá conter um valor maior ou igual a zero" sqref="F17:F116" xr:uid="{03F7AE54-909E-4EF4-AFAB-90480946C1A0}">
      <formula1>0</formula1>
    </dataValidation>
    <dataValidation type="list" allowBlank="1" showInputMessage="1" showErrorMessage="1" sqref="G17:G116" xr:uid="{D2EC6B4F-4816-47B5-9AE9-5462EA511E0C}">
      <formula1>$O$2:$O$3</formula1>
    </dataValidation>
    <dataValidation type="list" allowBlank="1" showInputMessage="1" showErrorMessage="1" error="Esta célula deverá conter um valor entre 0% e 100%" sqref="H17:H116" xr:uid="{19C92B49-A940-4852-A62E-7081DBBBBB4F}">
      <formula1>$P$2:$P$3</formula1>
    </dataValidation>
    <dataValidation type="decimal" allowBlank="1" showInputMessage="1" showErrorMessage="1" error="Esta célula deverá conter um valor entre 0% e 100%" sqref="F11" xr:uid="{A7A97984-E47B-44E2-820D-903A285999E3}">
      <formula1>0</formula1>
      <formula2>1</formula2>
    </dataValidation>
    <dataValidation type="textLength" operator="lessThanOrEqual" allowBlank="1" showInputMessage="1" showErrorMessage="1" error="Este campo não pode exceder 1000 caracteres." sqref="C5:I5 C13:I13" xr:uid="{C0B0BB78-6977-48B3-A86B-B37A450F3DCA}">
      <formula1>1000</formula1>
    </dataValidation>
  </dataValidations>
  <pageMargins left="0.7" right="0.7" top="0.75" bottom="0.75" header="0.3" footer="0.3"/>
  <pageSetup paperSize="8" scale="59" fitToHeight="0"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3AE9B-FBC1-499E-81FA-AF158D7C7C8F}">
  <dimension ref="A1:I5"/>
  <sheetViews>
    <sheetView showGridLines="0" workbookViewId="0">
      <selection activeCell="C5" sqref="C5:I5"/>
    </sheetView>
  </sheetViews>
  <sheetFormatPr defaultColWidth="8.90625" defaultRowHeight="13" x14ac:dyDescent="0.3"/>
  <cols>
    <col min="1" max="1" width="8.90625" style="29"/>
    <col min="2" max="2" width="73.90625" style="29" customWidth="1"/>
    <col min="3" max="3" width="13.453125" style="29" customWidth="1"/>
    <col min="4" max="16384" width="8.90625" style="29"/>
  </cols>
  <sheetData>
    <row r="1" spans="1:9" x14ac:dyDescent="0.3">
      <c r="B1" s="28" t="s">
        <v>0</v>
      </c>
    </row>
    <row r="2" spans="1:9" x14ac:dyDescent="0.3">
      <c r="B2" s="37" t="s">
        <v>410</v>
      </c>
    </row>
    <row r="4" spans="1:9" x14ac:dyDescent="0.3">
      <c r="A4" s="38" t="s">
        <v>41</v>
      </c>
      <c r="B4" s="35"/>
    </row>
    <row r="5" spans="1:9" ht="120" customHeight="1" x14ac:dyDescent="0.3">
      <c r="A5" s="68">
        <v>16</v>
      </c>
      <c r="B5" s="118" t="s">
        <v>411</v>
      </c>
      <c r="C5" s="157" t="s">
        <v>571</v>
      </c>
      <c r="D5" s="157"/>
      <c r="E5" s="157"/>
      <c r="F5" s="157"/>
      <c r="G5" s="157"/>
      <c r="H5" s="157"/>
      <c r="I5" s="157"/>
    </row>
  </sheetData>
  <sheetProtection algorithmName="SHA-512" hashValue="HM6xDl908AuLZKnlOc/pMmuTCzaFib0rMpq4NFpJX8hI2lHXepCrm6lCbVGM+1nT6ycLrwZGY5OySf8US4AWbQ==" saltValue="Xh+Y5S5oPoElvWR5a01ITw==" spinCount="100000" sheet="1" objects="1" scenarios="1"/>
  <mergeCells count="1">
    <mergeCell ref="C5:I5"/>
  </mergeCells>
  <dataValidations count="1">
    <dataValidation type="textLength" operator="lessThanOrEqual" allowBlank="1" showInputMessage="1" showErrorMessage="1" error="Este campo não pode exceder 1000 caracteres." sqref="C5:I5" xr:uid="{2E0BF348-2817-4BDC-8B0C-9E35CA5BB9CC}">
      <formula1>1000</formula1>
    </dataValidation>
  </dataValidations>
  <pageMargins left="0.7" right="0.7" top="0.75" bottom="0.75" header="0.3" footer="0.3"/>
  <pageSetup paperSize="9"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771E7-5D71-4E81-9579-26FA22A473E9}">
  <dimension ref="A1:M8"/>
  <sheetViews>
    <sheetView showGridLines="0" workbookViewId="0">
      <selection activeCell="B8" sqref="B8"/>
    </sheetView>
  </sheetViews>
  <sheetFormatPr defaultColWidth="8.90625" defaultRowHeight="13" x14ac:dyDescent="0.3"/>
  <cols>
    <col min="1" max="1" width="8.90625" style="29"/>
    <col min="2" max="2" width="73.90625" style="29" customWidth="1"/>
    <col min="3" max="3" width="13.453125" style="29" customWidth="1"/>
    <col min="4" max="16384" width="8.90625" style="29"/>
  </cols>
  <sheetData>
    <row r="1" spans="1:13" x14ac:dyDescent="0.3">
      <c r="B1" s="28" t="s">
        <v>0</v>
      </c>
    </row>
    <row r="2" spans="1:13" x14ac:dyDescent="0.3">
      <c r="B2" s="37" t="s">
        <v>412</v>
      </c>
    </row>
    <row r="4" spans="1:13" x14ac:dyDescent="0.3">
      <c r="A4" s="38" t="s">
        <v>41</v>
      </c>
      <c r="B4" s="35" t="s">
        <v>413</v>
      </c>
    </row>
    <row r="5" spans="1:13" ht="120" customHeight="1" x14ac:dyDescent="0.3">
      <c r="A5" s="68" t="s">
        <v>414</v>
      </c>
      <c r="B5" s="126" t="s">
        <v>415</v>
      </c>
      <c r="C5" s="156" t="s">
        <v>489</v>
      </c>
      <c r="D5" s="159"/>
      <c r="E5" s="159"/>
      <c r="F5" s="159"/>
      <c r="G5" s="159"/>
      <c r="H5" s="159"/>
      <c r="I5" s="159"/>
      <c r="J5" s="159"/>
      <c r="K5" s="159"/>
      <c r="L5" s="159"/>
      <c r="M5" s="159"/>
    </row>
    <row r="7" spans="1:13" x14ac:dyDescent="0.3">
      <c r="B7" s="35" t="s">
        <v>416</v>
      </c>
    </row>
    <row r="8" spans="1:13" ht="120" customHeight="1" x14ac:dyDescent="0.3">
      <c r="A8" s="68" t="s">
        <v>417</v>
      </c>
      <c r="B8" s="118" t="s">
        <v>418</v>
      </c>
      <c r="C8" s="156" t="s">
        <v>567</v>
      </c>
      <c r="D8" s="159"/>
      <c r="E8" s="159"/>
      <c r="F8" s="159"/>
      <c r="G8" s="159"/>
      <c r="H8" s="159"/>
      <c r="I8" s="159"/>
      <c r="J8" s="159"/>
      <c r="K8" s="159"/>
      <c r="L8" s="159"/>
      <c r="M8" s="159"/>
    </row>
  </sheetData>
  <sheetProtection algorithmName="SHA-512" hashValue="RPBA8ORvpbUvaBPfI8Uk6K3yZM9jz6ZsnmUb1fdAipZZ98B25C/7UWqW3LgiDjghv0KFJSkq3eDxjz8oI/y5GA==" saltValue="ID10V26ACZOqMRb60HhGzw==" spinCount="100000" sheet="1" objects="1" scenarios="1"/>
  <mergeCells count="2">
    <mergeCell ref="C5:M5"/>
    <mergeCell ref="C8:M8"/>
  </mergeCells>
  <dataValidations count="1">
    <dataValidation type="textLength" operator="lessThanOrEqual" allowBlank="1" showInputMessage="1" showErrorMessage="1" error="Este campo não pode exceder 1000 caracteres." sqref="C5:M5 C8:M8" xr:uid="{4FA85666-6C29-44D0-8993-66F76E246159}">
      <formula1>1000</formula1>
    </dataValidation>
  </dataValidations>
  <pageMargins left="0.7" right="0.7" top="0.75" bottom="0.75" header="0.3" footer="0.3"/>
  <pageSetup paperSize="9"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4DF00-AB85-44DB-830E-6A5829492816}">
  <dimension ref="A1:G14"/>
  <sheetViews>
    <sheetView showGridLines="0" topLeftCell="E1" workbookViewId="0">
      <selection activeCell="E14" sqref="E14"/>
    </sheetView>
  </sheetViews>
  <sheetFormatPr defaultColWidth="9.08984375" defaultRowHeight="13" x14ac:dyDescent="0.35"/>
  <cols>
    <col min="1" max="1" width="8.36328125" style="137" hidden="1" customWidth="1"/>
    <col min="2" max="2" width="8.90625" style="137" hidden="1" customWidth="1"/>
    <col min="3" max="3" width="10.90625" style="137" hidden="1" customWidth="1"/>
    <col min="4" max="4" width="10.36328125" style="137" hidden="1" customWidth="1"/>
    <col min="5" max="5" width="75.6328125" style="138" customWidth="1"/>
    <col min="6" max="6" width="8.6328125" style="137" customWidth="1"/>
    <col min="7" max="7" width="21.6328125" style="137" customWidth="1"/>
    <col min="8" max="16384" width="9.08984375" style="137"/>
  </cols>
  <sheetData>
    <row r="1" spans="1:7" s="134" customFormat="1" x14ac:dyDescent="0.35">
      <c r="A1" s="132" t="s">
        <v>419</v>
      </c>
      <c r="B1" s="132" t="s">
        <v>420</v>
      </c>
      <c r="C1" s="132" t="s">
        <v>421</v>
      </c>
      <c r="D1" s="132" t="s">
        <v>422</v>
      </c>
      <c r="E1" s="133" t="s">
        <v>423</v>
      </c>
      <c r="F1" s="132" t="s">
        <v>424</v>
      </c>
      <c r="G1" s="132" t="s">
        <v>425</v>
      </c>
    </row>
    <row r="2" spans="1:7" ht="52" x14ac:dyDescent="0.35">
      <c r="A2" s="135"/>
      <c r="B2" s="135"/>
      <c r="C2" s="135"/>
      <c r="D2" s="135"/>
      <c r="E2" s="136" t="s">
        <v>426</v>
      </c>
      <c r="F2" s="135">
        <f>+IF(AND('Info Institucional'!C14&lt;&gt;0,'Info Institucional'!C15&lt;&gt;0),1,0)</f>
        <v>0</v>
      </c>
      <c r="G2" s="135" t="str">
        <f>+IF(F2=1,"Erro","")</f>
        <v/>
      </c>
    </row>
    <row r="3" spans="1:7" ht="39" x14ac:dyDescent="0.35">
      <c r="A3" s="135"/>
      <c r="B3" s="135"/>
      <c r="C3" s="135"/>
      <c r="D3" s="135"/>
      <c r="E3" s="136" t="s">
        <v>427</v>
      </c>
      <c r="F3" s="135">
        <f>+IF(AND('DC - Controlo'!C15="Autónoma",'DC - Controlo'!C16&lt;&gt;0),1,0)</f>
        <v>0</v>
      </c>
      <c r="G3" s="135"/>
    </row>
    <row r="4" spans="1:7" ht="39" x14ac:dyDescent="0.35">
      <c r="A4" s="135"/>
      <c r="B4" s="135"/>
      <c r="C4" s="135"/>
      <c r="D4" s="135"/>
      <c r="E4" s="136" t="s">
        <v>428</v>
      </c>
      <c r="F4" s="135">
        <f>+IF(AND('DC - Controlo'!C15="Cumulada",'DC - Controlo'!C16=0),1,0)</f>
        <v>0</v>
      </c>
      <c r="G4" s="135"/>
    </row>
    <row r="5" spans="1:7" ht="52" x14ac:dyDescent="0.35">
      <c r="A5" s="135"/>
      <c r="B5" s="135"/>
      <c r="C5" s="135"/>
      <c r="D5" s="135"/>
      <c r="E5" s="136" t="s">
        <v>429</v>
      </c>
      <c r="F5" s="135">
        <f>+IF('DC - Controlo'!C18&gt;'DC - Controlo'!C17,1,0)</f>
        <v>0</v>
      </c>
      <c r="G5" s="135" t="str">
        <f>+IF(F5=1,"Erro","")</f>
        <v/>
      </c>
    </row>
    <row r="6" spans="1:7" ht="26" x14ac:dyDescent="0.35">
      <c r="A6" s="135"/>
      <c r="B6" s="135"/>
      <c r="C6" s="135"/>
      <c r="D6" s="135"/>
      <c r="E6" s="136" t="s">
        <v>430</v>
      </c>
      <c r="F6" s="135">
        <f>+IF(AND('DC - Controlo'!C23="Não",COUNTA('DC - Controlo'!C26:C36,'DC - Controlo'!D26:D35,'DC - Controlo'!C24)&gt;0),1,0)</f>
        <v>0</v>
      </c>
      <c r="G6" s="135" t="str">
        <f t="shared" ref="G6:G14" si="0">+IF(F6=1,"Erro","")</f>
        <v/>
      </c>
    </row>
    <row r="7" spans="1:7" ht="52" x14ac:dyDescent="0.35">
      <c r="A7" s="135"/>
      <c r="B7" s="135"/>
      <c r="C7" s="135"/>
      <c r="D7" s="135"/>
      <c r="E7" s="136" t="s">
        <v>431</v>
      </c>
      <c r="F7" s="135">
        <f>+IF(AND('DC - Controlo'!C24="Não",COUNTA('DC - Controlo'!C26:C36,'DC - Controlo'!D26:D35)&gt;0),1,0)</f>
        <v>0</v>
      </c>
      <c r="G7" s="135" t="str">
        <f t="shared" si="0"/>
        <v/>
      </c>
    </row>
    <row r="8" spans="1:7" ht="39" x14ac:dyDescent="0.35">
      <c r="A8" s="135"/>
      <c r="B8" s="135"/>
      <c r="C8" s="135"/>
      <c r="D8" s="135"/>
      <c r="E8" s="136" t="s">
        <v>434</v>
      </c>
      <c r="F8" s="135">
        <f>+IF(AND('DC - Controlo'!C59="Não",COUNTA('DC - Controlo'!C61:C64)&gt;0),1,0)</f>
        <v>0</v>
      </c>
      <c r="G8" s="135" t="str">
        <f>+IF(F8=1,"Erro","")</f>
        <v/>
      </c>
    </row>
    <row r="9" spans="1:7" ht="39" x14ac:dyDescent="0.35">
      <c r="A9" s="135"/>
      <c r="B9" s="135"/>
      <c r="C9" s="135"/>
      <c r="D9" s="135"/>
      <c r="E9" s="136" t="s">
        <v>435</v>
      </c>
      <c r="F9" s="135">
        <f>+IF(AND('DC - Controlo'!C59="Sim",COUNTA('DC - Controlo'!C61:C64)=0),1,0)</f>
        <v>0</v>
      </c>
      <c r="G9" s="135" t="str">
        <f>+IF(F9=1,"Erro","")</f>
        <v/>
      </c>
    </row>
    <row r="10" spans="1:7" ht="52" x14ac:dyDescent="0.35">
      <c r="A10" s="135"/>
      <c r="B10" s="135"/>
      <c r="C10" s="135"/>
      <c r="D10" s="135"/>
      <c r="E10" s="136" t="s">
        <v>432</v>
      </c>
      <c r="F10" s="135">
        <f>+IF(AND('DC - Avaliação da eficácia'!G5="Não",COUNTA('DC - Avaliação da eficácia'!B9:D23)&gt;0),1,0)</f>
        <v>0</v>
      </c>
      <c r="G10" s="135" t="str">
        <f t="shared" si="0"/>
        <v/>
      </c>
    </row>
    <row r="11" spans="1:7" ht="52" x14ac:dyDescent="0.35">
      <c r="A11" s="135"/>
      <c r="B11" s="135"/>
      <c r="C11" s="135"/>
      <c r="D11" s="135"/>
      <c r="E11" s="136" t="s">
        <v>433</v>
      </c>
      <c r="F11" s="135">
        <f>+IF(AND('DC - Avaliação da eficácia'!G5="Sim",COUNTA('DC - Avaliação da eficácia'!B9:D23)=0),1,0)</f>
        <v>0</v>
      </c>
      <c r="G11" s="135" t="str">
        <f t="shared" si="0"/>
        <v/>
      </c>
    </row>
    <row r="12" spans="1:7" ht="39" x14ac:dyDescent="0.35">
      <c r="A12" s="135"/>
      <c r="B12" s="135"/>
      <c r="C12" s="135"/>
      <c r="D12" s="135"/>
      <c r="E12" s="136" t="s">
        <v>438</v>
      </c>
      <c r="F12" s="135">
        <f>+IF(AND(Formação!F8="Não",COUNTA(Formação!B17:L31)&gt;0),1,0)</f>
        <v>0</v>
      </c>
      <c r="G12" s="135" t="str">
        <f t="shared" si="0"/>
        <v/>
      </c>
    </row>
    <row r="13" spans="1:7" ht="52" x14ac:dyDescent="0.35">
      <c r="A13" s="135"/>
      <c r="B13" s="135"/>
      <c r="C13" s="135"/>
      <c r="D13" s="135"/>
      <c r="E13" s="136" t="s">
        <v>437</v>
      </c>
      <c r="F13" s="135">
        <f>+IF(AND(Formação!F8="Não",Formação!F9&lt;&gt;0),1,0)</f>
        <v>0</v>
      </c>
      <c r="G13" s="135" t="str">
        <f t="shared" si="0"/>
        <v/>
      </c>
    </row>
    <row r="14" spans="1:7" ht="65" x14ac:dyDescent="0.35">
      <c r="A14" s="135"/>
      <c r="B14" s="135"/>
      <c r="C14" s="135"/>
      <c r="D14" s="135"/>
      <c r="E14" s="136" t="s">
        <v>439</v>
      </c>
      <c r="F14" s="135">
        <f>+IF(AND(Formação!F8="Sim",OR(COUNTA(Formação!B17:L31)=0,Formação!F9=0)),1,0)</f>
        <v>0</v>
      </c>
      <c r="G14" s="135" t="str">
        <f t="shared" si="0"/>
        <v/>
      </c>
    </row>
  </sheetData>
  <sheetProtection algorithmName="SHA-512" hashValue="70oK0LHOTu5cpJtR+9a62YmsmTQUDZMy39yMldIfvP8MgFt8TRUZ+QoVeDilgetj/viOs/IM0d4QoeIQ1GNC8w==" saltValue="uCiKRRxhDE31Zhsz+arW+A==" spinCount="100000" sheet="1" formatCells="0" formatColumns="0" formatRows="0" insertColumns="0" insertRows="0" insertHyperlinks="0" deleteColumns="0" deleteRows="0" sort="0" autoFilter="0" pivotTables="0"/>
  <pageMargins left="0.75" right="0.75" top="1" bottom="1" header="0" footer="0"/>
  <pageSetup paperSize="9"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BC317-2901-4C1E-B828-89E3B05AADEE}">
  <dimension ref="A1:K2"/>
  <sheetViews>
    <sheetView workbookViewId="0">
      <selection activeCell="G3" sqref="G3"/>
    </sheetView>
  </sheetViews>
  <sheetFormatPr defaultColWidth="8.90625" defaultRowHeight="12.5" x14ac:dyDescent="0.25"/>
  <cols>
    <col min="1" max="2" width="8.90625" style="22"/>
    <col min="3" max="3" width="10.08984375" style="22" bestFit="1" customWidth="1"/>
    <col min="4" max="16384" width="8.90625" style="22"/>
  </cols>
  <sheetData>
    <row r="1" spans="1:11" x14ac:dyDescent="0.25">
      <c r="A1" s="22" t="s">
        <v>458</v>
      </c>
      <c r="B1" s="22" t="s">
        <v>459</v>
      </c>
      <c r="C1" s="23" t="s">
        <v>460</v>
      </c>
      <c r="D1" s="23" t="s">
        <v>461</v>
      </c>
      <c r="E1" s="23" t="s">
        <v>462</v>
      </c>
      <c r="F1" s="23" t="s">
        <v>463</v>
      </c>
      <c r="G1" s="23" t="s">
        <v>464</v>
      </c>
      <c r="H1" s="23" t="s">
        <v>465</v>
      </c>
      <c r="I1" s="23" t="s">
        <v>466</v>
      </c>
      <c r="J1" s="23" t="s">
        <v>467</v>
      </c>
      <c r="K1" s="23" t="s">
        <v>468</v>
      </c>
    </row>
    <row r="2" spans="1:11" x14ac:dyDescent="0.25">
      <c r="A2" s="24" t="s">
        <v>469</v>
      </c>
      <c r="B2" s="24">
        <v>202505</v>
      </c>
      <c r="C2" s="25">
        <f>+Cabeçalho!B3</f>
        <v>45657</v>
      </c>
      <c r="D2" s="26">
        <f>+Cabeçalho!B4</f>
        <v>419501250</v>
      </c>
      <c r="E2" s="26" t="str">
        <f>+Cabeçalho!B9</f>
        <v>549300URJH9VSI58CS32</v>
      </c>
      <c r="F2" s="27" t="str">
        <f>+Cabeçalho!B8</f>
        <v>Anual</v>
      </c>
      <c r="G2" s="27" t="str">
        <f>+Cabeçalho!B7</f>
        <v>GGG</v>
      </c>
    </row>
  </sheetData>
  <pageMargins left="0.75" right="0.75" top="1" bottom="1" header="0" footer="0"/>
  <pageSetup paperSize="9"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070AA25-FA96-4E7F-B789-57EE65F07541}">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C78FB065-E306-4C4A-81AA-A5EA3A97CB2F}"/>
</file>

<file path=customXml/itemProps3.xml><?xml version="1.0" encoding="utf-8"?>
<ds:datastoreItem xmlns:ds="http://schemas.openxmlformats.org/officeDocument/2006/customXml" ds:itemID="{E25AECA5-EC1A-41DF-B9FD-5C014E8577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Cabeçalho</vt:lpstr>
      <vt:lpstr>Info Institucional</vt:lpstr>
      <vt:lpstr>DC - Controlo</vt:lpstr>
      <vt:lpstr>DC - Avaliação da eficácia</vt:lpstr>
      <vt:lpstr>DC - Documentos</vt:lpstr>
      <vt:lpstr>DC - Perfis de risco</vt:lpstr>
      <vt:lpstr>DC - Qualificação de pessoas</vt:lpstr>
      <vt:lpstr>Identificação e Diligência</vt:lpstr>
      <vt:lpstr>Medidas</vt:lpstr>
      <vt:lpstr>Terceiros</vt:lpstr>
      <vt:lpstr>Comunicação</vt:lpstr>
      <vt:lpstr>Abstenção</vt:lpstr>
      <vt:lpstr>Recusa</vt:lpstr>
      <vt:lpstr>Conservação</vt:lpstr>
      <vt:lpstr>Exame</vt:lpstr>
      <vt:lpstr>Colaboração</vt:lpstr>
      <vt:lpstr>Não Divulgação</vt:lpstr>
      <vt:lpstr>Formação</vt:lpstr>
      <vt:lpstr>Oportunidades de melhoria</vt:lpstr>
      <vt:lpstr>Outras informações</vt:lpstr>
      <vt:lpstr>Validações</vt:lpstr>
      <vt:lpstr>versao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Edite Cristina dos Santos Sequeira</dc:creator>
  <cp:keywords/>
  <dc:description/>
  <cp:lastModifiedBy>Denise Maria Rodrigues Macau</cp:lastModifiedBy>
  <cp:revision/>
  <dcterms:created xsi:type="dcterms:W3CDTF">2024-03-18T14:58:36Z</dcterms:created>
  <dcterms:modified xsi:type="dcterms:W3CDTF">2025-07-16T16:19:38Z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SIP_Label_0c2abd79-57a9-4473-8700-c843f76a1e37_Enabled">
    <vt:lpwstr>true</vt:lpwstr>
  </property>
  <property fmtid="{D5CDD505-2E9C-101B-9397-08002B2CF9AE}" pid="4" name="MSIP_Label_0c2abd79-57a9-4473-8700-c843f76a1e37_SetDate">
    <vt:lpwstr>2025-06-25T09:36:28Z</vt:lpwstr>
  </property>
  <property fmtid="{D5CDD505-2E9C-101B-9397-08002B2CF9AE}" pid="5" name="MSIP_Label_0c2abd79-57a9-4473-8700-c843f76a1e37_Method">
    <vt:lpwstr>Privileged</vt:lpwstr>
  </property>
  <property fmtid="{D5CDD505-2E9C-101B-9397-08002B2CF9AE}" pid="6" name="MSIP_Label_0c2abd79-57a9-4473-8700-c843f76a1e37_Name">
    <vt:lpwstr>Internal</vt:lpwstr>
  </property>
  <property fmtid="{D5CDD505-2E9C-101B-9397-08002B2CF9AE}" pid="7" name="MSIP_Label_0c2abd79-57a9-4473-8700-c843f76a1e37_SiteId">
    <vt:lpwstr>35595a02-4d6d-44ac-99e1-f9ab4cd872db</vt:lpwstr>
  </property>
  <property fmtid="{D5CDD505-2E9C-101B-9397-08002B2CF9AE}" pid="8" name="MSIP_Label_0c2abd79-57a9-4473-8700-c843f76a1e37_ActionId">
    <vt:lpwstr>42491464-6919-46c0-a9c8-657ece593788</vt:lpwstr>
  </property>
  <property fmtid="{D5CDD505-2E9C-101B-9397-08002B2CF9AE}" pid="9" name="MSIP_Label_0c2abd79-57a9-4473-8700-c843f76a1e37_ContentBits">
    <vt:lpwstr>0</vt:lpwstr>
  </property>
  <property fmtid="{D5CDD505-2E9C-101B-9397-08002B2CF9AE}" pid="10" name="MSIP_Label_0c2abd79-57a9-4473-8700-c843f76a1e37_Tag">
    <vt:lpwstr>10, 0, 1, 1</vt:lpwstr>
  </property>
</Properties>
</file>