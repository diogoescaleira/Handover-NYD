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4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https://santandernet.sharepoint.com/sites/FEIeBEI/Shared Documents/FEI e BEI/03. Documentos Produzidos/01. Especificação/"/>
    </mc:Choice>
  </mc:AlternateContent>
  <bookViews>
    <workbookView xWindow="-108" yWindow="-108" windowWidth="19416" windowHeight="10296" tabRatio="756"/>
  </bookViews>
  <sheets>
    <sheet name="Capa" sheetId="1" r:id="rId1"/>
    <sheet name="Indice" sheetId="16" r:id="rId2"/>
    <sheet name="Resumo" sheetId="23" r:id="rId3"/>
    <sheet name="out_contracts" sheetId="15" r:id="rId4"/>
    <sheet name="out_fei_included_transactions" sheetId="46" r:id="rId5"/>
    <sheet name="out_fei_payment_demand" sheetId="45" r:id="rId6"/>
    <sheet name="out_fei_repaid_transactions" sheetId="48" r:id="rId7"/>
    <sheet name="out_fei_new_transactions" sheetId="47" r:id="rId8"/>
    <sheet name="out_clients" sheetId="43" r:id="rId9"/>
    <sheet name="out_fei_new_recipients" sheetId="44" r:id="rId10"/>
    <sheet name="inp_fei_ieu_new_transactions" sheetId="50" r:id="rId11"/>
    <sheet name="out_fei_sustainability" sheetId="52" r:id="rId12"/>
    <sheet name="out_fei_transations_modificatio" sheetId="49" r:id="rId13"/>
    <sheet name="Tabelas AUX" sheetId="8" r:id="rId14"/>
    <sheet name="Lista campos desconsiderados" sheetId="25" r:id="rId15"/>
    <sheet name="Sheet2" sheetId="42" r:id="rId16"/>
  </sheets>
  <externalReferences>
    <externalReference r:id="rId17"/>
    <externalReference r:id="rId18"/>
    <externalReference r:id="rId19"/>
  </externalReferences>
  <definedNames>
    <definedName name="_xlnm._FilterDatabase" localSheetId="10" hidden="1">inp_fei_ieu_new_transactions!$B$10:$U$30</definedName>
    <definedName name="_xlnm._FilterDatabase" localSheetId="14" hidden="1">'Lista campos desconsiderados'!$B$12:$V$41</definedName>
    <definedName name="_xlnm._FilterDatabase" localSheetId="8" hidden="1">out_clients!$B$10:$AB$37</definedName>
    <definedName name="_xlnm._FilterDatabase" localSheetId="3" hidden="1">out_contracts!$B$10:$AB$67</definedName>
    <definedName name="_xlnm._FilterDatabase" localSheetId="4" hidden="1">out_fei_included_transactions!$B$10:$AB$10</definedName>
    <definedName name="_xlnm._FilterDatabase" localSheetId="9" hidden="1">out_fei_new_recipients!$B$10:$AB$10</definedName>
    <definedName name="_xlnm._FilterDatabase" localSheetId="7" hidden="1">out_fei_new_transactions!$B$10:$U$45</definedName>
    <definedName name="_xlnm._FilterDatabase" localSheetId="5" hidden="1">out_fei_payment_demand!$B$10:$U$10</definedName>
    <definedName name="_xlnm._FilterDatabase" localSheetId="6" hidden="1">out_fei_repaid_transactions!$B$10:$U$10</definedName>
    <definedName name="_xlnm._FilterDatabase" localSheetId="11" hidden="1">out_fei_sustainability!$B$10:$U$23</definedName>
    <definedName name="_xlnm._FilterDatabase" localSheetId="12" hidden="1">out_fei_transations_modificatio!$B$10:$U$10</definedName>
    <definedName name="_xlcn.WorksheetConnection_TabelaI12W2241" hidden="1">[1]Tabela!$I$12:$W$224</definedName>
    <definedName name="CONVERT_COUNTRY_NUTS">#REF!</definedName>
    <definedName name="NI_Country">#REF!</definedName>
    <definedName name="NI_Type">#REF!</definedName>
    <definedName name="NI_TYPE_START">#REF!</definedName>
    <definedName name="NUTS_COUNTRY_LIST">#REF!</definedName>
    <definedName name="NUTS_START">#REF!</definedName>
  </definedNames>
  <calcPr calcId="162913"/>
  <pivotCaches>
    <pivotCache cacheId="1" r:id="rId2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Tabela!$I$12:$W$224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1" i="23" l="1"/>
  <c r="O82" i="23"/>
  <c r="J82" i="23"/>
  <c r="D82" i="23"/>
  <c r="M82" i="23"/>
  <c r="H82" i="23"/>
  <c r="G50" i="23"/>
  <c r="D80" i="23"/>
  <c r="L80" i="23"/>
  <c r="H80" i="23"/>
  <c r="L82" i="23"/>
  <c r="P82" i="23"/>
  <c r="E82" i="23"/>
  <c r="F80" i="23"/>
  <c r="Q80" i="23"/>
  <c r="J80" i="23"/>
  <c r="O80" i="23"/>
  <c r="P80" i="23"/>
  <c r="I50" i="23"/>
  <c r="F50" i="23"/>
  <c r="I80" i="23"/>
  <c r="G80" i="23"/>
  <c r="J50" i="23"/>
  <c r="E50" i="23"/>
  <c r="H50" i="23"/>
  <c r="K82" i="23"/>
  <c r="I82" i="23"/>
  <c r="N82" i="23"/>
  <c r="F82" i="23"/>
  <c r="E80" i="23"/>
  <c r="N80" i="23"/>
  <c r="M80" i="23"/>
  <c r="Q82" i="23"/>
  <c r="K80" i="23"/>
  <c r="D50" i="23"/>
  <c r="G82" i="23"/>
  <c r="E63" i="23" l="1"/>
  <c r="J95" i="23"/>
  <c r="I95" i="23"/>
  <c r="G95" i="23"/>
  <c r="Q95" i="23"/>
  <c r="H95" i="23"/>
  <c r="O95" i="23"/>
  <c r="N95" i="23"/>
  <c r="F95" i="23"/>
  <c r="K95" i="23"/>
  <c r="E95" i="23"/>
  <c r="P95" i="23"/>
  <c r="M95" i="23"/>
  <c r="L95" i="23"/>
  <c r="I63" i="23"/>
  <c r="H63" i="23"/>
  <c r="J63" i="23"/>
  <c r="G63" i="23"/>
  <c r="F63" i="23"/>
  <c r="O93" i="23"/>
  <c r="N93" i="23"/>
  <c r="E93" i="23"/>
  <c r="K93" i="23"/>
  <c r="J93" i="23"/>
  <c r="Q93" i="23"/>
  <c r="I93" i="23"/>
  <c r="P93" i="23"/>
  <c r="H93" i="23"/>
  <c r="F93" i="23"/>
  <c r="G93" i="23"/>
  <c r="M93" i="23"/>
  <c r="L93" i="23"/>
  <c r="J48" i="23"/>
  <c r="H48" i="23"/>
  <c r="D48" i="23"/>
  <c r="F48" i="23"/>
  <c r="E48" i="23"/>
  <c r="I48" i="23"/>
  <c r="G48" i="23"/>
  <c r="J61" i="23" l="1"/>
  <c r="I61" i="23"/>
  <c r="H61" i="23"/>
  <c r="F61" i="23"/>
  <c r="E61" i="23"/>
  <c r="G61" i="23"/>
  <c r="J100" i="23"/>
  <c r="C55" i="23" l="1"/>
  <c r="C56" i="23"/>
  <c r="C57" i="23"/>
  <c r="C58" i="23"/>
  <c r="C59" i="23"/>
  <c r="C60" i="23"/>
  <c r="C54" i="23"/>
  <c r="E45" i="23"/>
  <c r="E44" i="23"/>
  <c r="O14" i="47" l="1"/>
  <c r="E9" i="23" l="1"/>
  <c r="E8" i="23"/>
  <c r="F8" i="23" s="1"/>
  <c r="D12" i="23"/>
  <c r="F10" i="23"/>
  <c r="F11" i="23"/>
  <c r="C8" i="1"/>
  <c r="E12" i="23" l="1"/>
  <c r="F9" i="23"/>
  <c r="F12" i="23" s="1"/>
  <c r="H76" i="23"/>
  <c r="D41" i="23"/>
  <c r="E74" i="23"/>
  <c r="H47" i="23"/>
  <c r="N75" i="23"/>
  <c r="G75" i="23"/>
  <c r="K73" i="23"/>
  <c r="L79" i="23"/>
  <c r="H73" i="23"/>
  <c r="G49" i="23"/>
  <c r="O81" i="23"/>
  <c r="H78" i="23"/>
  <c r="L73" i="23"/>
  <c r="D78" i="23"/>
  <c r="H74" i="23"/>
  <c r="Q78" i="23"/>
  <c r="M79" i="23"/>
  <c r="I78" i="23"/>
  <c r="D76" i="23"/>
  <c r="K77" i="23"/>
  <c r="E73" i="23"/>
  <c r="D73" i="23"/>
  <c r="F73" i="23"/>
  <c r="J42" i="23"/>
  <c r="K79" i="23"/>
  <c r="N77" i="23"/>
  <c r="G42" i="23"/>
  <c r="Q76" i="23"/>
  <c r="F76" i="23"/>
  <c r="D42" i="23"/>
  <c r="H75" i="23"/>
  <c r="L81" i="23"/>
  <c r="F41" i="23"/>
  <c r="J44" i="23"/>
  <c r="I46" i="23"/>
  <c r="I47" i="23"/>
  <c r="M78" i="23"/>
  <c r="D44" i="23"/>
  <c r="I43" i="23"/>
  <c r="F42" i="23"/>
  <c r="D47" i="23"/>
  <c r="D46" i="23"/>
  <c r="J78" i="23"/>
  <c r="D79" i="23"/>
  <c r="E47" i="23"/>
  <c r="G73" i="23"/>
  <c r="E43" i="23"/>
  <c r="G76" i="23"/>
  <c r="Q79" i="23"/>
  <c r="G45" i="23"/>
  <c r="P78" i="23"/>
  <c r="Q81" i="23"/>
  <c r="H46" i="23"/>
  <c r="I73" i="23"/>
  <c r="G47" i="23"/>
  <c r="N76" i="23"/>
  <c r="G46" i="23"/>
  <c r="I45" i="23"/>
  <c r="E79" i="23"/>
  <c r="H79" i="23"/>
  <c r="L76" i="23"/>
  <c r="N81" i="23"/>
  <c r="H81" i="23"/>
  <c r="E41" i="23"/>
  <c r="F47" i="23"/>
  <c r="E78" i="23"/>
  <c r="P75" i="23"/>
  <c r="G77" i="23"/>
  <c r="H49" i="23"/>
  <c r="P74" i="23"/>
  <c r="I74" i="23"/>
  <c r="H45" i="23"/>
  <c r="L78" i="23"/>
  <c r="E75" i="23"/>
  <c r="G74" i="23"/>
  <c r="D74" i="23"/>
  <c r="F43" i="23"/>
  <c r="F81" i="23"/>
  <c r="F77" i="23"/>
  <c r="D75" i="23"/>
  <c r="J45" i="23"/>
  <c r="G78" i="23"/>
  <c r="J81" i="23"/>
  <c r="O78" i="23"/>
  <c r="E81" i="23"/>
  <c r="O73" i="23"/>
  <c r="L75" i="23"/>
  <c r="F75" i="23"/>
  <c r="P76" i="23"/>
  <c r="G43" i="23"/>
  <c r="M75" i="23"/>
  <c r="E42" i="23"/>
  <c r="N74" i="23"/>
  <c r="J47" i="23"/>
  <c r="D49" i="23"/>
  <c r="H77" i="23"/>
  <c r="M81" i="23"/>
  <c r="K78" i="23"/>
  <c r="F79" i="23"/>
  <c r="E49" i="23"/>
  <c r="Q74" i="23"/>
  <c r="F78" i="23"/>
  <c r="G79" i="23"/>
  <c r="L77" i="23"/>
  <c r="H42" i="23"/>
  <c r="K76" i="23"/>
  <c r="H41" i="23"/>
  <c r="P81" i="23"/>
  <c r="O77" i="23"/>
  <c r="N79" i="23"/>
  <c r="I49" i="23"/>
  <c r="I44" i="23"/>
  <c r="K75" i="23"/>
  <c r="O76" i="23"/>
  <c r="D77" i="23"/>
  <c r="J74" i="23"/>
  <c r="I79" i="23"/>
  <c r="F45" i="23"/>
  <c r="O79" i="23"/>
  <c r="G44" i="23"/>
  <c r="J43" i="23"/>
  <c r="J41" i="23"/>
  <c r="J77" i="23"/>
  <c r="Q75" i="23"/>
  <c r="J49" i="23"/>
  <c r="P79" i="23"/>
  <c r="Q73" i="23"/>
  <c r="H43" i="23"/>
  <c r="I77" i="23"/>
  <c r="E46" i="23"/>
  <c r="I42" i="23"/>
  <c r="I81" i="23"/>
  <c r="J46" i="23"/>
  <c r="F74" i="23"/>
  <c r="H44" i="23"/>
  <c r="J76" i="23"/>
  <c r="E76" i="23"/>
  <c r="J79" i="23"/>
  <c r="F49" i="23"/>
  <c r="G81" i="23"/>
  <c r="F44" i="23"/>
  <c r="F46" i="23"/>
  <c r="I41" i="23"/>
  <c r="N73" i="23"/>
  <c r="O74" i="23"/>
  <c r="K74" i="23"/>
  <c r="D45" i="23"/>
  <c r="K81" i="23"/>
  <c r="G41" i="23"/>
  <c r="L74" i="23"/>
  <c r="M77" i="23"/>
  <c r="D43" i="23"/>
  <c r="J73" i="23"/>
  <c r="N78" i="23"/>
  <c r="M74" i="23"/>
  <c r="O75" i="23"/>
  <c r="I76" i="23"/>
  <c r="I75" i="23"/>
  <c r="P73" i="23"/>
  <c r="Q77" i="23"/>
  <c r="E77" i="23"/>
  <c r="J75" i="23"/>
  <c r="M73" i="23"/>
  <c r="M76" i="23"/>
  <c r="P77" i="23"/>
  <c r="D81" i="23"/>
  <c r="F83" i="23" l="1"/>
  <c r="I83" i="23"/>
  <c r="L83" i="23"/>
  <c r="P83" i="23"/>
  <c r="O83" i="23"/>
  <c r="N83" i="23"/>
  <c r="K83" i="23"/>
  <c r="H83" i="23"/>
  <c r="Q83" i="23"/>
  <c r="J83" i="23"/>
  <c r="M83" i="23"/>
  <c r="E83" i="23"/>
  <c r="G83" i="23"/>
  <c r="D83" i="23"/>
  <c r="J51" i="23"/>
  <c r="F51" i="23"/>
  <c r="G51" i="23"/>
  <c r="E51" i="23"/>
  <c r="H51" i="23"/>
  <c r="I51" i="23"/>
  <c r="D51" i="23"/>
  <c r="D63" i="23" s="1"/>
  <c r="G62" i="23"/>
  <c r="G54" i="23"/>
  <c r="H92" i="23"/>
  <c r="P88" i="23"/>
  <c r="F92" i="23"/>
  <c r="H86" i="23"/>
  <c r="G89" i="23"/>
  <c r="E62" i="23"/>
  <c r="E94" i="23"/>
  <c r="K94" i="23"/>
  <c r="O89" i="23"/>
  <c r="H94" i="23"/>
  <c r="H60" i="23"/>
  <c r="K91" i="23"/>
  <c r="H59" i="23"/>
  <c r="O94" i="23"/>
  <c r="F94" i="23"/>
  <c r="F60" i="23"/>
  <c r="F90" i="23"/>
  <c r="Q90" i="23"/>
  <c r="E55" i="23"/>
  <c r="P87" i="23"/>
  <c r="J94" i="23"/>
  <c r="G88" i="23"/>
  <c r="P94" i="23"/>
  <c r="H87" i="23"/>
  <c r="H62" i="23"/>
  <c r="F59" i="23"/>
  <c r="I55" i="23"/>
  <c r="I58" i="23"/>
  <c r="E92" i="23"/>
  <c r="J62" i="23"/>
  <c r="F56" i="23"/>
  <c r="J59" i="23"/>
  <c r="I92" i="23"/>
  <c r="N92" i="23"/>
  <c r="I59" i="23"/>
  <c r="H57" i="23"/>
  <c r="O91" i="23"/>
  <c r="L86" i="23"/>
  <c r="Q86" i="23"/>
  <c r="K92" i="23"/>
  <c r="M90" i="23"/>
  <c r="L94" i="23"/>
  <c r="L88" i="23"/>
  <c r="F86" i="23"/>
  <c r="M94" i="23"/>
  <c r="L92" i="23"/>
  <c r="G86" i="23"/>
  <c r="J57" i="23"/>
  <c r="G87" i="23"/>
  <c r="H90" i="23"/>
  <c r="G57" i="23"/>
  <c r="M89" i="23"/>
  <c r="G90" i="23"/>
  <c r="I94" i="23"/>
  <c r="E87" i="23"/>
  <c r="Q88" i="23"/>
  <c r="I88" i="23"/>
  <c r="E58" i="23"/>
  <c r="J89" i="23"/>
  <c r="I90" i="23"/>
  <c r="J86" i="23"/>
  <c r="F87" i="23"/>
  <c r="J92" i="23"/>
  <c r="I57" i="23"/>
  <c r="E60" i="23"/>
  <c r="G94" i="23"/>
  <c r="E88" i="23"/>
  <c r="F62" i="23"/>
  <c r="N91" i="23"/>
  <c r="O92" i="23"/>
  <c r="E91" i="23"/>
  <c r="I62" i="23"/>
  <c r="Q92" i="23"/>
  <c r="F88" i="23"/>
  <c r="L89" i="23"/>
  <c r="M88" i="23"/>
  <c r="L87" i="23"/>
  <c r="N94" i="23"/>
  <c r="N89" i="23"/>
  <c r="P92" i="23"/>
  <c r="G92" i="23"/>
  <c r="I60" i="23"/>
  <c r="M87" i="23"/>
  <c r="G56" i="23"/>
  <c r="P90" i="23"/>
  <c r="K90" i="23"/>
  <c r="H89" i="23"/>
  <c r="H54" i="23"/>
  <c r="I54" i="23"/>
  <c r="M86" i="23"/>
  <c r="M91" i="23"/>
  <c r="E90" i="23"/>
  <c r="Q91" i="23"/>
  <c r="F54" i="23"/>
  <c r="K88" i="23"/>
  <c r="O86" i="23"/>
  <c r="F58" i="23"/>
  <c r="K86" i="23"/>
  <c r="E54" i="23"/>
  <c r="P89" i="23"/>
  <c r="F57" i="23"/>
  <c r="E86" i="23"/>
  <c r="Q89" i="23"/>
  <c r="O88" i="23"/>
  <c r="N86" i="23"/>
  <c r="J87" i="23"/>
  <c r="I91" i="23"/>
  <c r="F89" i="23"/>
  <c r="F55" i="23"/>
  <c r="I89" i="23"/>
  <c r="N88" i="23"/>
  <c r="H58" i="23"/>
  <c r="N90" i="23"/>
  <c r="N87" i="23"/>
  <c r="K87" i="23"/>
  <c r="E89" i="23"/>
  <c r="J54" i="23"/>
  <c r="G55" i="23"/>
  <c r="P86" i="23"/>
  <c r="M92" i="23"/>
  <c r="J56" i="23"/>
  <c r="I87" i="23"/>
  <c r="I86" i="23"/>
  <c r="J58" i="23"/>
  <c r="L91" i="23"/>
  <c r="F91" i="23"/>
  <c r="G91" i="23"/>
  <c r="E57" i="23"/>
  <c r="Q87" i="23"/>
  <c r="E56" i="23"/>
  <c r="E59" i="23"/>
  <c r="H55" i="23"/>
  <c r="K89" i="23"/>
  <c r="I56" i="23"/>
  <c r="G58" i="23"/>
  <c r="G59" i="23"/>
  <c r="J91" i="23"/>
  <c r="O87" i="23"/>
  <c r="P91" i="23"/>
  <c r="H91" i="23"/>
  <c r="G60" i="23"/>
  <c r="H88" i="23"/>
  <c r="J55" i="23"/>
  <c r="H56" i="23"/>
  <c r="J90" i="23"/>
  <c r="O90" i="23"/>
  <c r="J88" i="23"/>
  <c r="Q94" i="23"/>
  <c r="J60" i="23"/>
  <c r="L90" i="23"/>
  <c r="D93" i="23" l="1"/>
  <c r="D95" i="23"/>
  <c r="D64" i="23"/>
  <c r="D61" i="23"/>
  <c r="D54" i="23"/>
  <c r="D55" i="23"/>
  <c r="D59" i="23"/>
  <c r="D60" i="23"/>
  <c r="D58" i="23"/>
  <c r="D62" i="23"/>
  <c r="D57" i="23"/>
  <c r="I32" i="23"/>
  <c r="P96" i="23"/>
  <c r="D86" i="23"/>
  <c r="D96" i="23"/>
  <c r="I33" i="23"/>
  <c r="Q96" i="23"/>
  <c r="D90" i="23"/>
  <c r="E64" i="23"/>
  <c r="D21" i="23"/>
  <c r="I29" i="23"/>
  <c r="M96" i="23"/>
  <c r="I28" i="23"/>
  <c r="L96" i="23"/>
  <c r="I25" i="23"/>
  <c r="I96" i="23"/>
  <c r="D26" i="23"/>
  <c r="J64" i="23"/>
  <c r="D22" i="23"/>
  <c r="F64" i="23"/>
  <c r="F96" i="23"/>
  <c r="I22" i="23"/>
  <c r="I27" i="23"/>
  <c r="K96" i="23"/>
  <c r="D88" i="23"/>
  <c r="N96" i="23"/>
  <c r="I30" i="23"/>
  <c r="I21" i="23"/>
  <c r="E96" i="23"/>
  <c r="D25" i="23"/>
  <c r="I64" i="23"/>
  <c r="I31" i="23"/>
  <c r="O96" i="23"/>
  <c r="D24" i="23"/>
  <c r="H64" i="23"/>
  <c r="J96" i="23"/>
  <c r="I26" i="23"/>
  <c r="D94" i="23"/>
  <c r="D91" i="23"/>
  <c r="D56" i="23"/>
  <c r="D89" i="23"/>
  <c r="D92" i="23"/>
  <c r="I23" i="23"/>
  <c r="G96" i="23"/>
  <c r="D87" i="23"/>
  <c r="D23" i="23"/>
  <c r="G64" i="23"/>
  <c r="I24" i="23"/>
  <c r="H96" i="23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Tabela!$I$12:$W$224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TabelaI12W2241"/>
        </x15:connection>
      </ext>
    </extLst>
  </connection>
</connections>
</file>

<file path=xl/sharedStrings.xml><?xml version="1.0" encoding="utf-8"?>
<sst xmlns="http://schemas.openxmlformats.org/spreadsheetml/2006/main" count="3604" uniqueCount="814">
  <si>
    <t>Lisboa,</t>
  </si>
  <si>
    <t>Índice de tabelas</t>
  </si>
  <si>
    <t>Tabela</t>
  </si>
  <si>
    <t>Tipologia</t>
  </si>
  <si>
    <t>Schema</t>
  </si>
  <si>
    <t>Sheet</t>
  </si>
  <si>
    <t>Descrição</t>
  </si>
  <si>
    <t>Última alteração</t>
  </si>
  <si>
    <t>Estado</t>
  </si>
  <si>
    <t>Metodologia:</t>
  </si>
  <si>
    <t>INPUT</t>
  </si>
  <si>
    <t>FONTE SUGERIDA</t>
  </si>
  <si>
    <t>FONTE A CONSIDERAR</t>
  </si>
  <si>
    <t>NOTAS TECNOLOGIA</t>
  </si>
  <si>
    <t>ESPECIFICAÇÃO</t>
  </si>
  <si>
    <t>IMPLEMENTAÇÃO</t>
  </si>
  <si>
    <t>NOME TABELA</t>
  </si>
  <si>
    <t>ORDEM</t>
  </si>
  <si>
    <t>NOME COLUNA</t>
  </si>
  <si>
    <t>TIPO DE DADOS</t>
  </si>
  <si>
    <t>DESCRIÇÃO</t>
  </si>
  <si>
    <t>DENIFIÇÕES CAMPO</t>
  </si>
  <si>
    <t>SCHEMA DL</t>
  </si>
  <si>
    <t>TABELA</t>
  </si>
  <si>
    <t>CAMPO</t>
  </si>
  <si>
    <t>ALTERAÇÃO FONTE</t>
  </si>
  <si>
    <t>COMENTÁRIO</t>
  </si>
  <si>
    <t>METODOLOGIA CÁLCULO</t>
  </si>
  <si>
    <t>METODOLOGIA CRUZAMENTO</t>
  </si>
  <si>
    <t>ESTADO</t>
  </si>
  <si>
    <t>DATA ATUALIZAÇÃO</t>
  </si>
  <si>
    <t>NOTAS</t>
  </si>
  <si>
    <t>DATA ENTREGA - TESTES</t>
  </si>
  <si>
    <t>TESTES</t>
  </si>
  <si>
    <t>Concluído</t>
  </si>
  <si>
    <t>Pendente WG</t>
  </si>
  <si>
    <t>Quando resumo dos campos a mapear</t>
  </si>
  <si>
    <t>Solicitados</t>
  </si>
  <si>
    <t>Analisados</t>
  </si>
  <si>
    <t>Em falta</t>
  </si>
  <si>
    <t>Contratos</t>
  </si>
  <si>
    <t>Clientes</t>
  </si>
  <si>
    <t>Dimensões</t>
  </si>
  <si>
    <t>Propostas</t>
  </si>
  <si>
    <t>Total</t>
  </si>
  <si>
    <t>Tabelas Output</t>
  </si>
  <si>
    <t>Total (%)</t>
  </si>
  <si>
    <t>Em curso</t>
  </si>
  <si>
    <t>Pendente</t>
  </si>
  <si>
    <t>Por Iniciar</t>
  </si>
  <si>
    <t>Não aplicável</t>
  </si>
  <si>
    <t>Concluído (%)</t>
  </si>
  <si>
    <t>Em curso (%)</t>
  </si>
  <si>
    <t>Pendente (%)</t>
  </si>
  <si>
    <t>Por Iniciar (%)</t>
  </si>
  <si>
    <t>Não aplicável (%)</t>
  </si>
  <si>
    <t>Testes utilizador</t>
  </si>
  <si>
    <t>Aguarda EF</t>
  </si>
  <si>
    <t>Pendente Ingesta</t>
  </si>
  <si>
    <t>C/ Incidências</t>
  </si>
  <si>
    <t>NOK - técnica</t>
  </si>
  <si>
    <t>NOK - revisão EF</t>
  </si>
  <si>
    <t>NOK - fonte</t>
  </si>
  <si>
    <t>Reteste</t>
  </si>
  <si>
    <t>MAPA</t>
  </si>
  <si>
    <t>INFORMAÇÃO REQUISITOS</t>
  </si>
  <si>
    <t>FEI-EGF</t>
  </si>
  <si>
    <t>Table A1</t>
  </si>
  <si>
    <t>PBI</t>
  </si>
  <si>
    <t>Postal Code</t>
  </si>
  <si>
    <t>Região Nuts3 da Sede: Identificando o conselho, faz a correspondência através da tabela anexa</t>
  </si>
  <si>
    <t>Country</t>
  </si>
  <si>
    <t>Valor fixo</t>
  </si>
  <si>
    <t>A.1.15</t>
  </si>
  <si>
    <t>Publication (Y/N)</t>
  </si>
  <si>
    <t>"N"</t>
  </si>
  <si>
    <t>Table A2</t>
  </si>
  <si>
    <t xml:space="preserve">Transaction reference </t>
  </si>
  <si>
    <t>??</t>
  </si>
  <si>
    <t>A.2.11</t>
  </si>
  <si>
    <t>""</t>
  </si>
  <si>
    <t>Loss Given Default</t>
  </si>
  <si>
    <t>Value of Collateral</t>
  </si>
  <si>
    <t>Table B</t>
  </si>
  <si>
    <t>PBI (Riscos)</t>
  </si>
  <si>
    <t xml:space="preserve">PBI específico para cálculo destes saldos
No leasing esta informação já vem no txt, em relação a empréstimos é extraída no powerbi </t>
  </si>
  <si>
    <t>Delinquent Final Recipient Transaction</t>
  </si>
  <si>
    <t>Defaulted Final Recipient Transaction (Y/N)</t>
  </si>
  <si>
    <t>N/A</t>
  </si>
  <si>
    <t>Moratorium (Y/N)</t>
  </si>
  <si>
    <t>APV</t>
  </si>
  <si>
    <t>Table C</t>
  </si>
  <si>
    <t>Informação prestada pela área de recuperações tendo por base operações já marcadas como estando em default.
Esta informação é prestada à área de crédito especializado via email.
Um cliente só pode entrar nesta tabela quando: se em pelo menos um dos últimos relatório tiver marcado como deliquente ou default e se a área de recuperações entender que não consegue negociar com o cliente.
Se for identificado que o cliente prestou falsas declarações, aparece imediatamente no report do trimestre, não necessita de estar em default/ deliquente no último report.</t>
  </si>
  <si>
    <t>Table D</t>
  </si>
  <si>
    <t>TABLE F</t>
  </si>
  <si>
    <t>A.1.1</t>
  </si>
  <si>
    <t>A.2.1</t>
  </si>
  <si>
    <t>F.1</t>
  </si>
  <si>
    <t>Reference field name with OLD value</t>
  </si>
  <si>
    <t>F.2</t>
  </si>
  <si>
    <t>Reference field name with NEW value</t>
  </si>
  <si>
    <t>Main Report</t>
  </si>
  <si>
    <t>Final Recipient Name</t>
  </si>
  <si>
    <t>Relevant Enterprises</t>
  </si>
  <si>
    <t>Lista de campos desconsiderados dos requisitos iniciais</t>
  </si>
  <si>
    <t>Face aos requisitos iniciais, após revisão com Riscos, os campos aqui listados foram desconsiderados para o Modelo.</t>
  </si>
  <si>
    <t>Estados Especificação</t>
  </si>
  <si>
    <t>Pendências</t>
  </si>
  <si>
    <t>Estados Implementação</t>
  </si>
  <si>
    <t>Recolha de informação</t>
  </si>
  <si>
    <t>Especificação concluída, implementação por iniciar</t>
  </si>
  <si>
    <t>Em Curso</t>
  </si>
  <si>
    <t>Ingesta</t>
  </si>
  <si>
    <t>Especificação concluída, implementação em curso</t>
  </si>
  <si>
    <t>On Hold</t>
  </si>
  <si>
    <t>Info. Corporação</t>
  </si>
  <si>
    <t>Especificação concluída, aguarda algo de outra equipa e que não é ingesta</t>
  </si>
  <si>
    <t>Definir metodologia</t>
  </si>
  <si>
    <t>Especificação concluída, campo entregue e validado pelo utilizador</t>
  </si>
  <si>
    <t>Alta Complex.</t>
  </si>
  <si>
    <t>Info. DW</t>
  </si>
  <si>
    <t>Especificação concluída, campo entregue e com incidências reportadas não explicadas</t>
  </si>
  <si>
    <t>Em Implem.</t>
  </si>
  <si>
    <t>Parametrização</t>
  </si>
  <si>
    <t>Standby</t>
  </si>
  <si>
    <t>Desconsiderado para já</t>
  </si>
  <si>
    <t>Fora Ambito</t>
  </si>
  <si>
    <t>Acesso ao schema</t>
  </si>
  <si>
    <t>Especificação concluída, campo entregue e que aguarda validação do utilizador</t>
  </si>
  <si>
    <t>Desenvolvimentos IT</t>
  </si>
  <si>
    <t>Especificação por concluir</t>
  </si>
  <si>
    <t>Cancelado</t>
  </si>
  <si>
    <t>Desconsiderado</t>
  </si>
  <si>
    <t>Especificação concluída, pendente ingesta</t>
  </si>
  <si>
    <t>Correção disponibilizada para reteste</t>
  </si>
  <si>
    <t>Incidências reportadas resultante de erro de implementação</t>
  </si>
  <si>
    <t>Incidências reportada obriga a revisão de especificação</t>
  </si>
  <si>
    <t>Incidências reportadas resultante de erro na fonte</t>
  </si>
  <si>
    <t>Especificação concluída, pendente aprovação WG</t>
  </si>
  <si>
    <t>Row Labels</t>
  </si>
  <si>
    <t>Grand Total</t>
  </si>
  <si>
    <t>Count of SHEET</t>
  </si>
  <si>
    <t>Valor fixo - "PT"</t>
  </si>
  <si>
    <t>Chave Riscos. Caso seja para obter chave IC, dar prioridade ao CASE WHEN csitcon = 'A' THEN 1 ELSE 2 END</t>
  </si>
  <si>
    <t>N</t>
  </si>
  <si>
    <t>CLASSIFICAÇÃO DADOS</t>
  </si>
  <si>
    <t>Operacional</t>
  </si>
  <si>
    <t>Calculado</t>
  </si>
  <si>
    <t>PBI - data de criação da empresa</t>
  </si>
  <si>
    <t>Correspondência do CAE ao NACE (NACE Revision 2 with a letter and four-digit numerical code ), conforme tabela</t>
  </si>
  <si>
    <t>Calculado - informação diária</t>
  </si>
  <si>
    <t>Column Labels</t>
  </si>
  <si>
    <t>ct004_univ_cto</t>
  </si>
  <si>
    <t>contract</t>
  </si>
  <si>
    <t>common_contracts_core</t>
  </si>
  <si>
    <t>entity_address
individual_address</t>
  </si>
  <si>
    <t>common_parties_entities
common_parties_individuals</t>
  </si>
  <si>
    <t>entity_identity_document
individual_identity_document</t>
  </si>
  <si>
    <t>1. LIGAÇÃO CONTRATO - CLIENTE
common_contracts_core.contract_party_relationship
ON ( 
        cto_party_rel.bank_id &lt;=&gt; cts.bank_id
    AND cto_party_rel.contract_id &lt;=&gt; cts.contract_id
)
2. LIGAÇÃO CLIENTE - FISCAL CODE
ON ( cto_party_rel.party_id &lt;=&gt; idtt_dcmt.party_id )</t>
  </si>
  <si>
    <t>common_contracts_loans
common_contracts_leasing
common_contracts_loanaccounts</t>
  </si>
  <si>
    <t>loan
leasing
loan_account</t>
  </si>
  <si>
    <t>document_number</t>
  </si>
  <si>
    <t>entity
individual</t>
  </si>
  <si>
    <t>full_name</t>
  </si>
  <si>
    <t>postal_code</t>
  </si>
  <si>
    <t>nut3_code</t>
  </si>
  <si>
    <t>country_code</t>
  </si>
  <si>
    <t>Chave ICs: cempresa, cbalcao, cnumecta e zdeposit</t>
  </si>
  <si>
    <t>B9 = ct004_univ_cto.dias_incump</t>
  </si>
  <si>
    <t>CÓDIGO DO CAMPO</t>
  </si>
  <si>
    <t>fiscal_number</t>
  </si>
  <si>
    <t>transaction_reference</t>
  </si>
  <si>
    <t>old_reference_field</t>
  </si>
  <si>
    <t>new_reference_field</t>
  </si>
  <si>
    <t>Tabela F - Final Recipient Transaction ID Modification</t>
  </si>
  <si>
    <t>Tabela D - Expired/repaid transactions</t>
  </si>
  <si>
    <t>D.1</t>
  </si>
  <si>
    <t>Repayment/Expiry Date</t>
  </si>
  <si>
    <t>Tabela C - Payment Demand</t>
  </si>
  <si>
    <t>event_date</t>
  </si>
  <si>
    <t>event_type</t>
  </si>
  <si>
    <t>defaulted_principal_amount</t>
  </si>
  <si>
    <t>defaulted_interest_covered</t>
  </si>
  <si>
    <t>recovery_date</t>
  </si>
  <si>
    <t>recovery_amount</t>
  </si>
  <si>
    <t>A.2.2</t>
  </si>
  <si>
    <t>C.1</t>
  </si>
  <si>
    <t>C.2</t>
  </si>
  <si>
    <t>C.3</t>
  </si>
  <si>
    <t>C.4</t>
  </si>
  <si>
    <t>C.6</t>
  </si>
  <si>
    <t>C.7</t>
  </si>
  <si>
    <t>Final Recipient Rating / Scoring</t>
  </si>
  <si>
    <t>Transaction Reference</t>
  </si>
  <si>
    <t>Final Recipient Rating / Scoring Model Used</t>
  </si>
  <si>
    <t>Final Recipient Rating / Scoring Date</t>
  </si>
  <si>
    <t>Cumulated Disbursed Principal Amount</t>
  </si>
  <si>
    <t>Transaction Outstanding Principal Amount</t>
  </si>
  <si>
    <t>End of Disbursement Period</t>
  </si>
  <si>
    <t>Sum of Daily Outstanding Principal Amount (Performing)</t>
  </si>
  <si>
    <t>Dellinquent Period (# days)</t>
  </si>
  <si>
    <t>Event Date / Date of Defaulted Final Recipient Transacion</t>
  </si>
  <si>
    <t>Upside (Amount)</t>
  </si>
  <si>
    <t>Upside Realised (Y/N)</t>
  </si>
  <si>
    <t>B.1</t>
  </si>
  <si>
    <t>B.2</t>
  </si>
  <si>
    <t>B.3</t>
  </si>
  <si>
    <t>B.4</t>
  </si>
  <si>
    <t>B.5</t>
  </si>
  <si>
    <t>B.6</t>
  </si>
  <si>
    <t>B.7</t>
  </si>
  <si>
    <t>B.8</t>
  </si>
  <si>
    <t>B.9</t>
  </si>
  <si>
    <t>B.10</t>
  </si>
  <si>
    <t>B.11</t>
  </si>
  <si>
    <t>Transaction Currency</t>
  </si>
  <si>
    <t>Transaction Purpose</t>
  </si>
  <si>
    <t>Transaction Principal Amount</t>
  </si>
  <si>
    <t>Purchase Price</t>
  </si>
  <si>
    <t>Down Payment</t>
  </si>
  <si>
    <t>Transaction Maturity (months)</t>
  </si>
  <si>
    <t>Grace Period</t>
  </si>
  <si>
    <t>Transaction Signature Date</t>
  </si>
  <si>
    <t>Amortisation Profile</t>
  </si>
  <si>
    <t>Reference Rate</t>
  </si>
  <si>
    <t>Interest Rate / Margin Over Reference Rate</t>
  </si>
  <si>
    <t>Main Type of Collateral</t>
  </si>
  <si>
    <t>Transaction Type</t>
  </si>
  <si>
    <t>transaction_type</t>
  </si>
  <si>
    <t>transaction_currency</t>
  </si>
  <si>
    <t>purchase_price</t>
  </si>
  <si>
    <t>down_payment</t>
  </si>
  <si>
    <t>grace_period</t>
  </si>
  <si>
    <t>amortisation_profile</t>
  </si>
  <si>
    <t>repayment_profile</t>
  </si>
  <si>
    <t>reference_rate</t>
  </si>
  <si>
    <t>interest_rate</t>
  </si>
  <si>
    <t>value_of_collateral</t>
  </si>
  <si>
    <t>main_type_collateral</t>
  </si>
  <si>
    <t>A.2.3</t>
  </si>
  <si>
    <t>A.2.4</t>
  </si>
  <si>
    <t>A.2.5</t>
  </si>
  <si>
    <t>A.2.6</t>
  </si>
  <si>
    <t>A.2.7</t>
  </si>
  <si>
    <t>A.2.8</t>
  </si>
  <si>
    <t>A.2.9</t>
  </si>
  <si>
    <t>A.2.10</t>
  </si>
  <si>
    <t>A.2.12</t>
  </si>
  <si>
    <t>A.2.13</t>
  </si>
  <si>
    <t>A.2.14</t>
  </si>
  <si>
    <t>A.2.15</t>
  </si>
  <si>
    <t>A.2.16</t>
  </si>
  <si>
    <t>Not Specified</t>
  </si>
  <si>
    <t>party_id</t>
  </si>
  <si>
    <t>Party ID</t>
  </si>
  <si>
    <t>Fiscal Number (NIF)</t>
  </si>
  <si>
    <t>country</t>
  </si>
  <si>
    <t>Date of Establishment</t>
  </si>
  <si>
    <t>sector</t>
  </si>
  <si>
    <t>Sector (NACE code)</t>
  </si>
  <si>
    <t>Number of Employees</t>
  </si>
  <si>
    <t>Total Turnover (EUR)</t>
  </si>
  <si>
    <t>Total Assets (EUR)</t>
  </si>
  <si>
    <t>part_of_group</t>
  </si>
  <si>
    <t>Is the Final Recepient Part of a Group? (Y/N)</t>
  </si>
  <si>
    <t>Type of Enterprise (SME/SMC)</t>
  </si>
  <si>
    <t>natural_person</t>
  </si>
  <si>
    <t>Natural Person (Y/N)</t>
  </si>
  <si>
    <t>publication</t>
  </si>
  <si>
    <t>Tabela B - Included Transactions</t>
  </si>
  <si>
    <t>Tabela A2 - New Final Recipient Transactions</t>
  </si>
  <si>
    <t>A.1.2</t>
  </si>
  <si>
    <t>A.1.3</t>
  </si>
  <si>
    <t>A.1.4</t>
  </si>
  <si>
    <t>A.1.5</t>
  </si>
  <si>
    <t>A.1.7</t>
  </si>
  <si>
    <t>A.1.8</t>
  </si>
  <si>
    <t>A.1.9</t>
  </si>
  <si>
    <t>A.1.10</t>
  </si>
  <si>
    <t>A.1.11</t>
  </si>
  <si>
    <t>A.1.12</t>
  </si>
  <si>
    <t>A.1.13</t>
  </si>
  <si>
    <t>A.1.14</t>
  </si>
  <si>
    <t>A.1.6</t>
  </si>
  <si>
    <t>contract_id</t>
  </si>
  <si>
    <t>bank_id</t>
  </si>
  <si>
    <t>cbalcao</t>
  </si>
  <si>
    <t>cnumecta</t>
  </si>
  <si>
    <t>zdeposit</t>
  </si>
  <si>
    <t>product_id</t>
  </si>
  <si>
    <t>subproduct_id</t>
  </si>
  <si>
    <t>cnatoper</t>
  </si>
  <si>
    <t>B - Not Specified</t>
  </si>
  <si>
    <t>Event Date</t>
  </si>
  <si>
    <t>Event Type</t>
  </si>
  <si>
    <t>Recovery Date</t>
  </si>
  <si>
    <t>Recovery Amount</t>
  </si>
  <si>
    <t>Defaulted Interest Covered</t>
  </si>
  <si>
    <t>Defaulted Principal Amount</t>
  </si>
  <si>
    <t>Contract ID</t>
  </si>
  <si>
    <t>Bank ID</t>
  </si>
  <si>
    <t>Código de Balcão</t>
  </si>
  <si>
    <t>Código Numecta</t>
  </si>
  <si>
    <t>Product ID</t>
  </si>
  <si>
    <t>Zdeposit</t>
  </si>
  <si>
    <t>SubProduct ID</t>
  </si>
  <si>
    <t>Fiscal Number  (NIF)</t>
  </si>
  <si>
    <t>Used in Report (BEI / FEI)</t>
  </si>
  <si>
    <t>data_date_part</t>
  </si>
  <si>
    <t>data_timestamp_part</t>
  </si>
  <si>
    <t>Tecnical Field</t>
  </si>
  <si>
    <t>string</t>
  </si>
  <si>
    <t>CHAVE PRIMÁRIA</t>
  </si>
  <si>
    <r>
      <rPr>
        <b/>
        <sz val="11"/>
        <color theme="1"/>
        <rFont val="Calibri"/>
        <family val="2"/>
        <scheme val="minor"/>
      </rPr>
      <t>PBI (Workflow de Credito)</t>
    </r>
    <r>
      <rPr>
        <sz val="11"/>
        <color theme="1"/>
        <rFont val="Calibri"/>
        <family val="2"/>
        <scheme val="minor"/>
      </rPr>
      <t xml:space="preserve">
Loan -&gt; Loan
RCL -&gt; Revolving Transaction
OLC -&gt; Overdraft Line of Credit
Documentary Finance -&gt; Documentary Finance (i.e. Letters of Credit and Bank Guarantees)
Trade Receivables - Recourse -&gt; Trade Receivables (including factoring) with recourse
Lease -&gt; Finance Lease
Subordinated Loan -&gt; Subordinated Loan 
Quasi-Equity -&gt; Quasi-Equity
Bond -&gt; Bond</t>
    </r>
  </si>
  <si>
    <t>PBI (Workflow de Credito)
For Lease transaction = capital amount [i.e. the difference between the Purchase price (A.2.5.1.) and the Down payment (A.2.5.2)]</t>
  </si>
  <si>
    <t>DETALHES</t>
  </si>
  <si>
    <t>NOME DA COLUNA</t>
  </si>
  <si>
    <t>NOME FÍSICO</t>
  </si>
  <si>
    <r>
      <rPr>
        <b/>
        <sz val="11"/>
        <color theme="1"/>
        <rFont val="Calibri"/>
        <family val="2"/>
        <scheme val="minor"/>
      </rPr>
      <t>Existe informação em PBI, mas está incorreta.</t>
    </r>
    <r>
      <rPr>
        <sz val="11"/>
        <color theme="1"/>
        <rFont val="Calibri"/>
        <family val="2"/>
        <scheme val="minor"/>
      </rPr>
      <t xml:space="preserve">
É pedida informação atualizada à área de recuperações e seguimento.
Este bloco diz respeito ao incumprimento (quando existe prestações em atraso). Há casos em que a informação não está correta no PBI (os dias não avançam), é validado no terminal financeiro o nr de dias.
</t>
    </r>
  </si>
  <si>
    <r>
      <rPr>
        <b/>
        <sz val="11"/>
        <color theme="1"/>
        <rFont val="Calibri"/>
        <family val="2"/>
        <scheme val="minor"/>
      </rPr>
      <t>Existe informação em PBI, mas está incorreta.</t>
    </r>
    <r>
      <rPr>
        <sz val="11"/>
        <color theme="1"/>
        <rFont val="Calibri"/>
        <family val="2"/>
        <scheme val="minor"/>
      </rPr>
      <t xml:space="preserve">
É pedida informação atualizada à área de recuperações e seguimento.
Este bloco diz respeito ao incumprimento (quando existe prestações em atraso). Há casos em que a informação não está correta no PBI (os dias não avançam), é validado no terminal financeiro o nr de dias.</t>
    </r>
  </si>
  <si>
    <r>
      <rPr>
        <b/>
        <sz val="11"/>
        <color theme="1"/>
        <rFont val="Calibri"/>
        <family val="2"/>
        <scheme val="minor"/>
      </rPr>
      <t>Calculado se:
“b6 = y”</t>
    </r>
    <r>
      <rPr>
        <sz val="11"/>
        <color theme="1"/>
        <rFont val="Calibri"/>
        <family val="2"/>
        <scheme val="minor"/>
      </rPr>
      <t xml:space="preserve">
(várias fontes: terminal financeiros empréstimos, lease para operações lease, contas correntes partenon) – Se Lease, esta informação é obtida pelo ficheiro txt enviado, se empréstimos é obtida no powerbi (“comissão de garantida FEI/ EGF” na tabela resumo), se contas correntes é obtida através do acesso a uma tabela DW (e é somado manualmente)</t>
    </r>
  </si>
  <si>
    <r>
      <rPr>
        <b/>
        <sz val="11"/>
        <color theme="1"/>
        <rFont val="Calibri"/>
        <family val="2"/>
        <scheme val="minor"/>
      </rPr>
      <t>Tabelas internas BST</t>
    </r>
    <r>
      <rPr>
        <sz val="11"/>
        <color theme="1"/>
        <rFont val="Calibri"/>
        <family val="2"/>
        <scheme val="minor"/>
      </rPr>
      <t xml:space="preserve">
- mutuos - PBI
- Leasing - Reporte específico do Lease
- CCC - (Manualidade)</t>
    </r>
  </si>
  <si>
    <r>
      <rPr>
        <b/>
        <sz val="11"/>
        <color theme="1"/>
        <rFont val="Calibri"/>
        <family val="2"/>
        <scheme val="minor"/>
      </rPr>
      <t>Tabelas internas BST</t>
    </r>
    <r>
      <rPr>
        <sz val="11"/>
        <color theme="1"/>
        <rFont val="Calibri"/>
        <family val="2"/>
        <scheme val="minor"/>
      </rPr>
      <t xml:space="preserve">
- mutuos - PBI
- Leasing - Reporte específico do Lease
- CCC - validação do valor máximo utilizado desde a abertura de conta (Manualidade)
Some examples for revolving credit (RCL and OLC):
1) Credit limit is 100; if 0 was disbursed, B.4 = 0;
2) Credit limit is 100; if 20 was disbursed and repaid, B.4= 20;
3) Credit limit is 100; if 20 was disbursed 4 times, even if each time repaid, B.4= 20*4 = 80;
4) Credit limit is 100; if 20 was disbursed and repaid seven times, the cumulative would be 140, B.4 =100.</t>
    </r>
  </si>
  <si>
    <t>Same as C.1</t>
  </si>
  <si>
    <r>
      <t xml:space="preserve">PBI
</t>
    </r>
    <r>
      <rPr>
        <b/>
        <sz val="11"/>
        <color theme="1"/>
        <rFont val="Calibri"/>
        <family val="2"/>
        <scheme val="minor"/>
      </rPr>
      <t>Y -&gt;</t>
    </r>
    <r>
      <rPr>
        <sz val="11"/>
        <color theme="1"/>
        <rFont val="Calibri"/>
        <family val="2"/>
        <scheme val="minor"/>
      </rPr>
      <t xml:space="preserve"> when the Final Recipient is a natural person (i.e. self-employed person authorised to perform economic activities as an enterprise);
</t>
    </r>
    <r>
      <rPr>
        <b/>
        <sz val="11"/>
        <color theme="1"/>
        <rFont val="Calibri"/>
        <family val="2"/>
        <scheme val="minor"/>
      </rPr>
      <t>N -&gt;</t>
    </r>
    <r>
      <rPr>
        <sz val="11"/>
        <color theme="1"/>
        <rFont val="Calibri"/>
        <family val="2"/>
        <scheme val="minor"/>
      </rPr>
      <t xml:space="preserve"> when the Final Recipient is a company (i.e. with legal entity).
</t>
    </r>
  </si>
  <si>
    <t xml:space="preserve">Informa DB
- For newly established enterprises that do not yet have approved annual accounts, a realistic bona fide estimate of the relevant data should be done during the course of the financial year. </t>
  </si>
  <si>
    <t xml:space="preserve">PBI ou InformaDB
- For newly established enterprises that do not yet have approved annual accounts, a realistic bona fide estimate of the relevant data should be done during the course of the financial year. </t>
  </si>
  <si>
    <t>X</t>
  </si>
  <si>
    <t>Data Date Part</t>
  </si>
  <si>
    <t>Data Timestamp Part</t>
  </si>
  <si>
    <t>Information reference date.</t>
  </si>
  <si>
    <t>Record's load timestamp in common layer.</t>
  </si>
  <si>
    <t>system</t>
  </si>
  <si>
    <r>
      <rPr>
        <b/>
        <sz val="11"/>
        <color theme="1"/>
        <rFont val="Calibri"/>
        <family val="2"/>
        <scheme val="minor"/>
      </rPr>
      <t xml:space="preserve">Case when </t>
    </r>
    <r>
      <rPr>
        <sz val="11"/>
        <color theme="1"/>
        <rFont val="Calibri"/>
        <family val="2"/>
        <scheme val="minor"/>
      </rPr>
      <t xml:space="preserve">party_id in individuals and not in entity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'Y'
</t>
    </r>
    <r>
      <rPr>
        <b/>
        <sz val="11"/>
        <color theme="1"/>
        <rFont val="Calibri"/>
        <family val="2"/>
        <scheme val="minor"/>
      </rPr>
      <t>Otherwise</t>
    </r>
    <r>
      <rPr>
        <sz val="11"/>
        <color theme="1"/>
        <rFont val="Calibri"/>
        <family val="2"/>
        <scheme val="minor"/>
      </rPr>
      <t xml:space="preserve"> 'N'</t>
    </r>
  </si>
  <si>
    <t>Validar</t>
  </si>
  <si>
    <r>
      <rPr>
        <b/>
        <sz val="11"/>
        <color theme="1"/>
        <rFont val="Calibri"/>
        <family val="2"/>
        <scheme val="minor"/>
      </rPr>
      <t>Made of:</t>
    </r>
    <r>
      <rPr>
        <sz val="11"/>
        <color theme="1"/>
        <rFont val="Calibri"/>
        <family val="2"/>
        <scheme val="minor"/>
      </rPr>
      <t xml:space="preserve"> 
concat(cbalcao, cnumeta, zdeposit)</t>
    </r>
  </si>
  <si>
    <t>** Necessary to filter column document_use_type_code to 'DF' to have the fiscal number only per party_id</t>
  </si>
  <si>
    <t>Internal Santander's bank identifier (previously known as CEMPRESA).</t>
  </si>
  <si>
    <t xml:space="preserve">Identifier of the level one product. </t>
  </si>
  <si>
    <t>Identifier of the level two product (subproduct).</t>
  </si>
  <si>
    <t>Identifier of the contract.</t>
  </si>
  <si>
    <t>curated_internal_mainframe_propostas</t>
  </si>
  <si>
    <t>wit30_detprod</t>
  </si>
  <si>
    <t>** Necessary to filter by: todas naturezas parametrizadas na tat
with cnatoper in ('EPC','EPU','LFC','LFU','LVC','LVU','VPC','VPU','IC1','IU1','LIC','LIU','LNC','LNU','NC1','NU1','AIC','AIU','ANC','ANU','VIC','VIU','VNC','VNU','LGC','LUC','GXC','GXN','GXP','GXU','UG1','UG2','CG1','CG2','UTC','UTV','LPC','LPU')</t>
  </si>
  <si>
    <t>currency_code</t>
  </si>
  <si>
    <t>Only has values for leasing transactions</t>
  </si>
  <si>
    <t>opening_date</t>
  </si>
  <si>
    <t>Identifier of the contract's currency.</t>
  </si>
  <si>
    <t>decimal</t>
  </si>
  <si>
    <t>timestamp</t>
  </si>
  <si>
    <t>Unique identifier of the party.</t>
  </si>
  <si>
    <t>Number of the fiscal number (NIF) associated to the party.</t>
  </si>
  <si>
    <t>Validar (%)</t>
  </si>
  <si>
    <t>business_beifei</t>
  </si>
  <si>
    <t>int</t>
  </si>
  <si>
    <t>Number of employees working for the counterparty, in accordance with Article 5 of the Annex to Recommendation 2003/361/EC</t>
  </si>
  <si>
    <t>Operation Nature Code</t>
  </si>
  <si>
    <t>Unique identifier of the transaction.</t>
  </si>
  <si>
    <t>Party´s complete name.</t>
  </si>
  <si>
    <t>Postal code of the adress.</t>
  </si>
  <si>
    <t>Country code to which the address belongs to.</t>
  </si>
  <si>
    <t>Repayment Frequency</t>
  </si>
  <si>
    <t>upside_amount</t>
  </si>
  <si>
    <t>upside_realised</t>
  </si>
  <si>
    <t>moratorium</t>
  </si>
  <si>
    <t>apv</t>
  </si>
  <si>
    <t>Tabela A1 - New Final Recipients</t>
  </si>
  <si>
    <t>Type of transaction of the contract (Lease, Loan, or  RCL)</t>
  </si>
  <si>
    <t>Tabela:</t>
  </si>
  <si>
    <t>Quadro do resumo da especificação</t>
  </si>
  <si>
    <t>Quadro do resumo da implementação</t>
  </si>
  <si>
    <r>
      <rPr>
        <b/>
        <sz val="11"/>
        <color theme="1"/>
        <rFont val="Calibri"/>
        <family val="2"/>
        <scheme val="minor"/>
      </rPr>
      <t>1. LIGAÇÃO CONTRATO - CLIENTE</t>
    </r>
    <r>
      <rPr>
        <sz val="11"/>
        <color theme="1"/>
        <rFont val="Calibri"/>
        <family val="2"/>
        <scheme val="minor"/>
      </rPr>
      <t xml:space="preserve"> -&gt; common_contracts_core.contract_party_relationship
- </t>
    </r>
    <r>
      <rPr>
        <b/>
        <sz val="11"/>
        <color theme="1"/>
        <rFont val="Calibri"/>
        <family val="2"/>
        <scheme val="minor"/>
      </rPr>
      <t>filtros para obter o 1º titular:</t>
    </r>
    <r>
      <rPr>
        <sz val="11"/>
        <color theme="1"/>
        <rFont val="Calibri"/>
        <family val="2"/>
        <scheme val="minor"/>
      </rPr>
      <t xml:space="preserve"> crelacao_cl_cnt = 1 AND csequencia_rel = 00001
</t>
    </r>
    <r>
      <rPr>
        <b/>
        <sz val="11"/>
        <color theme="1"/>
        <rFont val="Calibri"/>
        <family val="2"/>
        <scheme val="minor"/>
      </rPr>
      <t>2. LIGAÇÃO CLIENTE - FISCAL CODE</t>
    </r>
    <r>
      <rPr>
        <sz val="11"/>
        <color theme="1"/>
        <rFont val="Calibri"/>
        <family val="2"/>
        <scheme val="minor"/>
      </rPr>
      <t xml:space="preserve">
common_parties_entities.entity_identity_document
common_parties_individuals.individual_identity_document
- </t>
    </r>
    <r>
      <rPr>
        <b/>
        <sz val="11"/>
        <color theme="1"/>
        <rFont val="Calibri"/>
        <family val="2"/>
        <scheme val="minor"/>
      </rPr>
      <t>filtros:</t>
    </r>
    <r>
      <rPr>
        <sz val="11"/>
        <color theme="1"/>
        <rFont val="Calibri"/>
        <family val="2"/>
        <scheme val="minor"/>
      </rPr>
      <t xml:space="preserve"> document_user_type_code = 'DF' (Documento Fiscal)
</t>
    </r>
    <r>
      <rPr>
        <b/>
        <sz val="11"/>
        <color theme="1"/>
        <rFont val="Calibri"/>
        <family val="2"/>
        <scheme val="minor"/>
      </rPr>
      <t>Rever filtros:</t>
    </r>
    <r>
      <rPr>
        <sz val="11"/>
        <color theme="1"/>
        <rFont val="Calibri"/>
        <family val="2"/>
        <scheme val="minor"/>
      </rPr>
      <t xml:space="preserve"> Document Type Code e Document Country Code</t>
    </r>
  </si>
  <si>
    <t>1. LIGAÇÃO CONTRATO - CLIENTE
common_contracts_core.contract_party_relationship
ON ( 
        cto_party_rel.bank_id &lt;=&gt; cts.bank_id
    AND cto_party_rel.contract_id &lt;=&gt; cts.contract_id
)</t>
  </si>
  <si>
    <t>contract_party_relationship</t>
  </si>
  <si>
    <t xml:space="preserve">1. LIGAÇÃO CONTRATO - PROPOSTA -&gt; curated_internal_mainframe_propostas.ngt14_relcta
   ON (wit30.zpropost &lt;=&gt; ngt14.zplanprop)
2. LIGAÇÃO CONTRATO - CONTRATO
 ON ( ngt14.ckbalcao &lt;=&gt; cts.cbalcao
    and ngt14.cknumcta &lt;=&gt; cts.cnumecta
    and ngt14.zdeposit &lt;=&gt; cts.zdeposit)
3. LIGAÇÃO CONTRATO - NATUREZA
ON (
wit30.natureza &lt;=&gt; tat.substring(TAYD91C0_CELEMTAB, 7)
)
</t>
  </si>
  <si>
    <t>4. Obter contratos da business_beifei para a ref_date anterior, caso não entrem pelo modelo comum</t>
  </si>
  <si>
    <t>1. LIGAÇÃO CONTRATO - CONTRATO
 ON ( common_contracts_core.bank_id &lt;=&gt; common_contracts_loans/leasing/loan_account.bank_id
    and common_contracts_core.contract_id &lt;=&gt; common_contracts_loans/leasing/loan_account.contract_id
)</t>
  </si>
  <si>
    <t>- mutuos - PBI
- Leasing - Reporte específico do Lease
- CCC - validação do valor máximo utilizado desde a abertura de conta -&gt; manter regra?</t>
  </si>
  <si>
    <t>INFORMAÇÕES CAMPO</t>
  </si>
  <si>
    <r>
      <t xml:space="preserve">Fomula específica em função de dados que já existem (foram disponibilizados)
</t>
    </r>
    <r>
      <rPr>
        <b/>
        <sz val="11"/>
        <color theme="1"/>
        <rFont val="Calibri"/>
        <family val="2"/>
        <scheme val="minor"/>
      </rPr>
      <t>Y -&gt;</t>
    </r>
    <r>
      <rPr>
        <sz val="11"/>
        <color theme="1"/>
        <rFont val="Calibri"/>
        <family val="2"/>
        <scheme val="minor"/>
      </rPr>
      <t xml:space="preserve"> Começamos por calcular a data fim do período de reembolso. Se MT0 (mútuos sem tranche), liberta o dinheiro na totalidade na assinatura/ formalização), </t>
    </r>
    <r>
      <rPr>
        <u/>
        <sz val="11"/>
        <color theme="1"/>
        <rFont val="Calibri"/>
        <family val="2"/>
        <scheme val="minor"/>
      </rPr>
      <t>data fim = data de contrato</t>
    </r>
    <r>
      <rPr>
        <sz val="11"/>
        <color theme="1"/>
        <rFont val="Calibri"/>
        <family val="2"/>
        <scheme val="minor"/>
      </rPr>
      <t xml:space="preserve">; Se MT2  (mútuos com tranche), data de contrato + período de utilização/ carência &gt;= data fim
</t>
    </r>
    <r>
      <rPr>
        <b/>
        <sz val="11"/>
        <color theme="1"/>
        <rFont val="Calibri"/>
        <family val="2"/>
        <scheme val="minor"/>
      </rPr>
      <t>N -&gt;</t>
    </r>
    <r>
      <rPr>
        <sz val="11"/>
        <color theme="1"/>
        <rFont val="Calibri"/>
        <family val="2"/>
        <scheme val="minor"/>
      </rPr>
      <t xml:space="preserve"> “ os restantes casos”
</t>
    </r>
    <r>
      <rPr>
        <b/>
        <sz val="11"/>
        <color theme="1"/>
        <rFont val="Calibri"/>
        <family val="2"/>
        <scheme val="minor"/>
      </rPr>
      <t>Uma excepção:</t>
    </r>
    <r>
      <rPr>
        <sz val="11"/>
        <color theme="1"/>
        <rFont val="Calibri"/>
        <family val="2"/>
        <scheme val="minor"/>
      </rPr>
      <t xml:space="preserve"> se data hoje, inferior à data fim, mas total desembolsado = montante financiado, é Y (ou seja, se B4 = B5)
</t>
    </r>
  </si>
  <si>
    <t>Para o trimestre (todos os dias). Quando existe salto entre dias na data_date_part, são considerados os montantes do dia anterior. Após a data de entrada em default (&gt;90 dias) já não são somados os saldos</t>
  </si>
  <si>
    <t>CASE WHEN dias_incump &gt;= 90 THEN 'Y' ELSE 'N' END</t>
  </si>
  <si>
    <t>CASE
WHEN dias_incump &gt; 0 and dias_incump &lt; 90 THEN 'Y' 
WHEN dias_incump &gt;= 90 OR dias_incump = 0 THEN 'N'
END</t>
  </si>
  <si>
    <t>Para traduzir:
CURATED_INTERNAL_MAINFRAME_ESTRUTURAIS.TAT91_TABELAS - TAYD91C0_CTABELA 206</t>
  </si>
  <si>
    <r>
      <rPr>
        <b/>
        <sz val="11"/>
        <rFont val="Calibri"/>
        <family val="2"/>
        <scheme val="minor"/>
      </rPr>
      <t>case</t>
    </r>
    <r>
      <rPr>
        <sz val="11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when</t>
    </r>
    <r>
      <rPr>
        <sz val="11"/>
        <rFont val="Calibri"/>
        <family val="2"/>
        <scheme val="minor"/>
      </rPr>
      <t xml:space="preserve"> aux.common_table_name = 'common_contracts_leasing.leasing' </t>
    </r>
    <r>
      <rPr>
        <b/>
        <sz val="11"/>
        <rFont val="Calibri"/>
        <family val="2"/>
        <scheme val="minor"/>
      </rPr>
      <t>then</t>
    </r>
    <r>
      <rPr>
        <sz val="11"/>
        <rFont val="Calibri"/>
        <family val="2"/>
        <scheme val="minor"/>
      </rPr>
      <t xml:space="preserve"> 'Lease'
</t>
    </r>
    <r>
      <rPr>
        <b/>
        <sz val="11"/>
        <rFont val="Calibri"/>
        <family val="2"/>
        <scheme val="minor"/>
      </rPr>
      <t>when</t>
    </r>
    <r>
      <rPr>
        <sz val="11"/>
        <rFont val="Calibri"/>
        <family val="2"/>
        <scheme val="minor"/>
      </rPr>
      <t xml:space="preserve"> aux.common_table_name = 'common_contracts_loans.loan' </t>
    </r>
    <r>
      <rPr>
        <b/>
        <sz val="11"/>
        <rFont val="Calibri"/>
        <family val="2"/>
        <scheme val="minor"/>
      </rPr>
      <t>then</t>
    </r>
    <r>
      <rPr>
        <sz val="11"/>
        <rFont val="Calibri"/>
        <family val="2"/>
        <scheme val="minor"/>
      </rPr>
      <t xml:space="preserve"> 'Loan'
</t>
    </r>
    <r>
      <rPr>
        <b/>
        <sz val="11"/>
        <rFont val="Calibri"/>
        <family val="2"/>
        <scheme val="minor"/>
      </rPr>
      <t>when</t>
    </r>
    <r>
      <rPr>
        <sz val="11"/>
        <rFont val="Calibri"/>
        <family val="2"/>
        <scheme val="minor"/>
      </rPr>
      <t xml:space="preserve"> aux.common_table_name = 'common_contracts_loanaccounts.loan_account' </t>
    </r>
    <r>
      <rPr>
        <b/>
        <sz val="11"/>
        <rFont val="Calibri"/>
        <family val="2"/>
        <scheme val="minor"/>
      </rPr>
      <t>then</t>
    </r>
    <r>
      <rPr>
        <sz val="11"/>
        <rFont val="Calibri"/>
        <family val="2"/>
        <scheme val="minor"/>
      </rPr>
      <t xml:space="preserve"> 'RCL'
</t>
    </r>
    <r>
      <rPr>
        <b/>
        <sz val="11"/>
        <rFont val="Calibri"/>
        <family val="2"/>
        <scheme val="minor"/>
      </rPr>
      <t>end</t>
    </r>
    <r>
      <rPr>
        <sz val="11"/>
        <rFont val="Calibri"/>
        <family val="2"/>
        <scheme val="minor"/>
      </rPr>
      <t xml:space="preserve"> as transaction_type</t>
    </r>
  </si>
  <si>
    <t>out_contracts</t>
  </si>
  <si>
    <t>out_clients</t>
  </si>
  <si>
    <r>
      <rPr>
        <b/>
        <sz val="11"/>
        <color theme="1"/>
        <rFont val="Calibri"/>
        <family val="2"/>
        <scheme val="minor"/>
      </rPr>
      <t>Loan</t>
    </r>
    <r>
      <rPr>
        <sz val="11"/>
        <color theme="1"/>
        <rFont val="Calibri"/>
        <family val="2"/>
        <scheme val="minor"/>
      </rPr>
      <t xml:space="preserve">: 34 contrato diferente, na common o saldo é sempre maior (max diferença 26k)
</t>
    </r>
    <r>
      <rPr>
        <b/>
        <sz val="11"/>
        <color theme="1"/>
        <rFont val="Calibri"/>
        <family val="2"/>
        <scheme val="minor"/>
      </rPr>
      <t>Leasing:</t>
    </r>
    <r>
      <rPr>
        <sz val="11"/>
        <color theme="1"/>
        <rFont val="Calibri"/>
        <family val="2"/>
        <scheme val="minor"/>
      </rPr>
      <t xml:space="preserve"> Para os contratos comuns, igual ao mapa - </t>
    </r>
    <r>
      <rPr>
        <sz val="11"/>
        <color theme="9"/>
        <rFont val="Calibri"/>
        <family val="2"/>
        <scheme val="minor"/>
      </rPr>
      <t>OK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Loan_account:</t>
    </r>
    <r>
      <rPr>
        <sz val="11"/>
        <color theme="1"/>
        <rFont val="Calibri"/>
        <family val="2"/>
        <scheme val="minor"/>
      </rPr>
      <t xml:space="preserve"> 1 contrato diferente</t>
    </r>
  </si>
  <si>
    <r>
      <rPr>
        <b/>
        <sz val="11"/>
        <color theme="1"/>
        <rFont val="Calibri"/>
        <family val="2"/>
        <scheme val="minor"/>
      </rPr>
      <t>Loan</t>
    </r>
    <r>
      <rPr>
        <sz val="11"/>
        <color theme="1"/>
        <rFont val="Calibri"/>
        <family val="2"/>
        <scheme val="minor"/>
      </rPr>
      <t>: é sempre 0</t>
    </r>
    <r>
      <rPr>
        <sz val="11"/>
        <color theme="9"/>
        <rFont val="Calibri"/>
        <family val="2"/>
        <scheme val="minor"/>
      </rPr>
      <t xml:space="preserve"> - OK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Leasing:</t>
    </r>
    <r>
      <rPr>
        <sz val="11"/>
        <color theme="1"/>
        <rFont val="Calibri"/>
        <family val="2"/>
        <scheme val="minor"/>
      </rPr>
      <t xml:space="preserve"> Para os contratos comuns, igual ao mapa - </t>
    </r>
    <r>
      <rPr>
        <sz val="11"/>
        <color theme="9"/>
        <rFont val="Calibri"/>
        <family val="2"/>
        <scheme val="minor"/>
      </rPr>
      <t>OK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Loan_account:</t>
    </r>
    <r>
      <rPr>
        <sz val="11"/>
        <color theme="1"/>
        <rFont val="Calibri"/>
        <family val="2"/>
        <scheme val="minor"/>
      </rPr>
      <t xml:space="preserve"> será para incluir o "current_overdue_principal_bal" ? Sim.
</t>
    </r>
    <r>
      <rPr>
        <b/>
        <sz val="11"/>
        <color theme="1"/>
        <rFont val="Calibri"/>
        <family val="2"/>
        <scheme val="minor"/>
      </rPr>
      <t xml:space="preserve">E o cur_debt_litigation_princip_bal? </t>
    </r>
    <r>
      <rPr>
        <sz val="11"/>
        <color theme="1"/>
        <rFont val="Calibri"/>
        <family val="2"/>
        <scheme val="minor"/>
      </rPr>
      <t>Incluir.</t>
    </r>
  </si>
  <si>
    <t>current_authorized_amount
current_authorized_amount
current_authorized_amount</t>
  </si>
  <si>
    <t>CASE WHEN B6 = Y THEN B4 ELSE current_authorized_amount END</t>
  </si>
  <si>
    <t>cur_princip_bal</t>
  </si>
  <si>
    <t>end_disbursement_period_indicator</t>
  </si>
  <si>
    <t>cumulated_disbursed_princip_amt</t>
  </si>
  <si>
    <t>daily_princip_amt_performing</t>
  </si>
  <si>
    <t>last_date_available</t>
  </si>
  <si>
    <t>current_authorized_amount</t>
  </si>
  <si>
    <t>delinquent_indicator</t>
  </si>
  <si>
    <t>delinquent_n_days</t>
  </si>
  <si>
    <t>defaulted_indicator</t>
  </si>
  <si>
    <t>defaulted_date</t>
  </si>
  <si>
    <t>actual_portfolio_volume</t>
  </si>
  <si>
    <t>Current principal total amount that was advanced and is yet to be repaid</t>
  </si>
  <si>
    <t>Flag that indicates if disbursement period is over.</t>
  </si>
  <si>
    <t>Deliquent is when the contract has been in arrears for less than 90 days.</t>
  </si>
  <si>
    <t>Deliquent is when the contract has been in arrears for more than 90 days.</t>
  </si>
  <si>
    <t>Number of days since the contract is in arrears for less than 90 days.</t>
  </si>
  <si>
    <t>Calculation of actual portfolio volume</t>
  </si>
  <si>
    <t>Current amount that can be used as credit. In this case, it represents maximum amount that can be lended.</t>
  </si>
  <si>
    <t>end_disbursement_period</t>
  </si>
  <si>
    <t>decimal(23,6)</t>
  </si>
  <si>
    <t>current_princip_bal</t>
  </si>
  <si>
    <t>Last Date Available</t>
  </si>
  <si>
    <t>inactive_indicator</t>
  </si>
  <si>
    <t>Inactive Indicator</t>
  </si>
  <si>
    <t>MAX( data_date_part) para cada contrato, WHERE data_date_part &lt;= ODATE AND data_date_part &gt;= data_trunc('month',ODATE)</t>
  </si>
  <si>
    <r>
      <rPr>
        <u/>
        <sz val="11"/>
        <rFont val="Calibri"/>
        <family val="2"/>
        <scheme val="minor"/>
      </rPr>
      <t>Calcula last_date_available:</t>
    </r>
    <r>
      <rPr>
        <sz val="11"/>
        <rFont val="Calibri"/>
        <family val="2"/>
        <scheme val="minor"/>
      </rPr>
      <t xml:space="preserve"> MAX( data_date_part) para cada contrato, WHERE data_date_part &lt;= ODATE AND data_date_part &gt;= data_trunc('month',ODATE)
</t>
    </r>
    <r>
      <rPr>
        <b/>
        <sz val="11"/>
        <rFont val="Calibri"/>
        <family val="2"/>
        <scheme val="minor"/>
      </rPr>
      <t>CASE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WHEN</t>
    </r>
    <r>
      <rPr>
        <sz val="11"/>
        <rFont val="Calibri"/>
        <family val="2"/>
        <scheme val="minor"/>
      </rPr>
      <t xml:space="preserve"> date_date_part = ODATE (excepto fim de semana) </t>
    </r>
    <r>
      <rPr>
        <b/>
        <sz val="11"/>
        <rFont val="Calibri"/>
        <family val="2"/>
        <scheme val="minor"/>
      </rPr>
      <t>THEN</t>
    </r>
    <r>
      <rPr>
        <sz val="11"/>
        <rFont val="Calibri"/>
        <family val="2"/>
        <scheme val="minor"/>
      </rPr>
      <t xml:space="preserve"> 0 </t>
    </r>
    <r>
      <rPr>
        <b/>
        <sz val="11"/>
        <rFont val="Calibri"/>
        <family val="2"/>
        <scheme val="minor"/>
      </rPr>
      <t>ELSE</t>
    </r>
    <r>
      <rPr>
        <sz val="11"/>
        <rFont val="Calibri"/>
        <family val="2"/>
        <scheme val="minor"/>
      </rPr>
      <t xml:space="preserve"> 1</t>
    </r>
    <r>
      <rPr>
        <b/>
        <sz val="11"/>
        <rFont val="Calibri"/>
        <family val="2"/>
        <scheme val="minor"/>
      </rPr>
      <t xml:space="preserve"> END</t>
    </r>
  </si>
  <si>
    <t>out_feiegf_included_transactions</t>
  </si>
  <si>
    <t>Y: for realised gains/proceeds from exercising options, warrants and any other equity instruments under the Final Recipient transaction;
N: for no realised upside.</t>
  </si>
  <si>
    <t>Total value, estimated in accordance with the Intermediary’s internal policy, of any options, warrants and any other equity instruments.</t>
  </si>
  <si>
    <t>Falg when there is Moratorium</t>
  </si>
  <si>
    <t>Mutuos: N, com exceções MT0 e MT2
Conta Corrente: N quando ref_date &gt; data de vencimento
Leasing: Y na maioria dos casos</t>
  </si>
  <si>
    <t>rating_scoring</t>
  </si>
  <si>
    <t>rating_scoring_model_used</t>
  </si>
  <si>
    <t>rating_scoring_date</t>
  </si>
  <si>
    <t>cod_visao</t>
  </si>
  <si>
    <t>ckutulmo</t>
  </si>
  <si>
    <t>User</t>
  </si>
  <si>
    <t>Cod visao</t>
  </si>
  <si>
    <t>Code that identifies data load versions</t>
  </si>
  <si>
    <t>User that exeucted the process</t>
  </si>
  <si>
    <t>CASE WHEN dias_incump &gt;= 90 THEN 0 ELSE dias_incump END</t>
  </si>
  <si>
    <r>
      <rPr>
        <b/>
        <sz val="11"/>
        <color theme="1"/>
        <rFont val="Calibri"/>
        <family val="2"/>
        <scheme val="minor"/>
      </rPr>
      <t>1. LIGAÇÃO CONTRATO - CLIENTE</t>
    </r>
    <r>
      <rPr>
        <sz val="11"/>
        <color theme="1"/>
        <rFont val="Calibri"/>
        <family val="2"/>
        <scheme val="minor"/>
      </rPr>
      <t xml:space="preserve"> -&gt; common_contracts_core.contract_party_relationship
- </t>
    </r>
    <r>
      <rPr>
        <b/>
        <sz val="11"/>
        <color theme="1"/>
        <rFont val="Calibri"/>
        <family val="2"/>
        <scheme val="minor"/>
      </rPr>
      <t>filtros para obter o 1º titular:</t>
    </r>
    <r>
      <rPr>
        <sz val="11"/>
        <color theme="1"/>
        <rFont val="Calibri"/>
        <family val="2"/>
        <scheme val="minor"/>
      </rPr>
      <t xml:space="preserve"> WHERE contract_intervention_type_code = 1 AND contract_intervention_order_num = 1
</t>
    </r>
    <r>
      <rPr>
        <b/>
        <sz val="11"/>
        <color theme="1"/>
        <rFont val="Calibri"/>
        <family val="2"/>
        <scheme val="minor"/>
      </rPr>
      <t/>
    </r>
  </si>
  <si>
    <t>Data de incumprimento quando dias_incump = 90?</t>
  </si>
  <si>
    <t>CASE WHEN dias_incump &gt;= 90 THEN dincump + 90 dias ELSE '' END</t>
  </si>
  <si>
    <t>migration_business_universoperimetros</t>
  </si>
  <si>
    <t>capped_uncapped</t>
  </si>
  <si>
    <t xml:space="preserve">Capped or Uncapped </t>
  </si>
  <si>
    <t>curated_internal_mainframe_estruturais</t>
  </si>
  <si>
    <t>tat91_tabelas</t>
  </si>
  <si>
    <t>SELECT substring(TAYD91C0_CELEMTAB, 7) AS cnatoper, *
from curated_internal_mainframe_estruturais.tat91_tabelas
where data_date_part = '[REF_DATE]'
AND TAYD91C0_CTABELA = 'H41'
ANd upper(TAYD91C0_GELEMTAB) LIKE '%FEI%EGF%';</t>
  </si>
  <si>
    <t>repayment_date</t>
  </si>
  <si>
    <t>Capped or Uncapped</t>
  </si>
  <si>
    <t>out_feiegf_expired_repaid_transactions</t>
  </si>
  <si>
    <t>Contract legacy Identifier of the contract branch.</t>
  </si>
  <si>
    <t>Contract's legacy account.</t>
  </si>
  <si>
    <t>Contract's legacy deposit.</t>
  </si>
  <si>
    <t>Operation Nature Code (WIN).</t>
  </si>
  <si>
    <t>Capped or Uncapped contract.</t>
  </si>
  <si>
    <t>Type of transaction of the contract (Lease, Loan, or  RCL).</t>
  </si>
  <si>
    <t>Identifies the day of the month on which the operation was inactive.</t>
  </si>
  <si>
    <t>Identifies contracts that are inactive</t>
  </si>
  <si>
    <t>Rating/Scoring assigned by the Intermediary to a Final Recipient according to their internal credit policy guidelines and the Agreement</t>
  </si>
  <si>
    <t>Model used internally by the Intermediary for assigning rating/scoring</t>
  </si>
  <si>
    <t>Most recent date when the Final Recipient was (re-)assigned a rating/scoring by the Intermediary</t>
  </si>
  <si>
    <t>Sum of the outstanding principal amount on each day during a specific calendar quarter.</t>
  </si>
  <si>
    <t>Date since the contract is in arrears for more than 90 days.</t>
  </si>
  <si>
    <t>Event date of default, accelaration, or restructuring.</t>
  </si>
  <si>
    <t>Type of the event occured in the transaction, either default (D), accelaration (A), or restructuring.</t>
  </si>
  <si>
    <t>Outstanding principle amount of the Final Recipient Transaction.</t>
  </si>
  <si>
    <t>Unpaid normal interests on the transaction subject to a default event.</t>
  </si>
  <si>
    <t>Date in which the recovery payment of a loss is received.</t>
  </si>
  <si>
    <t>Amount recovered in respect of the relevant defaulted, accelerated or restructuring.</t>
  </si>
  <si>
    <t>Indicator of which report the contract belongs to.</t>
  </si>
  <si>
    <t>User who triggers processing.</t>
  </si>
  <si>
    <t>Record"s load timestamp in common layer.</t>
  </si>
  <si>
    <t>Code that identifies data load versions.</t>
  </si>
  <si>
    <t>out_feiegf_payment_demand</t>
  </si>
  <si>
    <t>Para o trimestre, encontrar operações que desapareceram. Exemplo:
SELECT * FROM (
SELECT contract_id, fiscal_number, max(ref_date)
FROM business_beifei.transaction_table
WHERE ref_date &lt;= '2025-03-31'
AND ref_date &gt;= '2025-01-01' ) a
WHERE ref_date != '2025-03-31
Se ref_date for dia não úteis, é necessário calcular dia útil. Opção tabela -&gt; calendario_datas ??</t>
  </si>
  <si>
    <t>repayment_date + dias até proximo dia util</t>
  </si>
  <si>
    <t>Date of full repayment of the Final Recipient transaction.</t>
  </si>
  <si>
    <t>report</t>
  </si>
  <si>
    <t>"D"</t>
  </si>
  <si>
    <t>dincump</t>
  </si>
  <si>
    <t>out_fei_included_transactions</t>
  </si>
  <si>
    <t>out_fei_repaid_transactions</t>
  </si>
  <si>
    <t>out_fei_payment_demand</t>
  </si>
  <si>
    <t>Reporte Linhas FEI-EGF e INVEST EU</t>
  </si>
  <si>
    <t>Entregue FEI-EGF</t>
  </si>
  <si>
    <t>out_fei_new_recipients</t>
  </si>
  <si>
    <t>datediff(MONTH, opening_date, current_maturity_date)</t>
  </si>
  <si>
    <t>ept08_prestacoes
leasing</t>
  </si>
  <si>
    <r>
      <rPr>
        <b/>
        <sz val="11"/>
        <color theme="1"/>
        <rFont val="Calibri"/>
        <family val="2"/>
        <scheme val="minor"/>
      </rPr>
      <t>- Empréstimos</t>
    </r>
    <r>
      <rPr>
        <sz val="11"/>
        <color theme="1"/>
        <rFont val="Calibri"/>
        <family val="2"/>
        <scheme val="minor"/>
      </rPr>
      <t xml:space="preserve">
        SELECT ckprodut, ckbalcao, cknumcta, SUM(mjurtot - mjurpag) as mjurtot
        FROM (
        SELECT ckprodut, ckbalcao, cknumcta, mjurtot, mjurpag, diniliq,
            MIN(diniliq) OVER (PARTITION BY ckprodut, ckbalcao, cknumcta) as min_date
        FROM curated_internal_mainframe_emprestimos.ept08_prestacoes 
        WHERE ipendcob = "5" 
            AND dliquid &gt; "2022-01-01" 
            AND data_date_part = [REF_DATE]
        ) prest
        WHERE DATEDIFF(month, min_date, diniliq) &lt; 3
        GROUP BY ckprodut, ckbalcao, cknumcta</t>
    </r>
  </si>
  <si>
    <t>Filtro WHERE industry_classific_system_code = ??
Valores possíveis:
- CAE_Rev4, CNAE_93 ou CAE_REV4</t>
  </si>
  <si>
    <t>entity_economic_activity
individual_economic_activity</t>
  </si>
  <si>
    <t>common_parties_entitieseconomics</t>
  </si>
  <si>
    <t>economic_group</t>
  </si>
  <si>
    <t>CASE 
WHEN upper(TAYD91C0_GELEMTAB) LIKE '%UNCAPPED%'  THEN 'uncapped' 
WHEN upper(TAYD91C0_GELEMTAB) LIKE '%CAPPED%' THEN 'capped' 
WHEN upper(TAYD91C0_GELEMTAB) LIKE '%SUSTENTABILIDADE%' THEN 'uncapped' 
ELSE 'capped'
END</t>
  </si>
  <si>
    <t>Incluido FEI-Invest EU</t>
  </si>
  <si>
    <t>FEI-EGF / Invest EU</t>
  </si>
  <si>
    <r>
      <rPr>
        <b/>
        <sz val="11"/>
        <color theme="1"/>
        <rFont val="Calibri"/>
        <family val="2"/>
        <scheme val="minor"/>
      </rPr>
      <t xml:space="preserve">1. LIGAÇÃO CONTRATO - PROPOSTA </t>
    </r>
    <r>
      <rPr>
        <sz val="11"/>
        <color theme="1"/>
        <rFont val="Calibri"/>
        <family val="2"/>
        <scheme val="minor"/>
      </rPr>
      <t xml:space="preserve">-&gt; curated_internal_mainframe_propostas.ngt14_relcta
    - Para cada proposta, caso existam N contratos, obter o contrato com data de associação mais recente (campo dassoc)
</t>
    </r>
    <r>
      <rPr>
        <b/>
        <sz val="11"/>
        <color theme="1"/>
        <rFont val="Calibri"/>
        <family val="2"/>
        <scheme val="minor"/>
      </rPr>
      <t>2. LIGAÇÃO PROPOSTA - NATUREZA</t>
    </r>
    <r>
      <rPr>
        <sz val="11"/>
        <color theme="1"/>
        <rFont val="Calibri"/>
        <family val="2"/>
        <scheme val="minor"/>
      </rPr>
      <t xml:space="preserve">
   - curated_internal_mainframe_propostas.WIT30, considerar proposta e natureza (cnatoper) com MAX(ZNIVEL), excepto o 9
</t>
    </r>
    <r>
      <rPr>
        <b/>
        <sz val="11"/>
        <color theme="1"/>
        <rFont val="Calibri"/>
        <family val="2"/>
        <scheme val="minor"/>
      </rPr>
      <t>3. FILTRAR PELO CNATOPER</t>
    </r>
    <r>
      <rPr>
        <sz val="11"/>
        <color theme="1"/>
        <rFont val="Calibri"/>
        <family val="2"/>
        <scheme val="minor"/>
      </rPr>
      <t xml:space="preserve">
SELECT substring(TAYD91C0_CELEMTAB, 7) AS cnatoper, *
from curated_internal_mainframe_estruturais.tat91_tabelas
where data_date_part = '[REF_DATE]'
AND TAYD91C0_CTABELA = 'H41'
AND CHARINDEX("FEI", upper(tayd91c0_gelemtab)) &gt; 0
AND ( CHARINDEX("EGF", upper(tayd91c0_gelemtab)) &gt; CHARINDEX("FEI", upper(tayd91c0_gelemtab)) OR ( CHARINDEX("INVESTEU", upper(tayd91c0_gelemtab)) &gt; CHARINDEX("FEI", upper(tayd91c0_gelemtab)))
;
4. Obter contratos da business_beifei.table_b para a ref_date anterior, caso não entrem pelo modelo comum</t>
    </r>
  </si>
  <si>
    <t>Rating/Scoring assigned by the Intermediary to a Final Recipient according to their internal credit policy guidelines and the Agreement / sme_rating</t>
  </si>
  <si>
    <t>B.3 - FEI-EGF</t>
  </si>
  <si>
    <t>B.4 - FEI-EGF
B.3 - FEI-Invest</t>
  </si>
  <si>
    <t>B.5 - FEI-EGF
B.4 - FEI-Invest</t>
  </si>
  <si>
    <t>B.6 - FEI-EGF
B.5 - FEI-Invest</t>
  </si>
  <si>
    <t>B.7 - FEI-EGF
B.6 - FEI-Invest</t>
  </si>
  <si>
    <t>B.8 - FEI-EGF
B.7 - FEI-Invest</t>
  </si>
  <si>
    <t>B.9 - FEI-EGF
B.8 - FEI-Invest</t>
  </si>
  <si>
    <t>B.10 - FEI-EGF
B.9 - FEI-Invest</t>
  </si>
  <si>
    <t>B.11 - FEI-EGF
B.10 - FEI-Invest</t>
  </si>
  <si>
    <t>B.12.1 - FEI-EGF</t>
  </si>
  <si>
    <t>B.12.2 - FEI-EGF</t>
  </si>
  <si>
    <t>B.13 -FEI-EGF</t>
  </si>
  <si>
    <t>email</t>
  </si>
  <si>
    <t>Email adress</t>
  </si>
  <si>
    <t>Email of the final recipiente</t>
  </si>
  <si>
    <t>FEI-InvestEU</t>
  </si>
  <si>
    <t>entity_contacts
individual_contacts</t>
  </si>
  <si>
    <t>Adress</t>
  </si>
  <si>
    <t>Place</t>
  </si>
  <si>
    <t>place</t>
  </si>
  <si>
    <t>Adress of the final recipient head office</t>
  </si>
  <si>
    <t>Location of the final recipient head office or residence</t>
  </si>
  <si>
    <t>Region (NUTS 2)</t>
  </si>
  <si>
    <t>Region (NUTS 3)</t>
  </si>
  <si>
    <t>nationality</t>
  </si>
  <si>
    <t>Nationality</t>
  </si>
  <si>
    <t>Nationality of the final recipient</t>
  </si>
  <si>
    <t>Start-up (Y/N)</t>
  </si>
  <si>
    <t>FR category</t>
  </si>
  <si>
    <t>Category of Final Recipient</t>
  </si>
  <si>
    <t>Location where the Final Recipient’s head office/residence is located (NUTS 2 code)</t>
  </si>
  <si>
    <t>Location where the Final Recipient’s head office/residence is located (NUTS 3 code)</t>
  </si>
  <si>
    <t>Date of establishment of the Final Recipient</t>
  </si>
  <si>
    <t>NACE code; standard nomenclature for economic activities</t>
  </si>
  <si>
    <t>Turnover (i.e total sales) of the Final Recipient in EUR</t>
  </si>
  <si>
    <t>Total assets of the Final Recipient (balance sheet) in EUR</t>
  </si>
  <si>
    <t>True if the final recipient is part of a group (partner, linked, subsidiary)</t>
  </si>
  <si>
    <t xml:space="preserve">Type of the Final Recipient based on the size of enterprise </t>
  </si>
  <si>
    <t>Whether the final recipient is a start-up</t>
  </si>
  <si>
    <t>contact</t>
  </si>
  <si>
    <t xml:space="preserve"> </t>
  </si>
  <si>
    <t>Email do max(last_update_date) - o mais recente
WHERE contact_type = "I"
AND main_contact_indicator = 1</t>
  </si>
  <si>
    <t>birth_country_code</t>
  </si>
  <si>
    <t>incorporation_date
birth_date</t>
  </si>
  <si>
    <t>econ_activity_category_code</t>
  </si>
  <si>
    <t>** Necessary to take code through tat91_tabelas using tay91c0_tab in tayd91c0_tabela = '154'; extract data in tay91c0_nelemc06</t>
  </si>
  <si>
    <t>** Necessary to take code through tat91_tabelas using tay91c0_tab in tayd91c0_tabela = '015'; extract data in tay91c0_nelemc09</t>
  </si>
  <si>
    <t>CASE WHEN party_id in entities then N else Y</t>
  </si>
  <si>
    <t>Email</t>
  </si>
  <si>
    <t>Address</t>
  </si>
  <si>
    <t>address</t>
  </si>
  <si>
    <t>Whether the final recipient is a natural person (self-employed person) or a company (a legal entity)</t>
  </si>
  <si>
    <t>First Disbursement Date</t>
  </si>
  <si>
    <t>Interest Rate Fequency</t>
  </si>
  <si>
    <t>7N</t>
  </si>
  <si>
    <t>Permitted Additional Interest (Y/N)</t>
  </si>
  <si>
    <t>Eligible Educational Programme</t>
  </si>
  <si>
    <t>Eligible Investment into Skills</t>
  </si>
  <si>
    <t>Country of Studies</t>
  </si>
  <si>
    <t>Guarantee Rate</t>
  </si>
  <si>
    <t>FEI-</t>
  </si>
  <si>
    <t>A.1.16</t>
  </si>
  <si>
    <t>A.1.17</t>
  </si>
  <si>
    <t>A.1.18</t>
  </si>
  <si>
    <t>A.1.19</t>
  </si>
  <si>
    <t>A.1.20</t>
  </si>
  <si>
    <t>A.2.4.1</t>
  </si>
  <si>
    <t>A.2.4.2</t>
  </si>
  <si>
    <t>A.2.17</t>
  </si>
  <si>
    <t>A.2.18</t>
  </si>
  <si>
    <t>A.2.19</t>
  </si>
  <si>
    <t>A.2.20</t>
  </si>
  <si>
    <t>A.2.21</t>
  </si>
  <si>
    <t>A.2.22</t>
  </si>
  <si>
    <t>A.2.23</t>
  </si>
  <si>
    <t>IEU Portfolio Thematic Product Elibility Criteria</t>
  </si>
  <si>
    <t>InvestEU Portfolio Thematic Product</t>
  </si>
  <si>
    <t>A.2.24</t>
  </si>
  <si>
    <t>Transaction signed amount in currency (whether or not disbursed to the Final Recipient)</t>
  </si>
  <si>
    <t>Purpose code of the financing</t>
  </si>
  <si>
    <t>Amount paid by the FI for the asset leased. The field is mandatory if applicable.</t>
  </si>
  <si>
    <t>Amount paid by the Final Recipient for the Lease Transaction. The field is mandatory if applicable.</t>
  </si>
  <si>
    <t>Maturity of the Final Recipient Transaction in months</t>
  </si>
  <si>
    <t>Type of instalments repayment</t>
  </si>
  <si>
    <t>Interest rate benchmark (e.g. EURIBOR 3m)</t>
  </si>
  <si>
    <t>Fixed rate or margin applied on the benchmark</t>
  </si>
  <si>
    <t>Frequency of the Final Recipient Transaction interest/coupon payment</t>
  </si>
  <si>
    <t>% of the estimated loss given default</t>
  </si>
  <si>
    <t>Type of collateral</t>
  </si>
  <si>
    <t>Amount of the Collateral in currency</t>
  </si>
  <si>
    <t>Thematic Product under which the Final Recipient Transaction has been granted</t>
  </si>
  <si>
    <t>Percentage of the Principal Amount covered by the Guarantee</t>
  </si>
  <si>
    <t>Applicable Product Eligibility Criteria relevant for the Thematic Product under which the Final Recipient Transaction has been granted</t>
  </si>
  <si>
    <t>Eligible educational program.</t>
  </si>
  <si>
    <t xml:space="preserve">Grace period, the time before the first payment of principal has to be made </t>
  </si>
  <si>
    <t>Date of signature of the transaction</t>
  </si>
  <si>
    <t>Date of first disbursement of transaction/Lease period start date</t>
  </si>
  <si>
    <t>Frequency of the transaction repayment</t>
  </si>
  <si>
    <t>interest_frequency</t>
  </si>
  <si>
    <t>´string</t>
  </si>
  <si>
    <t>out_fei_transations_modification</t>
  </si>
  <si>
    <t>CASE
WHEN CHARINDEX("EGF", upper(tayd91c0_gelemtab)) &gt; CHARINDEX("FEI", upper(tayd91c0_gelemtab)) THEN "FEI-EGF"
WHEN CHARINDEX("INVESTEU", upper(tayd91c0_gelemtab)) &gt; CHARINDEX("FEI", upper(tayd91c0_gelemtab)) THEN "FEI-INVESTEU"
ELSE ""</t>
  </si>
  <si>
    <t>common_contracts_leasing</t>
  </si>
  <si>
    <t>leasing</t>
  </si>
  <si>
    <t>Amount of the party turnover, this is, the entity total sales (gross revenue)</t>
  </si>
  <si>
    <t>Sum of assets contributed to a party by shareholders</t>
  </si>
  <si>
    <t xml:space="preserve">Y = EIF shall have the right to publish information
N = EIF shall not have the right to publish information </t>
  </si>
  <si>
    <t>Y = Permitted Additional Interest applies
N = Permitted Additional Interest does not apply</t>
  </si>
  <si>
    <t>Eligible investments into Skills programmes</t>
  </si>
  <si>
    <t>Country of the educational program.</t>
  </si>
  <si>
    <t>substr(nut3_code, 1,4)</t>
  </si>
  <si>
    <t>borrower_type</t>
  </si>
  <si>
    <t>Como é calculado??</t>
  </si>
  <si>
    <t>Fonte por identificar</t>
  </si>
  <si>
    <t>first_disbursment_date</t>
  </si>
  <si>
    <t>collateral_value_allocation</t>
  </si>
  <si>
    <t>common_collateralsguarantees_core</t>
  </si>
  <si>
    <t>MIN(data_date_part) WHERE NVL(cur_advance_principal_amt,0) != 0</t>
  </si>
  <si>
    <t>Para cada contract_id, obter o 1º data_date_part em que o capital foi desembolsado (cur_advance_principal_amt)</t>
  </si>
  <si>
    <t>CASE
WHEN operação liquidada or maturity_date &lt; ref_date THEN 'Y'
WHEN product_id = '097' THEN 'N'
WHEN total desembolsado = montante financiado (B4 = current_authorized_amount ) THEN 'Y'
WHEN product_id = '096' AND csubprod_id  = 'MT0' THEN 'Y'
WHEN product_id = '096' AND csubproduto  = 'MT2' AND ref_date &gt; curated_internal_mainframe_emprestimos.ept01_contas.dfimutl 'Y'
ELSE 'N'
END</t>
  </si>
  <si>
    <t>out_fei_transations_modificatio</t>
  </si>
  <si>
    <t>cured_date</t>
  </si>
  <si>
    <t>permit_add_inter_amount</t>
  </si>
  <si>
    <t>current_income</t>
  </si>
  <si>
    <t>cumulative_repaid</t>
  </si>
  <si>
    <t>N/A - não existem operações para já</t>
  </si>
  <si>
    <t>Date when the credit event ceased to exist and the transaction is considered performing again</t>
  </si>
  <si>
    <t>Interest accrued, deferred of capitalised pursuant to the terms set-out in Subordinated Debt</t>
  </si>
  <si>
    <t>Current income</t>
  </si>
  <si>
    <t>Cumulative Repaid</t>
  </si>
  <si>
    <t>Cured date</t>
  </si>
  <si>
    <t>Permited additional interest amount</t>
  </si>
  <si>
    <t>Cumulativ repaid</t>
  </si>
  <si>
    <t>FEI-IEU</t>
  </si>
  <si>
    <t>Por iniciar</t>
  </si>
  <si>
    <t>string(cast(concat(cbalcao, cast(cnumecta AS DECIMAL(11))) AS DECIMAL(15)))</t>
  </si>
  <si>
    <t>Informação pontual que para já será manual</t>
  </si>
  <si>
    <t>curated_internal_mainframe_emprestimos
common_contracts_leasing</t>
  </si>
  <si>
    <t>litigation_indicator</t>
  </si>
  <si>
    <t>Indicates if the contract is in litigation</t>
  </si>
  <si>
    <t>Litiagation indicator</t>
  </si>
  <si>
    <t>out_fei_new_transactions</t>
  </si>
  <si>
    <t>MAX( cur_advance_principal_amt ) /
MAX( current_advance_principal_amount ) /
CASE WHEN MAX( cur_outsng_principal_balance ) AND data_date_part &gt;= "2025-07-15" THEN MAX( cur_outsng_principal_balance ) * (-1) ELSE MAX( cur_outsng_principal_balance )</t>
  </si>
  <si>
    <t>cur_outsng_principal_balance + current_overdue_principal_bal + cur_debt_litigation_princip_bal /
CASE WHEN data_date_part &gt;= "2025-07-15" THEN (cur_outsng_principal_balance + current_overdue_principal_bal + cur_debt_litigation_princip_bal) * (-1) ELSE cur_outsng_principal_balance + current_overdue_principal_bal + cur_debt_litigation_princip_bal END /
CASE WHEN data_date_part &gt;= "2025-08-07" THEN (cur_outsng_principal_balance + current_overdue_principal_bal + cur_debt_litigation_princip_bal) * (-1) ELSE cur_outsng_principal_balance + current_overdue_principal_bal + cur_debt_litigation_princip_bal END</t>
  </si>
  <si>
    <t>sum(cur_outsng_principal_balance + current_overdue_principal_bal) por data_date_part (todos os dias do trimestre) /
CASE WHEN data_date_part &gt;= "2025-07-15" THEN sum(cur_outsng_principal_balance + current_overdue_principal_bal) por data_date_part (todos os dias do trimestre) * (-1) ELSE sum(cur_outsng_principal_balance + current_overdue_principal_bal) por data_date_part (todos os dias do trimestre) END /
CASE WHEN data_date_part &gt;= "2025-08-07" THEN sum(cur_outsng_principal_balance + current_overdue_principal_bal) por data_date_part (todos os dias do trimestre) * (-1) ELSE sum(cur_outsng_principal_balance + current_overdue_principal_bal) por data_date_part (todos os dias do trimestre) END /</t>
  </si>
  <si>
    <t>SUM(mjurtot - mjurpag)
CASE WHEN data_date_part &gt;= "2025-07-15" THEN current_overdue_interest_bal * (-1) ELSE current_overdue_interest_bal END</t>
  </si>
  <si>
    <t>cur_debt_litigation_princip_bal
CASE WHEN data_date_part &gt;= "2025-07-15" THEN cur_debt_litigation_princip_bal * (-1) ELSE cur_debt_litigation_princip_bal END /
CASE WHEN data_date_part &gt;= "2025-08-07" THEN cur_debt_litigation_princip_bal * (-1) ELSE cur_debt_litigation_princip_bal END /</t>
  </si>
  <si>
    <t>Main reason or nature of the financing</t>
  </si>
  <si>
    <r>
      <rPr>
        <b/>
        <sz val="11"/>
        <color theme="1"/>
        <rFont val="Calibri"/>
        <family val="2"/>
        <scheme val="minor"/>
      </rPr>
      <t>Valores possíveis:</t>
    </r>
    <r>
      <rPr>
        <sz val="11"/>
        <color theme="1"/>
        <rFont val="Calibri"/>
        <family val="2"/>
        <scheme val="minor"/>
      </rPr>
      <t xml:space="preserve">
Balloon (Loan/RCL)
Bullet (Loan/RCL)
Linear (Loan/Lease)
Annuity (Loan/Lease)
Other (All)</t>
    </r>
  </si>
  <si>
    <r>
      <t xml:space="preserve">Valores possíveis:
</t>
    </r>
    <r>
      <rPr>
        <sz val="11"/>
        <rFont val="Calibri"/>
        <family val="2"/>
        <scheme val="minor"/>
      </rPr>
      <t>Monthly
Quarterly
Semi-annually
Annually
One-off
Non regular</t>
    </r>
  </si>
  <si>
    <t>Passará a estar no MCD no início dezembro</t>
  </si>
  <si>
    <t>current_active_spread</t>
  </si>
  <si>
    <t>current_active_indexing</t>
  </si>
  <si>
    <r>
      <rPr>
        <b/>
        <sz val="11"/>
        <color theme="1"/>
        <rFont val="Calibri"/>
        <family val="2"/>
        <scheme val="minor"/>
      </rPr>
      <t>Descrição no catalogo:</t>
    </r>
    <r>
      <rPr>
        <sz val="11"/>
        <color theme="1"/>
        <rFont val="Calibri"/>
        <family val="2"/>
        <scheme val="minor"/>
      </rPr>
      <t xml:space="preserve">
select * 
from curated_internal_mainframe_catalogo.cat01_taxref 
where data_date_part = '2025-06-30'
AND CTXREF in ('3EA','1ME','12M')
order by CTXREF;</t>
    </r>
  </si>
  <si>
    <r>
      <t xml:space="preserve">Quais os valores possíveis?
No Mapa: </t>
    </r>
    <r>
      <rPr>
        <sz val="11"/>
        <rFont val="Calibri"/>
        <family val="2"/>
        <scheme val="minor"/>
      </rPr>
      <t>12M FLR0</t>
    </r>
    <r>
      <rPr>
        <b/>
        <sz val="11"/>
        <rFont val="Calibri"/>
        <family val="2"/>
        <scheme val="minor"/>
      </rPr>
      <t xml:space="preserve">
No MCD:</t>
    </r>
    <r>
      <rPr>
        <sz val="11"/>
        <rFont val="Calibri"/>
        <family val="2"/>
        <scheme val="minor"/>
      </rPr>
      <t xml:space="preserve"> 12M - EURIBOR ANUAL (AR. MIL)-FLOOR ZERO (no catalogo)
Estes são os únicos exemplos que temos</t>
    </r>
  </si>
  <si>
    <r>
      <rPr>
        <b/>
        <sz val="11"/>
        <rFont val="Calibri"/>
        <family val="2"/>
        <scheme val="minor"/>
      </rPr>
      <t>Valores possíveis:</t>
    </r>
    <r>
      <rPr>
        <sz val="11"/>
        <rFont val="Calibri"/>
        <family val="2"/>
        <scheme val="minor"/>
      </rPr>
      <t xml:space="preserve">
Monthly
Quarterly
Semi-annually
Annually
One-off
Non regular</t>
    </r>
  </si>
  <si>
    <t>Se existe na fonte, 'Y', casco contrário 'N'</t>
  </si>
  <si>
    <t>Guaranteed percentage of the Committed Principal Amount</t>
  </si>
  <si>
    <t>Se out_clientes.category = A</t>
  </si>
  <si>
    <t>cur_amortization_type_code</t>
  </si>
  <si>
    <t>Table with all contracts that belong to FEI EGF or Invest EU</t>
  </si>
  <si>
    <t>Table with all contracts reported on sheet A2 from FEI template</t>
  </si>
  <si>
    <t>Table with all contracts reported on sheet A1 - New Final Recipients from FEI template</t>
  </si>
  <si>
    <t>Table with all contracts reported on sheet A2 - New Final Recipient Transactions from FEI template</t>
  </si>
  <si>
    <t>output</t>
  </si>
  <si>
    <t>Table with all contracts reported on sheet B - Included transactions from FEI template</t>
  </si>
  <si>
    <t>Table with all contracts reported on sheet C - Payment demand from FEI template</t>
  </si>
  <si>
    <t>Table with all contracts reported on sheet D - Expired/repaid transactions from FEI template</t>
  </si>
  <si>
    <t>Table with all contracts reported on sheet F - MODIFICATIONS from FEI template</t>
  </si>
  <si>
    <r>
      <t xml:space="preserve">Por ser implementado no MCD - para Dezembro.
</t>
    </r>
    <r>
      <rPr>
        <sz val="11"/>
        <color theme="1"/>
        <rFont val="Calibri"/>
        <family val="2"/>
        <scheme val="minor"/>
      </rPr>
      <t>Aguardamos informação sobre fonte mapeada</t>
    </r>
  </si>
  <si>
    <r>
      <rPr>
        <b/>
        <sz val="11"/>
        <rFont val="Calibri"/>
        <family val="2"/>
        <scheme val="minor"/>
      </rPr>
      <t>-&gt; para empresa autonoma ou com participação noutras até 25%</t>
    </r>
    <r>
      <rPr>
        <sz val="11"/>
        <rFont val="Calibri"/>
        <family val="2"/>
        <scheme val="minor"/>
      </rPr>
      <t xml:space="preserve">
CASE 
WHEN number_employees &lt; 10 AND (total_turnover &lt;= 2.000.000 OR total_assets &lt;= 2.000.000) THEN '</t>
    </r>
    <r>
      <rPr>
        <b/>
        <sz val="11"/>
        <rFont val="Calibri"/>
        <family val="2"/>
        <scheme val="minor"/>
      </rPr>
      <t>Micro</t>
    </r>
    <r>
      <rPr>
        <sz val="11"/>
        <rFont val="Calibri"/>
        <family val="2"/>
        <scheme val="minor"/>
      </rPr>
      <t>' 
WHEN number_employees &lt; 50 AND (total_turnover &lt;= 10.000.000 OR total_assets &lt;= 10.000.000) THEN '</t>
    </r>
    <r>
      <rPr>
        <b/>
        <sz val="11"/>
        <rFont val="Calibri"/>
        <family val="2"/>
        <scheme val="minor"/>
      </rPr>
      <t>Small</t>
    </r>
    <r>
      <rPr>
        <sz val="11"/>
        <rFont val="Calibri"/>
        <family val="2"/>
        <scheme val="minor"/>
      </rPr>
      <t>' 
WHEN number_employees &lt; 250 AND (total_turnover &lt;= 50.000.000 OR total_assets &lt;= 43.000.000) THEN '</t>
    </r>
    <r>
      <rPr>
        <b/>
        <sz val="11"/>
        <rFont val="Calibri"/>
        <family val="2"/>
        <scheme val="minor"/>
      </rPr>
      <t>Medium</t>
    </r>
    <r>
      <rPr>
        <sz val="11"/>
        <rFont val="Calibri"/>
        <family val="2"/>
        <scheme val="minor"/>
      </rPr>
      <t>' 
ELSE '</t>
    </r>
    <r>
      <rPr>
        <b/>
        <sz val="11"/>
        <rFont val="Calibri"/>
        <family val="2"/>
        <scheme val="minor"/>
      </rPr>
      <t>Small Mid-cap</t>
    </r>
    <r>
      <rPr>
        <sz val="11"/>
        <rFont val="Calibri"/>
        <family val="2"/>
        <scheme val="minor"/>
      </rPr>
      <t xml:space="preserve">' (number_employees &lt;= 499) 
END
</t>
    </r>
    <r>
      <rPr>
        <b/>
        <sz val="11"/>
        <rFont val="Calibri"/>
        <family val="2"/>
        <scheme val="minor"/>
      </rPr>
      <t>'-&gt; para empresa associada/parceira ou com participação noutras acima de 25%</t>
    </r>
    <r>
      <rPr>
        <sz val="11"/>
        <rFont val="Calibri"/>
        <family val="2"/>
        <scheme val="minor"/>
      </rPr>
      <t xml:space="preserve">
Cálculo para empresas associadas, deve ter em conta % participação em cada uma das empresas
 25%-50% a % é multiplicada por cada campo; &gt;50% conta 100%</t>
    </r>
  </si>
  <si>
    <r>
      <t xml:space="preserve">O que está definido no Guarantee Agreement? Como podemos obter isto?
</t>
    </r>
    <r>
      <rPr>
        <u/>
        <sz val="11"/>
        <color theme="1"/>
        <rFont val="Calibri"/>
        <family val="2"/>
        <scheme val="minor"/>
      </rPr>
      <t>Ex dificil de diferenciar (atualmente visto pela proposta)</t>
    </r>
    <r>
      <rPr>
        <sz val="11"/>
        <color theme="1"/>
        <rFont val="Calibri"/>
        <family val="2"/>
        <scheme val="minor"/>
      </rPr>
      <t xml:space="preserve">
- refeitório, residência universitária -&gt; D
- industria providencia formacao -&gt; B </t>
    </r>
  </si>
  <si>
    <r>
      <t xml:space="preserve">O que está definido no Guarantee Agreement? Como podemos obter isto?
- Empresas recém constituidas, ao longo do ultimo 1 ou 2 anos - </t>
    </r>
    <r>
      <rPr>
        <b/>
        <sz val="11"/>
        <color theme="1"/>
        <rFont val="Calibri"/>
        <family val="2"/>
        <scheme val="minor"/>
      </rPr>
      <t>Sónia irá validar definição</t>
    </r>
  </si>
  <si>
    <r>
      <t xml:space="preserve">[2025-09-16] Valor apenas do capital, ou deve incluir capital, juros, impostos e outras despesas?
</t>
    </r>
    <r>
      <rPr>
        <b/>
        <sz val="11"/>
        <color theme="1"/>
        <rFont val="Calibri"/>
        <family val="2"/>
        <scheme val="minor"/>
      </rPr>
      <t>Valor financiado</t>
    </r>
  </si>
  <si>
    <t>CASE 
WHEN leasing THEN purchase_price - down_payment
ELSE current_authorized_amount
END</t>
  </si>
  <si>
    <t>cur_outsng_principal_balance</t>
  </si>
  <si>
    <t>Utilizado para o down_payment e purchase_price. Que espera dados para ser testado.</t>
  </si>
  <si>
    <t>Current outstanding Principal Balance</t>
  </si>
  <si>
    <r>
      <t xml:space="preserve">WHERE upper(industry_classific_system_code) = 'CAE_REV4' AND order_number = 1
</t>
    </r>
    <r>
      <rPr>
        <u/>
        <sz val="11"/>
        <color theme="1"/>
        <rFont val="Calibri"/>
        <family val="2"/>
        <scheme val="minor"/>
      </rPr>
      <t>Nota:</t>
    </r>
    <r>
      <rPr>
        <sz val="11"/>
        <color theme="1"/>
        <rFont val="Calibri"/>
        <family val="2"/>
        <scheme val="minor"/>
      </rPr>
      <t xml:space="preserve"> campo order_number = Ordem de atividade económica da entidade (por exemplo, 1 = Atividade principal, 2 = Atividade secundária, etc.). Atualmente ainda só existe código 1.</t>
    </r>
  </si>
  <si>
    <r>
      <t xml:space="preserve">Se out_clientes.category = B
</t>
    </r>
    <r>
      <rPr>
        <b/>
        <sz val="11"/>
        <color theme="1"/>
        <rFont val="Calibri"/>
        <family val="2"/>
        <scheme val="minor"/>
      </rPr>
      <t>Valores possíveis:</t>
    </r>
    <r>
      <rPr>
        <sz val="11"/>
        <color theme="1"/>
        <rFont val="Calibri"/>
        <family val="2"/>
        <scheme val="minor"/>
      </rPr>
      <t xml:space="preserve">
A - Apprenticeships
B - Programmes leading to nationally recognised qualifications
C - Traineeships
D - Student Entrepreneurship
E - Digital Skills
G - Multiple
H - Green Skills</t>
    </r>
  </si>
  <si>
    <t>-&gt; se ainda estiver no período de carência, pode não funcionar
CASE 
WHEN DATEADD(MONTH, 1, last_settled_amort_due_date) = next_regular_amort_amount THEN 'monthly'
ELSE ''
END</t>
  </si>
  <si>
    <t>regexp_replace(trim(full_address), '\\s+', ' ')</t>
  </si>
  <si>
    <t>Thematic Product under which the Final Recipient Transaction has been granted.</t>
  </si>
  <si>
    <t>Como escolher?</t>
  </si>
  <si>
    <r>
      <t xml:space="preserve">Fonte em alteração no MCD, pendente de um unload, ainda sem data prevista.
</t>
    </r>
    <r>
      <rPr>
        <b/>
        <sz val="11"/>
        <color theme="1"/>
        <rFont val="Calibri"/>
        <family val="2"/>
        <scheme val="minor"/>
      </rPr>
      <t xml:space="preserve">Implementação atual aponta para Mágico, a ser revista para o MCD. </t>
    </r>
  </si>
  <si>
    <r>
      <rPr>
        <u/>
        <sz val="11"/>
        <color theme="1"/>
        <rFont val="Calibri"/>
        <family val="2"/>
        <scheme val="minor"/>
      </rPr>
      <t>Obter o campo para o dano mais recente (MCD)</t>
    </r>
    <r>
      <rPr>
        <sz val="11"/>
        <color theme="1"/>
        <rFont val="Calibri"/>
        <family val="2"/>
        <scheme val="minor"/>
      </rPr>
      <t xml:space="preserve">
MAT21_DEMZCLIA.NEMPGE, WHERE AND cperiod in ('212', '213')
        AND upper(itipinf) = 'I'
        AND dano &lt;= ano da ref_date
        AND mvdsrpre != 0 
</t>
    </r>
    <r>
      <rPr>
        <b/>
        <u/>
        <sz val="11"/>
        <color theme="1"/>
        <rFont val="Calibri"/>
        <family val="2"/>
        <scheme val="minor"/>
      </rPr>
      <t>OU -&gt; teste deu OK -&gt; regra em utilização</t>
    </r>
    <r>
      <rPr>
        <sz val="11"/>
        <color theme="1"/>
        <rFont val="Calibri"/>
        <family val="2"/>
        <scheme val="minor"/>
      </rPr>
      <t xml:space="preserve">
Regra BDR:
mat05_dadosemp.qtrabtot
WHERE  dano &lt;= ano da ref_date and qtrabtot != 0  
and data_date_part = ref_date
;</t>
    </r>
  </si>
  <si>
    <r>
      <rPr>
        <u/>
        <sz val="11"/>
        <color theme="1"/>
        <rFont val="Calibri"/>
        <family val="2"/>
        <scheme val="minor"/>
      </rPr>
      <t>Obter o campo para o cano mais recente:</t>
    </r>
    <r>
      <rPr>
        <sz val="11"/>
        <color theme="1"/>
        <rFont val="Calibri"/>
        <family val="2"/>
        <scheme val="minor"/>
      </rPr>
      <t xml:space="preserve">
</t>
    </r>
    <r>
      <rPr>
        <b/>
        <u/>
        <sz val="11"/>
        <color theme="1"/>
        <rFont val="Calibri"/>
        <family val="2"/>
        <scheme val="minor"/>
      </rPr>
      <t>annual_turnover_amount -&gt; teste deu OK com este -&gt; regra em utilização</t>
    </r>
    <r>
      <rPr>
        <sz val="11"/>
        <color theme="1"/>
        <rFont val="Calibri"/>
        <family val="2"/>
        <scheme val="minor"/>
      </rPr>
      <t xml:space="preserve">
MAT21_DEMZCLIA.MVDSRPRE (liga por zcligrupo),WHERE AND cperiod in ('212', '213')
        AND upper(itipinf) = 'I'
        AND dano &lt;= ano da ref_date
        AND mvdsrpre != 0
        AND data_date_part = ref_date</t>
    </r>
  </si>
  <si>
    <r>
      <rPr>
        <b/>
        <u/>
        <sz val="11"/>
        <color theme="1"/>
        <rFont val="Calibri"/>
        <family val="2"/>
        <scheme val="minor"/>
      </rPr>
      <t>Obter o campo para o cano mais recente:</t>
    </r>
    <r>
      <rPr>
        <sz val="11"/>
        <color theme="1"/>
        <rFont val="Calibri"/>
        <family val="2"/>
        <scheme val="minor"/>
      </rPr>
      <t xml:space="preserve">
MAT18_BALZCLIA.mtotact
WHERE dano&gt;= ano da ref_date AND dano &lt;= ano da ref_date
                and cperiod in ('212', '213')
                and upper(itipinf) = 'I'
                and data_date_part = ref_date</t>
    </r>
  </si>
  <si>
    <t>zcligrupo</t>
  </si>
  <si>
    <t>Zcligrupo</t>
  </si>
  <si>
    <t>zcligrupo_id</t>
  </si>
  <si>
    <t>common_parties_core</t>
  </si>
  <si>
    <t>party</t>
  </si>
  <si>
    <t>Identifies the ZCLIGRUPO (Santander's internal party aggregator) of the party.</t>
  </si>
  <si>
    <r>
      <t xml:space="preserve">Validar se regra está correta - proxy
</t>
    </r>
    <r>
      <rPr>
        <b/>
        <sz val="11"/>
        <color theme="1"/>
        <rFont val="Calibri"/>
        <family val="2"/>
        <scheme val="minor"/>
      </rPr>
      <t xml:space="preserve">Possibilidade de robot obter info fora do DL - IAPMEI
Ou ingesta manual -&gt; criando 2 execuções do processo
segmentação existente: comercial, riscos e finrep
</t>
    </r>
    <r>
      <rPr>
        <sz val="11"/>
        <color theme="1"/>
        <rFont val="Calibri"/>
        <family val="2"/>
        <scheme val="minor"/>
      </rPr>
      <t>responsável RPA: Ricardo Castanheira</t>
    </r>
  </si>
  <si>
    <r>
      <t xml:space="preserve">Valores possíveis:
</t>
    </r>
    <r>
      <rPr>
        <sz val="11"/>
        <color theme="1"/>
        <rFont val="Calibri"/>
        <family val="2"/>
        <scheme val="minor"/>
      </rPr>
      <t xml:space="preserve">SME Competitiveness - "SME Competitiveness – Higher Risk Categories 1 and 2 Product"
SME Competitiveness Solvency - "SME Competitiveness – Higher Risk Category 3 Product"
</t>
    </r>
    <r>
      <rPr>
        <b/>
        <sz val="11"/>
        <color theme="1"/>
        <rFont val="Calibri"/>
        <family val="2"/>
        <scheme val="minor"/>
      </rPr>
      <t>CCS - "Cultural and Creative Sectors Product"</t>
    </r>
    <r>
      <rPr>
        <sz val="11"/>
        <color theme="1"/>
        <rFont val="Calibri"/>
        <family val="2"/>
        <scheme val="minor"/>
      </rPr>
      <t xml:space="preserve">
Innovation and Digitalisation - "Innovation and Digitalisation Product"
SIW Sustainability Mobility - "Sustainability Natural Persons – Mobility" (não existe)
SIW Sustainability EERE - "Sustainability Natural Persons or Housing Associations – RE/EE Product"
</t>
    </r>
    <r>
      <rPr>
        <b/>
        <sz val="11"/>
        <color theme="1"/>
        <rFont val="Calibri"/>
        <family val="2"/>
        <scheme val="minor"/>
      </rPr>
      <t>SMEW Sustainability  - "Sustainability SMEs and Small Mid-Caps Product"</t>
    </r>
    <r>
      <rPr>
        <sz val="11"/>
        <color theme="1"/>
        <rFont val="Calibri"/>
        <family val="2"/>
        <scheme val="minor"/>
      </rPr>
      <t xml:space="preserve">
MicroFinance - "Microfinance Product"
Social Entrepreneurship - "Social Entrepreneurship Product"</t>
    </r>
    <r>
      <rPr>
        <b/>
        <sz val="11"/>
        <color theme="1"/>
        <rFont val="Calibri"/>
        <family val="2"/>
        <scheme val="minor"/>
      </rPr>
      <t xml:space="preserve">
Skills and Education - "Skills and Education Product"</t>
    </r>
  </si>
  <si>
    <r>
      <t xml:space="preserve">Qual a lista de valores possíveis, como obter?
</t>
    </r>
    <r>
      <rPr>
        <b/>
        <sz val="11"/>
        <color theme="1"/>
        <rFont val="Calibri"/>
        <family val="2"/>
        <scheme val="minor"/>
      </rPr>
      <t>- critério ficheiro manual</t>
    </r>
  </si>
  <si>
    <t>rat10_rating
wit05_titular
mdt01_mtdecisao</t>
  </si>
  <si>
    <t>curated_internal_mainframe_rating
curated_internal_mainframe_propostas
curated_internal_mainframe_omdm</t>
  </si>
  <si>
    <t>ZPROPOST para a MDT01</t>
  </si>
  <si>
    <t>coalesce(rat10.nvalemp, wit05.nrating, mdt01.zfinal, fei_egf do mês anterior,"")</t>
  </si>
  <si>
    <t>CASE 
WHEN coalesce(rat10.nvalemp, wit05.nrating) is not null THEN 'rating'
WHEN mdt01.zfinal is not null THEN 'score'
ELSE coalesce(fei_egf do mês anterior, "")
END</t>
  </si>
  <si>
    <t>coalesce(rat10.dvalorar, wit05.dprbanc, mdt01.DTCHAM, fei_egf do mês anterior)</t>
  </si>
  <si>
    <t>[2025-05-08] Mantém último valor disponível, mesmo após liquidação.
[2025-09-08] Necessário rever mapeamento do scoring, para as operações que são novas. Utilizar tabelas da BDR? Ou ingestar SRVT10A0_STGWNEG?
[2025-09-22] Avaliar MDT01 do OMDM - tbl no DL com diferenças face ao Mainframe. Aguardamos feedback CDO</t>
  </si>
  <si>
    <r>
      <rPr>
        <b/>
        <sz val="11"/>
        <color theme="1"/>
        <rFont val="Calibri"/>
        <family val="2"/>
        <scheme val="minor"/>
      </rPr>
      <t>Valor da garantia</t>
    </r>
    <r>
      <rPr>
        <sz val="11"/>
        <color theme="1"/>
        <rFont val="Calibri"/>
        <family val="2"/>
        <scheme val="minor"/>
      </rPr>
      <t>:
GAR REAL - HIPOTECA
fr801 - para excluir códigos do FEI
restantes códigos, mapear para códigos do mapa</t>
    </r>
  </si>
  <si>
    <t>"Y"</t>
  </si>
  <si>
    <t>Valor fixo? Sim</t>
  </si>
  <si>
    <t>fr_category</t>
  </si>
  <si>
    <t>startup</t>
  </si>
  <si>
    <t>assets</t>
  </si>
  <si>
    <t>turnover</t>
  </si>
  <si>
    <t>nbr_employees</t>
  </si>
  <si>
    <t>establishment_date</t>
  </si>
  <si>
    <t>region_nuts3</t>
  </si>
  <si>
    <t>region</t>
  </si>
  <si>
    <t>name</t>
  </si>
  <si>
    <t>loan_type</t>
  </si>
  <si>
    <t>currency</t>
  </si>
  <si>
    <t>purpose</t>
  </si>
  <si>
    <t>principal_amount</t>
  </si>
  <si>
    <t>maturity</t>
  </si>
  <si>
    <t>signature_date</t>
  </si>
  <si>
    <t>repayment_frequency</t>
  </si>
  <si>
    <t>lgd</t>
  </si>
  <si>
    <t>collateral_type</t>
  </si>
  <si>
    <t>collateral_amount</t>
  </si>
  <si>
    <t>permitted_add_interest</t>
  </si>
  <si>
    <t>thematic_product</t>
  </si>
  <si>
    <t>applied_guarantee_rate</t>
  </si>
  <si>
    <t>thematic_product_eligibility</t>
  </si>
  <si>
    <t>level_edu_programme</t>
  </si>
  <si>
    <t>eligible_investment_skills</t>
  </si>
  <si>
    <t>country_study</t>
  </si>
  <si>
    <t>transaction_comments</t>
  </si>
  <si>
    <t>Transaction comments</t>
  </si>
  <si>
    <t>Any related comments</t>
  </si>
  <si>
    <t>Note</t>
  </si>
  <si>
    <t>Quais os valores que pode assumir?
Aguardamos listagem</t>
  </si>
  <si>
    <t>Vazio</t>
  </si>
  <si>
    <r>
      <t xml:space="preserve">Fonte BDR - igual ao mapa
Fonte IFRS9 - diferente do mapa
</t>
    </r>
    <r>
      <rPr>
        <sz val="11"/>
        <color theme="1"/>
        <rFont val="Calibri"/>
        <family val="2"/>
        <scheme val="minor"/>
      </rPr>
      <t>Pedro Inácio / Franscisca Pereira
- lgd, eads e pds
Paulo:
- irá enviar email com exemplo e talvez regras</t>
    </r>
  </si>
  <si>
    <r>
      <rPr>
        <b/>
        <sz val="11"/>
        <rFont val="Calibri"/>
        <family val="2"/>
        <scheme val="minor"/>
      </rPr>
      <t>Valores possíveis:</t>
    </r>
    <r>
      <rPr>
        <sz val="11"/>
        <rFont val="Calibri"/>
        <family val="2"/>
        <scheme val="minor"/>
      </rPr>
      <t xml:space="preserve">
0 - Other asset
1 - None
2 - Residential real estate (business_universoperimetros.fr801_tip_garan)
3 - Commercial real estate (business_universoperimetros.fr801_tip_garan)
4 - Movable assets
5 - Cash or equivalent</t>
    </r>
  </si>
  <si>
    <t>cruzar por bank_id, contract_id</t>
  </si>
  <si>
    <t>Leasing: Possível de alterar para ser calculado: A.2.5.1 - A.2.5.2</t>
  </si>
  <si>
    <t>ficheiro manual</t>
  </si>
  <si>
    <t>CASE
WHEN thematic_product_eligibility IN ('C1-2') THEN ''SME Competitiveness"
WHEN thematic_product_eligibility IN ('C3') THEN ''SME Competitiveness Solvency"
WHEN thematic_product_eligibility IN ('ID21','ID22','ID24','ID25','ID26','ID27','ID28','ID29','ID30','ID31','ID31.1','ID32','ID33','ID34','ID35','ID36','ID37','ID38','ID39','ID40','ID41','ID42') THEN ''Innovation and Digitalisation"
WHEN thematic_product_eligibility IN ('1,1','1,2','1,3','1,4','1.5.1','1.5.2','1,6','2.1.1','2.1.2','2.1.3','2.1.4','2.1.5','2.1.6','2.1.7','2.2.1','2.2.2','2.2.3','2.3.1','2.3.2','2.4.1','2.4.2','2.5.1','2.5.2','2.5.3','2.5.4','2.5.5','2.5.6','2.5.7','2.5.8','2,6','3,1','4.1.1','4.1.2','4,2','4,3','4,4','5,1','5,2','6,1','7,1','7,2','8,1') THEN ''SMEW Sustainability"
WHEN thematic_product_eligibility IN ('M1') THEN ''Microfinance"
WHEN thematic_product_eligibility IN ('S1') THEN ''Social Entrepreneurship"
WHEN thematic_product_eligibility IN ('SE1') THEN ''Skills and Education"
END</t>
  </si>
  <si>
    <t>Depende de campo que vem do ficheiro manual. Validar porque alguns códigos tem vírgulas em vez de pontos???</t>
  </si>
  <si>
    <t>sme_comments</t>
  </si>
  <si>
    <t>renewable_energy_production</t>
  </si>
  <si>
    <t>energy_saving</t>
  </si>
  <si>
    <t>green_house_gas_reduction</t>
  </si>
  <si>
    <t>kwh_storage_capacity</t>
  </si>
  <si>
    <t>sus_comments</t>
  </si>
  <si>
    <t>COALESCE(number_employees,manual.nbr_employees,1)</t>
  </si>
  <si>
    <t>COALESCE(annual_turnover_amount,manual.turnover,0)</t>
  </si>
  <si>
    <t>COALESCE(share_capital_amount,manual.assets,0)</t>
  </si>
  <si>
    <t>common_parties_entities
business_beifei</t>
  </si>
  <si>
    <t>entity_financial_information
ficheiro manual</t>
  </si>
  <si>
    <r>
      <t>Capped - educação + setores culturais e criativos.</t>
    </r>
    <r>
      <rPr>
        <u/>
        <sz val="11"/>
        <rFont val="Calibri"/>
        <family val="2"/>
        <scheme val="minor"/>
      </rPr>
      <t xml:space="preserve"> Aplicável para educação:</t>
    </r>
    <r>
      <rPr>
        <sz val="11"/>
        <rFont val="Calibri"/>
        <family val="2"/>
        <scheme val="minor"/>
      </rPr>
      <t xml:space="preserve">
- A - particulares (não existe, são estudantes)
</t>
    </r>
    <r>
      <rPr>
        <b/>
        <sz val="11"/>
        <rFont val="Calibri"/>
        <family val="2"/>
        <scheme val="minor"/>
      </rPr>
      <t xml:space="preserve">- B - outras empresas que não tenham CAE de Educação (valor por defeito)
- C - empresas nos CAEs de educação (pela lista de CAEs)
</t>
    </r>
    <r>
      <rPr>
        <sz val="11"/>
        <rFont val="Calibri"/>
        <family val="2"/>
        <scheme val="minor"/>
      </rPr>
      <t>- D - empresas com atividade complementar à educação</t>
    </r>
  </si>
  <si>
    <t>SME comments</t>
  </si>
  <si>
    <t>CASE
WHEN order_number = 1 AND sector like "P%%" THEN "C"
ELSE ""
END</t>
  </si>
  <si>
    <t>Renewable energy production</t>
  </si>
  <si>
    <t>Kwh storage capacity</t>
  </si>
  <si>
    <t>Energy saving</t>
  </si>
  <si>
    <t>Green house gas reduction</t>
  </si>
  <si>
    <t>sus comments</t>
  </si>
  <si>
    <t>out_fei_sustainability</t>
  </si>
  <si>
    <t>Estimated additional capacity of renewable energy production, measured in MW.</t>
  </si>
  <si>
    <t>Estimated annual primary energy consumption savings, measured in kWh/year.</t>
  </si>
  <si>
    <t>Estimated annual Greenhouse gases (GHG) reduction, measured in tons of CO2eq/year.</t>
  </si>
  <si>
    <t>Estimated storage capacity of the investment, measured in kWh.</t>
  </si>
  <si>
    <t>input_manual</t>
  </si>
  <si>
    <t>htimestupload</t>
  </si>
  <si>
    <t>Timestamp de upload</t>
  </si>
  <si>
    <t>Sus comments</t>
  </si>
  <si>
    <t>inp_fei</t>
  </si>
  <si>
    <t>regexp_replace(trim(regexp_replace(ltrim(
      IF(addr.place != addr.address, addr.place, 
        IF(addr.place_else != addr.address, addr.place_else, '')
      )
    ), '\\d+', '')), '\\s+', ' ') as final_place
=====================||=====================
replace(
          trim(regexp_replace(full_address, '\\s+', ' ')), 
          regexp_replace(
            concat(
              NVL(street_type_code, ''), 
              NVL(street_name, ''), 
              NVL(building_type_code, ''), 
              NVL(building_number, ''), 
              NVL(building_details, '')
            ), '\\s+', ' '
          ), ''
        ) AS place,
replace(
          replace(
            replace(
              replace(
                replace(
                  trim(regexp_replace(full_address, '\\s+', ' ')),
                  regexp_replace(NVL(street_type_code, ''), '\\s+', ' '), ''),
                regexp_replace(NVL(street_name, ''), '\\s+', ' '), ''),
              regexp_replace(NVL(building_type_code, ''), '\\s+', ' '), ''),
            regexp_replace(NVL(building_number, ''), '\\s+', ' '), ''),
          regexp_replace(NVL(building_details, ''), '\\s+', ' '), ''
        ) AS place_else,</t>
  </si>
  <si>
    <r>
      <rPr>
        <b/>
        <sz val="11"/>
        <color theme="1"/>
        <rFont val="Calibri"/>
        <family val="2"/>
        <scheme val="minor"/>
      </rPr>
      <t>case when</t>
    </r>
    <r>
      <rPr>
        <sz val="11"/>
        <color theme="1"/>
        <rFont val="Calibri"/>
        <family val="2"/>
        <scheme val="minor"/>
      </rPr>
      <t xml:space="preserve"> leasing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initial_authorized_amount </t>
    </r>
    <r>
      <rPr>
        <b/>
        <sz val="11"/>
        <color theme="1"/>
        <rFont val="Calibri"/>
        <family val="2"/>
        <scheme val="minor"/>
      </rPr>
      <t xml:space="preserve">otherwise </t>
    </r>
    <r>
      <rPr>
        <sz val="11"/>
        <color theme="1"/>
        <rFont val="Calibri"/>
        <family val="2"/>
        <scheme val="minor"/>
      </rPr>
      <t>' '</t>
    </r>
  </si>
  <si>
    <r>
      <t xml:space="preserve">Qual o valor a considerar?
Capital inicial autorizado?
</t>
    </r>
    <r>
      <rPr>
        <u/>
        <sz val="11"/>
        <color theme="1"/>
        <rFont val="Calibri"/>
        <family val="2"/>
        <scheme val="minor"/>
      </rPr>
      <t>initial_advance_principal_amount</t>
    </r>
    <r>
      <rPr>
        <sz val="11"/>
        <color theme="1"/>
        <rFont val="Calibri"/>
        <family val="2"/>
        <scheme val="minor"/>
      </rPr>
      <t xml:space="preserve"> - Primeiro valor avançado (financiado) no âmbito do contrato, sendo que o valor corresponder ao total ou parcial do valor completo do empréstimo. ou;
</t>
    </r>
    <r>
      <rPr>
        <u/>
        <sz val="11"/>
        <color theme="1"/>
        <rFont val="Calibri"/>
        <family val="2"/>
        <scheme val="minor"/>
      </rPr>
      <t>initial_authorized_amount</t>
    </r>
    <r>
      <rPr>
        <sz val="11"/>
        <color theme="1"/>
        <rFont val="Calibri"/>
        <family val="2"/>
        <scheme val="minor"/>
      </rPr>
      <t xml:space="preserve"> - Valor inicalmente autorizado no contrato, isto é, valor máximo que podia ser financiado no âmbito do contrato. 
</t>
    </r>
    <r>
      <rPr>
        <b/>
        <sz val="11"/>
        <color theme="1"/>
        <rFont val="Calibri"/>
        <family val="2"/>
        <scheme val="minor"/>
      </rPr>
      <t>valor financeiro
Outro valor possível =&gt; initial_advance_principal_amount</t>
    </r>
  </si>
  <si>
    <t>Tabela Input Manual - inp_fei_ieu_new_transactions</t>
  </si>
  <si>
    <t>inp_fei_ieu_new_transactions</t>
  </si>
  <si>
    <t>WHERE total_num_past_due_installments = 0</t>
  </si>
  <si>
    <t>BDR_JM_CTO_AJ_REG</t>
  </si>
  <si>
    <t>o9209_lgdinici</t>
  </si>
  <si>
    <r>
      <t xml:space="preserve">-&gt; obter chave BDR para cruzar com a tabela da BDR
SELECT cempresa, cbalcao, cnumecta, zdeposit, </t>
    </r>
    <r>
      <rPr>
        <b/>
        <sz val="11"/>
        <color theme="1"/>
        <rFont val="Calibri"/>
        <family val="2"/>
        <scheme val="minor"/>
      </rPr>
      <t>s1emp, contra1</t>
    </r>
    <r>
      <rPr>
        <sz val="11"/>
        <color theme="1"/>
        <rFont val="Calibri"/>
        <family val="2"/>
        <scheme val="minor"/>
      </rPr>
      <t xml:space="preserve">
from business_bdr.kt_chaves_bdr
WHERE ref_Date = data processamento</t>
    </r>
  </si>
  <si>
    <t>CASE 
WHEN transaction_type != "RCL" then datediff(MONTH, opening_date, next_regular_amort_due_date) - 1
ELSE ""
END</t>
  </si>
  <si>
    <r>
      <rPr>
        <b/>
        <sz val="11"/>
        <color theme="1"/>
        <rFont val="Calibri"/>
        <family val="2"/>
        <scheme val="minor"/>
      </rPr>
      <t>case when</t>
    </r>
    <r>
      <rPr>
        <sz val="11"/>
        <color theme="1"/>
        <rFont val="Calibri"/>
        <family val="2"/>
        <scheme val="minor"/>
      </rPr>
      <t xml:space="preserve"> leasing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purchase_price - cur_outsng_principal_balance </t>
    </r>
    <r>
      <rPr>
        <b/>
        <sz val="11"/>
        <color theme="1"/>
        <rFont val="Calibri"/>
        <family val="2"/>
        <scheme val="minor"/>
      </rPr>
      <t xml:space="preserve">otherwise </t>
    </r>
    <r>
      <rPr>
        <sz val="11"/>
        <color theme="1"/>
        <rFont val="Calibri"/>
        <family val="2"/>
        <scheme val="minor"/>
      </rPr>
      <t>' '</t>
    </r>
  </si>
  <si>
    <t>curated_internal_bdr</t>
  </si>
  <si>
    <t>-&gt; obter data_date_part mais recente para o mês seguinte ao processamento
WHERE O9209_FLG_CORE=1 
AND O9209_FINCALCU=9 
AND O9209_MOTEXINF = 20023
(por confirmar se será preciso regra ao O9209_RTSYSCLT)</t>
  </si>
  <si>
    <r>
      <t xml:space="preserve">Outra opção:
- </t>
    </r>
    <r>
      <rPr>
        <b/>
        <sz val="11"/>
        <color theme="1"/>
        <rFont val="Calibri"/>
        <family val="2"/>
        <scheme val="minor"/>
      </rPr>
      <t xml:space="preserve">Leasing </t>
    </r>
    <r>
      <rPr>
        <sz val="11"/>
        <color theme="1"/>
        <rFont val="Calibri"/>
        <family val="2"/>
        <scheme val="minor"/>
      </rPr>
      <t xml:space="preserve">- ?
- </t>
    </r>
    <r>
      <rPr>
        <b/>
        <sz val="11"/>
        <color theme="1"/>
        <rFont val="Calibri"/>
        <family val="2"/>
        <scheme val="minor"/>
      </rPr>
      <t>Loan account</t>
    </r>
    <r>
      <rPr>
        <sz val="11"/>
        <color theme="1"/>
        <rFont val="Calibri"/>
        <family val="2"/>
        <scheme val="minor"/>
      </rPr>
      <t xml:space="preserve"> - ?
-</t>
    </r>
    <r>
      <rPr>
        <b/>
        <sz val="11"/>
        <color theme="1"/>
        <rFont val="Calibri"/>
        <family val="2"/>
        <scheme val="minor"/>
      </rPr>
      <t xml:space="preserve"> Loans</t>
    </r>
    <r>
      <rPr>
        <sz val="11"/>
        <color theme="1"/>
        <rFont val="Calibri"/>
        <family val="2"/>
        <scheme val="minor"/>
      </rPr>
      <t xml:space="preserve"> - CTIPAMOR da curated_internal_mainframe_emprestimos.ept04_agendacta, WHERE ISITUACA = 'V' - OK
-Tabela que traduz CTIPAMOR
select * from curated_internal_mainframe_estruturais.tat91_tabelas
where TAYD91C0_CTABELA = '670'
order by data_date_part DESC;
CTIPAMOR amortisation_profile TAYD91C0_GELEMTAB     
1   Annuity    CAPITAL+JUROS,FIXA     
2   Linear     CAPITAL,FIXA      
5   Other     PRESTACOES GEOMETRICAS PERIODICAS 
A   Bullet     QUOTA ÚNICA NO VENCIMENTO   
B   Annuity    CAPITAL+JUROS,IMPOSTOS,FIXA   
C   Annuity    PRESTACAO CONSTANTE C+J    
D   Other     PRESTACOES CRESCENTES    
E   Linear     AMORTIZACAO CONSTANTE CAPITAL  
F   Other     METODO DE GESTÃO LIVRE    
J   Annuity    RENDA FIXA       
L   Balloon    PRESTACAO CONST (K+J) C/ RESIDUAL 
P   Other     PRESTACOES PROGRESSIVAS    
U   Balloon    QUOTA UNICA COM LIQ. DE JUROS  
V   Bullet     NO VENCIMENTO</t>
    </r>
  </si>
  <si>
    <r>
      <rPr>
        <b/>
        <sz val="11"/>
        <color theme="1"/>
        <rFont val="Calibri"/>
        <family val="2"/>
        <scheme val="minor"/>
      </rPr>
      <t>Excluir todos seguintes cgarants (</t>
    </r>
    <r>
      <rPr>
        <b/>
        <u/>
        <sz val="11"/>
        <color theme="1"/>
        <rFont val="Calibri"/>
        <family val="2"/>
        <scheme val="minor"/>
      </rPr>
      <t>reported_collateral_code</t>
    </r>
    <r>
      <rPr>
        <b/>
        <sz val="11"/>
        <color theme="1"/>
        <rFont val="Calibri"/>
        <family val="2"/>
        <scheme val="minor"/>
      </rPr>
      <t>):</t>
    </r>
    <r>
      <rPr>
        <sz val="11"/>
        <color theme="1"/>
        <rFont val="Calibri"/>
        <family val="2"/>
        <scheme val="minor"/>
      </rPr>
      <t xml:space="preserve">
    select * 
    from business_universoperimetros.fr801_tip_garan
    where UPPER(descritivo) like '%FEI%'
    and ref_date = ultimo dia do mês
-- 1CC FEI - SETORES CULTURAIS E CRIATIVOS - LINHA CAPPED
-- 1SS FEI - SUSTENTABILIDADE - LINHA UNCAPPED
-- 1EE FEI - COMPETENCIAS E EDUCACAO  - LINHA CAPPED
-- 169 FEI EGF TRANCHE A
-- 198 FEI EGF TRANCHE B
-- 125 FEI – FUNDO EUROPEU DE INVESTIMENTO AGROALIMENTAR
-- 126 FEI – FUNDO EUROPEU DE INVESTIMENTO COVID19
</t>
    </r>
    <r>
      <rPr>
        <b/>
        <sz val="11"/>
        <color theme="1"/>
        <rFont val="Calibri"/>
        <family val="2"/>
        <scheme val="minor"/>
      </rPr>
      <t>Para obter o subtipo_garantia, cruzar por (</t>
    </r>
    <r>
      <rPr>
        <b/>
        <u/>
        <sz val="11"/>
        <color theme="1"/>
        <rFont val="Calibri"/>
        <family val="2"/>
        <scheme val="minor"/>
      </rPr>
      <t>collateral_code</t>
    </r>
    <r>
      <rPr>
        <b/>
        <sz val="11"/>
        <color theme="1"/>
        <rFont val="Calibri"/>
        <family val="2"/>
        <scheme val="minor"/>
      </rPr>
      <t xml:space="preserve"> =</t>
    </r>
    <r>
      <rPr>
        <b/>
        <u/>
        <sz val="11"/>
        <color theme="1"/>
        <rFont val="Calibri"/>
        <family val="2"/>
        <scheme val="minor"/>
      </rPr>
      <t xml:space="preserve"> cgarant</t>
    </r>
    <r>
      <rPr>
        <b/>
        <sz val="11"/>
        <color theme="1"/>
        <rFont val="Calibri"/>
        <family val="2"/>
        <scheme val="minor"/>
      </rPr>
      <t>) com a fr801</t>
    </r>
  </si>
  <si>
    <r>
      <rPr>
        <b/>
        <sz val="11"/>
        <color theme="1"/>
        <rFont val="Calibri"/>
        <family val="2"/>
        <scheme val="minor"/>
      </rPr>
      <t>Valores possíveis:</t>
    </r>
    <r>
      <rPr>
        <sz val="11"/>
        <color theme="1"/>
        <rFont val="Calibri"/>
        <family val="2"/>
        <scheme val="minor"/>
      </rPr>
      <t xml:space="preserve">
1 - Tangible and intangible assets (Loan/Lease)
</t>
    </r>
    <r>
      <rPr>
        <b/>
        <sz val="11"/>
        <color theme="1"/>
        <rFont val="Calibri"/>
        <family val="2"/>
        <scheme val="minor"/>
      </rPr>
      <t xml:space="preserve">2 - Working capital (Loan/RCL) </t>
    </r>
    <r>
      <rPr>
        <sz val="11"/>
        <color theme="1"/>
        <rFont val="Calibri"/>
        <family val="2"/>
        <scheme val="minor"/>
      </rPr>
      <t xml:space="preserve">-&gt; </t>
    </r>
    <r>
      <rPr>
        <u/>
        <sz val="11"/>
        <color theme="1"/>
        <rFont val="Calibri"/>
        <family val="2"/>
        <scheme val="minor"/>
      </rPr>
      <t>no 2Q 2025 tinhamos sempre este valor --&gt; (finalidade GP – 32 e 19, FUNDO MANEIO e INVEST.ACTV.FIXOS CORP/INCORP)</t>
    </r>
    <r>
      <rPr>
        <sz val="11"/>
        <color theme="1"/>
        <rFont val="Calibri"/>
        <family val="2"/>
        <scheme val="minor"/>
      </rPr>
      <t xml:space="preserve">
3 - Mixed financing for tangible, intangible assets and working capital
</t>
    </r>
    <r>
      <rPr>
        <b/>
        <sz val="11"/>
        <color theme="1"/>
        <rFont val="Calibri"/>
        <family val="2"/>
        <scheme val="minor"/>
      </rPr>
      <t>4 - Other (RCL)</t>
    </r>
    <r>
      <rPr>
        <sz val="11"/>
        <color theme="1"/>
        <rFont val="Calibri"/>
        <family val="2"/>
        <scheme val="minor"/>
      </rPr>
      <t xml:space="preserve">
5 - Business Transfer (Loan)
6 - Mixed financing for refinancing, tangible and intangible assets
7 - Mixed financing for refinancing and working capital
8 - Mixed financing for refinancing, tangible, intangible assets and working capital
10 - Refinancing (N/A)
EPT01 e a chave da gp será ckbalgp + ckctagp (a futuro a chave da GP também irá passar a estar no MCD). Depois cruzas com a gpt21 com ept01.ckbalcao = gpt21.ckbalep and ept01.cknumcta = gpt21.ckctaep and ept01.ckbalgp = gpt21.ckbalcao and ept01.ckctagp = gpt21.cknumcta. A gpt21 deverá estar filtrada por zversao = 999. O campo da finalidade será o cfinalid</t>
    </r>
  </si>
  <si>
    <r>
      <t>CASE
WHEN finalidade gp IN (32,19) THEN 2
ELSE inp.purpose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END</t>
    </r>
  </si>
  <si>
    <r>
      <rPr>
        <b/>
        <sz val="11"/>
        <color theme="1"/>
        <rFont val="Calibri"/>
        <family val="2"/>
        <scheme val="minor"/>
      </rPr>
      <t xml:space="preserve">Verificar </t>
    </r>
    <r>
      <rPr>
        <sz val="11"/>
        <color theme="1"/>
        <rFont val="Calibri"/>
        <family val="2"/>
        <scheme val="minor"/>
      </rPr>
      <t xml:space="preserve">CURATED_INTERNAL_MAINFRAME_CATALOGOS.CAT01_TAXREF
</t>
    </r>
    <r>
      <rPr>
        <b/>
        <sz val="11"/>
        <color theme="1"/>
        <rFont val="Calibri"/>
        <family val="2"/>
        <scheme val="minor"/>
      </rPr>
      <t>Outra opção - indicado por CDO:
- Leasing -</t>
    </r>
    <r>
      <rPr>
        <sz val="11"/>
        <color theme="1"/>
        <rFont val="Calibri"/>
        <family val="2"/>
        <scheme val="minor"/>
      </rPr>
      <t xml:space="preserve"> informação atualmente não disponível ?</t>
    </r>
    <r>
      <rPr>
        <b/>
        <sz val="11"/>
        <color theme="1"/>
        <rFont val="Calibri"/>
        <family val="2"/>
        <scheme val="minor"/>
      </rPr>
      <t xml:space="preserve">
- Loan account - </t>
    </r>
    <r>
      <rPr>
        <sz val="11"/>
        <color theme="1"/>
        <rFont val="Calibri"/>
        <family val="2"/>
        <scheme val="minor"/>
      </rPr>
      <t>ou é other como te tinha indicado ou é bullet, sendo que estou mais indicado para ser bullet. sendo bullet é one-off</t>
    </r>
    <r>
      <rPr>
        <b/>
        <sz val="11"/>
        <color theme="1"/>
        <rFont val="Calibri"/>
        <family val="2"/>
        <scheme val="minor"/>
      </rPr>
      <t xml:space="preserve">
- Loans -  </t>
    </r>
    <r>
      <rPr>
        <sz val="11"/>
        <color theme="1"/>
        <rFont val="Calibri"/>
        <family val="2"/>
        <scheme val="minor"/>
      </rPr>
      <t>CPERJUR da EPT04, WHERE ISITUACA = 'V' - OK</t>
    </r>
    <r>
      <rPr>
        <b/>
        <sz val="11"/>
        <color theme="1"/>
        <rFont val="Calibri"/>
        <family val="2"/>
        <scheme val="minor"/>
      </rPr>
      <t xml:space="preserve">
</t>
    </r>
    <r>
      <rPr>
        <u/>
        <sz val="11"/>
        <color theme="1"/>
        <rFont val="Calibri"/>
        <family val="2"/>
        <scheme val="minor"/>
      </rPr>
      <t>Tabela que traduz CPERJUR (o primeiro digito representa se é dia, meses, anos. 1 - dias, 2 - meses, 3 - anos / os dois digitos seguintes representam a quantidade, ou seja, x dias, x meses, x anos)</t>
    </r>
    <r>
      <rPr>
        <sz val="11"/>
        <color theme="1"/>
        <rFont val="Calibri"/>
        <family val="2"/>
        <scheme val="minor"/>
      </rPr>
      <t xml:space="preserve">
select * 
from curated_internal_mainframe_estruturais.tat91_tabelas
where TAYD91C0_CTABELA in ('247','124')
and data_date_part = '2025-06-30'
order by data_date_part DESC;
101  - DIARIO
115  - QUINZENAL
201  - MENSAL
201  - MENSAL
202  - BIMENSAL
202  - BIMENSAL
203  - TRIMESTRAL
203  - TRIMESTRAL
204  - QUADRIMESTRAL
206  - SEMESTRAL
206  - 6 MESES
209  - 9 MESES
212  - ANUAL
212  - ANUAL
218  - 18 MESES
223  - 23 MESES
223  - 23 MESES
224  - 24 MESES
224  - 2 ANOS
229  - 29 MESES
230  - TRINTA MESES
236  - 36 MESES
248  - 48 MESES
2497 - 497 MESES
260  - 60 MESES
261  - 61 MESES
266  - 66 MESES
272  - 72 MESES
278  - 78 MESES
284  - 84 MESES
296  - 96 MESES
301  - ANUAL
301  - ANUAL
302  - 2 ANOS
302  - 2 ANOS
303  - 3 ANOS
303  - TRES ANOS
304  - 4 ANOS
304  - 4 ANOS
305  - 5 ANOS
305  - 5 ANOS
306  - 6 ANOS
306  - 6 ANOS
307  - 7 ANOS
307  - 7 ANOS
308  - 8 ANOS
309  - 9 ANOS
310  - 10 ANOS
312  - 12 ANOS
999  - SEM PERIODICIDADE
</t>
    </r>
  </si>
  <si>
    <r>
      <rPr>
        <b/>
        <sz val="11"/>
        <color theme="1"/>
        <rFont val="Calibri"/>
        <family val="2"/>
        <scheme val="minor"/>
      </rPr>
      <t xml:space="preserve">Verificar </t>
    </r>
    <r>
      <rPr>
        <sz val="11"/>
        <color theme="1"/>
        <rFont val="Calibri"/>
        <family val="2"/>
        <scheme val="minor"/>
      </rPr>
      <t xml:space="preserve">CURATED_INTERNAL_MAINFRAME_CATALOGOS.CAT01_TAXREF
</t>
    </r>
    <r>
      <rPr>
        <b/>
        <sz val="11"/>
        <color theme="1"/>
        <rFont val="Calibri"/>
        <family val="2"/>
        <scheme val="minor"/>
      </rPr>
      <t>Outra opção - indicado por CDO:
- Leasing -</t>
    </r>
    <r>
      <rPr>
        <sz val="11"/>
        <color theme="1"/>
        <rFont val="Calibri"/>
        <family val="2"/>
        <scheme val="minor"/>
      </rPr>
      <t xml:space="preserve"> informação atualmente não disponível ?</t>
    </r>
    <r>
      <rPr>
        <b/>
        <sz val="11"/>
        <color theme="1"/>
        <rFont val="Calibri"/>
        <family val="2"/>
        <scheme val="minor"/>
      </rPr>
      <t xml:space="preserve">
- Loan account - </t>
    </r>
    <r>
      <rPr>
        <sz val="11"/>
        <color theme="1"/>
        <rFont val="Calibri"/>
        <family val="2"/>
        <scheme val="minor"/>
      </rPr>
      <t>ou é other como te tinha indicado ou é bullet, sendo que estou mais indicado para ser bullet. sendo bullet é one-off</t>
    </r>
    <r>
      <rPr>
        <b/>
        <sz val="11"/>
        <color theme="1"/>
        <rFont val="Calibri"/>
        <family val="2"/>
        <scheme val="minor"/>
      </rPr>
      <t xml:space="preserve">
- Loans -  </t>
    </r>
    <r>
      <rPr>
        <sz val="11"/>
        <color theme="1"/>
        <rFont val="Calibri"/>
        <family val="2"/>
        <scheme val="minor"/>
      </rPr>
      <t>CPERCAP da EPT04, WHERE ISITUACA = 'V' - OK</t>
    </r>
    <r>
      <rPr>
        <b/>
        <sz val="11"/>
        <color theme="1"/>
        <rFont val="Calibri"/>
        <family val="2"/>
        <scheme val="minor"/>
      </rPr>
      <t xml:space="preserve">
</t>
    </r>
    <r>
      <rPr>
        <u/>
        <sz val="11"/>
        <color theme="1"/>
        <rFont val="Calibri"/>
        <family val="2"/>
        <scheme val="minor"/>
      </rPr>
      <t>Tabela que traduz CPERCAP (o primeiro digito representa se é dia, meses, anos. 1 - dias, 2 - meses, 3 - anos / os dois digitos seguintes representam a quantidade, ou seja, x dias, x meses, x anos)</t>
    </r>
    <r>
      <rPr>
        <sz val="11"/>
        <color theme="1"/>
        <rFont val="Calibri"/>
        <family val="2"/>
        <scheme val="minor"/>
      </rPr>
      <t xml:space="preserve">
select * 
from curated_internal_mainframe_estruturais.tat91_tabelas
where TAYD91C0_CTABELA in ('247','124')
and data_date_part = '2025-06-30'
order by data_date_part DESC;
101  - DIARIO
115  - QUINZENAL
201  - MENSAL
201  - MENSAL
202  - BIMENSAL
202  - BIMENSAL
203  - TRIMESTRAL
203  - TRIMESTRAL
204  - QUADRIMESTRAL
206  - SEMESTRAL
206  - 6 MESES
209  - 9 MESES
212  - ANUAL
212  - ANUAL
218  - 18 MESES
223  - 23 MESES
224  - 24 MESES
224  - 2 ANOS
229  - 29 MESES
230  - TRINTA MESES
236  - 36 MESES
248  - 48 MESES
2497 - 497 MESES
260  - 60 MESES
261  - 61 MESES
266  - 66 MESES
272  - 72 MESES
278  - 78 MESES
284  - 84 MESES
296  - 96 MESES
301  - ANUAL
301  - ANUAL
302  - 2 ANOS
302  - 2 ANOS
303  - 3 ANOS
303  - TRES ANOS
304  - 4 ANOS
304  - 4 ANOS
305  - 5 ANOS
305  - 5 ANOS
306  - 6 ANOS
306  - 6 ANOS
307  - 7 ANOS
307  - 7 ANOS
308  - 8 ANOS
309  - 9 ANOS
310  - 10 ANOS
312  - 12 ANOS
999  - SEM PERIODICIDADE
</t>
    </r>
  </si>
  <si>
    <r>
      <rPr>
        <b/>
        <sz val="11"/>
        <color theme="1"/>
        <rFont val="Calibri"/>
        <family val="2"/>
        <scheme val="minor"/>
      </rPr>
      <t>Inner Join com todos seguintes cgarants (reported_collateral_code):</t>
    </r>
    <r>
      <rPr>
        <sz val="11"/>
        <color theme="1"/>
        <rFont val="Calibri"/>
        <family val="2"/>
        <scheme val="minor"/>
      </rPr>
      <t xml:space="preserve">
    select * 
    from business_universoperimetros.fr801_tip_garan
    where UPPER(descritivo) like '%FEI%'
    and ref_date = ultimo dia do mês
-- 1CC FEI - SETORES CULTURAIS E CRIATIVOS - LINHA CAPPED
-- 1SS FEI - SUSTENTABILIDADE - LINHA UNCAPPED
-- 1EE FEI - COMPETENCIAS E EDUCACAO  - LINHA CAPPED
-- 169 FEI EGF TRANCHE A
-- 198 FEI EGF TRANCHE B
-- 125 FEI – FUNDO EUROPEU DE INVESTIMENTO AGROALIMENTAR
-- 126 FEI – FUNDO EUROPEU DE INVESTIMENTO COVID19</t>
    </r>
  </si>
  <si>
    <t>collateral_ini_coverage_pct</t>
  </si>
  <si>
    <t>[2025-09-11] Em falta mapeamento para Contas Correntes, mas atualmente não tem impacto
[2025-10-09] Passará a existir no MCD também para Loans</t>
  </si>
  <si>
    <t>Alterar mapeamento em DEZ</t>
  </si>
  <si>
    <t>Alterar mapeamento em DEZ?</t>
  </si>
  <si>
    <t>CASE
WHEN guarantee_category_code = 'IMO' AND fr801.subtipo_garantia = 'RESIDENCIAL' THEN 2
WHEN guarantee_category_code = 'IMO' AND fr801.subtipo_garantia = 'COMERCIAL' THEN 3
WHEN guarantee_category_code = 'MOB' THEN 4
WHEN guarantee_category_code = 'FIN' THEN 5
WHEN guarantee_category_code = 'PES' THEN 0
ELSE 1
END</t>
  </si>
  <si>
    <t>sum(collateral_appraisal_amount) WHEN collateral_type not in (0,1)</t>
  </si>
  <si>
    <t>CASE
WHEN cur_active_rate_type_code = 'FIX' THEN current_active_interest_rate/100
ELSE current_active_spread/100
END</t>
  </si>
  <si>
    <t>Nome do ficheiro a importar: Input Manual FEI IEU_YYYYMMDD.xslx</t>
  </si>
  <si>
    <t>out_fei_transactions_modifications</t>
  </si>
  <si>
    <t>input</t>
  </si>
  <si>
    <t>Table with manual information for new transactions and recipients</t>
  </si>
  <si>
    <t xml:space="preserve">Table with information of Sustainability Guarantee, RE and EE eligibility </t>
  </si>
  <si>
    <t>out_contracts / out_clients</t>
  </si>
  <si>
    <t>Old value of the field which has been previously reported table A1 or A2</t>
  </si>
  <si>
    <t>campo (código) = valor antigo</t>
  </si>
  <si>
    <t>campo (código) = valor novo</t>
  </si>
  <si>
    <t>New value of the field which has to be changed in a previous reported table A1 or A2.</t>
  </si>
  <si>
    <t>A1: country (A.1.9.), nationality (A.1.10.), sector (A.1.12.), region_nuts3 (A.1.8.), nbr_employees (A.1.13.), turnover (A.1.14.), assets (A.1.15.), startup (A.1.19.), fr_category (A.1.20.)
A2: loan_type (A.2.1.1.), currency (A.2.2.), purpose (A.2.3.), principal_amount = CASE  WHEN leasing THEN purchase_price - down_payment ELSE current_authorized_amount END (A.2.4.), purchase_price (A.2.4.1.), down_payment (A.2.4.2.), maturity (A.2.5.), grace_period (A.2.6.), opening_date (A.2.7.), amortisation_profile (A.2.9.)</t>
  </si>
  <si>
    <t>input manual</t>
  </si>
  <si>
    <t>Pendente MCD</t>
  </si>
  <si>
    <t>Especificação concluída, pendente da atualização do Modelo Comum de Dados</t>
  </si>
  <si>
    <t>Entregue, necessita melhorias</t>
  </si>
  <si>
    <t>Falta nome do campo no MCD</t>
  </si>
  <si>
    <t>.</t>
  </si>
  <si>
    <t>Tabela com todos os contratos e campos relevantes para o mapa do FEI. O universo é obtido com base na natureza win disponível na base de propostas.</t>
  </si>
  <si>
    <t>Tabela com todas os contratos das linhas.</t>
  </si>
  <si>
    <t>Contratos liquidados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</si>
</sst>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5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sz val="8"/>
      <color theme="1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u/>
      <sz val="10"/>
      <color theme="1"/>
      <name val="Arial"/>
      <family val="2"/>
    </font>
    <font>
      <b/>
      <sz val="11"/>
      <color rgb="FFC0000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11"/>
      <color rgb="FF00B05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trike/>
      <sz val="11"/>
      <color theme="0"/>
      <name val="Calibri"/>
      <family val="2"/>
      <scheme val="minor"/>
    </font>
    <font>
      <b/>
      <strike/>
      <sz val="11"/>
      <color rgb="FFC00000"/>
      <name val="Calibri"/>
      <family val="2"/>
      <scheme val="minor"/>
    </font>
    <font>
      <b/>
      <strike/>
      <sz val="11"/>
      <color theme="5"/>
      <name val="Calibri"/>
      <family val="2"/>
      <scheme val="minor"/>
    </font>
    <font>
      <b/>
      <strike/>
      <sz val="11"/>
      <color theme="0" tint="-0.499984740745262"/>
      <name val="Calibri"/>
      <family val="2"/>
      <scheme val="minor"/>
    </font>
    <font>
      <b/>
      <strike/>
      <sz val="11"/>
      <color rgb="FF00B050"/>
      <name val="Calibri"/>
      <family val="2"/>
      <scheme val="minor"/>
    </font>
    <font>
      <u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7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009FDF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009FD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B9C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4" tint="0.39997558519241921"/>
      </left>
      <right style="thin">
        <color theme="4" tint="0.39997558519241921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7">
    <xf numFmtId="0" fontId="0" fillId="0" borderId="0"/>
    <xf numFmtId="0" fontId="1" fillId="0" borderId="0"/>
    <xf numFmtId="0" fontId="7" fillId="0" borderId="0"/>
    <xf numFmtId="0" fontId="29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22" fillId="0" borderId="0"/>
    <xf numFmtId="0" fontId="42" fillId="13" borderId="0" applyNumberFormat="0" applyBorder="0" applyAlignment="0" applyProtection="0"/>
  </cellStyleXfs>
  <cellXfs count="238">
    <xf numFmtId="0" fontId="0" fillId="0" borderId="0" xfId="0"/>
    <xf numFmtId="0" fontId="4" fillId="0" borderId="0" xfId="1" applyFont="1"/>
    <xf numFmtId="0" fontId="5" fillId="0" borderId="0" xfId="0" applyFont="1" applyAlignment="1">
      <alignment horizontal="left" vertical="center" readingOrder="1"/>
    </xf>
    <xf numFmtId="0" fontId="6" fillId="0" borderId="0" xfId="0" applyFont="1" applyAlignment="1">
      <alignment horizontal="left" vertical="center" readingOrder="1"/>
    </xf>
    <xf numFmtId="0" fontId="4" fillId="0" borderId="1" xfId="1" applyFont="1" applyBorder="1"/>
    <xf numFmtId="0" fontId="7" fillId="0" borderId="0" xfId="2"/>
    <xf numFmtId="0" fontId="4" fillId="0" borderId="0" xfId="1" applyFont="1" applyAlignment="1">
      <alignment horizontal="right" vertical="center"/>
    </xf>
    <xf numFmtId="0" fontId="8" fillId="0" borderId="0" xfId="1" applyFont="1" applyAlignment="1">
      <alignment vertical="center"/>
    </xf>
    <xf numFmtId="0" fontId="9" fillId="0" borderId="0" xfId="1" applyFont="1" applyAlignment="1">
      <alignment horizontal="right" vertical="center"/>
    </xf>
    <xf numFmtId="0" fontId="10" fillId="0" borderId="0" xfId="1" applyFont="1"/>
    <xf numFmtId="0" fontId="11" fillId="0" borderId="0" xfId="1" applyFont="1" applyAlignment="1">
      <alignment horizontal="right"/>
    </xf>
    <xf numFmtId="0" fontId="12" fillId="0" borderId="0" xfId="1" applyFont="1"/>
    <xf numFmtId="0" fontId="13" fillId="0" borderId="0" xfId="1" applyFont="1" applyAlignment="1">
      <alignment horizontal="right"/>
    </xf>
    <xf numFmtId="0" fontId="14" fillId="0" borderId="0" xfId="1" applyFont="1"/>
    <xf numFmtId="0" fontId="15" fillId="0" borderId="0" xfId="1" applyFont="1" applyAlignment="1">
      <alignment horizontal="right"/>
    </xf>
    <xf numFmtId="0" fontId="16" fillId="0" borderId="0" xfId="1" applyFont="1"/>
    <xf numFmtId="0" fontId="17" fillId="0" borderId="0" xfId="1" applyFont="1" applyAlignment="1">
      <alignment horizontal="right"/>
    </xf>
    <xf numFmtId="0" fontId="18" fillId="0" borderId="0" xfId="1" applyFont="1" applyAlignment="1">
      <alignment horizontal="right"/>
    </xf>
    <xf numFmtId="0" fontId="4" fillId="0" borderId="0" xfId="1" applyFont="1" applyAlignment="1">
      <alignment horizontal="left" vertical="center" indent="1" readingOrder="1"/>
    </xf>
    <xf numFmtId="0" fontId="19" fillId="2" borderId="0" xfId="0" applyFont="1" applyFill="1"/>
    <xf numFmtId="0" fontId="20" fillId="0" borderId="0" xfId="0" applyFont="1"/>
    <xf numFmtId="0" fontId="21" fillId="0" borderId="0" xfId="0" applyFont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19" fillId="2" borderId="0" xfId="0" applyFont="1" applyFill="1" applyAlignment="1">
      <alignment vertical="center"/>
    </xf>
    <xf numFmtId="0" fontId="23" fillId="0" borderId="0" xfId="0" applyFont="1" applyAlignment="1">
      <alignment vertical="center"/>
    </xf>
    <xf numFmtId="0" fontId="24" fillId="3" borderId="2" xfId="0" applyFont="1" applyFill="1" applyBorder="1" applyAlignment="1">
      <alignment vertical="top"/>
    </xf>
    <xf numFmtId="0" fontId="4" fillId="0" borderId="0" xfId="0" applyFont="1" applyAlignment="1">
      <alignment vertical="top" wrapText="1"/>
    </xf>
    <xf numFmtId="0" fontId="3" fillId="6" borderId="0" xfId="0" applyFont="1" applyFill="1"/>
    <xf numFmtId="0" fontId="3" fillId="0" borderId="0" xfId="0" applyFont="1"/>
    <xf numFmtId="0" fontId="3" fillId="6" borderId="6" xfId="0" applyFont="1" applyFill="1" applyBorder="1"/>
    <xf numFmtId="0" fontId="3" fillId="6" borderId="7" xfId="0" applyFont="1" applyFill="1" applyBorder="1"/>
    <xf numFmtId="0" fontId="3" fillId="6" borderId="10" xfId="0" applyFont="1" applyFill="1" applyBorder="1"/>
    <xf numFmtId="0" fontId="3" fillId="6" borderId="12" xfId="0" applyFont="1" applyFill="1" applyBorder="1"/>
    <xf numFmtId="0" fontId="3" fillId="6" borderId="13" xfId="0" applyFont="1" applyFill="1" applyBorder="1"/>
    <xf numFmtId="0" fontId="3" fillId="6" borderId="14" xfId="0" applyFont="1" applyFill="1" applyBorder="1"/>
    <xf numFmtId="0" fontId="3" fillId="6" borderId="9" xfId="0" applyFont="1" applyFill="1" applyBorder="1"/>
    <xf numFmtId="0" fontId="0" fillId="0" borderId="11" xfId="0" applyBorder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0" fillId="0" borderId="11" xfId="0" applyBorder="1" applyAlignment="1">
      <alignment vertical="center"/>
    </xf>
    <xf numFmtId="14" fontId="0" fillId="0" borderId="11" xfId="0" applyNumberFormat="1" applyBorder="1" applyAlignment="1">
      <alignment vertical="center"/>
    </xf>
    <xf numFmtId="0" fontId="0" fillId="0" borderId="11" xfId="0" applyBorder="1" applyAlignment="1">
      <alignment vertical="center" wrapText="1"/>
    </xf>
    <xf numFmtId="14" fontId="0" fillId="0" borderId="11" xfId="0" applyNumberForma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28" fillId="0" borderId="11" xfId="0" applyFont="1" applyBorder="1" applyAlignment="1">
      <alignment vertical="center"/>
    </xf>
    <xf numFmtId="0" fontId="0" fillId="0" borderId="0" xfId="0" applyAlignment="1">
      <alignment wrapText="1"/>
    </xf>
    <xf numFmtId="0" fontId="0" fillId="2" borderId="0" xfId="0" applyFill="1"/>
    <xf numFmtId="14" fontId="22" fillId="0" borderId="16" xfId="0" applyNumberFormat="1" applyFont="1" applyBorder="1" applyAlignment="1">
      <alignment horizontal="left" vertical="center" wrapText="1"/>
    </xf>
    <xf numFmtId="0" fontId="22" fillId="0" borderId="16" xfId="0" applyFont="1" applyBorder="1" applyAlignment="1">
      <alignment horizontal="left" vertical="center" indent="1"/>
    </xf>
    <xf numFmtId="0" fontId="22" fillId="0" borderId="16" xfId="0" applyFont="1" applyBorder="1" applyAlignment="1">
      <alignment horizontal="left" vertical="center" wrapText="1"/>
    </xf>
    <xf numFmtId="14" fontId="22" fillId="0" borderId="18" xfId="0" applyNumberFormat="1" applyFont="1" applyBorder="1" applyAlignment="1">
      <alignment horizontal="left" vertical="center" wrapText="1"/>
    </xf>
    <xf numFmtId="0" fontId="22" fillId="0" borderId="18" xfId="0" applyFont="1" applyBorder="1" applyAlignment="1">
      <alignment horizontal="left" vertical="center" indent="1"/>
    </xf>
    <xf numFmtId="0" fontId="3" fillId="6" borderId="17" xfId="0" applyFont="1" applyFill="1" applyBorder="1" applyAlignment="1">
      <alignment horizontal="center" vertical="center"/>
    </xf>
    <xf numFmtId="0" fontId="22" fillId="0" borderId="18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0" fontId="29" fillId="0" borderId="11" xfId="3" applyFill="1" applyBorder="1" applyAlignment="1">
      <alignment horizontal="left" vertical="center"/>
    </xf>
    <xf numFmtId="0" fontId="0" fillId="0" borderId="11" xfId="0" quotePrefix="1" applyBorder="1" applyAlignment="1">
      <alignment horizontal="left" vertical="center" wrapText="1"/>
    </xf>
    <xf numFmtId="0" fontId="3" fillId="6" borderId="17" xfId="0" applyFont="1" applyFill="1" applyBorder="1"/>
    <xf numFmtId="0" fontId="0" fillId="0" borderId="17" xfId="0" applyBorder="1"/>
    <xf numFmtId="9" fontId="0" fillId="0" borderId="17" xfId="4" applyFont="1" applyBorder="1"/>
    <xf numFmtId="0" fontId="3" fillId="6" borderId="17" xfId="0" applyFont="1" applyFill="1" applyBorder="1" applyAlignment="1">
      <alignment horizontal="right"/>
    </xf>
    <xf numFmtId="0" fontId="3" fillId="6" borderId="17" xfId="0" applyFont="1" applyFill="1" applyBorder="1" applyAlignment="1">
      <alignment horizontal="center"/>
    </xf>
    <xf numFmtId="0" fontId="28" fillId="6" borderId="17" xfId="0" applyFont="1" applyFill="1" applyBorder="1" applyAlignment="1">
      <alignment horizontal="center"/>
    </xf>
    <xf numFmtId="0" fontId="26" fillId="6" borderId="17" xfId="0" applyFont="1" applyFill="1" applyBorder="1" applyAlignment="1">
      <alignment horizontal="center"/>
    </xf>
    <xf numFmtId="0" fontId="27" fillId="6" borderId="17" xfId="0" applyFont="1" applyFill="1" applyBorder="1" applyAlignment="1">
      <alignment horizontal="center"/>
    </xf>
    <xf numFmtId="0" fontId="25" fillId="6" borderId="17" xfId="0" applyFont="1" applyFill="1" applyBorder="1" applyAlignment="1">
      <alignment horizontal="center"/>
    </xf>
    <xf numFmtId="0" fontId="3" fillId="6" borderId="14" xfId="0" applyFont="1" applyFill="1" applyBorder="1" applyAlignment="1">
      <alignment horizontal="center"/>
    </xf>
    <xf numFmtId="0" fontId="31" fillId="0" borderId="0" xfId="0" applyFont="1"/>
    <xf numFmtId="0" fontId="32" fillId="0" borderId="0" xfId="0" applyFont="1"/>
    <xf numFmtId="0" fontId="25" fillId="6" borderId="17" xfId="0" applyFont="1" applyFill="1" applyBorder="1" applyAlignment="1">
      <alignment horizontal="center" wrapText="1"/>
    </xf>
    <xf numFmtId="0" fontId="32" fillId="6" borderId="17" xfId="0" applyFont="1" applyFill="1" applyBorder="1" applyAlignment="1">
      <alignment horizontal="center"/>
    </xf>
    <xf numFmtId="0" fontId="0" fillId="10" borderId="17" xfId="0" applyFill="1" applyBorder="1"/>
    <xf numFmtId="0" fontId="33" fillId="0" borderId="0" xfId="0" applyFont="1"/>
    <xf numFmtId="0" fontId="34" fillId="0" borderId="0" xfId="0" applyFont="1"/>
    <xf numFmtId="0" fontId="35" fillId="7" borderId="15" xfId="0" applyFont="1" applyFill="1" applyBorder="1"/>
    <xf numFmtId="0" fontId="36" fillId="0" borderId="0" xfId="0" applyFont="1"/>
    <xf numFmtId="0" fontId="34" fillId="8" borderId="15" xfId="0" applyFont="1" applyFill="1" applyBorder="1"/>
    <xf numFmtId="0" fontId="37" fillId="0" borderId="0" xfId="0" applyFont="1"/>
    <xf numFmtId="0" fontId="34" fillId="0" borderId="15" xfId="0" applyFont="1" applyBorder="1"/>
    <xf numFmtId="0" fontId="38" fillId="0" borderId="0" xfId="0" applyFont="1"/>
    <xf numFmtId="0" fontId="39" fillId="0" borderId="0" xfId="0" applyFont="1"/>
    <xf numFmtId="0" fontId="3" fillId="11" borderId="14" xfId="0" applyFont="1" applyFill="1" applyBorder="1"/>
    <xf numFmtId="0" fontId="2" fillId="7" borderId="15" xfId="0" applyFont="1" applyFill="1" applyBorder="1"/>
    <xf numFmtId="0" fontId="25" fillId="8" borderId="15" xfId="0" applyFont="1" applyFill="1" applyBorder="1"/>
    <xf numFmtId="0" fontId="26" fillId="0" borderId="15" xfId="0" applyFont="1" applyBorder="1"/>
    <xf numFmtId="0" fontId="28" fillId="0" borderId="15" xfId="0" applyFont="1" applyBorder="1"/>
    <xf numFmtId="0" fontId="31" fillId="0" borderId="15" xfId="0" applyFont="1" applyBorder="1"/>
    <xf numFmtId="0" fontId="32" fillId="8" borderId="15" xfId="0" applyFont="1" applyFill="1" applyBorder="1"/>
    <xf numFmtId="0" fontId="25" fillId="0" borderId="15" xfId="0" applyFont="1" applyBorder="1"/>
    <xf numFmtId="0" fontId="3" fillId="8" borderId="15" xfId="0" applyFont="1" applyFill="1" applyBorder="1"/>
    <xf numFmtId="0" fontId="30" fillId="0" borderId="0" xfId="0" applyFont="1"/>
    <xf numFmtId="0" fontId="25" fillId="8" borderId="20" xfId="0" applyFont="1" applyFill="1" applyBorder="1"/>
    <xf numFmtId="0" fontId="21" fillId="0" borderId="11" xfId="0" applyFont="1" applyBorder="1" applyAlignment="1">
      <alignment vertical="center" wrapText="1"/>
    </xf>
    <xf numFmtId="0" fontId="21" fillId="0" borderId="0" xfId="0" applyFont="1" applyAlignment="1">
      <alignment vertical="center"/>
    </xf>
    <xf numFmtId="0" fontId="21" fillId="0" borderId="11" xfId="0" applyFont="1" applyBorder="1" applyAlignment="1">
      <alignment horizontal="left" vertical="center"/>
    </xf>
    <xf numFmtId="0" fontId="40" fillId="0" borderId="11" xfId="3" applyFont="1" applyFill="1" applyBorder="1" applyAlignment="1">
      <alignment vertical="center"/>
    </xf>
    <xf numFmtId="0" fontId="30" fillId="0" borderId="11" xfId="0" applyFont="1" applyBorder="1" applyAlignment="1">
      <alignment vertical="center"/>
    </xf>
    <xf numFmtId="14" fontId="21" fillId="0" borderId="11" xfId="0" applyNumberFormat="1" applyFont="1" applyBorder="1" applyAlignment="1">
      <alignment vertical="center"/>
    </xf>
    <xf numFmtId="14" fontId="21" fillId="0" borderId="11" xfId="0" applyNumberFormat="1" applyFont="1" applyBorder="1" applyAlignment="1">
      <alignment vertical="center" wrapText="1"/>
    </xf>
    <xf numFmtId="0" fontId="30" fillId="0" borderId="11" xfId="0" applyFont="1" applyBorder="1" applyAlignment="1">
      <alignment vertical="center" wrapText="1"/>
    </xf>
    <xf numFmtId="14" fontId="21" fillId="0" borderId="11" xfId="0" applyNumberFormat="1" applyFont="1" applyBorder="1" applyAlignment="1">
      <alignment horizontal="right" vertical="center"/>
    </xf>
    <xf numFmtId="0" fontId="21" fillId="0" borderId="11" xfId="0" applyFont="1" applyBorder="1" applyAlignment="1">
      <alignment vertical="center"/>
    </xf>
    <xf numFmtId="14" fontId="21" fillId="0" borderId="11" xfId="0" applyNumberFormat="1" applyFont="1" applyBorder="1"/>
    <xf numFmtId="0" fontId="21" fillId="0" borderId="11" xfId="0" applyFont="1" applyBorder="1" applyAlignment="1">
      <alignment wrapText="1"/>
    </xf>
    <xf numFmtId="15" fontId="21" fillId="0" borderId="11" xfId="0" applyNumberFormat="1" applyFont="1" applyBorder="1" applyAlignment="1">
      <alignment wrapText="1"/>
    </xf>
    <xf numFmtId="0" fontId="21" fillId="0" borderId="11" xfId="0" quotePrefix="1" applyFont="1" applyBorder="1" applyAlignment="1">
      <alignment vertical="center" wrapText="1"/>
    </xf>
    <xf numFmtId="0" fontId="21" fillId="0" borderId="19" xfId="0" applyFont="1" applyBorder="1" applyAlignment="1">
      <alignment vertical="center" wrapText="1"/>
    </xf>
    <xf numFmtId="0" fontId="21" fillId="0" borderId="11" xfId="0" applyFont="1" applyBorder="1"/>
    <xf numFmtId="0" fontId="21" fillId="0" borderId="11" xfId="0" applyFont="1" applyBorder="1" applyAlignment="1">
      <alignment horizontal="right" vertical="center" wrapText="1"/>
    </xf>
    <xf numFmtId="0" fontId="0" fillId="0" borderId="0" xfId="0" applyAlignment="1">
      <alignment vertical="center" wrapText="1"/>
    </xf>
    <xf numFmtId="0" fontId="30" fillId="6" borderId="17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9" borderId="11" xfId="0" applyFill="1" applyBorder="1" applyAlignment="1">
      <alignment vertical="center" wrapText="1"/>
    </xf>
    <xf numFmtId="0" fontId="0" fillId="9" borderId="11" xfId="0" applyFill="1" applyBorder="1" applyAlignment="1">
      <alignment vertical="center"/>
    </xf>
    <xf numFmtId="0" fontId="0" fillId="12" borderId="11" xfId="0" applyFill="1" applyBorder="1" applyAlignment="1">
      <alignment vertical="center" wrapText="1"/>
    </xf>
    <xf numFmtId="0" fontId="0" fillId="11" borderId="11" xfId="0" applyFill="1" applyBorder="1" applyAlignment="1">
      <alignment vertical="center" wrapText="1"/>
    </xf>
    <xf numFmtId="0" fontId="0" fillId="11" borderId="0" xfId="0" applyFill="1" applyAlignment="1">
      <alignment vertical="center"/>
    </xf>
    <xf numFmtId="0" fontId="0" fillId="0" borderId="11" xfId="0" quotePrefix="1" applyBorder="1" applyAlignment="1">
      <alignment vertical="center"/>
    </xf>
    <xf numFmtId="0" fontId="0" fillId="2" borderId="0" xfId="0" applyFill="1" applyAlignment="1">
      <alignment vertical="center"/>
    </xf>
    <xf numFmtId="0" fontId="24" fillId="3" borderId="2" xfId="0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3" fillId="6" borderId="14" xfId="0" applyFont="1" applyFill="1" applyBorder="1" applyAlignment="1">
      <alignment vertical="center"/>
    </xf>
    <xf numFmtId="0" fontId="3" fillId="6" borderId="6" xfId="0" applyFont="1" applyFill="1" applyBorder="1" applyAlignment="1">
      <alignment vertical="center"/>
    </xf>
    <xf numFmtId="0" fontId="3" fillId="6" borderId="7" xfId="0" applyFont="1" applyFill="1" applyBorder="1" applyAlignment="1">
      <alignment vertical="center"/>
    </xf>
    <xf numFmtId="0" fontId="3" fillId="6" borderId="10" xfId="0" applyFont="1" applyFill="1" applyBorder="1" applyAlignment="1">
      <alignment vertical="center"/>
    </xf>
    <xf numFmtId="0" fontId="3" fillId="6" borderId="12" xfId="0" applyFont="1" applyFill="1" applyBorder="1" applyAlignment="1">
      <alignment vertical="center"/>
    </xf>
    <xf numFmtId="0" fontId="3" fillId="6" borderId="13" xfId="0" applyFont="1" applyFill="1" applyBorder="1" applyAlignment="1">
      <alignment vertical="center"/>
    </xf>
    <xf numFmtId="0" fontId="3" fillId="6" borderId="0" xfId="0" applyFont="1" applyFill="1" applyAlignment="1">
      <alignment vertical="center"/>
    </xf>
    <xf numFmtId="0" fontId="3" fillId="6" borderId="9" xfId="0" applyFont="1" applyFill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11" xfId="0" quotePrefix="1" applyFont="1" applyBorder="1" applyAlignment="1">
      <alignment vertical="center"/>
    </xf>
    <xf numFmtId="0" fontId="21" fillId="0" borderId="11" xfId="3" applyFont="1" applyFill="1" applyBorder="1" applyAlignment="1">
      <alignment vertical="center"/>
    </xf>
    <xf numFmtId="0" fontId="44" fillId="11" borderId="11" xfId="6" applyFont="1" applyFill="1" applyBorder="1" applyAlignment="1">
      <alignment vertical="center"/>
    </xf>
    <xf numFmtId="0" fontId="26" fillId="11" borderId="11" xfId="6" applyFont="1" applyFill="1" applyBorder="1" applyAlignment="1">
      <alignment vertical="center"/>
    </xf>
    <xf numFmtId="0" fontId="43" fillId="0" borderId="11" xfId="0" applyFont="1" applyBorder="1" applyAlignment="1">
      <alignment vertical="center" wrapText="1"/>
    </xf>
    <xf numFmtId="0" fontId="0" fillId="11" borderId="11" xfId="0" applyFill="1" applyBorder="1" applyAlignment="1">
      <alignment vertical="center"/>
    </xf>
    <xf numFmtId="0" fontId="0" fillId="11" borderId="11" xfId="0" quotePrefix="1" applyFill="1" applyBorder="1" applyAlignment="1">
      <alignment vertical="center" wrapText="1"/>
    </xf>
    <xf numFmtId="0" fontId="0" fillId="11" borderId="0" xfId="0" applyFill="1"/>
    <xf numFmtId="0" fontId="45" fillId="6" borderId="17" xfId="0" applyFont="1" applyFill="1" applyBorder="1" applyAlignment="1">
      <alignment horizontal="center"/>
    </xf>
    <xf numFmtId="0" fontId="28" fillId="11" borderId="11" xfId="6" applyFont="1" applyFill="1" applyBorder="1" applyAlignment="1">
      <alignment vertical="center"/>
    </xf>
    <xf numFmtId="0" fontId="0" fillId="11" borderId="11" xfId="0" applyFill="1" applyBorder="1"/>
    <xf numFmtId="0" fontId="0" fillId="3" borderId="0" xfId="0" applyFill="1"/>
    <xf numFmtId="0" fontId="0" fillId="0" borderId="0" xfId="0" applyAlignment="1">
      <alignment horizontal="left" vertical="center"/>
    </xf>
    <xf numFmtId="0" fontId="0" fillId="11" borderId="11" xfId="0" applyFill="1" applyBorder="1" applyAlignment="1">
      <alignment horizontal="left" vertical="center" wrapText="1"/>
    </xf>
    <xf numFmtId="0" fontId="0" fillId="0" borderId="11" xfId="0" applyBorder="1" applyAlignment="1">
      <alignment horizontal="right" vertical="center"/>
    </xf>
    <xf numFmtId="9" fontId="0" fillId="0" borderId="0" xfId="4" applyFont="1" applyBorder="1"/>
    <xf numFmtId="14" fontId="0" fillId="11" borderId="11" xfId="0" applyNumberFormat="1" applyFill="1" applyBorder="1" applyAlignment="1">
      <alignment vertical="center"/>
    </xf>
    <xf numFmtId="0" fontId="0" fillId="11" borderId="17" xfId="0" applyFill="1" applyBorder="1" applyAlignment="1">
      <alignment horizontal="right"/>
    </xf>
    <xf numFmtId="0" fontId="21" fillId="11" borderId="17" xfId="0" applyFont="1" applyFill="1" applyBorder="1" applyAlignment="1">
      <alignment horizontal="right"/>
    </xf>
    <xf numFmtId="0" fontId="0" fillId="0" borderId="17" xfId="0" applyBorder="1" applyAlignment="1">
      <alignment horizontal="right"/>
    </xf>
    <xf numFmtId="9" fontId="0" fillId="11" borderId="17" xfId="4" applyFont="1" applyFill="1" applyBorder="1" applyAlignment="1">
      <alignment horizontal="right"/>
    </xf>
    <xf numFmtId="9" fontId="21" fillId="11" borderId="17" xfId="4" applyFont="1" applyFill="1" applyBorder="1" applyAlignment="1">
      <alignment horizontal="right"/>
    </xf>
    <xf numFmtId="0" fontId="3" fillId="11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21" fillId="11" borderId="0" xfId="0" applyFont="1" applyFill="1"/>
    <xf numFmtId="0" fontId="0" fillId="11" borderId="14" xfId="0" applyFill="1" applyBorder="1"/>
    <xf numFmtId="0" fontId="0" fillId="11" borderId="17" xfId="0" applyFill="1" applyBorder="1"/>
    <xf numFmtId="0" fontId="46" fillId="0" borderId="0" xfId="0" applyFont="1" applyAlignment="1">
      <alignment horizontal="right"/>
    </xf>
    <xf numFmtId="0" fontId="47" fillId="0" borderId="0" xfId="0" applyFont="1"/>
    <xf numFmtId="0" fontId="32" fillId="11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21" fillId="0" borderId="11" xfId="3" applyFont="1" applyFill="1" applyBorder="1" applyAlignment="1">
      <alignment vertical="center" wrapText="1"/>
    </xf>
    <xf numFmtId="0" fontId="28" fillId="0" borderId="11" xfId="6" applyFont="1" applyFill="1" applyBorder="1" applyAlignment="1">
      <alignment vertical="center"/>
    </xf>
    <xf numFmtId="0" fontId="44" fillId="0" borderId="11" xfId="0" applyFont="1" applyBorder="1" applyAlignment="1">
      <alignment vertical="center" wrapText="1"/>
    </xf>
    <xf numFmtId="0" fontId="21" fillId="0" borderId="11" xfId="3" quotePrefix="1" applyFont="1" applyFill="1" applyBorder="1" applyAlignment="1">
      <alignment vertical="center" wrapText="1"/>
    </xf>
    <xf numFmtId="0" fontId="0" fillId="11" borderId="11" xfId="0" applyFill="1" applyBorder="1" applyAlignment="1">
      <alignment horizontal="center" vertical="center"/>
    </xf>
    <xf numFmtId="0" fontId="21" fillId="11" borderId="11" xfId="0" applyFont="1" applyFill="1" applyBorder="1" applyAlignment="1">
      <alignment vertical="center"/>
    </xf>
    <xf numFmtId="0" fontId="50" fillId="11" borderId="11" xfId="6" applyFont="1" applyFill="1" applyBorder="1" applyAlignment="1">
      <alignment vertical="center" wrapText="1"/>
    </xf>
    <xf numFmtId="0" fontId="41" fillId="0" borderId="11" xfId="0" applyFont="1" applyBorder="1" applyAlignment="1">
      <alignment vertical="center" wrapText="1"/>
    </xf>
    <xf numFmtId="0" fontId="21" fillId="11" borderId="11" xfId="3" applyFont="1" applyFill="1" applyBorder="1" applyAlignment="1">
      <alignment vertical="center"/>
    </xf>
    <xf numFmtId="0" fontId="0" fillId="11" borderId="11" xfId="0" applyFill="1" applyBorder="1" applyAlignment="1">
      <alignment horizontal="center" vertical="center" wrapText="1"/>
    </xf>
    <xf numFmtId="0" fontId="0" fillId="11" borderId="0" xfId="0" applyFill="1" applyAlignment="1">
      <alignment vertical="center" wrapText="1"/>
    </xf>
    <xf numFmtId="0" fontId="19" fillId="2" borderId="0" xfId="0" applyFont="1" applyFill="1" applyAlignment="1">
      <alignment vertical="center" wrapText="1"/>
    </xf>
    <xf numFmtId="0" fontId="3" fillId="6" borderId="14" xfId="0" applyFont="1" applyFill="1" applyBorder="1" applyAlignment="1">
      <alignment wrapText="1"/>
    </xf>
    <xf numFmtId="0" fontId="19" fillId="11" borderId="0" xfId="0" applyFont="1" applyFill="1"/>
    <xf numFmtId="0" fontId="0" fillId="0" borderId="0" xfId="4" applyNumberFormat="1" applyFont="1" applyBorder="1"/>
    <xf numFmtId="0" fontId="0" fillId="0" borderId="11" xfId="0" applyBorder="1" applyAlignment="1">
      <alignment wrapText="1"/>
    </xf>
    <xf numFmtId="0" fontId="1" fillId="0" borderId="11" xfId="3" applyFont="1" applyFill="1" applyBorder="1" applyAlignment="1">
      <alignment vertical="center" wrapText="1"/>
    </xf>
    <xf numFmtId="0" fontId="28" fillId="11" borderId="11" xfId="6" applyFont="1" applyFill="1" applyBorder="1" applyAlignment="1">
      <alignment vertical="center" wrapText="1"/>
    </xf>
    <xf numFmtId="0" fontId="0" fillId="0" borderId="21" xfId="0" applyBorder="1" applyAlignment="1">
      <alignment vertical="center" wrapText="1"/>
    </xf>
    <xf numFmtId="1" fontId="0" fillId="0" borderId="0" xfId="0" applyNumberFormat="1"/>
    <xf numFmtId="0" fontId="3" fillId="0" borderId="11" xfId="0" applyFont="1" applyBorder="1" applyAlignment="1">
      <alignment horizontal="left" vertical="center" wrapText="1"/>
    </xf>
    <xf numFmtId="14" fontId="0" fillId="0" borderId="11" xfId="0" applyNumberFormat="1" applyBorder="1" applyAlignment="1">
      <alignment horizontal="left" vertical="center"/>
    </xf>
    <xf numFmtId="0" fontId="50" fillId="11" borderId="11" xfId="6" applyFont="1" applyFill="1" applyBorder="1" applyAlignment="1">
      <alignment horizontal="left" vertical="center" wrapText="1"/>
    </xf>
    <xf numFmtId="0" fontId="21" fillId="0" borderId="11" xfId="0" applyFont="1" applyBorder="1" applyAlignment="1">
      <alignment horizontal="left" vertical="center" wrapText="1"/>
    </xf>
    <xf numFmtId="0" fontId="44" fillId="11" borderId="11" xfId="6" applyFont="1" applyFill="1" applyBorder="1" applyAlignment="1">
      <alignment horizontal="left" vertical="center"/>
    </xf>
    <xf numFmtId="0" fontId="44" fillId="0" borderId="11" xfId="0" applyFont="1" applyBorder="1" applyAlignment="1">
      <alignment horizontal="left" vertical="center" wrapText="1"/>
    </xf>
    <xf numFmtId="0" fontId="44" fillId="9" borderId="11" xfId="0" applyFont="1" applyFill="1" applyBorder="1" applyAlignment="1">
      <alignment horizontal="left" vertical="center" wrapText="1"/>
    </xf>
    <xf numFmtId="14" fontId="0" fillId="11" borderId="11" xfId="0" applyNumberFormat="1" applyFill="1" applyBorder="1" applyAlignment="1">
      <alignment horizontal="left" vertical="center"/>
    </xf>
    <xf numFmtId="0" fontId="44" fillId="11" borderId="11" xfId="0" applyFont="1" applyFill="1" applyBorder="1" applyAlignment="1">
      <alignment horizontal="left" vertical="center" wrapText="1"/>
    </xf>
    <xf numFmtId="0" fontId="44" fillId="0" borderId="11" xfId="6" applyFont="1" applyFill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26" fillId="0" borderId="11" xfId="6" applyFont="1" applyFill="1" applyBorder="1" applyAlignment="1">
      <alignment horizontal="left" vertical="center"/>
    </xf>
    <xf numFmtId="0" fontId="0" fillId="11" borderId="11" xfId="0" applyFill="1" applyBorder="1" applyAlignment="1">
      <alignment horizontal="left" vertical="center"/>
    </xf>
    <xf numFmtId="0" fontId="0" fillId="11" borderId="0" xfId="0" applyFill="1" applyAlignment="1">
      <alignment horizontal="left" vertical="center"/>
    </xf>
    <xf numFmtId="0" fontId="21" fillId="0" borderId="11" xfId="3" quotePrefix="1" applyFont="1" applyFill="1" applyBorder="1" applyAlignment="1">
      <alignment horizontal="left" vertical="center"/>
    </xf>
    <xf numFmtId="0" fontId="21" fillId="0" borderId="11" xfId="3" applyFont="1" applyFill="1" applyBorder="1" applyAlignment="1">
      <alignment horizontal="left" vertical="center"/>
    </xf>
    <xf numFmtId="0" fontId="21" fillId="0" borderId="11" xfId="3" applyFont="1" applyFill="1" applyBorder="1" applyAlignment="1">
      <alignment horizontal="left" vertical="center" wrapText="1"/>
    </xf>
    <xf numFmtId="0" fontId="21" fillId="9" borderId="11" xfId="0" quotePrefix="1" applyFont="1" applyFill="1" applyBorder="1" applyAlignment="1">
      <alignment vertical="center" wrapText="1"/>
    </xf>
    <xf numFmtId="0" fontId="21" fillId="9" borderId="11" xfId="0" applyFont="1" applyFill="1" applyBorder="1" applyAlignment="1">
      <alignment vertical="center" wrapText="1"/>
    </xf>
    <xf numFmtId="0" fontId="30" fillId="9" borderId="11" xfId="0" applyFont="1" applyFill="1" applyBorder="1" applyAlignment="1">
      <alignment vertical="center" wrapText="1"/>
    </xf>
    <xf numFmtId="0" fontId="0" fillId="0" borderId="11" xfId="0" quotePrefix="1" applyBorder="1" applyAlignment="1">
      <alignment vertical="center" wrapText="1"/>
    </xf>
    <xf numFmtId="0" fontId="3" fillId="9" borderId="11" xfId="0" applyFont="1" applyFill="1" applyBorder="1" applyAlignment="1">
      <alignment horizontal="left" vertical="center" wrapText="1"/>
    </xf>
    <xf numFmtId="0" fontId="1" fillId="0" borderId="11" xfId="0" applyFont="1" applyBorder="1" applyAlignment="1">
      <alignment vertical="center" wrapText="1"/>
    </xf>
    <xf numFmtId="0" fontId="26" fillId="11" borderId="11" xfId="6" applyFont="1" applyFill="1" applyBorder="1" applyAlignment="1">
      <alignment vertical="center" wrapText="1"/>
    </xf>
    <xf numFmtId="0" fontId="44" fillId="11" borderId="11" xfId="6" applyFont="1" applyFill="1" applyBorder="1" applyAlignment="1">
      <alignment vertical="center" wrapText="1"/>
    </xf>
    <xf numFmtId="0" fontId="28" fillId="0" borderId="11" xfId="6" applyFont="1" applyFill="1" applyBorder="1" applyAlignment="1">
      <alignment horizontal="left" vertical="center"/>
    </xf>
    <xf numFmtId="164" fontId="4" fillId="0" borderId="0" xfId="1" applyNumberFormat="1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" fillId="5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14" fontId="4" fillId="3" borderId="3" xfId="0" applyNumberFormat="1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center"/>
    </xf>
  </cellXfs>
  <cellStyles count="7">
    <cellStyle name="Hyperlink" xfId="3" builtinId="8"/>
    <cellStyle name="Neutral" xfId="6" builtinId="28"/>
    <cellStyle name="Normal" xfId="0" builtinId="0"/>
    <cellStyle name="Normal 2" xfId="5"/>
    <cellStyle name="Normal 2 2 3 4" xfId="1"/>
    <cellStyle name="Normal 3 5 4" xfId="2"/>
    <cellStyle name="Percent" xfId="4" builtinId="5"/>
  </cellStyles>
  <dxfs count="184"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/>
        <outline val="0"/>
        <shadow val="0"/>
        <u val="none"/>
        <vertAlign val="baseline"/>
        <sz val="11"/>
        <name val="Calibri"/>
        <scheme val="minor"/>
      </font>
    </dxf>
    <dxf>
      <font>
        <strike/>
        <outline val="0"/>
        <shadow val="0"/>
        <u val="none"/>
        <vertAlign val="baseline"/>
        <sz val="11"/>
        <name val="Calibri"/>
        <scheme val="minor"/>
      </font>
    </dxf>
    <dxf>
      <font>
        <b/>
        <i val="0"/>
        <strike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0070C0"/>
      </font>
      <fill>
        <patternFill patternType="none">
          <bgColor auto="1"/>
        </patternFill>
      </fill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0070C0"/>
      </font>
      <fill>
        <patternFill patternType="none">
          <bgColor auto="1"/>
        </patternFill>
      </fill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0070C0"/>
      </font>
      <fill>
        <patternFill patternType="none">
          <bgColor auto="1"/>
        </patternFill>
      </fill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0070C0"/>
      </font>
      <fill>
        <patternFill patternType="none">
          <bgColor auto="1"/>
        </patternFill>
      </fill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0070C0"/>
      </font>
      <fill>
        <patternFill patternType="none">
          <bgColor auto="1"/>
        </patternFill>
      </fill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09FDF"/>
      <color rgb="FFFF5353"/>
      <color rgb="FF7F7F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600" b="1"/>
              <a:t>Resumo da Especificação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9FA-47AD-8189-2A0EA8315992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9FA-47AD-8189-2A0EA8315992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9FA-47AD-8189-2A0EA8315992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9FA-47AD-8189-2A0EA8315992}"/>
              </c:ext>
            </c:extLst>
          </c:dPt>
          <c:dPt>
            <c:idx val="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9FA-47AD-8189-2A0EA8315992}"/>
              </c:ext>
            </c:extLst>
          </c:dPt>
          <c:dPt>
            <c:idx val="5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F9FA-47AD-8189-2A0EA8315992}"/>
              </c:ext>
            </c:extLst>
          </c:dPt>
          <c:dLbls>
            <c:numFmt formatCode="0%;\ ;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noFill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Resumo!$C$21:$C$26</c:f>
              <c:strCache>
                <c:ptCount val="6"/>
                <c:pt idx="0">
                  <c:v>Concluído</c:v>
                </c:pt>
                <c:pt idx="1">
                  <c:v>Validar</c:v>
                </c:pt>
                <c:pt idx="2">
                  <c:v>Em curso</c:v>
                </c:pt>
                <c:pt idx="3">
                  <c:v>Por Iniciar</c:v>
                </c:pt>
                <c:pt idx="4">
                  <c:v>Pendente</c:v>
                </c:pt>
                <c:pt idx="5">
                  <c:v>Não aplicável</c:v>
                </c:pt>
              </c:strCache>
            </c:strRef>
          </c:cat>
          <c:val>
            <c:numRef>
              <c:f>Resumo!$D$21:$D$26</c:f>
              <c:numCache>
                <c:formatCode>General</c:formatCode>
                <c:ptCount val="6"/>
                <c:pt idx="0">
                  <c:v>240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FA-47AD-8189-2A0EA831599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accent3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600" b="1"/>
              <a:t>Resumo da Implementação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Resumo!$I$20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8750-4E96-995E-9D308967D2A5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8750-4E96-995E-9D308967D2A5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8750-4E96-995E-9D308967D2A5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8750-4E96-995E-9D308967D2A5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8750-4E96-995E-9D308967D2A5}"/>
              </c:ext>
            </c:extLst>
          </c:dPt>
          <c:dPt>
            <c:idx val="5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8750-4E96-995E-9D308967D2A5}"/>
              </c:ext>
            </c:extLst>
          </c:dPt>
          <c:dPt>
            <c:idx val="6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8750-4E96-995E-9D308967D2A5}"/>
              </c:ext>
            </c:extLst>
          </c:dPt>
          <c:dPt>
            <c:idx val="7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8750-4E96-995E-9D308967D2A5}"/>
              </c:ext>
            </c:extLst>
          </c:dPt>
          <c:dPt>
            <c:idx val="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8750-4E96-995E-9D308967D2A5}"/>
              </c:ext>
            </c:extLst>
          </c:dPt>
          <c:dPt>
            <c:idx val="9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8750-4E96-995E-9D308967D2A5}"/>
              </c:ext>
            </c:extLst>
          </c:dPt>
          <c:dPt>
            <c:idx val="1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8750-4E96-995E-9D308967D2A5}"/>
              </c:ext>
            </c:extLst>
          </c:dPt>
          <c:dPt>
            <c:idx val="11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8750-4E96-995E-9D308967D2A5}"/>
              </c:ext>
            </c:extLst>
          </c:dPt>
          <c:dPt>
            <c:idx val="12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8750-4E96-995E-9D308967D2A5}"/>
              </c:ext>
            </c:extLst>
          </c:dPt>
          <c:dLbls>
            <c:numFmt formatCode="0%;\ 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Resumo!$H$21:$H$33</c:f>
              <c:strCache>
                <c:ptCount val="13"/>
                <c:pt idx="0">
                  <c:v>Concluído</c:v>
                </c:pt>
                <c:pt idx="1">
                  <c:v>Testes utilizador</c:v>
                </c:pt>
                <c:pt idx="2">
                  <c:v>Em curso</c:v>
                </c:pt>
                <c:pt idx="3">
                  <c:v>Por Iniciar</c:v>
                </c:pt>
                <c:pt idx="4">
                  <c:v>Aguarda EF</c:v>
                </c:pt>
                <c:pt idx="5">
                  <c:v>Pendente Ingesta</c:v>
                </c:pt>
                <c:pt idx="6">
                  <c:v>Pendente MCD</c:v>
                </c:pt>
                <c:pt idx="7">
                  <c:v>Pendente</c:v>
                </c:pt>
                <c:pt idx="8">
                  <c:v>C/ Incidências</c:v>
                </c:pt>
                <c:pt idx="9">
                  <c:v>NOK - técnica</c:v>
                </c:pt>
                <c:pt idx="10">
                  <c:v>NOK - revisão EF</c:v>
                </c:pt>
                <c:pt idx="11">
                  <c:v>NOK - fonte</c:v>
                </c:pt>
                <c:pt idx="12">
                  <c:v>Reteste</c:v>
                </c:pt>
              </c:strCache>
            </c:strRef>
          </c:cat>
          <c:val>
            <c:numRef>
              <c:f>Resumo!$I$21:$I$33</c:f>
              <c:numCache>
                <c:formatCode>General</c:formatCode>
                <c:ptCount val="13"/>
                <c:pt idx="0">
                  <c:v>25</c:v>
                </c:pt>
                <c:pt idx="1">
                  <c:v>108</c:v>
                </c:pt>
                <c:pt idx="2">
                  <c:v>31</c:v>
                </c:pt>
                <c:pt idx="3">
                  <c:v>30</c:v>
                </c:pt>
                <c:pt idx="4">
                  <c:v>0</c:v>
                </c:pt>
                <c:pt idx="5">
                  <c:v>37</c:v>
                </c:pt>
                <c:pt idx="6">
                  <c:v>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8750-4E96-995E-9D308967D2A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accent3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4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112759</xdr:rowOff>
    </xdr:from>
    <xdr:ext cx="9468971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00465"/>
          <a:ext cx="9468971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200025</xdr:colOff>
      <xdr:row>1</xdr:row>
      <xdr:rowOff>0</xdr:rowOff>
    </xdr:from>
    <xdr:to>
      <xdr:col>1</xdr:col>
      <xdr:colOff>1023585</xdr:colOff>
      <xdr:row>1</xdr:row>
      <xdr:rowOff>210585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200025" y="190500"/>
          <a:ext cx="1071210" cy="2105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100</xdr:colOff>
      <xdr:row>1</xdr:row>
      <xdr:rowOff>0</xdr:rowOff>
    </xdr:from>
    <xdr:to>
      <xdr:col>2</xdr:col>
      <xdr:colOff>822439</xdr:colOff>
      <xdr:row>1</xdr:row>
      <xdr:rowOff>210585</xdr:rowOff>
    </xdr:to>
    <xdr:pic>
      <xdr:nvPicPr>
        <xdr:cNvPr id="6" name="Gráfico 10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247650" y="190500"/>
          <a:ext cx="1070089" cy="210585"/>
        </a:xfrm>
        <a:prstGeom prst="rect">
          <a:avLst/>
        </a:prstGeom>
      </xdr:spPr>
    </xdr:pic>
    <xdr:clientData/>
  </xdr:twoCellAnchor>
  <xdr:twoCellAnchor>
    <xdr:from>
      <xdr:col>0</xdr:col>
      <xdr:colOff>216686</xdr:colOff>
      <xdr:row>18</xdr:row>
      <xdr:rowOff>77355</xdr:rowOff>
    </xdr:from>
    <xdr:to>
      <xdr:col>5</xdr:col>
      <xdr:colOff>1669142</xdr:colOff>
      <xdr:row>35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687917</xdr:colOff>
      <xdr:row>16</xdr:row>
      <xdr:rowOff>64559</xdr:rowOff>
    </xdr:from>
    <xdr:to>
      <xdr:col>10</xdr:col>
      <xdr:colOff>275167</xdr:colOff>
      <xdr:row>38</xdr:row>
      <xdr:rowOff>13759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28051</xdr:colOff>
      <xdr:row>1</xdr:row>
      <xdr:rowOff>210585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247650" y="190500"/>
          <a:ext cx="1066813" cy="2105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1059837</xdr:colOff>
      <xdr:row>1</xdr:row>
      <xdr:rowOff>210585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260350" y="190500"/>
          <a:ext cx="1066813" cy="21058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1107594</xdr:colOff>
      <xdr:row>1</xdr:row>
      <xdr:rowOff>210585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260350" y="190500"/>
          <a:ext cx="1066813" cy="21058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1106728</xdr:colOff>
      <xdr:row>1</xdr:row>
      <xdr:rowOff>210585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260350" y="190500"/>
          <a:ext cx="1066813" cy="21058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1057288</xdr:colOff>
      <xdr:row>1</xdr:row>
      <xdr:rowOff>210585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260350" y="190500"/>
          <a:ext cx="1066813" cy="21058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1066813</xdr:colOff>
      <xdr:row>1</xdr:row>
      <xdr:rowOff>210585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260350" y="190500"/>
          <a:ext cx="1066813" cy="21058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1066813</xdr:colOff>
      <xdr:row>1</xdr:row>
      <xdr:rowOff>210585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260350" y="190500"/>
          <a:ext cx="1066813" cy="21058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1066813</xdr:colOff>
      <xdr:row>1</xdr:row>
      <xdr:rowOff>210585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251460" y="190500"/>
          <a:ext cx="1066813" cy="21058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1066813</xdr:colOff>
      <xdr:row>1</xdr:row>
      <xdr:rowOff>210585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251460" y="190500"/>
          <a:ext cx="1066813" cy="21058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1066813</xdr:colOff>
      <xdr:row>1</xdr:row>
      <xdr:rowOff>210585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260350" y="190500"/>
          <a:ext cx="1066813" cy="21058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358589</xdr:colOff>
      <xdr:row>1</xdr:row>
      <xdr:rowOff>0</xdr:rowOff>
    </xdr:from>
    <xdr:to>
      <xdr:col>1</xdr:col>
      <xdr:colOff>1425402</xdr:colOff>
      <xdr:row>1</xdr:row>
      <xdr:rowOff>210585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606239" y="190500"/>
          <a:ext cx="1066813" cy="2105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abel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859162\Documents\00.%20Old\BS_Especifica&#231;&#227;o_FEI_v0.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00.%20Old/BS_Especifica&#231;&#227;o_FEI_v0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as AUX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Metodologia"/>
      <sheetName val="Indice"/>
      <sheetName val="Tbl Param Atributos"/>
      <sheetName val="modris_param_cod_conc"/>
      <sheetName val="Resumo"/>
      <sheetName val="Tabela"/>
      <sheetName val="Tabelas AUX"/>
      <sheetName val="Sheet1"/>
      <sheetName val="Dimensões"/>
      <sheetName val="DropdownList"/>
      <sheetName val="Lista campos desconsiderados"/>
      <sheetName val="Sheet2"/>
      <sheetName val="Sheet4"/>
      <sheetName val="Layo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Maria Inês Caldeira Santos" refreshedDate="45754.58922303241" backgroundQuery="1" createdVersion="6" refreshedVersion="6" minRefreshableVersion="3" recordCount="0" supportSubquery="1" supportAdvancedDrill="1">
  <cacheSource type="external" connectionId="1"/>
  <cacheFields count="3">
    <cacheField name="[Measures].[Count of SHEET]" caption="Count of SHEET" numFmtId="0" hierarchy="17" level="32767"/>
    <cacheField name="[Range].[SHEET].[SHEET]" caption="SHEET" numFmtId="0" hierarchy="1" level="1">
      <sharedItems count="8">
        <s v="Main Report"/>
        <s v="Relevant Enterprises"/>
        <s v="Table A1"/>
        <s v="Table A2"/>
        <s v="Table B"/>
        <s v="Table C"/>
        <s v="Table D"/>
        <s v="TABLE F"/>
      </sharedItems>
    </cacheField>
    <cacheField name="[Range].[CLASSIFICAÇÃO DADOS].[CLASSIFICAÇÃO DADOS]" caption="CLASSIFICAÇÃO DADOS" numFmtId="0" hierarchy="11" level="1">
      <sharedItems count="4">
        <s v="Calculado"/>
        <s v="Calculado - informação diária"/>
        <s v="N/A"/>
        <s v="Operacional"/>
      </sharedItems>
    </cacheField>
  </cacheFields>
  <cacheHierarchies count="18">
    <cacheHierarchy uniqueName="[Range].[MAPA]" caption="MAPA" attribute="1" defaultMemberUniqueName="[Range].[MAPA].[All]" allUniqueName="[Range].[MAPA].[All]" dimensionUniqueName="[Range]" displayFolder="" count="0" memberValueDatatype="130" unbalanced="0"/>
    <cacheHierarchy uniqueName="[Range].[SHEET]" caption="SHEET" attribute="1" defaultMemberUniqueName="[Range].[SHEET].[All]" allUniqueName="[Range].[SHEET].[All]" dimensionUniqueName="[Range]" displayFolder="" count="2" memberValueDatatype="130" unbalanced="0">
      <fieldsUsage count="2">
        <fieldUsage x="-1"/>
        <fieldUsage x="1"/>
      </fieldsUsage>
    </cacheHierarchy>
    <cacheHierarchy uniqueName="[Range].[CÓDIGO CAMPO]" caption="CÓDIGO CAMPO" attribute="1" defaultMemberUniqueName="[Range].[CÓDIGO CAMPO].[All]" allUniqueName="[Range].[CÓDIGO CAMPO].[All]" dimensionUniqueName="[Range]" displayFolder="" count="0" memberValueDatatype="130" unbalanced="0"/>
    <cacheHierarchy uniqueName="[Range].[DESCRIÇAO DO CAMPO]" caption="DESCRIÇAO DO CAMPO" attribute="1" defaultMemberUniqueName="[Range].[DESCRIÇAO DO CAMPO].[All]" allUniqueName="[Range].[DESCRIÇAO DO CAMPO].[All]" dimensionUniqueName="[Range]" displayFolder="" count="0" memberValueDatatype="130" unbalanced="0"/>
    <cacheHierarchy uniqueName="[Range].[INFORMAÇÃO REQUISITOS]" caption="INFORMAÇÃO REQUISITOS" attribute="1" defaultMemberUniqueName="[Range].[INFORMAÇÃO REQUISITOS].[All]" allUniqueName="[Range].[INFORMAÇÃO REQUISITOS].[All]" dimensionUniqueName="[Range]" displayFolder="" count="0" memberValueDatatype="130" unbalanced="0"/>
    <cacheHierarchy uniqueName="[Range].[SCHEMA DL]" caption="SCHEMA DL" attribute="1" defaultMemberUniqueName="[Range].[SCHEMA DL].[All]" allUniqueName="[Range].[SCHEMA DL].[All]" dimensionUniqueName="[Range]" displayFolder="" count="0" memberValueDatatype="130" unbalanced="0"/>
    <cacheHierarchy uniqueName="[Range].[TABELA]" caption="TABELA" attribute="1" defaultMemberUniqueName="[Range].[TABELA].[All]" allUniqueName="[Range].[TABELA].[All]" dimensionUniqueName="[Range]" displayFolder="" count="0" memberValueDatatype="130" unbalanced="0"/>
    <cacheHierarchy uniqueName="[Range].[CAMPO]" caption="CAMPO" attribute="1" defaultMemberUniqueName="[Range].[CAMPO].[All]" allUniqueName="[Range].[CAMPO].[All]" dimensionUniqueName="[Range]" displayFolder="" count="0" memberValueDatatype="130" unbalanced="0"/>
    <cacheHierarchy uniqueName="[Range].[SCHEMA DL2]" caption="SCHEMA DL2" attribute="1" defaultMemberUniqueName="[Range].[SCHEMA DL2].[All]" allUniqueName="[Range].[SCHEMA DL2].[All]" dimensionUniqueName="[Range]" displayFolder="" count="0" memberValueDatatype="130" unbalanced="0"/>
    <cacheHierarchy uniqueName="[Range].[TABELA2]" caption="TABELA2" attribute="1" defaultMemberUniqueName="[Range].[TABELA2].[All]" allUniqueName="[Range].[TABELA2].[All]" dimensionUniqueName="[Range]" displayFolder="" count="0" memberValueDatatype="130" unbalanced="0"/>
    <cacheHierarchy uniqueName="[Range].[CAMPO2]" caption="CAMPO2" attribute="1" defaultMemberUniqueName="[Range].[CAMPO2].[All]" allUniqueName="[Range].[CAMPO2].[All]" dimensionUniqueName="[Range]" displayFolder="" count="0" memberValueDatatype="130" unbalanced="0"/>
    <cacheHierarchy uniqueName="[Range].[CLASSIFICAÇÃO DADOS]" caption="CLASSIFICAÇÃO DADOS" attribute="1" defaultMemberUniqueName="[Range].[CLASSIFICAÇÃO DADOS].[All]" allUniqueName="[Range].[CLASSIFICAÇÃO DADOS].[All]" dimensionUniqueName="[Range]" displayFolder="" count="2" memberValueDatatype="130" unbalanced="0">
      <fieldsUsage count="2">
        <fieldUsage x="-1"/>
        <fieldUsage x="2"/>
      </fieldsUsage>
    </cacheHierarchy>
    <cacheHierarchy uniqueName="[Range].[COMENTÁRIO]" caption="COMENTÁRIO" attribute="1" defaultMemberUniqueName="[Range].[COMENTÁRIO].[All]" allUniqueName="[Range].[COMENTÁRIO].[All]" dimensionUniqueName="[Range]" displayFolder="" count="0" memberValueDatatype="130" unbalanced="0"/>
    <cacheHierarchy uniqueName="[Range].[METODOLOGIA CÁLCULO]" caption="METODOLOGIA CÁLCULO" attribute="1" defaultMemberUniqueName="[Range].[METODOLOGIA CÁLCULO].[All]" allUniqueName="[Range].[METODOLOGIA CÁLCULO].[All]" dimensionUniqueName="[Range]" displayFolder="" count="2" memberValueDatatype="130" unbalanced="0"/>
    <cacheHierarchy uniqueName="[Range].[METODOLOGIA CRUZAMENTO]" caption="METODOLOGIA CRUZAMENTO" attribute="1" defaultMemberUniqueName="[Range].[METODOLOGIA CRUZAMENTO].[All]" allUniqueName="[Range].[METODOLOGIA CRUZAMENTO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SHEET]" caption="Count of SHEET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F13" firstHeaderRow="1" firstDataRow="2" firstDataCol="1"/>
  <pivotFields count="3">
    <pivotField dataField="1" showAll="0"/>
    <pivotField axis="axisRow" allDrilled="1" showAll="0" dataSourceSort="1" defaultAttributeDrillState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Col" allDrilled="1" showAll="0" dataSourceSort="1" defaultAttributeDrillState="1">
      <items count="5">
        <item x="0"/>
        <item x="1"/>
        <item x="2"/>
        <item x="3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SHEET" fld="0" subtotal="count" baseField="0" baseItem="0"/>
  </dataField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abela!$I$12:$W$224">
        <x15:activeTabTopLevelEntity name="[Rang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7" name="Table7" displayName="Table7" ref="A1:A10" totalsRowShown="0" headerRowDxfId="58" dataDxfId="57">
  <autoFilter ref="A1:A10"/>
  <tableColumns count="1">
    <tableColumn id="1" name="Estados Especificação" dataDxfId="5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72" displayName="Table72" ref="E1:E12" totalsRowShown="0" headerRowDxfId="55">
  <autoFilter ref="E1:E12"/>
  <tableColumns count="1">
    <tableColumn id="1" name="Estados Especific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2" tint="-0.749992370372631"/>
  </sheetPr>
  <dimension ref="A1:AD70"/>
  <sheetViews>
    <sheetView showGridLines="0" tabSelected="1" zoomScale="85" zoomScaleNormal="85" workbookViewId="0">
      <selection activeCell="B1" sqref="B1"/>
    </sheetView>
  </sheetViews>
  <sheetFormatPr defaultColWidth="0" defaultRowHeight="13.2" zeroHeight="1" x14ac:dyDescent="0.25"/>
  <cols>
    <col min="1" max="1" width="3.5546875" style="1" customWidth="1"/>
    <col min="2" max="14" width="9.109375" style="1" customWidth="1"/>
    <col min="15" max="15" width="20.44140625" style="1" customWidth="1"/>
    <col min="16" max="16" width="5.5546875" style="1" hidden="1" customWidth="1"/>
    <col min="17" max="29" width="9.109375" style="1" hidden="1"/>
    <col min="30" max="30" width="14.5546875" style="1" hidden="1" customWidth="1"/>
    <col min="31" max="16384" width="9.109375" style="1" hidden="1"/>
  </cols>
  <sheetData>
    <row r="1" spans="2:9" ht="28.5" customHeight="1" x14ac:dyDescent="0.25"/>
    <row r="2" spans="2:9" x14ac:dyDescent="0.25"/>
    <row r="3" spans="2:9" x14ac:dyDescent="0.25"/>
    <row r="4" spans="2:9" ht="46.8" x14ac:dyDescent="0.25">
      <c r="B4" s="2" t="s">
        <v>477</v>
      </c>
    </row>
    <row r="5" spans="2:9" ht="17.399999999999999" x14ac:dyDescent="0.25">
      <c r="B5" s="3"/>
    </row>
    <row r="6" spans="2:9" ht="13.8" thickBot="1" x14ac:dyDescent="0.3">
      <c r="B6" s="4"/>
      <c r="C6" s="4"/>
      <c r="D6" s="4"/>
      <c r="E6" s="4"/>
      <c r="F6" s="4"/>
      <c r="G6" s="4"/>
      <c r="H6" s="4"/>
      <c r="I6" s="4"/>
    </row>
    <row r="7" spans="2:9" ht="14.4" x14ac:dyDescent="0.35">
      <c r="F7" s="5"/>
    </row>
    <row r="8" spans="2:9" ht="12.75" customHeight="1" x14ac:dyDescent="0.25">
      <c r="B8" s="6" t="s">
        <v>0</v>
      </c>
      <c r="C8" s="214">
        <f ca="1">+TODAY()</f>
        <v>45947</v>
      </c>
      <c r="D8" s="214"/>
      <c r="E8" s="214"/>
    </row>
    <row r="9" spans="2:9" x14ac:dyDescent="0.25"/>
    <row r="10" spans="2:9" x14ac:dyDescent="0.25"/>
    <row r="11" spans="2:9" x14ac:dyDescent="0.25"/>
    <row r="12" spans="2:9" ht="13.5" customHeight="1" x14ac:dyDescent="0.25"/>
    <row r="13" spans="2:9" x14ac:dyDescent="0.25"/>
    <row r="14" spans="2:9" x14ac:dyDescent="0.25"/>
    <row r="15" spans="2:9" x14ac:dyDescent="0.25"/>
    <row r="16" spans="2:9" x14ac:dyDescent="0.25"/>
    <row r="17" spans="13:15" s="7" customFormat="1" ht="13.5" customHeight="1" x14ac:dyDescent="0.3">
      <c r="O17" s="8"/>
    </row>
    <row r="18" spans="13:15" s="9" customFormat="1" ht="13.5" customHeight="1" x14ac:dyDescent="0.4">
      <c r="O18" s="10"/>
    </row>
    <row r="19" spans="13:15" x14ac:dyDescent="0.25">
      <c r="O19" s="11"/>
    </row>
    <row r="20" spans="13:15" x14ac:dyDescent="0.25">
      <c r="O20" s="11"/>
    </row>
    <row r="21" spans="13:15" ht="15.6" x14ac:dyDescent="0.3">
      <c r="O21" s="12"/>
    </row>
    <row r="22" spans="13:15" x14ac:dyDescent="0.25">
      <c r="O22" s="13"/>
    </row>
    <row r="23" spans="13:15" x14ac:dyDescent="0.25">
      <c r="O23" s="13"/>
    </row>
    <row r="24" spans="13:15" ht="15.6" x14ac:dyDescent="0.3">
      <c r="O24" s="14"/>
    </row>
    <row r="25" spans="13:15" x14ac:dyDescent="0.25">
      <c r="O25" s="11"/>
    </row>
    <row r="26" spans="13:15" x14ac:dyDescent="0.25">
      <c r="O26" s="11"/>
    </row>
    <row r="27" spans="13:15" x14ac:dyDescent="0.25">
      <c r="O27" s="11"/>
    </row>
    <row r="28" spans="13:15" x14ac:dyDescent="0.25">
      <c r="O28" s="11"/>
    </row>
    <row r="29" spans="13:15" x14ac:dyDescent="0.25">
      <c r="O29" s="11"/>
    </row>
    <row r="30" spans="13:15" x14ac:dyDescent="0.25">
      <c r="O30" s="11"/>
    </row>
    <row r="31" spans="13:15" x14ac:dyDescent="0.25">
      <c r="O31" s="11"/>
    </row>
    <row r="32" spans="13:15" x14ac:dyDescent="0.25">
      <c r="M32" s="15"/>
      <c r="N32" s="16"/>
      <c r="O32" s="17"/>
    </row>
    <row r="33" x14ac:dyDescent="0.25"/>
    <row r="46" ht="12.75" customHeight="1" x14ac:dyDescent="0.25"/>
    <row r="70" spans="15:15" ht="0" hidden="1" customHeight="1" x14ac:dyDescent="0.25">
      <c r="O70" s="18"/>
    </row>
  </sheetData>
  <mergeCells count="1">
    <mergeCell ref="C8:E8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2" tint="-0.499984740745262"/>
  </sheetPr>
  <dimension ref="A1:K37"/>
  <sheetViews>
    <sheetView showGridLines="0" zoomScale="85" zoomScaleNormal="85" workbookViewId="0"/>
  </sheetViews>
  <sheetFormatPr defaultColWidth="0" defaultRowHeight="14.4" zeroHeight="1" x14ac:dyDescent="0.3"/>
  <cols>
    <col min="1" max="1" width="3.6640625" customWidth="1"/>
    <col min="2" max="2" width="33.88671875" bestFit="1" customWidth="1"/>
    <col min="3" max="3" width="18.88671875" bestFit="1" customWidth="1"/>
    <col min="4" max="4" width="21.88671875" bestFit="1" customWidth="1"/>
    <col min="5" max="5" width="45.5546875" bestFit="1" customWidth="1"/>
    <col min="6" max="6" width="45.44140625" customWidth="1"/>
    <col min="7" max="7" width="15.6640625" style="48" hidden="1" customWidth="1"/>
    <col min="8" max="8" width="30.5546875" hidden="1" customWidth="1"/>
    <col min="9" max="9" width="3" customWidth="1"/>
    <col min="10" max="10" width="13.5546875" hidden="1" customWidth="1"/>
    <col min="11" max="11" width="13.44140625" hidden="1" customWidth="1"/>
    <col min="12" max="16384" width="9.109375" hidden="1"/>
  </cols>
  <sheetData>
    <row r="1" spans="1:8" ht="15" customHeight="1" x14ac:dyDescent="0.3"/>
    <row r="2" spans="1:8" ht="34.5" customHeight="1" x14ac:dyDescent="0.3">
      <c r="G2"/>
    </row>
    <row r="3" spans="1:8" ht="2.25" customHeight="1" x14ac:dyDescent="0.3">
      <c r="A3" s="19"/>
      <c r="B3" s="49"/>
      <c r="C3" s="49"/>
      <c r="D3" s="49"/>
      <c r="E3" s="49"/>
      <c r="F3" s="49"/>
      <c r="G3" s="49"/>
      <c r="H3" s="49"/>
    </row>
    <row r="4" spans="1:8" ht="15" customHeight="1" x14ac:dyDescent="0.3"/>
    <row r="5" spans="1:8" ht="15" customHeight="1" x14ac:dyDescent="0.3">
      <c r="B5" s="20" t="s">
        <v>1</v>
      </c>
    </row>
    <row r="6" spans="1:8" ht="4.95" customHeight="1" x14ac:dyDescent="0.3">
      <c r="G6"/>
    </row>
    <row r="7" spans="1:8" ht="30" customHeight="1" x14ac:dyDescent="0.3">
      <c r="B7" s="55" t="s">
        <v>2</v>
      </c>
      <c r="C7" s="55" t="s">
        <v>3</v>
      </c>
      <c r="D7" s="55" t="s">
        <v>4</v>
      </c>
      <c r="E7" s="55" t="s">
        <v>5</v>
      </c>
      <c r="F7" s="55" t="s">
        <v>6</v>
      </c>
      <c r="G7" s="55" t="s">
        <v>7</v>
      </c>
      <c r="H7" s="55" t="s">
        <v>8</v>
      </c>
    </row>
    <row r="8" spans="1:8" ht="30" customHeight="1" x14ac:dyDescent="0.3">
      <c r="B8" s="57" t="s">
        <v>771</v>
      </c>
      <c r="C8" s="57" t="s">
        <v>796</v>
      </c>
      <c r="D8" s="57" t="s">
        <v>353</v>
      </c>
      <c r="E8" s="57" t="s">
        <v>771</v>
      </c>
      <c r="F8" s="60" t="s">
        <v>797</v>
      </c>
      <c r="G8" s="50"/>
      <c r="H8" s="51"/>
    </row>
    <row r="9" spans="1:8" ht="30" customHeight="1" x14ac:dyDescent="0.3">
      <c r="B9" s="202" t="s">
        <v>385</v>
      </c>
      <c r="C9" s="57" t="s">
        <v>656</v>
      </c>
      <c r="D9" s="57" t="s">
        <v>353</v>
      </c>
      <c r="E9" s="202" t="s">
        <v>385</v>
      </c>
      <c r="F9" s="60" t="s">
        <v>652</v>
      </c>
      <c r="G9" s="52"/>
      <c r="H9" s="51"/>
    </row>
    <row r="10" spans="1:8" ht="30" customHeight="1" x14ac:dyDescent="0.3">
      <c r="B10" s="203" t="s">
        <v>474</v>
      </c>
      <c r="C10" s="57" t="s">
        <v>656</v>
      </c>
      <c r="D10" s="57" t="s">
        <v>353</v>
      </c>
      <c r="E10" s="203" t="s">
        <v>474</v>
      </c>
      <c r="F10" s="60" t="s">
        <v>657</v>
      </c>
      <c r="G10" s="52"/>
      <c r="H10" s="51"/>
    </row>
    <row r="11" spans="1:8" ht="28.8" x14ac:dyDescent="0.3">
      <c r="B11" s="203" t="s">
        <v>476</v>
      </c>
      <c r="C11" s="57" t="s">
        <v>656</v>
      </c>
      <c r="D11" s="57" t="s">
        <v>353</v>
      </c>
      <c r="E11" s="203" t="s">
        <v>476</v>
      </c>
      <c r="F11" s="60" t="s">
        <v>658</v>
      </c>
      <c r="G11" s="56"/>
      <c r="H11" s="54"/>
    </row>
    <row r="12" spans="1:8" ht="49.5" customHeight="1" x14ac:dyDescent="0.3">
      <c r="B12" s="203" t="s">
        <v>475</v>
      </c>
      <c r="C12" s="57" t="s">
        <v>656</v>
      </c>
      <c r="D12" s="57" t="s">
        <v>353</v>
      </c>
      <c r="E12" s="203" t="s">
        <v>475</v>
      </c>
      <c r="F12" s="60" t="s">
        <v>659</v>
      </c>
      <c r="G12" s="56"/>
      <c r="H12" s="54"/>
    </row>
    <row r="13" spans="1:8" ht="28.8" x14ac:dyDescent="0.3">
      <c r="B13" s="203" t="s">
        <v>633</v>
      </c>
      <c r="C13" s="57" t="s">
        <v>656</v>
      </c>
      <c r="D13" s="57" t="s">
        <v>353</v>
      </c>
      <c r="E13" s="203" t="s">
        <v>633</v>
      </c>
      <c r="F13" s="60" t="s">
        <v>655</v>
      </c>
      <c r="G13" s="56"/>
      <c r="H13" s="54"/>
    </row>
    <row r="14" spans="1:8" ht="24.75" customHeight="1" x14ac:dyDescent="0.3">
      <c r="B14" s="57" t="s">
        <v>757</v>
      </c>
      <c r="C14" s="57" t="s">
        <v>656</v>
      </c>
      <c r="D14" s="57" t="s">
        <v>353</v>
      </c>
      <c r="E14" s="57" t="s">
        <v>757</v>
      </c>
      <c r="F14" s="60" t="s">
        <v>798</v>
      </c>
      <c r="G14" s="53"/>
      <c r="H14" s="54"/>
    </row>
    <row r="15" spans="1:8" ht="28.8" x14ac:dyDescent="0.3">
      <c r="B15" s="203" t="s">
        <v>386</v>
      </c>
      <c r="C15" s="57" t="s">
        <v>656</v>
      </c>
      <c r="D15" s="57" t="s">
        <v>353</v>
      </c>
      <c r="E15" s="203" t="s">
        <v>386</v>
      </c>
      <c r="F15" s="60" t="s">
        <v>653</v>
      </c>
      <c r="G15" s="53"/>
      <c r="H15" s="54"/>
    </row>
    <row r="16" spans="1:8" ht="28.8" x14ac:dyDescent="0.3">
      <c r="B16" s="203" t="s">
        <v>479</v>
      </c>
      <c r="C16" s="57" t="s">
        <v>656</v>
      </c>
      <c r="D16" s="57" t="s">
        <v>353</v>
      </c>
      <c r="E16" s="203" t="s">
        <v>479</v>
      </c>
      <c r="F16" s="60" t="s">
        <v>654</v>
      </c>
      <c r="G16" s="53"/>
      <c r="H16" s="54"/>
    </row>
    <row r="17" spans="2:8" ht="28.8" x14ac:dyDescent="0.3">
      <c r="B17" s="204" t="s">
        <v>795</v>
      </c>
      <c r="C17" s="57" t="s">
        <v>656</v>
      </c>
      <c r="D17" s="57" t="s">
        <v>353</v>
      </c>
      <c r="E17" s="203" t="s">
        <v>612</v>
      </c>
      <c r="F17" s="60" t="s">
        <v>660</v>
      </c>
      <c r="G17" s="53"/>
      <c r="H17" s="54"/>
    </row>
    <row r="18" spans="2:8" ht="30" customHeight="1" x14ac:dyDescent="0.3">
      <c r="B18" s="58"/>
      <c r="C18" s="57"/>
      <c r="D18" s="57"/>
      <c r="E18" s="59"/>
      <c r="F18" s="58"/>
      <c r="G18" s="50"/>
      <c r="H18" s="51"/>
    </row>
    <row r="19" spans="2:8" ht="30" customHeight="1" x14ac:dyDescent="0.3">
      <c r="B19" s="58"/>
      <c r="C19" s="57"/>
      <c r="D19" s="57"/>
      <c r="E19" s="59"/>
      <c r="F19" s="60"/>
      <c r="G19" s="50"/>
      <c r="H19" s="51"/>
    </row>
    <row r="20" spans="2:8" ht="30" customHeight="1" x14ac:dyDescent="0.3">
      <c r="B20" s="58"/>
      <c r="C20" s="57"/>
      <c r="D20" s="57"/>
      <c r="E20" s="59"/>
      <c r="F20" s="58"/>
      <c r="G20" s="52"/>
      <c r="H20" s="51"/>
    </row>
    <row r="21" spans="2:8" ht="30" customHeight="1" x14ac:dyDescent="0.3">
      <c r="B21" s="57"/>
      <c r="C21" s="57"/>
      <c r="D21" s="57"/>
      <c r="E21" s="59"/>
      <c r="F21" s="58"/>
      <c r="G21" s="52"/>
      <c r="H21" s="51"/>
    </row>
    <row r="22" spans="2:8" ht="30" customHeight="1" x14ac:dyDescent="0.3">
      <c r="B22" s="57"/>
      <c r="C22" s="57"/>
      <c r="D22" s="57"/>
      <c r="E22" s="59"/>
      <c r="F22" s="60"/>
      <c r="G22" s="52"/>
      <c r="H22" s="51"/>
    </row>
    <row r="23" spans="2:8" ht="30" customHeight="1" x14ac:dyDescent="0.3">
      <c r="B23" s="57"/>
      <c r="C23" s="57"/>
      <c r="D23" s="57"/>
      <c r="E23" s="59"/>
      <c r="F23" s="60"/>
      <c r="G23" s="52"/>
      <c r="H23" s="51"/>
    </row>
    <row r="24" spans="2:8" ht="30" customHeight="1" x14ac:dyDescent="0.3">
      <c r="B24" s="57"/>
      <c r="C24" s="57"/>
      <c r="D24" s="57"/>
      <c r="E24" s="59"/>
      <c r="F24" s="60"/>
      <c r="G24" s="52"/>
      <c r="H24" s="51"/>
    </row>
    <row r="25" spans="2:8" ht="30" customHeight="1" x14ac:dyDescent="0.3">
      <c r="B25" s="44"/>
      <c r="C25" s="57"/>
      <c r="D25" s="57"/>
      <c r="E25" s="59"/>
      <c r="F25" s="60"/>
      <c r="G25" s="52"/>
      <c r="H25" s="51"/>
    </row>
    <row r="26" spans="2:8" ht="30" customHeight="1" x14ac:dyDescent="0.3">
      <c r="B26" s="44"/>
      <c r="C26" s="57"/>
      <c r="D26" s="57"/>
      <c r="E26" s="59"/>
      <c r="F26" s="60"/>
      <c r="G26" s="52"/>
      <c r="H26" s="51"/>
    </row>
    <row r="27" spans="2:8" ht="15" customHeight="1" x14ac:dyDescent="0.3"/>
    <row r="28" spans="2:8" ht="15" customHeight="1" x14ac:dyDescent="0.3"/>
    <row r="29" spans="2:8" ht="15" customHeight="1" x14ac:dyDescent="0.3"/>
    <row r="30" spans="2:8" ht="15" hidden="1" customHeight="1" x14ac:dyDescent="0.3"/>
    <row r="31" spans="2:8" ht="15" hidden="1" customHeight="1" x14ac:dyDescent="0.3"/>
    <row r="32" spans="2:8" ht="15" hidden="1" customHeight="1" x14ac:dyDescent="0.3"/>
    <row r="33" x14ac:dyDescent="0.3"/>
    <row r="34" x14ac:dyDescent="0.3"/>
    <row r="35" x14ac:dyDescent="0.3"/>
    <row r="36" x14ac:dyDescent="0.3"/>
    <row r="37" x14ac:dyDescent="0.3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</sheetPr>
  <dimension ref="A1:S100"/>
  <sheetViews>
    <sheetView showGridLines="0" zoomScale="75" zoomScaleNormal="85" zoomScaleSheetLayoutView="50" workbookViewId="0"/>
  </sheetViews>
  <sheetFormatPr defaultRowHeight="14.4" outlineLevelCol="1" x14ac:dyDescent="0.3"/>
  <cols>
    <col min="1" max="2" width="3.6640625" customWidth="1"/>
    <col min="3" max="3" width="30.5546875" customWidth="1"/>
    <col min="4" max="4" width="23.33203125" bestFit="1" customWidth="1" outlineLevel="1"/>
    <col min="5" max="5" width="17.6640625" bestFit="1" customWidth="1"/>
    <col min="6" max="6" width="25" customWidth="1" outlineLevel="1"/>
    <col min="7" max="7" width="16.44140625" customWidth="1" outlineLevel="1"/>
    <col min="8" max="8" width="17.6640625" customWidth="1" outlineLevel="1"/>
    <col min="9" max="9" width="19.33203125" customWidth="1" outlineLevel="1"/>
    <col min="10" max="10" width="22.109375" customWidth="1" outlineLevel="1"/>
    <col min="11" max="11" width="22.88671875" customWidth="1"/>
    <col min="12" max="12" width="17.44140625" customWidth="1"/>
    <col min="13" max="13" width="22.44140625" bestFit="1" customWidth="1"/>
    <col min="14" max="14" width="17.88671875" bestFit="1" customWidth="1"/>
    <col min="15" max="15" width="21" bestFit="1" customWidth="1"/>
    <col min="16" max="16" width="15.33203125" bestFit="1" customWidth="1"/>
    <col min="17" max="17" width="14.88671875" bestFit="1" customWidth="1"/>
    <col min="18" max="18" width="17" bestFit="1" customWidth="1"/>
    <col min="19" max="19" width="9.6640625" bestFit="1" customWidth="1"/>
    <col min="20" max="20" width="19.109375" bestFit="1" customWidth="1"/>
    <col min="21" max="21" width="12.88671875" bestFit="1" customWidth="1"/>
    <col min="22" max="22" width="15.5546875" bestFit="1" customWidth="1"/>
    <col min="23" max="23" width="11.44140625" bestFit="1" customWidth="1"/>
    <col min="24" max="24" width="11.33203125" bestFit="1" customWidth="1"/>
  </cols>
  <sheetData>
    <row r="1" spans="1:15" ht="15" customHeight="1" x14ac:dyDescent="0.3">
      <c r="B1" s="22"/>
      <c r="C1" s="22"/>
      <c r="E1" s="22"/>
      <c r="F1" s="22"/>
    </row>
    <row r="2" spans="1:15" ht="33" customHeight="1" x14ac:dyDescent="0.3">
      <c r="B2" s="22"/>
      <c r="C2" s="22"/>
      <c r="E2" s="22"/>
      <c r="F2" s="22"/>
    </row>
    <row r="3" spans="1:15" ht="2.25" customHeight="1" x14ac:dyDescent="0.3">
      <c r="A3" s="19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</row>
    <row r="4" spans="1:15" ht="15" hidden="1" customHeight="1" x14ac:dyDescent="0.3">
      <c r="B4" s="22"/>
      <c r="C4" s="22"/>
      <c r="E4" s="22"/>
      <c r="F4" s="22"/>
    </row>
    <row r="5" spans="1:15" ht="14.25" hidden="1" customHeight="1" x14ac:dyDescent="0.3">
      <c r="C5" s="25" t="s">
        <v>36</v>
      </c>
    </row>
    <row r="6" spans="1:15" hidden="1" x14ac:dyDescent="0.3"/>
    <row r="7" spans="1:15" hidden="1" x14ac:dyDescent="0.3">
      <c r="C7" s="35"/>
      <c r="D7" s="70" t="s">
        <v>37</v>
      </c>
      <c r="E7" s="70" t="s">
        <v>38</v>
      </c>
      <c r="F7" s="70" t="s">
        <v>39</v>
      </c>
    </row>
    <row r="8" spans="1:15" hidden="1" x14ac:dyDescent="0.3">
      <c r="C8" s="35" t="s">
        <v>40</v>
      </c>
      <c r="D8" s="62">
        <v>216</v>
      </c>
      <c r="E8" s="62">
        <f>208+8</f>
        <v>216</v>
      </c>
      <c r="F8" s="62">
        <f t="shared" ref="F8:F10" si="0">+D8-E8</f>
        <v>0</v>
      </c>
    </row>
    <row r="9" spans="1:15" hidden="1" x14ac:dyDescent="0.3">
      <c r="C9" s="35" t="s">
        <v>41</v>
      </c>
      <c r="D9" s="62">
        <v>134</v>
      </c>
      <c r="E9" s="62">
        <f>116+18</f>
        <v>134</v>
      </c>
      <c r="F9" s="62">
        <f t="shared" si="0"/>
        <v>0</v>
      </c>
    </row>
    <row r="10" spans="1:15" hidden="1" x14ac:dyDescent="0.3">
      <c r="C10" s="35" t="s">
        <v>42</v>
      </c>
      <c r="D10" s="62">
        <v>55</v>
      </c>
      <c r="E10" s="62">
        <v>55</v>
      </c>
      <c r="F10" s="62">
        <f t="shared" si="0"/>
        <v>0</v>
      </c>
    </row>
    <row r="11" spans="1:15" hidden="1" x14ac:dyDescent="0.3">
      <c r="C11" s="61" t="s">
        <v>43</v>
      </c>
      <c r="D11" s="62">
        <v>1</v>
      </c>
      <c r="E11" s="62">
        <v>1</v>
      </c>
      <c r="F11" s="62">
        <f>+D11-E11</f>
        <v>0</v>
      </c>
    </row>
    <row r="12" spans="1:15" hidden="1" x14ac:dyDescent="0.3">
      <c r="C12" s="64" t="s">
        <v>44</v>
      </c>
      <c r="D12" s="75">
        <f>+SUM(D8:D11)</f>
        <v>406</v>
      </c>
      <c r="E12" s="75">
        <f>+SUM(E8:E11)</f>
        <v>406</v>
      </c>
      <c r="F12" s="75">
        <f>+SUM(F8:F11)</f>
        <v>0</v>
      </c>
    </row>
    <row r="13" spans="1:15" hidden="1" x14ac:dyDescent="0.3">
      <c r="C13" s="29"/>
    </row>
    <row r="14" spans="1:15" hidden="1" x14ac:dyDescent="0.3">
      <c r="C14" s="29"/>
    </row>
    <row r="15" spans="1:15" x14ac:dyDescent="0.3">
      <c r="C15" s="29"/>
    </row>
    <row r="16" spans="1:15" x14ac:dyDescent="0.3">
      <c r="C16" s="29"/>
    </row>
    <row r="17" spans="3:10" x14ac:dyDescent="0.3">
      <c r="C17" s="159"/>
    </row>
    <row r="18" spans="3:10" ht="21" x14ac:dyDescent="0.4">
      <c r="C18" s="163" t="s">
        <v>368</v>
      </c>
      <c r="D18" s="164" t="s">
        <v>44</v>
      </c>
    </row>
    <row r="20" spans="3:10" x14ac:dyDescent="0.3">
      <c r="C20" s="35" t="s">
        <v>8</v>
      </c>
      <c r="D20" s="65" t="s">
        <v>44</v>
      </c>
      <c r="E20" s="160"/>
      <c r="H20" s="35" t="s">
        <v>8</v>
      </c>
      <c r="I20" s="65" t="s">
        <v>44</v>
      </c>
    </row>
    <row r="21" spans="3:10" x14ac:dyDescent="0.3">
      <c r="C21" s="161" t="s">
        <v>34</v>
      </c>
      <c r="D21" s="62">
        <f ca="1">IF($D$18=$C$41,INDEX($E$41:$J$41,1),
IF($D$18=$C$42,INDEX($E$42:$J$42,1),
IF($D$18=$C$43,INDEX($E$43:$J$43,1),
IF($D$18=$C$44,INDEX($E$44:$J$44,1),
IF($D$18=$C$45,INDEX($E$45:$J$45,1),
IF($D$18=$C$46,INDEX($E$46:$J$46,1),
IF($D$18=$C$47,INDEX($E$47:$J$47,1),
IF($D$18=$C$49,INDEX($E$49:$J$49,1),
IF($D$18=$C$51,INDEX($E$51:$J$51,1),-1
)))))))))</f>
        <v>240</v>
      </c>
      <c r="E21" s="160"/>
      <c r="H21" s="161" t="s">
        <v>34</v>
      </c>
      <c r="I21" s="62">
        <f ca="1">IF($D$18=$C$73,INDEX($E$73:$Q$73,1),
IF($D$18=$C$74,INDEX($E$74:$Q$74,1),
IF($D$18=$C$75,INDEX($E$75:$Q$75,1),
IF($D$18=$C$76,INDEX($E$76:$Q$76,1),
IF($D$18=$C$77,INDEX($E$77:$Q$77,1),
IF($D$18=$C$78,INDEX($E$78:$Q$78,1),
IF($D$18=$C$79,INDEX($E$79:$Q$79,1),
IF($D$18=$C$81,INDEX($E$81:$Q$81,1),
IF($D$18=$C$83,INDEX($E$83:$Q$83,1),-1
)))))))))</f>
        <v>25</v>
      </c>
    </row>
    <row r="22" spans="3:10" x14ac:dyDescent="0.3">
      <c r="C22" s="161" t="s">
        <v>334</v>
      </c>
      <c r="D22" s="62">
        <f ca="1">IF($D$18=$C$41,INDEX($E$41:$J$41,2),
IF($D$18=$C$42,INDEX($E$42:$J$42,2),
IF($D$18=$C$43,INDEX($E$43:$J$43,2),
IF($D$18=$C$44,INDEX($E$44:$J$44,2),
IF($D$18=$C$45,INDEX($E$45:$J$45,2),
IF($D$18=$C$46,INDEX($E$46:$J$46,2),
IF($D$18=$C$47,INDEX($E$47:$J$47,2),
IF($D$18=$C$49,INDEX($E$49:$J$49,2),
IF($D$18=$C$51,INDEX($E$51:$J$51,2),-1
)))))))))</f>
        <v>0</v>
      </c>
      <c r="E22" s="160"/>
      <c r="H22" s="161" t="s">
        <v>56</v>
      </c>
      <c r="I22" s="62">
        <f ca="1">IF($D$18=$C$73,INDEX($E$73:$Q$73,2),
IF($D$18=$C$74,INDEX($E$74:$Q$74,2),
IF($D$18=$C$75,INDEX($E$75:$Q$75,2),
IF($D$18=$C$76,INDEX($E$76:$Q$76,2),
IF($D$18=$C$77,INDEX($E$77:$Q$77,2),
IF($D$18=$C$78,INDEX($E$78:$Q$78,2),
IF($D$18=$C$79,INDEX($E$79:$Q$79,2),
IF($D$18=$C$81,INDEX($E$81:$Q$81,2),
IF($D$18=$C$83,INDEX($E$83:$Q$83,2),-1
)))))))))</f>
        <v>108</v>
      </c>
    </row>
    <row r="23" spans="3:10" x14ac:dyDescent="0.3">
      <c r="C23" s="161" t="s">
        <v>47</v>
      </c>
      <c r="D23" s="62">
        <f ca="1">IF($D$18=$C$41,INDEX($E$41:$J$41,3),
IF($D$18=$C$42,INDEX($E$42:$J$42,3),
IF($D$18=$C$43,INDEX($E$43:$J$43,3),
IF($D$18=$C$44,INDEX($E$44:$J$44,3),
IF($D$18=$C$45,INDEX($E$45:$J$45,3),
IF($D$18=$C$46,INDEX($E$46:$J$46,3),
IF($D$18=$C$47,INDEX($E$47:$J$47,3),
IF($D$18=$C$49,INDEX($E$49:$J$49,3),
IF($D$18=$C$51,INDEX($E$51:$J$51,3),-1
)))))))))</f>
        <v>0</v>
      </c>
      <c r="E23" s="160"/>
      <c r="H23" s="161" t="s">
        <v>47</v>
      </c>
      <c r="I23" s="62">
        <f ca="1">IF($D$18=$C$73,INDEX($E$73:$Q$73,3),
IF($D$18=$C$74,INDEX($E$74:$Q$74,3),
IF($D$18=$C$75,INDEX($E$75:$Q$75,3),
IF($D$18=$C$76,INDEX($E$76:$Q$76,3),
IF($D$18=$C$77,INDEX($E$77:$Q$77,3),
IF($D$18=$C$78,INDEX($E$78:$Q$78,3),
IF($D$18=$C$79,INDEX($E$79:$Q$79,3),
IF($D$18=$C$81,INDEX($E$81:$Q$81,3),
IF($D$18=$C$83,INDEX($E$83:$Q$83,3),-1
)))))))))</f>
        <v>31</v>
      </c>
    </row>
    <row r="24" spans="3:10" x14ac:dyDescent="0.3">
      <c r="C24" s="161" t="s">
        <v>49</v>
      </c>
      <c r="D24" s="62">
        <f ca="1">IF($D$18=$C$41,INDEX($E$41:$J$41,4),
IF($D$18=$C$42,INDEX($E$42:$J$42,4),
IF($D$18=$C$43,INDEX($E$43:$J$43,4),
IF($D$18=$C$44,INDEX($E$44:$J$44,4),
IF($D$18=$C$45,INDEX($E$45:$J$45,4),
IF($D$18=$C$46,INDEX($E$46:$J$46,4),
IF($D$18=$C$47,INDEX($E$47:$J$47,4),
IF($D$18=$C$49,INDEX($E$49:$J$49,4),
IF($D$18=$C$51,INDEX($E$51:$J$51,4),-1
)))))))))</f>
        <v>0</v>
      </c>
      <c r="E24" s="160"/>
      <c r="H24" s="161" t="s">
        <v>49</v>
      </c>
      <c r="I24" s="62">
        <f ca="1">IF($D$18=$C$73,INDEX($E$73:$Q$73,4),
IF($D$18=$C$74,INDEX($E$74:$Q$74,4),
IF($D$18=$C$75,INDEX($E$75:$Q$75,4),
IF($D$18=$C$76,INDEX($E$76:$Q$76,4),
IF($D$18=$C$77,INDEX($E$77:$Q$77,4),
IF($D$18=$C$78,INDEX($E$78:$Q$78,4),
IF($D$18=$C$79,INDEX($E$79:$Q$79,4),
IF($D$18=$C$81,INDEX($E$81:$Q$81,4),
IF($D$18=$C$83,INDEX($E$83:$Q$83,4),-1
)))))))))</f>
        <v>30</v>
      </c>
    </row>
    <row r="25" spans="3:10" x14ac:dyDescent="0.3">
      <c r="C25" s="161" t="s">
        <v>48</v>
      </c>
      <c r="D25" s="62">
        <f ca="1">IF($D$18=$C$41,INDEX($E$41:$J$41,5),
IF($D$18=$C$42,INDEX($E$42:$J$42,5),
IF($D$18=$C$43,INDEX($E$43:$J$43,5),
IF($D$18=$C$44,INDEX($E$44:$J$44,5),
IF($D$18=$C$45,INDEX($E$45:$J$45,5),
IF($D$18=$C$46,INDEX($E$46:$J$46,5),
IF($D$18=$C$47,INDEX($E$47:$J$47,5),
IF($D$18=$C$49,INDEX($E$49:$J$49,5),
IF($D$18=$C$51,INDEX($E$51:$J$51,5),-1
)))))))))</f>
        <v>0</v>
      </c>
      <c r="E25" s="160"/>
      <c r="H25" s="161" t="s">
        <v>57</v>
      </c>
      <c r="I25" s="62">
        <f ca="1">IF($D$18=$C$73,INDEX($E$73:$Q$73,5),
IF($D$18=$C$74,INDEX($E$74:$Q$74,5),
IF($D$18=$C$75,INDEX($E$75:$Q$75,5),
IF($D$18=$C$76,INDEX($E$76:$Q$76,5),
IF($D$18=$C$77,INDEX($E$77:$Q$77,5),
IF($D$18=$C$78,INDEX($E$78:$Q$78,5),
IF($D$18=$C$79,INDEX($E$79:$Q$79,5),
IF($D$18=$C$81,INDEX($E$81:$Q$81,5),
IF($D$18=$C$83,INDEX($E$83:$Q$83,5),-1
)))))))))</f>
        <v>0</v>
      </c>
    </row>
    <row r="26" spans="3:10" x14ac:dyDescent="0.3">
      <c r="C26" s="162" t="s">
        <v>50</v>
      </c>
      <c r="D26" s="62">
        <f ca="1">IF($D$18=$C$41,INDEX($E$41:$J$41,6),
IF($D$18=$C$42,INDEX($E$42:$J$42,6),
IF($D$18=$C$43,INDEX($E$43:$J$43,6),
IF($D$18=$C$44,INDEX($E$44:$J$44,6),
IF($D$18=$C$45,INDEX($E$45:$J$45,6),
IF($D$18=$C$46,INDEX($E$46:$J$46,6),
IF($D$18=$C$47,INDEX($E$47:$J$47,6),
IF($D$18=$C$49,INDEX($E$49:$J$49,6),
IF($D$18=$C$51,INDEX($E$51:$J$51,6),-1
)))))))))</f>
        <v>0</v>
      </c>
      <c r="E26" s="160"/>
      <c r="H26" s="162" t="s">
        <v>58</v>
      </c>
      <c r="I26" s="62">
        <f ca="1">IF($D$18=$C$73,INDEX($E$73:$Q$73,6),
IF($D$18=$C$74,INDEX($E$74:$Q$74,6),
IF($D$18=$C$75,INDEX($E$75:$Q$75,6),
IF($D$18=$C$76,INDEX($E$76:$Q$76,6),
IF($D$18=$C$77,INDEX($E$77:$Q$77,6),
IF($D$18=$C$78,INDEX($E$78:$Q$78,6),
IF($D$18=$C$79,INDEX($E$79:$Q$79,6),
IF($D$18=$C$81,INDEX($E$81:$Q$81,6),
IF($D$18=$C$83,INDEX($E$83:$Q$83,6),-1
)))))))))</f>
        <v>37</v>
      </c>
      <c r="J26" s="143"/>
    </row>
    <row r="27" spans="3:10" x14ac:dyDescent="0.3">
      <c r="C27" s="160"/>
      <c r="D27" s="160"/>
      <c r="E27" s="160"/>
      <c r="H27" s="161" t="s">
        <v>806</v>
      </c>
      <c r="I27" s="62">
        <f ca="1">IF($D$18=$C$73,INDEX($E$73:$Q$73,7),
IF($D$18=$C$74,INDEX($E$74:$Q$74,7),
IF($D$18=$C$75,INDEX($E$75:$Q$75,7),
IF($D$18=$C$76,INDEX($E$76:$Q$76,7),
IF($D$18=$C$77,INDEX($E$77:$Q$77,7),
IF($D$18=$C$78,INDEX($E$78:$Q$78,7),
IF($D$18=$C$79,INDEX($E$79:$Q$79,7),
IF($D$18=$C$81,INDEX($E$81:$Q$81,7),
IF($D$18=$C$83,INDEX($E$83:$Q$83,7),-1
)))))))))</f>
        <v>9</v>
      </c>
      <c r="J27" s="143"/>
    </row>
    <row r="28" spans="3:10" x14ac:dyDescent="0.3">
      <c r="C28" s="160"/>
      <c r="D28" s="160"/>
      <c r="E28" s="160"/>
      <c r="H28" s="162" t="s">
        <v>48</v>
      </c>
      <c r="I28" s="62">
        <f ca="1">IF($D$18=$C$73,INDEX($E$73:$Q$73,8),
IF($D$18=$C$74,INDEX($E$74:$Q$74,8),
IF($D$18=$C$75,INDEX($E$75:$Q$75,8),
IF($D$18=$C$76,INDEX($E$76:$Q$76,8),
IF($D$18=$C$77,INDEX($E$77:$Q$77,8),
IF($D$18=$C$78,INDEX($E$78:$Q$78,8),
IF($D$18=$C$79,INDEX($E$79:$Q$79,8),
IF($D$18=$C$81,INDEX($E$81:$Q$81,8),
IF($D$18=$C$83,INDEX($E$83:$Q$83,8),-1
)))))))))</f>
        <v>0</v>
      </c>
      <c r="J28" s="143"/>
    </row>
    <row r="29" spans="3:10" x14ac:dyDescent="0.3">
      <c r="C29" s="160"/>
      <c r="D29" s="160"/>
      <c r="E29" s="160"/>
      <c r="H29" s="162" t="s">
        <v>59</v>
      </c>
      <c r="I29" s="62">
        <f ca="1">IF($D$18=$C$73,INDEX($E$73:$Q$73,9),
IF($D$18=$C$74,INDEX($E$74:$Q$74,9),
IF($D$18=$C$75,INDEX($E$75:$Q$75,9),
IF($D$18=$C$76,INDEX($E$76:$Q$76,9),
IF($D$18=$C$77,INDEX($E$77:$Q$77,9),
IF($D$18=$C$78,INDEX($E$78:$Q$78,9),
IF($D$18=$C$79,INDEX($E$79:$Q$79,9),
IF($D$18=$C$81,INDEX($E$81:$Q$81,9),
IF($D$18=$C$83,INDEX($E$83:$Q$83,9),-1
)))))))))</f>
        <v>0</v>
      </c>
      <c r="J29" s="143"/>
    </row>
    <row r="30" spans="3:10" x14ac:dyDescent="0.3">
      <c r="C30" s="29"/>
      <c r="H30" s="162" t="s">
        <v>60</v>
      </c>
      <c r="I30" s="62">
        <f ca="1">IF($D$18=$C$73,INDEX($E$73:$Q$73,10),
IF($D$18=$C$74,INDEX($E$74:$Q$74,10),
IF($D$18=$C$75,INDEX($E$75:$Q$75,10),
IF($D$18=$C$76,INDEX($E$76:$Q$76,10),
IF($D$18=$C$77,INDEX($E$77:$Q$77,10),
IF($D$18=$C$78,INDEX($E$78:$Q$78,10),
IF($D$18=$C$79,INDEX($E$79:$Q$79,10),
IF($D$18=$C$81,INDEX($E$81:$Q$81,10),
IF($D$18=$C$83,INDEX($E$83:$Q$83,10),-1
)))))))))</f>
        <v>0</v>
      </c>
      <c r="J30" s="143"/>
    </row>
    <row r="31" spans="3:10" x14ac:dyDescent="0.3">
      <c r="C31" s="29"/>
      <c r="H31" s="162" t="s">
        <v>61</v>
      </c>
      <c r="I31" s="62">
        <f ca="1">IF($D$18=$C$73,INDEX($E$73:$Q$73,11),
IF($D$18=$C$74,INDEX($E$74:$Q$74,11),
IF($D$18=$C$75,INDEX($E$75:$Q$75,11),
IF($D$18=$C$76,INDEX($E$76:$Q$76,11),
IF($D$18=$C$77,INDEX($E$77:$Q$77,11),
IF($D$18=$C$78,INDEX($E$78:$Q$78,11),
IF($D$18=$C$79,INDEX($E$79:$Q$79,11),
IF($D$18=$C$81,INDEX($E$81:$Q$81,11),
IF($D$18=$C$83,INDEX($E$83:$Q$83,11),-1
)))))))))</f>
        <v>0</v>
      </c>
      <c r="J31" s="143"/>
    </row>
    <row r="32" spans="3:10" x14ac:dyDescent="0.3">
      <c r="C32" s="29"/>
      <c r="H32" s="162" t="s">
        <v>62</v>
      </c>
      <c r="I32" s="62">
        <f ca="1">IF($D$18=$C$73,INDEX($E$73:$Q$73,12),
IF($D$18=$C$74,INDEX($E$74:$Q$74,12),
IF($D$18=$C$75,INDEX($E$75:$Q$75,12),
IF($D$18=$C$76,INDEX($E$76:$Q$76,12),
IF($D$18=$C$77,INDEX($E$77:$Q$77,12),
IF($D$18=$C$78,INDEX($E$78:$Q$78,12),
IF($D$18=$C$79,INDEX($E$79:$Q$79,12),
IF($D$18=$C$81,INDEX($E$81:$Q$81,12),
IF($D$18=$C$83,INDEX($E$83:$Q$83,12),-1
)))))))))</f>
        <v>0</v>
      </c>
      <c r="J32" s="143"/>
    </row>
    <row r="33" spans="3:10" x14ac:dyDescent="0.3">
      <c r="C33" s="29"/>
      <c r="H33" s="162" t="s">
        <v>63</v>
      </c>
      <c r="I33" s="62">
        <f ca="1">IF($D$18=$C$73,INDEX($E$73:$Q$73,13),
IF($D$18=$C$74,INDEX($E$74:$Q$74,13),
IF($D$18=$C$75,INDEX($E$75:$Q$75,13),
IF($D$18=$C$76,INDEX($E$76:$Q$76,13),
IF($D$18=$C$77,INDEX($E$77:$Q$77,13),
IF($D$18=$C$78,INDEX($E$78:$Q$78,13),
IF($D$18=$C$79,INDEX($E$79:$Q$79,13),
IF($D$18=$C$81,INDEX($E$81:$Q$81,13),
IF($D$18=$C$83,INDEX($E$83:$Q$83,13),-1
)))))))))</f>
        <v>0</v>
      </c>
      <c r="J33" s="143"/>
    </row>
    <row r="34" spans="3:10" x14ac:dyDescent="0.3">
      <c r="C34" s="29"/>
      <c r="H34" s="143"/>
    </row>
    <row r="35" spans="3:10" x14ac:dyDescent="0.3">
      <c r="H35" s="143"/>
    </row>
    <row r="36" spans="3:10" x14ac:dyDescent="0.3">
      <c r="H36" s="165"/>
      <c r="I36" s="143"/>
      <c r="J36" s="143"/>
    </row>
    <row r="38" spans="3:10" ht="18" x14ac:dyDescent="0.3">
      <c r="C38" s="215" t="s">
        <v>369</v>
      </c>
      <c r="D38" s="215"/>
      <c r="E38" s="215"/>
      <c r="F38" s="215"/>
      <c r="G38" s="215"/>
      <c r="H38" s="215"/>
      <c r="I38" s="215"/>
      <c r="J38" s="215"/>
    </row>
    <row r="40" spans="3:10" x14ac:dyDescent="0.3">
      <c r="C40" s="35" t="s">
        <v>45</v>
      </c>
      <c r="D40" s="65" t="s">
        <v>44</v>
      </c>
      <c r="E40" s="66" t="s">
        <v>34</v>
      </c>
      <c r="F40" s="144" t="s">
        <v>334</v>
      </c>
      <c r="G40" s="67" t="s">
        <v>47</v>
      </c>
      <c r="H40" s="69" t="s">
        <v>49</v>
      </c>
      <c r="I40" s="68" t="s">
        <v>48</v>
      </c>
      <c r="J40" s="114" t="s">
        <v>50</v>
      </c>
    </row>
    <row r="41" spans="3:10" s="143" customFormat="1" x14ac:dyDescent="0.3">
      <c r="C41" s="85" t="s">
        <v>385</v>
      </c>
      <c r="D41" s="62">
        <f ca="1">+COUNTA(INDIRECT($C41&amp;"!$D$11:$D$200"))</f>
        <v>57</v>
      </c>
      <c r="E41" s="62">
        <f ca="1">+COUNTIF(INDIRECT($C41&amp;"!$U$1:$U$200"),E$40)</f>
        <v>57</v>
      </c>
      <c r="F41" s="62">
        <f t="shared" ref="F41:J42" ca="1" si="1">+COUNTIF(INDIRECT($C41&amp;"!$U$11:$U$200"),F$40)</f>
        <v>0</v>
      </c>
      <c r="G41" s="62">
        <f t="shared" ca="1" si="1"/>
        <v>0</v>
      </c>
      <c r="H41" s="62">
        <f t="shared" ca="1" si="1"/>
        <v>0</v>
      </c>
      <c r="I41" s="62">
        <f t="shared" ca="1" si="1"/>
        <v>0</v>
      </c>
      <c r="J41" s="62">
        <f t="shared" ca="1" si="1"/>
        <v>0</v>
      </c>
    </row>
    <row r="42" spans="3:10" x14ac:dyDescent="0.3">
      <c r="C42" s="85" t="s">
        <v>386</v>
      </c>
      <c r="D42" s="62">
        <f ca="1">+COUNTA(INDIRECT($C42&amp;"!$D$11:$D$50"))</f>
        <v>27</v>
      </c>
      <c r="E42" s="62">
        <f t="shared" ref="E42:E50" ca="1" si="2">+COUNTIF(INDIRECT($C42&amp;"!$U$1:$U$200"),E$40)</f>
        <v>27</v>
      </c>
      <c r="F42" s="62">
        <f t="shared" ca="1" si="1"/>
        <v>0</v>
      </c>
      <c r="G42" s="62">
        <f t="shared" ca="1" si="1"/>
        <v>0</v>
      </c>
      <c r="H42" s="62">
        <f t="shared" ca="1" si="1"/>
        <v>0</v>
      </c>
      <c r="I42" s="62">
        <f t="shared" ca="1" si="1"/>
        <v>0</v>
      </c>
      <c r="J42" s="62">
        <f t="shared" ca="1" si="1"/>
        <v>0</v>
      </c>
    </row>
    <row r="43" spans="3:10" x14ac:dyDescent="0.3">
      <c r="C43" s="85" t="s">
        <v>479</v>
      </c>
      <c r="D43" s="62">
        <f t="shared" ref="D43:D50" ca="1" si="3">+COUNTA(INDIRECT($C43&amp;"!$D$11:$D$50"))</f>
        <v>27</v>
      </c>
      <c r="E43" s="62">
        <f t="shared" ca="1" si="2"/>
        <v>27</v>
      </c>
      <c r="F43" s="62">
        <f t="shared" ref="F43:F50" ca="1" si="4">+COUNTIF(INDIRECT($C43&amp;"!$U$11:$U$200"),F$40)</f>
        <v>0</v>
      </c>
      <c r="G43" s="62">
        <f t="shared" ref="G43:G50" ca="1" si="5">+COUNTIF(INDIRECT($C43&amp;"!$U$11:$U$200"),G$40)</f>
        <v>0</v>
      </c>
      <c r="H43" s="62">
        <f t="shared" ref="H43:H50" ca="1" si="6">+COUNTIF(INDIRECT($C43&amp;"!$U$11:$U$200"),H$40)</f>
        <v>0</v>
      </c>
      <c r="I43" s="62">
        <f t="shared" ref="I43:I50" ca="1" si="7">+COUNTIF(INDIRECT($C43&amp;"!$U$11:$U$200"),I$40)</f>
        <v>0</v>
      </c>
      <c r="J43" s="62">
        <f t="shared" ref="J43:J50" ca="1" si="8">+COUNTIF(INDIRECT($C43&amp;"!$U$11:$U$200"),J$40)</f>
        <v>0</v>
      </c>
    </row>
    <row r="44" spans="3:10" x14ac:dyDescent="0.3">
      <c r="C44" s="85" t="s">
        <v>633</v>
      </c>
      <c r="D44" s="62">
        <f t="shared" ca="1" si="3"/>
        <v>35</v>
      </c>
      <c r="E44" s="62">
        <f t="shared" ca="1" si="2"/>
        <v>35</v>
      </c>
      <c r="F44" s="62">
        <f t="shared" ca="1" si="4"/>
        <v>0</v>
      </c>
      <c r="G44" s="62">
        <f t="shared" ca="1" si="5"/>
        <v>0</v>
      </c>
      <c r="H44" s="62">
        <f t="shared" ca="1" si="6"/>
        <v>0</v>
      </c>
      <c r="I44" s="62">
        <f t="shared" ca="1" si="7"/>
        <v>0</v>
      </c>
      <c r="J44" s="62">
        <f t="shared" ca="1" si="8"/>
        <v>0</v>
      </c>
    </row>
    <row r="45" spans="3:10" x14ac:dyDescent="0.3">
      <c r="C45" s="85" t="s">
        <v>474</v>
      </c>
      <c r="D45" s="62">
        <f t="shared" ca="1" si="3"/>
        <v>27</v>
      </c>
      <c r="E45" s="62">
        <f t="shared" ca="1" si="2"/>
        <v>27</v>
      </c>
      <c r="F45" s="62">
        <f t="shared" ca="1" si="4"/>
        <v>0</v>
      </c>
      <c r="G45" s="62">
        <f t="shared" ca="1" si="5"/>
        <v>0</v>
      </c>
      <c r="H45" s="62">
        <f t="shared" ca="1" si="6"/>
        <v>0</v>
      </c>
      <c r="I45" s="62">
        <f t="shared" ca="1" si="7"/>
        <v>0</v>
      </c>
      <c r="J45" s="62">
        <f t="shared" ca="1" si="8"/>
        <v>0</v>
      </c>
    </row>
    <row r="46" spans="3:10" x14ac:dyDescent="0.3">
      <c r="C46" s="85" t="s">
        <v>476</v>
      </c>
      <c r="D46" s="62">
        <f t="shared" ca="1" si="3"/>
        <v>15</v>
      </c>
      <c r="E46" s="62">
        <f t="shared" ca="1" si="2"/>
        <v>15</v>
      </c>
      <c r="F46" s="62">
        <f t="shared" ca="1" si="4"/>
        <v>0</v>
      </c>
      <c r="G46" s="62">
        <f t="shared" ca="1" si="5"/>
        <v>0</v>
      </c>
      <c r="H46" s="62">
        <f t="shared" ca="1" si="6"/>
        <v>0</v>
      </c>
      <c r="I46" s="62">
        <f t="shared" ca="1" si="7"/>
        <v>0</v>
      </c>
      <c r="J46" s="62">
        <f t="shared" ca="1" si="8"/>
        <v>0</v>
      </c>
    </row>
    <row r="47" spans="3:10" x14ac:dyDescent="0.3">
      <c r="C47" s="85" t="s">
        <v>475</v>
      </c>
      <c r="D47" s="62">
        <f t="shared" ca="1" si="3"/>
        <v>9</v>
      </c>
      <c r="E47" s="62">
        <f t="shared" ca="1" si="2"/>
        <v>9</v>
      </c>
      <c r="F47" s="62">
        <f t="shared" ca="1" si="4"/>
        <v>0</v>
      </c>
      <c r="G47" s="62">
        <f t="shared" ca="1" si="5"/>
        <v>0</v>
      </c>
      <c r="H47" s="62">
        <f t="shared" ca="1" si="6"/>
        <v>0</v>
      </c>
      <c r="I47" s="62">
        <f t="shared" ca="1" si="7"/>
        <v>0</v>
      </c>
      <c r="J47" s="62">
        <f t="shared" ca="1" si="8"/>
        <v>0</v>
      </c>
    </row>
    <row r="48" spans="3:10" x14ac:dyDescent="0.3">
      <c r="C48" s="85" t="s">
        <v>757</v>
      </c>
      <c r="D48" s="62">
        <f t="shared" ca="1" si="3"/>
        <v>13</v>
      </c>
      <c r="E48" s="62">
        <f t="shared" ca="1" si="2"/>
        <v>13</v>
      </c>
      <c r="F48" s="62">
        <f t="shared" ca="1" si="4"/>
        <v>0</v>
      </c>
      <c r="G48" s="62">
        <f t="shared" ca="1" si="5"/>
        <v>0</v>
      </c>
      <c r="H48" s="62">
        <f t="shared" ca="1" si="6"/>
        <v>0</v>
      </c>
      <c r="I48" s="62">
        <f t="shared" ca="1" si="7"/>
        <v>0</v>
      </c>
      <c r="J48" s="62">
        <f t="shared" ca="1" si="8"/>
        <v>0</v>
      </c>
    </row>
    <row r="49" spans="3:17" x14ac:dyDescent="0.3">
      <c r="C49" s="85" t="s">
        <v>612</v>
      </c>
      <c r="D49" s="62">
        <f t="shared" ca="1" si="3"/>
        <v>10</v>
      </c>
      <c r="E49" s="62">
        <f t="shared" ca="1" si="2"/>
        <v>10</v>
      </c>
      <c r="F49" s="62">
        <f t="shared" ca="1" si="4"/>
        <v>0</v>
      </c>
      <c r="G49" s="62">
        <f t="shared" ca="1" si="5"/>
        <v>0</v>
      </c>
      <c r="H49" s="62">
        <f t="shared" ca="1" si="6"/>
        <v>0</v>
      </c>
      <c r="I49" s="62">
        <f t="shared" ca="1" si="7"/>
        <v>0</v>
      </c>
      <c r="J49" s="62">
        <f t="shared" ca="1" si="8"/>
        <v>0</v>
      </c>
    </row>
    <row r="50" spans="3:17" x14ac:dyDescent="0.3">
      <c r="C50" s="85" t="s">
        <v>771</v>
      </c>
      <c r="D50" s="62">
        <f t="shared" ca="1" si="3"/>
        <v>20</v>
      </c>
      <c r="E50" s="62">
        <f t="shared" ca="1" si="2"/>
        <v>20</v>
      </c>
      <c r="F50" s="62">
        <f t="shared" ca="1" si="4"/>
        <v>0</v>
      </c>
      <c r="G50" s="62">
        <f t="shared" ca="1" si="5"/>
        <v>0</v>
      </c>
      <c r="H50" s="62">
        <f t="shared" ca="1" si="6"/>
        <v>0</v>
      </c>
      <c r="I50" s="62">
        <f t="shared" ca="1" si="7"/>
        <v>0</v>
      </c>
      <c r="J50" s="62">
        <f t="shared" ca="1" si="8"/>
        <v>0</v>
      </c>
    </row>
    <row r="51" spans="3:17" x14ac:dyDescent="0.3">
      <c r="C51" s="64" t="s">
        <v>44</v>
      </c>
      <c r="D51" s="62">
        <f ca="1">+SUM(D41:D50)</f>
        <v>240</v>
      </c>
      <c r="E51" s="62">
        <f t="shared" ref="E51:J51" ca="1" si="9">+SUM(E41:E50)</f>
        <v>240</v>
      </c>
      <c r="F51" s="62">
        <f t="shared" ca="1" si="9"/>
        <v>0</v>
      </c>
      <c r="G51" s="62">
        <f t="shared" ca="1" si="9"/>
        <v>0</v>
      </c>
      <c r="H51" s="62">
        <f t="shared" ca="1" si="9"/>
        <v>0</v>
      </c>
      <c r="I51" s="62">
        <f t="shared" ca="1" si="9"/>
        <v>0</v>
      </c>
      <c r="J51" s="62">
        <f t="shared" ca="1" si="9"/>
        <v>0</v>
      </c>
    </row>
    <row r="52" spans="3:17" x14ac:dyDescent="0.3">
      <c r="C52" s="158"/>
      <c r="E52" s="151"/>
      <c r="G52" s="151"/>
      <c r="I52" s="151"/>
      <c r="K52" s="151"/>
      <c r="M52" s="151"/>
      <c r="O52" s="151"/>
      <c r="Q52" s="151"/>
    </row>
    <row r="53" spans="3:17" x14ac:dyDescent="0.3">
      <c r="C53" s="35" t="s">
        <v>45</v>
      </c>
      <c r="D53" s="65" t="s">
        <v>46</v>
      </c>
      <c r="E53" s="66" t="s">
        <v>51</v>
      </c>
      <c r="F53" s="144" t="s">
        <v>352</v>
      </c>
      <c r="G53" s="67" t="s">
        <v>52</v>
      </c>
      <c r="H53" s="69" t="s">
        <v>54</v>
      </c>
      <c r="I53" s="68" t="s">
        <v>53</v>
      </c>
      <c r="J53" s="114" t="s">
        <v>55</v>
      </c>
      <c r="K53" s="151"/>
      <c r="M53" s="151"/>
      <c r="O53" s="151"/>
      <c r="Q53" s="151"/>
    </row>
    <row r="54" spans="3:17" x14ac:dyDescent="0.3">
      <c r="C54" s="85" t="str">
        <f t="shared" ref="C54:C61" si="10">+C41</f>
        <v>out_contracts</v>
      </c>
      <c r="D54" s="63">
        <f t="shared" ref="D54:D64" ca="1" si="11">+D41/$D$51</f>
        <v>0.23749999999999999</v>
      </c>
      <c r="E54" s="63">
        <f t="shared" ref="E54:E64" ca="1" si="12">E41/D41</f>
        <v>1</v>
      </c>
      <c r="F54" s="63">
        <f t="shared" ref="F54:F64" ca="1" si="13">F41/D41</f>
        <v>0</v>
      </c>
      <c r="G54" s="63">
        <f t="shared" ref="G54:G64" ca="1" si="14">G41/D41</f>
        <v>0</v>
      </c>
      <c r="H54" s="63">
        <f t="shared" ref="H54:H64" ca="1" si="15">H41/D41</f>
        <v>0</v>
      </c>
      <c r="I54" s="63">
        <f t="shared" ref="I54:I64" ca="1" si="16">I41/D41</f>
        <v>0</v>
      </c>
      <c r="J54" s="63">
        <f t="shared" ref="J54:J64" ca="1" si="17">J41/D41</f>
        <v>0</v>
      </c>
      <c r="K54" s="151"/>
      <c r="M54" s="151"/>
      <c r="O54" s="151"/>
      <c r="Q54" s="151"/>
    </row>
    <row r="55" spans="3:17" x14ac:dyDescent="0.3">
      <c r="C55" s="85" t="str">
        <f t="shared" si="10"/>
        <v>out_clients</v>
      </c>
      <c r="D55" s="63">
        <f t="shared" ca="1" si="11"/>
        <v>0.1125</v>
      </c>
      <c r="E55" s="63">
        <f t="shared" ca="1" si="12"/>
        <v>1</v>
      </c>
      <c r="F55" s="63">
        <f t="shared" ca="1" si="13"/>
        <v>0</v>
      </c>
      <c r="G55" s="63">
        <f t="shared" ca="1" si="14"/>
        <v>0</v>
      </c>
      <c r="H55" s="63">
        <f t="shared" ca="1" si="15"/>
        <v>0</v>
      </c>
      <c r="I55" s="63">
        <f t="shared" ca="1" si="16"/>
        <v>0</v>
      </c>
      <c r="J55" s="63">
        <f t="shared" ca="1" si="17"/>
        <v>0</v>
      </c>
      <c r="K55" s="151"/>
      <c r="M55" s="151"/>
      <c r="O55" s="151"/>
      <c r="Q55" s="151"/>
    </row>
    <row r="56" spans="3:17" x14ac:dyDescent="0.3">
      <c r="C56" s="85" t="str">
        <f t="shared" si="10"/>
        <v>out_fei_new_recipients</v>
      </c>
      <c r="D56" s="63">
        <f t="shared" ca="1" si="11"/>
        <v>0.1125</v>
      </c>
      <c r="E56" s="63">
        <f t="shared" ca="1" si="12"/>
        <v>1</v>
      </c>
      <c r="F56" s="63">
        <f t="shared" ca="1" si="13"/>
        <v>0</v>
      </c>
      <c r="G56" s="63">
        <f t="shared" ca="1" si="14"/>
        <v>0</v>
      </c>
      <c r="H56" s="63">
        <f t="shared" ca="1" si="15"/>
        <v>0</v>
      </c>
      <c r="I56" s="63">
        <f t="shared" ca="1" si="16"/>
        <v>0</v>
      </c>
      <c r="J56" s="63">
        <f t="shared" ca="1" si="17"/>
        <v>0</v>
      </c>
      <c r="K56" s="151"/>
      <c r="M56" s="151"/>
      <c r="O56" s="151"/>
      <c r="Q56" s="151"/>
    </row>
    <row r="57" spans="3:17" x14ac:dyDescent="0.3">
      <c r="C57" s="85" t="str">
        <f t="shared" si="10"/>
        <v>out_fei_new_transactions</v>
      </c>
      <c r="D57" s="63">
        <f t="shared" ca="1" si="11"/>
        <v>0.14583333333333334</v>
      </c>
      <c r="E57" s="63">
        <f t="shared" ca="1" si="12"/>
        <v>1</v>
      </c>
      <c r="F57" s="63">
        <f t="shared" ca="1" si="13"/>
        <v>0</v>
      </c>
      <c r="G57" s="63">
        <f t="shared" ca="1" si="14"/>
        <v>0</v>
      </c>
      <c r="H57" s="63">
        <f t="shared" ca="1" si="15"/>
        <v>0</v>
      </c>
      <c r="I57" s="63">
        <f t="shared" ca="1" si="16"/>
        <v>0</v>
      </c>
      <c r="J57" s="63">
        <f t="shared" ca="1" si="17"/>
        <v>0</v>
      </c>
      <c r="K57" s="151"/>
      <c r="M57" s="151"/>
      <c r="O57" s="151"/>
      <c r="Q57" s="151"/>
    </row>
    <row r="58" spans="3:17" x14ac:dyDescent="0.3">
      <c r="C58" s="85" t="str">
        <f t="shared" si="10"/>
        <v>out_fei_included_transactions</v>
      </c>
      <c r="D58" s="63">
        <f t="shared" ca="1" si="11"/>
        <v>0.1125</v>
      </c>
      <c r="E58" s="63">
        <f t="shared" ca="1" si="12"/>
        <v>1</v>
      </c>
      <c r="F58" s="63">
        <f t="shared" ca="1" si="13"/>
        <v>0</v>
      </c>
      <c r="G58" s="63">
        <f t="shared" ca="1" si="14"/>
        <v>0</v>
      </c>
      <c r="H58" s="63">
        <f t="shared" ca="1" si="15"/>
        <v>0</v>
      </c>
      <c r="I58" s="63">
        <f t="shared" ca="1" si="16"/>
        <v>0</v>
      </c>
      <c r="J58" s="63">
        <f t="shared" ca="1" si="17"/>
        <v>0</v>
      </c>
      <c r="K58" s="151"/>
      <c r="M58" s="151"/>
      <c r="O58" s="187"/>
      <c r="Q58" s="151"/>
    </row>
    <row r="59" spans="3:17" x14ac:dyDescent="0.3">
      <c r="C59" s="85" t="str">
        <f t="shared" si="10"/>
        <v>out_fei_payment_demand</v>
      </c>
      <c r="D59" s="63">
        <f t="shared" ca="1" si="11"/>
        <v>6.25E-2</v>
      </c>
      <c r="E59" s="63">
        <f t="shared" ca="1" si="12"/>
        <v>1</v>
      </c>
      <c r="F59" s="63">
        <f t="shared" ca="1" si="13"/>
        <v>0</v>
      </c>
      <c r="G59" s="63">
        <f t="shared" ca="1" si="14"/>
        <v>0</v>
      </c>
      <c r="H59" s="63">
        <f t="shared" ca="1" si="15"/>
        <v>0</v>
      </c>
      <c r="I59" s="63">
        <f t="shared" ca="1" si="16"/>
        <v>0</v>
      </c>
      <c r="J59" s="63">
        <f t="shared" ca="1" si="17"/>
        <v>0</v>
      </c>
      <c r="K59" s="151"/>
      <c r="M59" s="182"/>
      <c r="O59" s="187"/>
      <c r="Q59" s="151"/>
    </row>
    <row r="60" spans="3:17" x14ac:dyDescent="0.3">
      <c r="C60" s="85" t="str">
        <f t="shared" si="10"/>
        <v>out_fei_repaid_transactions</v>
      </c>
      <c r="D60" s="63">
        <f t="shared" ca="1" si="11"/>
        <v>3.7499999999999999E-2</v>
      </c>
      <c r="E60" s="63">
        <f t="shared" ca="1" si="12"/>
        <v>1</v>
      </c>
      <c r="F60" s="63">
        <f t="shared" ca="1" si="13"/>
        <v>0</v>
      </c>
      <c r="G60" s="63">
        <f t="shared" ca="1" si="14"/>
        <v>0</v>
      </c>
      <c r="H60" s="63">
        <f t="shared" ca="1" si="15"/>
        <v>0</v>
      </c>
      <c r="I60" s="63">
        <f t="shared" ca="1" si="16"/>
        <v>0</v>
      </c>
      <c r="J60" s="63">
        <f t="shared" ca="1" si="17"/>
        <v>0</v>
      </c>
      <c r="K60" s="151"/>
      <c r="M60" s="182"/>
      <c r="O60" s="187"/>
      <c r="Q60" s="151"/>
    </row>
    <row r="61" spans="3:17" x14ac:dyDescent="0.3">
      <c r="C61" s="85" t="str">
        <f t="shared" si="10"/>
        <v>out_fei_sustainability</v>
      </c>
      <c r="D61" s="63">
        <f t="shared" ca="1" si="11"/>
        <v>5.4166666666666669E-2</v>
      </c>
      <c r="E61" s="63">
        <f t="shared" ca="1" si="12"/>
        <v>1</v>
      </c>
      <c r="F61" s="63">
        <f t="shared" ca="1" si="13"/>
        <v>0</v>
      </c>
      <c r="G61" s="63">
        <f t="shared" ca="1" si="14"/>
        <v>0</v>
      </c>
      <c r="H61" s="63">
        <f t="shared" ca="1" si="15"/>
        <v>0</v>
      </c>
      <c r="I61" s="63">
        <f t="shared" ca="1" si="16"/>
        <v>0</v>
      </c>
      <c r="J61" s="63">
        <f t="shared" ca="1" si="17"/>
        <v>0</v>
      </c>
      <c r="K61" s="151"/>
      <c r="M61" s="182"/>
      <c r="O61" s="187"/>
      <c r="Q61" s="151"/>
    </row>
    <row r="62" spans="3:17" x14ac:dyDescent="0.3">
      <c r="C62" s="85" t="s">
        <v>612</v>
      </c>
      <c r="D62" s="63">
        <f t="shared" ca="1" si="11"/>
        <v>4.1666666666666664E-2</v>
      </c>
      <c r="E62" s="63">
        <f t="shared" ca="1" si="12"/>
        <v>1</v>
      </c>
      <c r="F62" s="63">
        <f t="shared" ca="1" si="13"/>
        <v>0</v>
      </c>
      <c r="G62" s="63">
        <f t="shared" ca="1" si="14"/>
        <v>0</v>
      </c>
      <c r="H62" s="63">
        <f t="shared" ca="1" si="15"/>
        <v>0</v>
      </c>
      <c r="I62" s="63">
        <f t="shared" ca="1" si="16"/>
        <v>0</v>
      </c>
      <c r="J62" s="63">
        <f t="shared" ca="1" si="17"/>
        <v>0</v>
      </c>
      <c r="K62" s="151"/>
      <c r="M62" s="151"/>
      <c r="O62" s="151"/>
      <c r="Q62" s="151"/>
    </row>
    <row r="63" spans="3:17" x14ac:dyDescent="0.3">
      <c r="C63" s="85" t="s">
        <v>762</v>
      </c>
      <c r="D63" s="63">
        <f t="shared" ca="1" si="11"/>
        <v>8.3333333333333329E-2</v>
      </c>
      <c r="E63" s="63">
        <f t="shared" ca="1" si="12"/>
        <v>1</v>
      </c>
      <c r="F63" s="63">
        <f t="shared" ca="1" si="13"/>
        <v>0</v>
      </c>
      <c r="G63" s="63">
        <f t="shared" ca="1" si="14"/>
        <v>0</v>
      </c>
      <c r="H63" s="63">
        <f t="shared" ca="1" si="15"/>
        <v>0</v>
      </c>
      <c r="I63" s="63">
        <f t="shared" ca="1" si="16"/>
        <v>0</v>
      </c>
      <c r="J63" s="63">
        <f t="shared" ca="1" si="17"/>
        <v>0</v>
      </c>
      <c r="K63" s="151"/>
      <c r="M63" s="151"/>
      <c r="O63" s="151"/>
      <c r="Q63" s="151"/>
    </row>
    <row r="64" spans="3:17" x14ac:dyDescent="0.3">
      <c r="C64" s="64" t="s">
        <v>44</v>
      </c>
      <c r="D64" s="63">
        <f t="shared" ca="1" si="11"/>
        <v>1</v>
      </c>
      <c r="E64" s="63">
        <f t="shared" ca="1" si="12"/>
        <v>1</v>
      </c>
      <c r="F64" s="63">
        <f t="shared" ca="1" si="13"/>
        <v>0</v>
      </c>
      <c r="G64" s="63">
        <f t="shared" ca="1" si="14"/>
        <v>0</v>
      </c>
      <c r="H64" s="63">
        <f t="shared" ca="1" si="15"/>
        <v>0</v>
      </c>
      <c r="I64" s="63">
        <f t="shared" ca="1" si="16"/>
        <v>0</v>
      </c>
      <c r="J64" s="63">
        <f t="shared" ca="1" si="17"/>
        <v>0</v>
      </c>
      <c r="K64" s="151"/>
      <c r="M64" s="151"/>
      <c r="Q64" s="151"/>
    </row>
    <row r="65" spans="3:17" x14ac:dyDescent="0.3">
      <c r="C65" s="158"/>
      <c r="E65" s="151"/>
      <c r="G65" s="151"/>
      <c r="I65" s="151"/>
      <c r="K65" s="151"/>
      <c r="M65" s="151"/>
      <c r="O65" s="151"/>
      <c r="Q65" s="151"/>
    </row>
    <row r="66" spans="3:17" x14ac:dyDescent="0.3">
      <c r="C66" s="158"/>
      <c r="E66" s="151"/>
      <c r="G66" s="151"/>
      <c r="I66" s="151"/>
      <c r="K66" s="151"/>
      <c r="M66" s="151"/>
      <c r="O66" s="151"/>
      <c r="Q66" s="151"/>
    </row>
    <row r="67" spans="3:17" x14ac:dyDescent="0.3">
      <c r="C67" s="143"/>
    </row>
    <row r="68" spans="3:17" ht="14.25" customHeight="1" x14ac:dyDescent="0.3">
      <c r="C68" s="215" t="s">
        <v>370</v>
      </c>
      <c r="D68" s="215"/>
      <c r="E68" s="215"/>
      <c r="F68" s="215"/>
      <c r="G68" s="215"/>
      <c r="H68" s="215"/>
      <c r="I68" s="215"/>
      <c r="J68" s="215"/>
      <c r="K68" s="215"/>
    </row>
    <row r="70" spans="3:17" hidden="1" x14ac:dyDescent="0.3"/>
    <row r="71" spans="3:17" hidden="1" x14ac:dyDescent="0.3"/>
    <row r="72" spans="3:17" ht="15" customHeight="1" x14ac:dyDescent="0.3">
      <c r="C72" s="35" t="s">
        <v>45</v>
      </c>
      <c r="D72" s="65" t="s">
        <v>44</v>
      </c>
      <c r="E72" s="66" t="s">
        <v>34</v>
      </c>
      <c r="F72" s="74" t="s">
        <v>56</v>
      </c>
      <c r="G72" s="67" t="s">
        <v>47</v>
      </c>
      <c r="H72" s="69" t="s">
        <v>49</v>
      </c>
      <c r="I72" s="73" t="s">
        <v>57</v>
      </c>
      <c r="J72" s="69" t="s">
        <v>58</v>
      </c>
      <c r="K72" s="69" t="s">
        <v>806</v>
      </c>
      <c r="L72" s="69" t="s">
        <v>48</v>
      </c>
      <c r="M72" s="74" t="s">
        <v>59</v>
      </c>
      <c r="N72" s="74" t="s">
        <v>60</v>
      </c>
      <c r="O72" s="74" t="s">
        <v>61</v>
      </c>
      <c r="P72" s="74" t="s">
        <v>62</v>
      </c>
      <c r="Q72" s="74" t="s">
        <v>63</v>
      </c>
    </row>
    <row r="73" spans="3:17" s="143" customFormat="1" ht="15" customHeight="1" x14ac:dyDescent="0.3">
      <c r="C73" s="85" t="s">
        <v>385</v>
      </c>
      <c r="D73" s="153">
        <f ca="1">+COUNTA(INDIRECT($C73&amp;"!$Y$11:$Y$200"))</f>
        <v>57</v>
      </c>
      <c r="E73" s="154">
        <f ca="1">+COUNTIF(INDIRECT($C73&amp;"!$Y$11:$Y$200"),E$72)</f>
        <v>0</v>
      </c>
      <c r="F73" s="154">
        <f t="shared" ref="F73:Q73" ca="1" si="18">+COUNTIF(INDIRECT($C73&amp;"!$Y$11:$Y$200"),F$72)</f>
        <v>33</v>
      </c>
      <c r="G73" s="154">
        <f t="shared" ca="1" si="18"/>
        <v>12</v>
      </c>
      <c r="H73" s="154">
        <f t="shared" ca="1" si="18"/>
        <v>0</v>
      </c>
      <c r="I73" s="154">
        <f t="shared" ca="1" si="18"/>
        <v>0</v>
      </c>
      <c r="J73" s="154">
        <f t="shared" ca="1" si="18"/>
        <v>7</v>
      </c>
      <c r="K73" s="154">
        <f t="shared" ca="1" si="18"/>
        <v>5</v>
      </c>
      <c r="L73" s="154">
        <f t="shared" ca="1" si="18"/>
        <v>0</v>
      </c>
      <c r="M73" s="154">
        <f t="shared" ca="1" si="18"/>
        <v>0</v>
      </c>
      <c r="N73" s="154">
        <f t="shared" ca="1" si="18"/>
        <v>0</v>
      </c>
      <c r="O73" s="154">
        <f t="shared" ca="1" si="18"/>
        <v>0</v>
      </c>
      <c r="P73" s="154">
        <f t="shared" ca="1" si="18"/>
        <v>0</v>
      </c>
      <c r="Q73" s="154">
        <f t="shared" ca="1" si="18"/>
        <v>0</v>
      </c>
    </row>
    <row r="74" spans="3:17" s="143" customFormat="1" ht="15" customHeight="1" x14ac:dyDescent="0.3">
      <c r="C74" s="85" t="s">
        <v>386</v>
      </c>
      <c r="D74" s="153">
        <f ca="1">+COUNTA(INDIRECT($C74&amp;"!$Y$11:$Y$200"))</f>
        <v>27</v>
      </c>
      <c r="E74" s="154">
        <f t="shared" ref="E74:Q82" ca="1" si="19">+COUNTIF(INDIRECT($C74&amp;"!$Y$11:$Y$200"),E$72)</f>
        <v>0</v>
      </c>
      <c r="F74" s="154">
        <f t="shared" ca="1" si="19"/>
        <v>24</v>
      </c>
      <c r="G74" s="154">
        <f t="shared" ca="1" si="19"/>
        <v>0</v>
      </c>
      <c r="H74" s="154">
        <f t="shared" ca="1" si="19"/>
        <v>0</v>
      </c>
      <c r="I74" s="154">
        <f t="shared" ca="1" si="19"/>
        <v>0</v>
      </c>
      <c r="J74" s="154">
        <f t="shared" ca="1" si="19"/>
        <v>3</v>
      </c>
      <c r="K74" s="154">
        <f t="shared" ca="1" si="19"/>
        <v>0</v>
      </c>
      <c r="L74" s="154">
        <f t="shared" ca="1" si="19"/>
        <v>0</v>
      </c>
      <c r="M74" s="154">
        <f t="shared" ca="1" si="19"/>
        <v>0</v>
      </c>
      <c r="N74" s="154">
        <f t="shared" ca="1" si="19"/>
        <v>0</v>
      </c>
      <c r="O74" s="154">
        <f t="shared" ca="1" si="19"/>
        <v>0</v>
      </c>
      <c r="P74" s="154">
        <f t="shared" ca="1" si="19"/>
        <v>0</v>
      </c>
      <c r="Q74" s="154">
        <f t="shared" ca="1" si="19"/>
        <v>0</v>
      </c>
    </row>
    <row r="75" spans="3:17" s="143" customFormat="1" ht="15" customHeight="1" x14ac:dyDescent="0.3">
      <c r="C75" s="85" t="s">
        <v>479</v>
      </c>
      <c r="D75" s="153">
        <f t="shared" ref="D75:D82" ca="1" si="20">+COUNTA(INDIRECT($C75&amp;"!$Y$11:$Y$200"))</f>
        <v>27</v>
      </c>
      <c r="E75" s="154">
        <f t="shared" ca="1" si="19"/>
        <v>5</v>
      </c>
      <c r="F75" s="154">
        <f t="shared" ca="1" si="19"/>
        <v>15</v>
      </c>
      <c r="G75" s="154">
        <f t="shared" ca="1" si="19"/>
        <v>0</v>
      </c>
      <c r="H75" s="154">
        <f t="shared" ca="1" si="19"/>
        <v>0</v>
      </c>
      <c r="I75" s="154">
        <f t="shared" ca="1" si="19"/>
        <v>0</v>
      </c>
      <c r="J75" s="154">
        <f t="shared" ca="1" si="19"/>
        <v>7</v>
      </c>
      <c r="K75" s="154">
        <f t="shared" ca="1" si="19"/>
        <v>0</v>
      </c>
      <c r="L75" s="154">
        <f t="shared" ca="1" si="19"/>
        <v>0</v>
      </c>
      <c r="M75" s="154">
        <f t="shared" ca="1" si="19"/>
        <v>0</v>
      </c>
      <c r="N75" s="154">
        <f t="shared" ca="1" si="19"/>
        <v>0</v>
      </c>
      <c r="O75" s="154">
        <f t="shared" ca="1" si="19"/>
        <v>0</v>
      </c>
      <c r="P75" s="154">
        <f t="shared" ca="1" si="19"/>
        <v>0</v>
      </c>
      <c r="Q75" s="154">
        <f t="shared" ca="1" si="19"/>
        <v>0</v>
      </c>
    </row>
    <row r="76" spans="3:17" s="143" customFormat="1" ht="15" customHeight="1" x14ac:dyDescent="0.3">
      <c r="C76" s="85" t="s">
        <v>633</v>
      </c>
      <c r="D76" s="153">
        <f t="shared" ca="1" si="20"/>
        <v>35</v>
      </c>
      <c r="E76" s="154">
        <f t="shared" ca="1" si="19"/>
        <v>5</v>
      </c>
      <c r="F76" s="154">
        <f t="shared" ca="1" si="19"/>
        <v>3</v>
      </c>
      <c r="G76" s="154">
        <f t="shared" ca="1" si="19"/>
        <v>19</v>
      </c>
      <c r="H76" s="154">
        <f t="shared" ca="1" si="19"/>
        <v>0</v>
      </c>
      <c r="I76" s="154">
        <f t="shared" ca="1" si="19"/>
        <v>0</v>
      </c>
      <c r="J76" s="154">
        <f t="shared" ca="1" si="19"/>
        <v>4</v>
      </c>
      <c r="K76" s="154">
        <f t="shared" ca="1" si="19"/>
        <v>4</v>
      </c>
      <c r="L76" s="154">
        <f t="shared" ca="1" si="19"/>
        <v>0</v>
      </c>
      <c r="M76" s="154">
        <f t="shared" ca="1" si="19"/>
        <v>0</v>
      </c>
      <c r="N76" s="154">
        <f t="shared" ca="1" si="19"/>
        <v>0</v>
      </c>
      <c r="O76" s="154">
        <f t="shared" ca="1" si="19"/>
        <v>0</v>
      </c>
      <c r="P76" s="154">
        <f t="shared" ca="1" si="19"/>
        <v>0</v>
      </c>
      <c r="Q76" s="154">
        <f t="shared" ca="1" si="19"/>
        <v>0</v>
      </c>
    </row>
    <row r="77" spans="3:17" s="143" customFormat="1" ht="15" customHeight="1" x14ac:dyDescent="0.3">
      <c r="C77" s="85" t="s">
        <v>474</v>
      </c>
      <c r="D77" s="153">
        <f t="shared" ca="1" si="20"/>
        <v>27</v>
      </c>
      <c r="E77" s="154">
        <f t="shared" ca="1" si="19"/>
        <v>5</v>
      </c>
      <c r="F77" s="154">
        <f t="shared" ca="1" si="19"/>
        <v>19</v>
      </c>
      <c r="G77" s="154">
        <f t="shared" ca="1" si="19"/>
        <v>0</v>
      </c>
      <c r="H77" s="154">
        <f t="shared" ca="1" si="19"/>
        <v>0</v>
      </c>
      <c r="I77" s="154">
        <f t="shared" ca="1" si="19"/>
        <v>0</v>
      </c>
      <c r="J77" s="154">
        <f t="shared" ca="1" si="19"/>
        <v>3</v>
      </c>
      <c r="K77" s="154">
        <f t="shared" ca="1" si="19"/>
        <v>0</v>
      </c>
      <c r="L77" s="154">
        <f t="shared" ca="1" si="19"/>
        <v>0</v>
      </c>
      <c r="M77" s="154">
        <f t="shared" ca="1" si="19"/>
        <v>0</v>
      </c>
      <c r="N77" s="154">
        <f t="shared" ca="1" si="19"/>
        <v>0</v>
      </c>
      <c r="O77" s="154">
        <f t="shared" ca="1" si="19"/>
        <v>0</v>
      </c>
      <c r="P77" s="154">
        <f t="shared" ca="1" si="19"/>
        <v>0</v>
      </c>
      <c r="Q77" s="154">
        <f t="shared" ca="1" si="19"/>
        <v>0</v>
      </c>
    </row>
    <row r="78" spans="3:17" s="143" customFormat="1" ht="15" customHeight="1" x14ac:dyDescent="0.3">
      <c r="C78" s="85" t="s">
        <v>476</v>
      </c>
      <c r="D78" s="153">
        <f t="shared" ca="1" si="20"/>
        <v>15</v>
      </c>
      <c r="E78" s="154">
        <f t="shared" ca="1" si="19"/>
        <v>5</v>
      </c>
      <c r="F78" s="154">
        <f t="shared" ca="1" si="19"/>
        <v>10</v>
      </c>
      <c r="G78" s="154">
        <f t="shared" ca="1" si="19"/>
        <v>0</v>
      </c>
      <c r="H78" s="154">
        <f t="shared" ca="1" si="19"/>
        <v>0</v>
      </c>
      <c r="I78" s="154">
        <f t="shared" ca="1" si="19"/>
        <v>0</v>
      </c>
      <c r="J78" s="154">
        <f t="shared" ca="1" si="19"/>
        <v>0</v>
      </c>
      <c r="K78" s="154">
        <f t="shared" ca="1" si="19"/>
        <v>0</v>
      </c>
      <c r="L78" s="154">
        <f t="shared" ca="1" si="19"/>
        <v>0</v>
      </c>
      <c r="M78" s="154">
        <f t="shared" ca="1" si="19"/>
        <v>0</v>
      </c>
      <c r="N78" s="154">
        <f t="shared" ca="1" si="19"/>
        <v>0</v>
      </c>
      <c r="O78" s="154">
        <f t="shared" ca="1" si="19"/>
        <v>0</v>
      </c>
      <c r="P78" s="154">
        <f t="shared" ca="1" si="19"/>
        <v>0</v>
      </c>
      <c r="Q78" s="154">
        <f t="shared" ca="1" si="19"/>
        <v>0</v>
      </c>
    </row>
    <row r="79" spans="3:17" s="143" customFormat="1" ht="15" customHeight="1" x14ac:dyDescent="0.3">
      <c r="C79" s="85" t="s">
        <v>475</v>
      </c>
      <c r="D79" s="153">
        <f t="shared" ca="1" si="20"/>
        <v>9</v>
      </c>
      <c r="E79" s="154">
        <f t="shared" ca="1" si="19"/>
        <v>5</v>
      </c>
      <c r="F79" s="154">
        <f t="shared" ca="1" si="19"/>
        <v>4</v>
      </c>
      <c r="G79" s="154">
        <f t="shared" ca="1" si="19"/>
        <v>0</v>
      </c>
      <c r="H79" s="154">
        <f t="shared" ca="1" si="19"/>
        <v>0</v>
      </c>
      <c r="I79" s="154">
        <f t="shared" ca="1" si="19"/>
        <v>0</v>
      </c>
      <c r="J79" s="154">
        <f t="shared" ca="1" si="19"/>
        <v>0</v>
      </c>
      <c r="K79" s="154">
        <f t="shared" ca="1" si="19"/>
        <v>0</v>
      </c>
      <c r="L79" s="154">
        <f t="shared" ca="1" si="19"/>
        <v>0</v>
      </c>
      <c r="M79" s="154">
        <f t="shared" ca="1" si="19"/>
        <v>0</v>
      </c>
      <c r="N79" s="154">
        <f t="shared" ca="1" si="19"/>
        <v>0</v>
      </c>
      <c r="O79" s="154">
        <f t="shared" ca="1" si="19"/>
        <v>0</v>
      </c>
      <c r="P79" s="154">
        <f t="shared" ca="1" si="19"/>
        <v>0</v>
      </c>
      <c r="Q79" s="154">
        <f t="shared" ca="1" si="19"/>
        <v>0</v>
      </c>
    </row>
    <row r="80" spans="3:17" s="143" customFormat="1" ht="15" customHeight="1" x14ac:dyDescent="0.3">
      <c r="C80" s="85" t="s">
        <v>757</v>
      </c>
      <c r="D80" s="153">
        <f t="shared" ca="1" si="20"/>
        <v>13</v>
      </c>
      <c r="E80" s="154">
        <f t="shared" ca="1" si="19"/>
        <v>0</v>
      </c>
      <c r="F80" s="154">
        <f t="shared" ca="1" si="19"/>
        <v>0</v>
      </c>
      <c r="G80" s="154">
        <f t="shared" ca="1" si="19"/>
        <v>0</v>
      </c>
      <c r="H80" s="154">
        <f t="shared" ca="1" si="19"/>
        <v>0</v>
      </c>
      <c r="I80" s="154">
        <f t="shared" ca="1" si="19"/>
        <v>0</v>
      </c>
      <c r="J80" s="154">
        <f t="shared" ca="1" si="19"/>
        <v>13</v>
      </c>
      <c r="K80" s="154">
        <f t="shared" ca="1" si="19"/>
        <v>0</v>
      </c>
      <c r="L80" s="154">
        <f t="shared" ca="1" si="19"/>
        <v>0</v>
      </c>
      <c r="M80" s="154">
        <f t="shared" ca="1" si="19"/>
        <v>0</v>
      </c>
      <c r="N80" s="154">
        <f t="shared" ca="1" si="19"/>
        <v>0</v>
      </c>
      <c r="O80" s="154">
        <f t="shared" ca="1" si="19"/>
        <v>0</v>
      </c>
      <c r="P80" s="154">
        <f t="shared" ca="1" si="19"/>
        <v>0</v>
      </c>
      <c r="Q80" s="154">
        <f t="shared" ca="1" si="19"/>
        <v>0</v>
      </c>
    </row>
    <row r="81" spans="3:19" s="143" customFormat="1" ht="15" customHeight="1" x14ac:dyDescent="0.3">
      <c r="C81" s="85" t="s">
        <v>612</v>
      </c>
      <c r="D81" s="153">
        <f t="shared" ca="1" si="20"/>
        <v>10</v>
      </c>
      <c r="E81" s="154">
        <f t="shared" ca="1" si="19"/>
        <v>0</v>
      </c>
      <c r="F81" s="154">
        <f t="shared" ca="1" si="19"/>
        <v>0</v>
      </c>
      <c r="G81" s="154">
        <f t="shared" ca="1" si="19"/>
        <v>0</v>
      </c>
      <c r="H81" s="154">
        <f t="shared" ca="1" si="19"/>
        <v>10</v>
      </c>
      <c r="I81" s="154">
        <f t="shared" ca="1" si="19"/>
        <v>0</v>
      </c>
      <c r="J81" s="154">
        <f t="shared" ca="1" si="19"/>
        <v>0</v>
      </c>
      <c r="K81" s="154">
        <f t="shared" ca="1" si="19"/>
        <v>0</v>
      </c>
      <c r="L81" s="154">
        <f t="shared" ca="1" si="19"/>
        <v>0</v>
      </c>
      <c r="M81" s="154">
        <f t="shared" ca="1" si="19"/>
        <v>0</v>
      </c>
      <c r="N81" s="154">
        <f t="shared" ca="1" si="19"/>
        <v>0</v>
      </c>
      <c r="O81" s="154">
        <f t="shared" ca="1" si="19"/>
        <v>0</v>
      </c>
      <c r="P81" s="154">
        <f t="shared" ca="1" si="19"/>
        <v>0</v>
      </c>
      <c r="Q81" s="154">
        <f t="shared" ca="1" si="19"/>
        <v>0</v>
      </c>
    </row>
    <row r="82" spans="3:19" s="143" customFormat="1" ht="15" customHeight="1" x14ac:dyDescent="0.3">
      <c r="C82" s="85" t="s">
        <v>771</v>
      </c>
      <c r="D82" s="153">
        <f t="shared" ca="1" si="20"/>
        <v>20</v>
      </c>
      <c r="E82" s="154">
        <f t="shared" ca="1" si="19"/>
        <v>0</v>
      </c>
      <c r="F82" s="154">
        <f t="shared" ca="1" si="19"/>
        <v>0</v>
      </c>
      <c r="G82" s="154">
        <f t="shared" ca="1" si="19"/>
        <v>0</v>
      </c>
      <c r="H82" s="154">
        <f t="shared" ca="1" si="19"/>
        <v>20</v>
      </c>
      <c r="I82" s="154">
        <f t="shared" ca="1" si="19"/>
        <v>0</v>
      </c>
      <c r="J82" s="154">
        <f t="shared" ca="1" si="19"/>
        <v>0</v>
      </c>
      <c r="K82" s="154">
        <f t="shared" ca="1" si="19"/>
        <v>0</v>
      </c>
      <c r="L82" s="154">
        <f t="shared" ca="1" si="19"/>
        <v>0</v>
      </c>
      <c r="M82" s="154">
        <f t="shared" ca="1" si="19"/>
        <v>0</v>
      </c>
      <c r="N82" s="154">
        <f t="shared" ca="1" si="19"/>
        <v>0</v>
      </c>
      <c r="O82" s="154">
        <f t="shared" ca="1" si="19"/>
        <v>0</v>
      </c>
      <c r="P82" s="154">
        <f t="shared" ca="1" si="19"/>
        <v>0</v>
      </c>
      <c r="Q82" s="154">
        <f t="shared" ca="1" si="19"/>
        <v>0</v>
      </c>
    </row>
    <row r="83" spans="3:19" x14ac:dyDescent="0.3">
      <c r="C83" s="64" t="s">
        <v>44</v>
      </c>
      <c r="D83" s="155">
        <f ca="1">+SUM(D73:D82)</f>
        <v>240</v>
      </c>
      <c r="E83" s="155">
        <f t="shared" ref="E83:Q83" ca="1" si="21">+SUM(E73:E82)</f>
        <v>25</v>
      </c>
      <c r="F83" s="155">
        <f t="shared" ca="1" si="21"/>
        <v>108</v>
      </c>
      <c r="G83" s="155">
        <f t="shared" ca="1" si="21"/>
        <v>31</v>
      </c>
      <c r="H83" s="155">
        <f t="shared" ca="1" si="21"/>
        <v>30</v>
      </c>
      <c r="I83" s="155">
        <f t="shared" ca="1" si="21"/>
        <v>0</v>
      </c>
      <c r="J83" s="155">
        <f t="shared" ca="1" si="21"/>
        <v>37</v>
      </c>
      <c r="K83" s="155">
        <f t="shared" ca="1" si="21"/>
        <v>9</v>
      </c>
      <c r="L83" s="155">
        <f t="shared" ca="1" si="21"/>
        <v>0</v>
      </c>
      <c r="M83" s="155">
        <f t="shared" ca="1" si="21"/>
        <v>0</v>
      </c>
      <c r="N83" s="155">
        <f t="shared" ca="1" si="21"/>
        <v>0</v>
      </c>
      <c r="O83" s="155">
        <f t="shared" ca="1" si="21"/>
        <v>0</v>
      </c>
      <c r="P83" s="155">
        <f t="shared" ca="1" si="21"/>
        <v>0</v>
      </c>
      <c r="Q83" s="155">
        <f t="shared" ca="1" si="21"/>
        <v>0</v>
      </c>
      <c r="S83" s="143"/>
    </row>
    <row r="85" spans="3:19" ht="15" customHeight="1" x14ac:dyDescent="0.3">
      <c r="C85" s="35" t="s">
        <v>45</v>
      </c>
      <c r="D85" s="65" t="s">
        <v>44</v>
      </c>
      <c r="E85" s="66" t="s">
        <v>34</v>
      </c>
      <c r="F85" s="74" t="s">
        <v>56</v>
      </c>
      <c r="G85" s="67" t="s">
        <v>47</v>
      </c>
      <c r="H85" s="69" t="s">
        <v>49</v>
      </c>
      <c r="I85" s="73" t="s">
        <v>57</v>
      </c>
      <c r="J85" s="69" t="s">
        <v>58</v>
      </c>
      <c r="K85" s="69" t="s">
        <v>806</v>
      </c>
      <c r="L85" s="69" t="s">
        <v>48</v>
      </c>
      <c r="M85" s="74" t="s">
        <v>59</v>
      </c>
      <c r="N85" s="74" t="s">
        <v>60</v>
      </c>
      <c r="O85" s="74" t="s">
        <v>61</v>
      </c>
      <c r="P85" s="74" t="s">
        <v>62</v>
      </c>
      <c r="Q85" s="74" t="s">
        <v>63</v>
      </c>
    </row>
    <row r="86" spans="3:19" x14ac:dyDescent="0.3">
      <c r="C86" s="85" t="s">
        <v>385</v>
      </c>
      <c r="D86" s="156">
        <f t="shared" ref="D86:D96" ca="1" si="22">D73/$D$83</f>
        <v>0.23749999999999999</v>
      </c>
      <c r="E86" s="157">
        <f t="shared" ref="E86:E93" ca="1" si="23">E73/$D73</f>
        <v>0</v>
      </c>
      <c r="F86" s="157">
        <f t="shared" ref="F86:Q86" ca="1" si="24">F73/$D73</f>
        <v>0.57894736842105265</v>
      </c>
      <c r="G86" s="157">
        <f t="shared" ca="1" si="24"/>
        <v>0.21052631578947367</v>
      </c>
      <c r="H86" s="157">
        <f t="shared" ca="1" si="24"/>
        <v>0</v>
      </c>
      <c r="I86" s="157">
        <f t="shared" ca="1" si="24"/>
        <v>0</v>
      </c>
      <c r="J86" s="157">
        <f t="shared" ca="1" si="24"/>
        <v>0.12280701754385964</v>
      </c>
      <c r="K86" s="157">
        <f t="shared" ca="1" si="24"/>
        <v>8.771929824561403E-2</v>
      </c>
      <c r="L86" s="157">
        <f t="shared" ca="1" si="24"/>
        <v>0</v>
      </c>
      <c r="M86" s="157">
        <f t="shared" ca="1" si="24"/>
        <v>0</v>
      </c>
      <c r="N86" s="157">
        <f t="shared" ca="1" si="24"/>
        <v>0</v>
      </c>
      <c r="O86" s="157">
        <f t="shared" ca="1" si="24"/>
        <v>0</v>
      </c>
      <c r="P86" s="157">
        <f t="shared" ca="1" si="24"/>
        <v>0</v>
      </c>
      <c r="Q86" s="157">
        <f t="shared" ca="1" si="24"/>
        <v>0</v>
      </c>
    </row>
    <row r="87" spans="3:19" x14ac:dyDescent="0.3">
      <c r="C87" s="85" t="s">
        <v>386</v>
      </c>
      <c r="D87" s="156">
        <f t="shared" ca="1" si="22"/>
        <v>0.1125</v>
      </c>
      <c r="E87" s="157">
        <f t="shared" ca="1" si="23"/>
        <v>0</v>
      </c>
      <c r="F87" s="157">
        <f t="shared" ref="F87:Q87" ca="1" si="25">F74/$D74</f>
        <v>0.88888888888888884</v>
      </c>
      <c r="G87" s="157">
        <f t="shared" ca="1" si="25"/>
        <v>0</v>
      </c>
      <c r="H87" s="157">
        <f t="shared" ca="1" si="25"/>
        <v>0</v>
      </c>
      <c r="I87" s="157">
        <f t="shared" ca="1" si="25"/>
        <v>0</v>
      </c>
      <c r="J87" s="157">
        <f t="shared" ca="1" si="25"/>
        <v>0.1111111111111111</v>
      </c>
      <c r="K87" s="157">
        <f t="shared" ca="1" si="25"/>
        <v>0</v>
      </c>
      <c r="L87" s="157">
        <f t="shared" ca="1" si="25"/>
        <v>0</v>
      </c>
      <c r="M87" s="157">
        <f t="shared" ca="1" si="25"/>
        <v>0</v>
      </c>
      <c r="N87" s="157">
        <f t="shared" ca="1" si="25"/>
        <v>0</v>
      </c>
      <c r="O87" s="157">
        <f t="shared" ca="1" si="25"/>
        <v>0</v>
      </c>
      <c r="P87" s="157">
        <f t="shared" ca="1" si="25"/>
        <v>0</v>
      </c>
      <c r="Q87" s="157">
        <f t="shared" ca="1" si="25"/>
        <v>0</v>
      </c>
    </row>
    <row r="88" spans="3:19" x14ac:dyDescent="0.3">
      <c r="C88" s="85" t="s">
        <v>479</v>
      </c>
      <c r="D88" s="156">
        <f t="shared" ca="1" si="22"/>
        <v>0.1125</v>
      </c>
      <c r="E88" s="157">
        <f t="shared" ca="1" si="23"/>
        <v>0.18518518518518517</v>
      </c>
      <c r="F88" s="157">
        <f t="shared" ref="F88:Q88" ca="1" si="26">F75/$D75</f>
        <v>0.55555555555555558</v>
      </c>
      <c r="G88" s="157">
        <f t="shared" ca="1" si="26"/>
        <v>0</v>
      </c>
      <c r="H88" s="157">
        <f t="shared" ca="1" si="26"/>
        <v>0</v>
      </c>
      <c r="I88" s="157">
        <f t="shared" ca="1" si="26"/>
        <v>0</v>
      </c>
      <c r="J88" s="157">
        <f t="shared" ca="1" si="26"/>
        <v>0.25925925925925924</v>
      </c>
      <c r="K88" s="157">
        <f t="shared" ca="1" si="26"/>
        <v>0</v>
      </c>
      <c r="L88" s="157">
        <f t="shared" ca="1" si="26"/>
        <v>0</v>
      </c>
      <c r="M88" s="157">
        <f t="shared" ca="1" si="26"/>
        <v>0</v>
      </c>
      <c r="N88" s="157">
        <f t="shared" ca="1" si="26"/>
        <v>0</v>
      </c>
      <c r="O88" s="157">
        <f t="shared" ca="1" si="26"/>
        <v>0</v>
      </c>
      <c r="P88" s="157">
        <f t="shared" ca="1" si="26"/>
        <v>0</v>
      </c>
      <c r="Q88" s="157">
        <f t="shared" ca="1" si="26"/>
        <v>0</v>
      </c>
    </row>
    <row r="89" spans="3:19" x14ac:dyDescent="0.3">
      <c r="C89" s="85" t="s">
        <v>633</v>
      </c>
      <c r="D89" s="156">
        <f t="shared" ca="1" si="22"/>
        <v>0.14583333333333334</v>
      </c>
      <c r="E89" s="157">
        <f t="shared" ca="1" si="23"/>
        <v>0.14285714285714285</v>
      </c>
      <c r="F89" s="157">
        <f t="shared" ref="F89:Q89" ca="1" si="27">F76/$D76</f>
        <v>8.5714285714285715E-2</v>
      </c>
      <c r="G89" s="157">
        <f t="shared" ca="1" si="27"/>
        <v>0.54285714285714282</v>
      </c>
      <c r="H89" s="157">
        <f t="shared" ca="1" si="27"/>
        <v>0</v>
      </c>
      <c r="I89" s="157">
        <f t="shared" ca="1" si="27"/>
        <v>0</v>
      </c>
      <c r="J89" s="157">
        <f t="shared" ca="1" si="27"/>
        <v>0.11428571428571428</v>
      </c>
      <c r="K89" s="157">
        <f t="shared" ca="1" si="27"/>
        <v>0.11428571428571428</v>
      </c>
      <c r="L89" s="157">
        <f t="shared" ca="1" si="27"/>
        <v>0</v>
      </c>
      <c r="M89" s="157">
        <f t="shared" ca="1" si="27"/>
        <v>0</v>
      </c>
      <c r="N89" s="157">
        <f t="shared" ca="1" si="27"/>
        <v>0</v>
      </c>
      <c r="O89" s="157">
        <f t="shared" ca="1" si="27"/>
        <v>0</v>
      </c>
      <c r="P89" s="157">
        <f t="shared" ca="1" si="27"/>
        <v>0</v>
      </c>
      <c r="Q89" s="157">
        <f t="shared" ca="1" si="27"/>
        <v>0</v>
      </c>
    </row>
    <row r="90" spans="3:19" x14ac:dyDescent="0.3">
      <c r="C90" s="85" t="s">
        <v>474</v>
      </c>
      <c r="D90" s="156">
        <f t="shared" ca="1" si="22"/>
        <v>0.1125</v>
      </c>
      <c r="E90" s="157">
        <f t="shared" ca="1" si="23"/>
        <v>0.18518518518518517</v>
      </c>
      <c r="F90" s="157">
        <f t="shared" ref="F90:Q90" ca="1" si="28">F77/$D77</f>
        <v>0.70370370370370372</v>
      </c>
      <c r="G90" s="157">
        <f t="shared" ca="1" si="28"/>
        <v>0</v>
      </c>
      <c r="H90" s="157">
        <f t="shared" ca="1" si="28"/>
        <v>0</v>
      </c>
      <c r="I90" s="157">
        <f t="shared" ca="1" si="28"/>
        <v>0</v>
      </c>
      <c r="J90" s="157">
        <f t="shared" ca="1" si="28"/>
        <v>0.1111111111111111</v>
      </c>
      <c r="K90" s="157">
        <f t="shared" ca="1" si="28"/>
        <v>0</v>
      </c>
      <c r="L90" s="157">
        <f t="shared" ca="1" si="28"/>
        <v>0</v>
      </c>
      <c r="M90" s="157">
        <f t="shared" ca="1" si="28"/>
        <v>0</v>
      </c>
      <c r="N90" s="157">
        <f t="shared" ca="1" si="28"/>
        <v>0</v>
      </c>
      <c r="O90" s="157">
        <f t="shared" ca="1" si="28"/>
        <v>0</v>
      </c>
      <c r="P90" s="157">
        <f t="shared" ca="1" si="28"/>
        <v>0</v>
      </c>
      <c r="Q90" s="157">
        <f t="shared" ca="1" si="28"/>
        <v>0</v>
      </c>
    </row>
    <row r="91" spans="3:19" x14ac:dyDescent="0.3">
      <c r="C91" s="85" t="s">
        <v>476</v>
      </c>
      <c r="D91" s="156">
        <f t="shared" ca="1" si="22"/>
        <v>6.25E-2</v>
      </c>
      <c r="E91" s="157">
        <f t="shared" ca="1" si="23"/>
        <v>0.33333333333333331</v>
      </c>
      <c r="F91" s="157">
        <f t="shared" ref="F91:Q91" ca="1" si="29">F78/$D78</f>
        <v>0.66666666666666663</v>
      </c>
      <c r="G91" s="157">
        <f t="shared" ca="1" si="29"/>
        <v>0</v>
      </c>
      <c r="H91" s="157">
        <f t="shared" ca="1" si="29"/>
        <v>0</v>
      </c>
      <c r="I91" s="157">
        <f t="shared" ca="1" si="29"/>
        <v>0</v>
      </c>
      <c r="J91" s="157">
        <f t="shared" ca="1" si="29"/>
        <v>0</v>
      </c>
      <c r="K91" s="157">
        <f t="shared" ca="1" si="29"/>
        <v>0</v>
      </c>
      <c r="L91" s="157">
        <f t="shared" ca="1" si="29"/>
        <v>0</v>
      </c>
      <c r="M91" s="157">
        <f t="shared" ca="1" si="29"/>
        <v>0</v>
      </c>
      <c r="N91" s="157">
        <f t="shared" ca="1" si="29"/>
        <v>0</v>
      </c>
      <c r="O91" s="157">
        <f t="shared" ca="1" si="29"/>
        <v>0</v>
      </c>
      <c r="P91" s="157">
        <f t="shared" ca="1" si="29"/>
        <v>0</v>
      </c>
      <c r="Q91" s="157">
        <f t="shared" ca="1" si="29"/>
        <v>0</v>
      </c>
    </row>
    <row r="92" spans="3:19" x14ac:dyDescent="0.3">
      <c r="C92" s="85" t="s">
        <v>475</v>
      </c>
      <c r="D92" s="156">
        <f t="shared" ca="1" si="22"/>
        <v>3.7499999999999999E-2</v>
      </c>
      <c r="E92" s="157">
        <f t="shared" ca="1" si="23"/>
        <v>0.55555555555555558</v>
      </c>
      <c r="F92" s="157">
        <f t="shared" ref="F92:Q92" ca="1" si="30">F79/$D79</f>
        <v>0.44444444444444442</v>
      </c>
      <c r="G92" s="157">
        <f t="shared" ca="1" si="30"/>
        <v>0</v>
      </c>
      <c r="H92" s="157">
        <f t="shared" ca="1" si="30"/>
        <v>0</v>
      </c>
      <c r="I92" s="157">
        <f t="shared" ca="1" si="30"/>
        <v>0</v>
      </c>
      <c r="J92" s="157">
        <f t="shared" ca="1" si="30"/>
        <v>0</v>
      </c>
      <c r="K92" s="157">
        <f t="shared" ca="1" si="30"/>
        <v>0</v>
      </c>
      <c r="L92" s="157">
        <f t="shared" ca="1" si="30"/>
        <v>0</v>
      </c>
      <c r="M92" s="157">
        <f t="shared" ca="1" si="30"/>
        <v>0</v>
      </c>
      <c r="N92" s="157">
        <f t="shared" ca="1" si="30"/>
        <v>0</v>
      </c>
      <c r="O92" s="157">
        <f t="shared" ca="1" si="30"/>
        <v>0</v>
      </c>
      <c r="P92" s="157">
        <f t="shared" ca="1" si="30"/>
        <v>0</v>
      </c>
      <c r="Q92" s="157">
        <f t="shared" ca="1" si="30"/>
        <v>0</v>
      </c>
    </row>
    <row r="93" spans="3:19" x14ac:dyDescent="0.3">
      <c r="C93" s="85" t="s">
        <v>757</v>
      </c>
      <c r="D93" s="156">
        <f t="shared" ca="1" si="22"/>
        <v>5.4166666666666669E-2</v>
      </c>
      <c r="E93" s="157">
        <f t="shared" ca="1" si="23"/>
        <v>0</v>
      </c>
      <c r="F93" s="157">
        <f t="shared" ref="F93:Q93" ca="1" si="31">F80/$D80</f>
        <v>0</v>
      </c>
      <c r="G93" s="157">
        <f t="shared" ca="1" si="31"/>
        <v>0</v>
      </c>
      <c r="H93" s="157">
        <f t="shared" ca="1" si="31"/>
        <v>0</v>
      </c>
      <c r="I93" s="157">
        <f t="shared" ca="1" si="31"/>
        <v>0</v>
      </c>
      <c r="J93" s="157">
        <f t="shared" ca="1" si="31"/>
        <v>1</v>
      </c>
      <c r="K93" s="157">
        <f t="shared" ca="1" si="31"/>
        <v>0</v>
      </c>
      <c r="L93" s="157">
        <f t="shared" ca="1" si="31"/>
        <v>0</v>
      </c>
      <c r="M93" s="157">
        <f t="shared" ca="1" si="31"/>
        <v>0</v>
      </c>
      <c r="N93" s="157">
        <f t="shared" ca="1" si="31"/>
        <v>0</v>
      </c>
      <c r="O93" s="157">
        <f t="shared" ca="1" si="31"/>
        <v>0</v>
      </c>
      <c r="P93" s="157">
        <f t="shared" ca="1" si="31"/>
        <v>0</v>
      </c>
      <c r="Q93" s="157">
        <f t="shared" ca="1" si="31"/>
        <v>0</v>
      </c>
    </row>
    <row r="94" spans="3:19" x14ac:dyDescent="0.3">
      <c r="C94" s="85" t="s">
        <v>612</v>
      </c>
      <c r="D94" s="156">
        <f t="shared" ca="1" si="22"/>
        <v>4.1666666666666664E-2</v>
      </c>
      <c r="E94" s="157">
        <f t="shared" ref="E94:Q95" ca="1" si="32">E81/$D81</f>
        <v>0</v>
      </c>
      <c r="F94" s="157">
        <f t="shared" ca="1" si="32"/>
        <v>0</v>
      </c>
      <c r="G94" s="157">
        <f t="shared" ca="1" si="32"/>
        <v>0</v>
      </c>
      <c r="H94" s="157">
        <f t="shared" ca="1" si="32"/>
        <v>1</v>
      </c>
      <c r="I94" s="157">
        <f t="shared" ca="1" si="32"/>
        <v>0</v>
      </c>
      <c r="J94" s="157">
        <f t="shared" ca="1" si="32"/>
        <v>0</v>
      </c>
      <c r="K94" s="157">
        <f t="shared" ca="1" si="32"/>
        <v>0</v>
      </c>
      <c r="L94" s="157">
        <f t="shared" ca="1" si="32"/>
        <v>0</v>
      </c>
      <c r="M94" s="157">
        <f t="shared" ca="1" si="32"/>
        <v>0</v>
      </c>
      <c r="N94" s="157">
        <f t="shared" ca="1" si="32"/>
        <v>0</v>
      </c>
      <c r="O94" s="157">
        <f t="shared" ca="1" si="32"/>
        <v>0</v>
      </c>
      <c r="P94" s="157">
        <f t="shared" ca="1" si="32"/>
        <v>0</v>
      </c>
      <c r="Q94" s="157">
        <f t="shared" ca="1" si="32"/>
        <v>0</v>
      </c>
    </row>
    <row r="95" spans="3:19" x14ac:dyDescent="0.3">
      <c r="C95" s="85" t="s">
        <v>762</v>
      </c>
      <c r="D95" s="156">
        <f t="shared" ca="1" si="22"/>
        <v>8.3333333333333329E-2</v>
      </c>
      <c r="E95" s="157">
        <f t="shared" ca="1" si="32"/>
        <v>0</v>
      </c>
      <c r="F95" s="157">
        <f t="shared" ca="1" si="32"/>
        <v>0</v>
      </c>
      <c r="G95" s="157">
        <f t="shared" ca="1" si="32"/>
        <v>0</v>
      </c>
      <c r="H95" s="157">
        <f t="shared" ca="1" si="32"/>
        <v>1</v>
      </c>
      <c r="I95" s="157">
        <f t="shared" ca="1" si="32"/>
        <v>0</v>
      </c>
      <c r="J95" s="157">
        <f t="shared" ca="1" si="32"/>
        <v>0</v>
      </c>
      <c r="K95" s="157">
        <f t="shared" ca="1" si="32"/>
        <v>0</v>
      </c>
      <c r="L95" s="157">
        <f t="shared" ca="1" si="32"/>
        <v>0</v>
      </c>
      <c r="M95" s="157">
        <f t="shared" ca="1" si="32"/>
        <v>0</v>
      </c>
      <c r="N95" s="157">
        <f t="shared" ca="1" si="32"/>
        <v>0</v>
      </c>
      <c r="O95" s="157">
        <f t="shared" ca="1" si="32"/>
        <v>0</v>
      </c>
      <c r="P95" s="157">
        <f t="shared" ca="1" si="32"/>
        <v>0</v>
      </c>
      <c r="Q95" s="157">
        <f t="shared" ca="1" si="32"/>
        <v>0</v>
      </c>
    </row>
    <row r="96" spans="3:19" x14ac:dyDescent="0.3">
      <c r="C96" s="64" t="s">
        <v>44</v>
      </c>
      <c r="D96" s="156">
        <f t="shared" ca="1" si="22"/>
        <v>1</v>
      </c>
      <c r="E96" s="157">
        <f ca="1">E83/$D83</f>
        <v>0.10416666666666667</v>
      </c>
      <c r="F96" s="157">
        <f t="shared" ref="F96:Q96" ca="1" si="33">F83/$D83</f>
        <v>0.45</v>
      </c>
      <c r="G96" s="157">
        <f t="shared" ca="1" si="33"/>
        <v>0.12916666666666668</v>
      </c>
      <c r="H96" s="157">
        <f t="shared" ca="1" si="33"/>
        <v>0.125</v>
      </c>
      <c r="I96" s="157">
        <f t="shared" ca="1" si="33"/>
        <v>0</v>
      </c>
      <c r="J96" s="157">
        <f t="shared" ca="1" si="33"/>
        <v>0.15416666666666667</v>
      </c>
      <c r="K96" s="157">
        <f t="shared" ca="1" si="33"/>
        <v>3.7499999999999999E-2</v>
      </c>
      <c r="L96" s="157">
        <f t="shared" ca="1" si="33"/>
        <v>0</v>
      </c>
      <c r="M96" s="157">
        <f t="shared" ca="1" si="33"/>
        <v>0</v>
      </c>
      <c r="N96" s="157">
        <f t="shared" ca="1" si="33"/>
        <v>0</v>
      </c>
      <c r="O96" s="157">
        <f t="shared" ca="1" si="33"/>
        <v>0</v>
      </c>
      <c r="P96" s="157">
        <f t="shared" ca="1" si="33"/>
        <v>0</v>
      </c>
      <c r="Q96" s="157">
        <f t="shared" ca="1" si="33"/>
        <v>0</v>
      </c>
    </row>
    <row r="100" spans="10:10" x14ac:dyDescent="0.3">
      <c r="J100">
        <f>200*0.9</f>
        <v>180</v>
      </c>
    </row>
  </sheetData>
  <mergeCells count="2">
    <mergeCell ref="C38:J38"/>
    <mergeCell ref="C68:K68"/>
  </mergeCells>
  <dataValidations disablePrompts="1" count="1">
    <dataValidation type="list" allowBlank="1" showInputMessage="1" showErrorMessage="1" sqref="D18">
      <formula1>$C$41:$C$51</formula1>
    </dataValidation>
  </dataValidations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9" tint="0.59999389629810485"/>
    <pageSetUpPr autoPageBreaks="0"/>
  </sheetPr>
  <dimension ref="A1:AB67"/>
  <sheetViews>
    <sheetView showGridLines="0" zoomScale="70" zoomScaleNormal="70" workbookViewId="0">
      <selection activeCell="H11" sqref="H11"/>
    </sheetView>
  </sheetViews>
  <sheetFormatPr defaultColWidth="9.109375" defaultRowHeight="14.4" outlineLevelRow="1" outlineLevelCol="1" x14ac:dyDescent="0.3"/>
  <cols>
    <col min="1" max="1" width="3.6640625" style="143" customWidth="1"/>
    <col min="2" max="2" width="15.88671875" style="22" customWidth="1" outlineLevel="1"/>
    <col min="3" max="3" width="6" style="22" customWidth="1" outlineLevel="1"/>
    <col min="4" max="4" width="26.88671875" style="22" customWidth="1" outlineLevel="1"/>
    <col min="5" max="5" width="36.33203125" style="22" customWidth="1" outlineLevel="1"/>
    <col min="6" max="6" width="23.44140625" style="22" customWidth="1" outlineLevel="1"/>
    <col min="7" max="7" width="38.88671875" style="113" customWidth="1" outlineLevel="1"/>
    <col min="8" max="8" width="7.88671875" style="135" customWidth="1" outlineLevel="1"/>
    <col min="9" max="9" width="2" style="22" customWidth="1"/>
    <col min="10" max="10" width="11.109375" style="22" hidden="1" customWidth="1" outlineLevel="1"/>
    <col min="11" max="11" width="20.44140625" style="22" hidden="1" customWidth="1" outlineLevel="1"/>
    <col min="12" max="12" width="26.88671875" style="22" hidden="1" customWidth="1" outlineLevel="1"/>
    <col min="13" max="13" width="51.5546875" style="22" bestFit="1" customWidth="1" collapsed="1"/>
    <col min="14" max="14" width="28.88671875" style="22" bestFit="1" customWidth="1"/>
    <col min="15" max="15" width="62.33203125" style="22" customWidth="1"/>
    <col min="16" max="16" width="13.5546875" style="22" customWidth="1" outlineLevel="1"/>
    <col min="17" max="17" width="93.33203125" style="22" customWidth="1" outlineLevel="1"/>
    <col min="18" max="18" width="58.33203125" style="22" customWidth="1" outlineLevel="1"/>
    <col min="19" max="19" width="69.5546875" style="22" customWidth="1" outlineLevel="1"/>
    <col min="20" max="20" width="2.109375" style="22" customWidth="1"/>
    <col min="21" max="21" width="17.88671875" style="22" bestFit="1" customWidth="1" outlineLevel="1"/>
    <col min="22" max="22" width="17.88671875" customWidth="1" outlineLevel="1"/>
    <col min="23" max="23" width="45.44140625" customWidth="1" outlineLevel="1"/>
    <col min="24" max="24" width="2.109375" customWidth="1"/>
    <col min="25" max="25" width="22.44140625" bestFit="1" customWidth="1" outlineLevel="1"/>
    <col min="26" max="26" width="34.5546875" bestFit="1" customWidth="1" outlineLevel="1"/>
    <col min="27" max="27" width="12" customWidth="1" outlineLevel="1"/>
    <col min="28" max="28" width="15.44140625" customWidth="1" outlineLevel="1"/>
  </cols>
  <sheetData>
    <row r="1" spans="1:28" ht="15" customHeight="1" x14ac:dyDescent="0.3">
      <c r="F1"/>
      <c r="H1" s="22"/>
      <c r="I1"/>
      <c r="J1"/>
      <c r="K1"/>
      <c r="L1"/>
      <c r="M1"/>
      <c r="N1"/>
      <c r="O1"/>
      <c r="P1"/>
      <c r="Q1"/>
      <c r="R1"/>
      <c r="S1"/>
      <c r="T1"/>
      <c r="U1"/>
    </row>
    <row r="2" spans="1:28" ht="34.5" customHeight="1" x14ac:dyDescent="0.3">
      <c r="E2" s="23"/>
      <c r="F2"/>
      <c r="H2" s="22"/>
      <c r="I2"/>
      <c r="J2"/>
      <c r="K2"/>
      <c r="L2"/>
      <c r="M2"/>
      <c r="N2"/>
      <c r="O2"/>
      <c r="P2"/>
      <c r="Q2"/>
      <c r="R2"/>
      <c r="S2"/>
      <c r="T2"/>
      <c r="U2"/>
    </row>
    <row r="3" spans="1:28" ht="2.25" customHeight="1" x14ac:dyDescent="0.3">
      <c r="A3" s="181"/>
      <c r="B3" s="24"/>
      <c r="C3" s="24"/>
      <c r="D3" s="24"/>
      <c r="E3" s="24"/>
      <c r="F3" s="24"/>
      <c r="G3" s="179"/>
      <c r="H3" s="24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</row>
    <row r="4" spans="1:28" ht="15" customHeight="1" x14ac:dyDescent="0.3">
      <c r="F4"/>
      <c r="H4" s="22"/>
      <c r="I4"/>
      <c r="J4"/>
      <c r="K4"/>
      <c r="L4"/>
      <c r="M4"/>
      <c r="N4"/>
      <c r="O4"/>
      <c r="P4"/>
      <c r="Q4"/>
      <c r="R4"/>
      <c r="S4"/>
      <c r="T4"/>
      <c r="U4"/>
    </row>
    <row r="5" spans="1:28" ht="15" customHeight="1" x14ac:dyDescent="0.3">
      <c r="B5" s="25" t="s">
        <v>385</v>
      </c>
      <c r="C5" s="25"/>
      <c r="D5" s="25"/>
      <c r="F5"/>
      <c r="H5" s="22"/>
      <c r="I5"/>
      <c r="J5"/>
      <c r="K5"/>
      <c r="L5"/>
      <c r="M5"/>
      <c r="N5"/>
      <c r="O5"/>
      <c r="P5"/>
      <c r="Q5"/>
      <c r="R5"/>
      <c r="S5"/>
      <c r="T5"/>
      <c r="U5"/>
    </row>
    <row r="6" spans="1:28" ht="15" customHeight="1" x14ac:dyDescent="0.3">
      <c r="F6"/>
      <c r="H6" s="22"/>
      <c r="I6"/>
      <c r="J6"/>
      <c r="K6"/>
      <c r="L6"/>
      <c r="M6"/>
      <c r="N6"/>
      <c r="O6"/>
      <c r="P6"/>
      <c r="Q6"/>
      <c r="R6"/>
      <c r="S6"/>
      <c r="T6"/>
      <c r="U6"/>
    </row>
    <row r="7" spans="1:28" hidden="1" outlineLevel="1" x14ac:dyDescent="0.3">
      <c r="B7" s="26" t="s">
        <v>9</v>
      </c>
      <c r="C7" s="219" t="s">
        <v>811</v>
      </c>
      <c r="D7" s="219"/>
      <c r="E7" s="220"/>
      <c r="F7" s="220"/>
      <c r="G7" s="220"/>
      <c r="H7" s="220"/>
      <c r="I7" s="27"/>
      <c r="J7" s="27"/>
      <c r="K7"/>
      <c r="L7"/>
      <c r="M7"/>
      <c r="N7"/>
      <c r="O7"/>
      <c r="P7"/>
      <c r="Q7"/>
      <c r="R7"/>
      <c r="S7" s="27"/>
      <c r="T7" s="27"/>
      <c r="U7"/>
      <c r="X7" s="27"/>
    </row>
    <row r="8" spans="1:28" ht="15" hidden="1" customHeight="1" outlineLevel="1" x14ac:dyDescent="0.3">
      <c r="F8"/>
      <c r="H8" s="22"/>
      <c r="I8"/>
      <c r="J8"/>
      <c r="K8"/>
      <c r="L8"/>
      <c r="M8"/>
      <c r="N8"/>
      <c r="O8"/>
      <c r="P8"/>
      <c r="Q8"/>
      <c r="R8"/>
      <c r="S8"/>
      <c r="T8"/>
      <c r="U8"/>
    </row>
    <row r="9" spans="1:28" collapsed="1" x14ac:dyDescent="0.3">
      <c r="B9" s="221" t="s">
        <v>10</v>
      </c>
      <c r="C9" s="222"/>
      <c r="D9" s="222"/>
      <c r="E9" s="222"/>
      <c r="F9" s="222"/>
      <c r="G9" s="222"/>
      <c r="H9" s="223"/>
      <c r="I9"/>
      <c r="J9" s="224" t="s">
        <v>378</v>
      </c>
      <c r="K9" s="225"/>
      <c r="L9" s="225"/>
      <c r="M9" s="216" t="s">
        <v>12</v>
      </c>
      <c r="N9" s="217"/>
      <c r="O9" s="218"/>
      <c r="P9" s="216" t="s">
        <v>13</v>
      </c>
      <c r="Q9" s="217"/>
      <c r="R9" s="217"/>
      <c r="S9" s="218"/>
      <c r="T9"/>
      <c r="U9" s="216" t="s">
        <v>14</v>
      </c>
      <c r="V9" s="217"/>
      <c r="W9" s="218"/>
      <c r="Y9" s="216" t="s">
        <v>15</v>
      </c>
      <c r="Z9" s="217"/>
      <c r="AA9" s="217"/>
      <c r="AB9" s="218"/>
    </row>
    <row r="10" spans="1:28" x14ac:dyDescent="0.3">
      <c r="B10" s="35" t="s">
        <v>16</v>
      </c>
      <c r="C10" s="35" t="s">
        <v>17</v>
      </c>
      <c r="D10" s="35" t="s">
        <v>316</v>
      </c>
      <c r="E10" s="35" t="s">
        <v>317</v>
      </c>
      <c r="F10" s="35" t="s">
        <v>19</v>
      </c>
      <c r="G10" s="180" t="s">
        <v>20</v>
      </c>
      <c r="H10" s="35" t="s">
        <v>312</v>
      </c>
      <c r="I10"/>
      <c r="J10" s="30" t="s">
        <v>64</v>
      </c>
      <c r="K10" s="31" t="s">
        <v>169</v>
      </c>
      <c r="L10" s="31" t="s">
        <v>315</v>
      </c>
      <c r="M10" s="30" t="s">
        <v>22</v>
      </c>
      <c r="N10" s="31" t="s">
        <v>23</v>
      </c>
      <c r="O10" s="32" t="s">
        <v>24</v>
      </c>
      <c r="P10" s="33" t="s">
        <v>145</v>
      </c>
      <c r="Q10" s="34" t="s">
        <v>26</v>
      </c>
      <c r="R10" s="28" t="s">
        <v>27</v>
      </c>
      <c r="S10" s="28" t="s">
        <v>28</v>
      </c>
      <c r="T10"/>
      <c r="U10" s="36" t="s">
        <v>29</v>
      </c>
      <c r="V10" s="36" t="s">
        <v>30</v>
      </c>
      <c r="W10" s="36" t="s">
        <v>31</v>
      </c>
      <c r="Y10" s="36" t="s">
        <v>29</v>
      </c>
      <c r="Z10" s="36" t="s">
        <v>32</v>
      </c>
      <c r="AA10" s="36" t="s">
        <v>33</v>
      </c>
      <c r="AB10" s="36" t="s">
        <v>31</v>
      </c>
    </row>
    <row r="11" spans="1:28" ht="331.2" x14ac:dyDescent="0.3">
      <c r="B11" s="42" t="s">
        <v>385</v>
      </c>
      <c r="C11" s="42">
        <v>1</v>
      </c>
      <c r="D11" s="44" t="s">
        <v>299</v>
      </c>
      <c r="E11" s="42" t="s">
        <v>284</v>
      </c>
      <c r="F11" s="42" t="s">
        <v>311</v>
      </c>
      <c r="G11" s="44" t="s">
        <v>340</v>
      </c>
      <c r="H11" s="134" t="s">
        <v>327</v>
      </c>
      <c r="J11" s="44" t="s">
        <v>489</v>
      </c>
      <c r="K11" s="141" t="s">
        <v>252</v>
      </c>
      <c r="L11" s="42"/>
      <c r="M11" s="57" t="s">
        <v>154</v>
      </c>
      <c r="N11" s="57" t="s">
        <v>153</v>
      </c>
      <c r="O11" s="137" t="s">
        <v>284</v>
      </c>
      <c r="P11" s="42" t="s">
        <v>146</v>
      </c>
      <c r="Q11" s="44" t="s">
        <v>335</v>
      </c>
      <c r="R11" s="44" t="s">
        <v>490</v>
      </c>
      <c r="S11" s="44" t="s">
        <v>374</v>
      </c>
      <c r="U11" s="47" t="s">
        <v>34</v>
      </c>
      <c r="V11" s="189">
        <v>45783</v>
      </c>
      <c r="W11" s="57" t="s">
        <v>488</v>
      </c>
      <c r="X11" s="148"/>
      <c r="Y11" s="190" t="s">
        <v>56</v>
      </c>
      <c r="Z11" s="189">
        <v>45852</v>
      </c>
      <c r="AA11" s="57"/>
      <c r="AB11" s="57"/>
    </row>
    <row r="12" spans="1:28" ht="86.4" x14ac:dyDescent="0.3">
      <c r="B12" s="42" t="s">
        <v>385</v>
      </c>
      <c r="C12" s="42">
        <v>2</v>
      </c>
      <c r="D12" s="44" t="s">
        <v>254</v>
      </c>
      <c r="E12" s="42" t="s">
        <v>253</v>
      </c>
      <c r="F12" s="42" t="s">
        <v>311</v>
      </c>
      <c r="G12" s="44" t="s">
        <v>350</v>
      </c>
      <c r="H12" s="134"/>
      <c r="J12" s="44" t="s">
        <v>489</v>
      </c>
      <c r="K12" s="141" t="s">
        <v>252</v>
      </c>
      <c r="L12" s="42"/>
      <c r="M12" s="57" t="s">
        <v>154</v>
      </c>
      <c r="N12" s="58" t="s">
        <v>373</v>
      </c>
      <c r="O12" s="98" t="s">
        <v>253</v>
      </c>
      <c r="P12" s="42" t="s">
        <v>146</v>
      </c>
      <c r="Q12" s="42"/>
      <c r="R12" s="44" t="s">
        <v>432</v>
      </c>
      <c r="S12" s="44" t="s">
        <v>372</v>
      </c>
      <c r="U12" s="47" t="s">
        <v>34</v>
      </c>
      <c r="V12" s="189">
        <v>45783</v>
      </c>
      <c r="W12" s="57"/>
      <c r="X12" s="148"/>
      <c r="Y12" s="190" t="s">
        <v>56</v>
      </c>
      <c r="Z12" s="189">
        <v>45852</v>
      </c>
      <c r="AA12" s="57"/>
      <c r="AB12" s="57"/>
    </row>
    <row r="13" spans="1:28" ht="205.2" customHeight="1" x14ac:dyDescent="0.3">
      <c r="B13" s="42" t="s">
        <v>385</v>
      </c>
      <c r="C13" s="42">
        <v>3</v>
      </c>
      <c r="D13" s="113" t="s">
        <v>306</v>
      </c>
      <c r="E13" s="42" t="s">
        <v>170</v>
      </c>
      <c r="F13" s="42" t="s">
        <v>311</v>
      </c>
      <c r="G13" s="113" t="s">
        <v>351</v>
      </c>
      <c r="H13" s="134"/>
      <c r="J13" s="44" t="s">
        <v>489</v>
      </c>
      <c r="K13" s="42" t="s">
        <v>95</v>
      </c>
      <c r="L13" s="44" t="s">
        <v>68</v>
      </c>
      <c r="M13" s="58" t="s">
        <v>156</v>
      </c>
      <c r="N13" s="58" t="s">
        <v>157</v>
      </c>
      <c r="O13" s="137" t="s">
        <v>161</v>
      </c>
      <c r="P13" s="42" t="s">
        <v>146</v>
      </c>
      <c r="Q13" s="140" t="s">
        <v>336</v>
      </c>
      <c r="R13" s="119" t="s">
        <v>371</v>
      </c>
      <c r="S13" s="44" t="s">
        <v>158</v>
      </c>
      <c r="U13" s="47" t="s">
        <v>34</v>
      </c>
      <c r="V13" s="189">
        <v>45785</v>
      </c>
      <c r="W13" s="57"/>
      <c r="X13" s="148"/>
      <c r="Y13" s="190" t="s">
        <v>56</v>
      </c>
      <c r="Z13" s="189">
        <v>45852</v>
      </c>
      <c r="AA13" s="57"/>
      <c r="AB13" s="57"/>
    </row>
    <row r="14" spans="1:28" ht="28.8" x14ac:dyDescent="0.3">
      <c r="B14" s="42" t="s">
        <v>385</v>
      </c>
      <c r="C14" s="42">
        <v>4</v>
      </c>
      <c r="D14" s="44" t="s">
        <v>300</v>
      </c>
      <c r="E14" s="42" t="s">
        <v>285</v>
      </c>
      <c r="F14" s="42" t="s">
        <v>311</v>
      </c>
      <c r="G14" s="44" t="s">
        <v>337</v>
      </c>
      <c r="H14" s="134"/>
      <c r="J14" s="44" t="s">
        <v>489</v>
      </c>
      <c r="K14" s="141" t="s">
        <v>252</v>
      </c>
      <c r="L14" s="42"/>
      <c r="M14" s="57" t="s">
        <v>154</v>
      </c>
      <c r="N14" s="57" t="s">
        <v>153</v>
      </c>
      <c r="O14" s="137" t="s">
        <v>285</v>
      </c>
      <c r="P14" s="42" t="s">
        <v>146</v>
      </c>
      <c r="Q14" s="42"/>
      <c r="R14" s="42"/>
      <c r="S14" s="42"/>
      <c r="U14" s="47" t="s">
        <v>34</v>
      </c>
      <c r="V14" s="189">
        <v>45783</v>
      </c>
      <c r="W14" s="57"/>
      <c r="X14" s="148"/>
      <c r="Y14" s="190" t="s">
        <v>56</v>
      </c>
      <c r="Z14" s="189">
        <v>45852</v>
      </c>
      <c r="AA14" s="57"/>
      <c r="AB14" s="57"/>
    </row>
    <row r="15" spans="1:28" ht="28.8" x14ac:dyDescent="0.3">
      <c r="B15" s="42" t="s">
        <v>385</v>
      </c>
      <c r="C15" s="42">
        <v>5</v>
      </c>
      <c r="D15" s="44" t="s">
        <v>301</v>
      </c>
      <c r="E15" s="42" t="s">
        <v>286</v>
      </c>
      <c r="F15" s="42" t="s">
        <v>311</v>
      </c>
      <c r="G15" s="44" t="s">
        <v>444</v>
      </c>
      <c r="H15" s="134"/>
      <c r="J15" s="44" t="s">
        <v>489</v>
      </c>
      <c r="K15" s="122" t="s">
        <v>271</v>
      </c>
      <c r="L15" s="42"/>
      <c r="M15" s="57" t="s">
        <v>154</v>
      </c>
      <c r="N15" s="57" t="s">
        <v>153</v>
      </c>
      <c r="O15" s="137" t="s">
        <v>286</v>
      </c>
      <c r="P15" s="42" t="s">
        <v>146</v>
      </c>
      <c r="Q15" s="42"/>
      <c r="R15" s="42"/>
      <c r="S15" s="42"/>
      <c r="U15" s="47" t="s">
        <v>34</v>
      </c>
      <c r="V15" s="189">
        <v>45783</v>
      </c>
      <c r="W15" s="57"/>
      <c r="X15" s="148"/>
      <c r="Y15" s="190" t="s">
        <v>56</v>
      </c>
      <c r="Z15" s="189">
        <v>45852</v>
      </c>
      <c r="AA15" s="57"/>
      <c r="AB15" s="57"/>
    </row>
    <row r="16" spans="1:28" ht="28.8" x14ac:dyDescent="0.3">
      <c r="B16" s="42" t="s">
        <v>385</v>
      </c>
      <c r="C16" s="42">
        <v>6</v>
      </c>
      <c r="D16" s="44" t="s">
        <v>302</v>
      </c>
      <c r="E16" s="42" t="s">
        <v>287</v>
      </c>
      <c r="F16" s="42" t="s">
        <v>311</v>
      </c>
      <c r="G16" s="44" t="s">
        <v>445</v>
      </c>
      <c r="H16" s="134"/>
      <c r="J16" s="44" t="s">
        <v>489</v>
      </c>
      <c r="K16" s="122" t="s">
        <v>271</v>
      </c>
      <c r="L16" s="42"/>
      <c r="M16" s="57" t="s">
        <v>154</v>
      </c>
      <c r="N16" s="57" t="s">
        <v>153</v>
      </c>
      <c r="O16" s="105" t="s">
        <v>287</v>
      </c>
      <c r="P16" s="42" t="s">
        <v>146</v>
      </c>
      <c r="Q16" s="42"/>
      <c r="R16" s="42"/>
      <c r="S16" s="42"/>
      <c r="U16" s="47" t="s">
        <v>34</v>
      </c>
      <c r="V16" s="189">
        <v>45783</v>
      </c>
      <c r="W16" s="57"/>
      <c r="X16" s="148"/>
      <c r="Y16" s="190" t="s">
        <v>56</v>
      </c>
      <c r="Z16" s="189">
        <v>45852</v>
      </c>
      <c r="AA16" s="57"/>
      <c r="AB16" s="57"/>
    </row>
    <row r="17" spans="2:28" ht="28.8" x14ac:dyDescent="0.3">
      <c r="B17" s="42" t="s">
        <v>385</v>
      </c>
      <c r="C17" s="42">
        <v>7</v>
      </c>
      <c r="D17" s="44" t="s">
        <v>304</v>
      </c>
      <c r="E17" s="42" t="s">
        <v>288</v>
      </c>
      <c r="F17" s="42" t="s">
        <v>311</v>
      </c>
      <c r="G17" s="44" t="s">
        <v>446</v>
      </c>
      <c r="H17" s="134"/>
      <c r="J17" s="44" t="s">
        <v>489</v>
      </c>
      <c r="K17" s="141" t="s">
        <v>252</v>
      </c>
      <c r="L17" s="42"/>
      <c r="M17" s="57" t="s">
        <v>154</v>
      </c>
      <c r="N17" s="57" t="s">
        <v>153</v>
      </c>
      <c r="O17" s="105" t="s">
        <v>288</v>
      </c>
      <c r="P17" s="42" t="s">
        <v>146</v>
      </c>
      <c r="Q17" s="42"/>
      <c r="R17" s="42"/>
      <c r="S17" s="42"/>
      <c r="U17" s="47" t="s">
        <v>34</v>
      </c>
      <c r="V17" s="189">
        <v>45783</v>
      </c>
      <c r="W17" s="57"/>
      <c r="X17" s="148"/>
      <c r="Y17" s="190" t="s">
        <v>56</v>
      </c>
      <c r="Z17" s="189">
        <v>45852</v>
      </c>
      <c r="AA17" s="57"/>
      <c r="AB17" s="57"/>
    </row>
    <row r="18" spans="2:28" ht="28.8" x14ac:dyDescent="0.3">
      <c r="B18" s="42" t="s">
        <v>385</v>
      </c>
      <c r="C18" s="42">
        <v>8</v>
      </c>
      <c r="D18" s="44" t="s">
        <v>303</v>
      </c>
      <c r="E18" s="42" t="s">
        <v>289</v>
      </c>
      <c r="F18" s="42" t="s">
        <v>311</v>
      </c>
      <c r="G18" s="44" t="s">
        <v>338</v>
      </c>
      <c r="H18" s="134"/>
      <c r="J18" s="44" t="s">
        <v>489</v>
      </c>
      <c r="K18" s="141" t="s">
        <v>252</v>
      </c>
      <c r="L18" s="42"/>
      <c r="M18" s="57" t="s">
        <v>154</v>
      </c>
      <c r="N18" s="57" t="s">
        <v>153</v>
      </c>
      <c r="O18" s="105" t="s">
        <v>289</v>
      </c>
      <c r="P18" s="42" t="s">
        <v>146</v>
      </c>
      <c r="Q18" s="42"/>
      <c r="R18" s="42"/>
      <c r="S18" s="42"/>
      <c r="U18" s="47" t="s">
        <v>34</v>
      </c>
      <c r="V18" s="189">
        <v>45783</v>
      </c>
      <c r="W18" s="57"/>
      <c r="X18" s="148"/>
      <c r="Y18" s="190" t="s">
        <v>56</v>
      </c>
      <c r="Z18" s="189">
        <v>45852</v>
      </c>
      <c r="AA18" s="57"/>
      <c r="AB18" s="57"/>
    </row>
    <row r="19" spans="2:28" ht="28.8" x14ac:dyDescent="0.3">
      <c r="B19" s="42" t="s">
        <v>385</v>
      </c>
      <c r="C19" s="42">
        <v>9</v>
      </c>
      <c r="D19" s="44" t="s">
        <v>305</v>
      </c>
      <c r="E19" s="42" t="s">
        <v>290</v>
      </c>
      <c r="F19" s="42" t="s">
        <v>311</v>
      </c>
      <c r="G19" s="44" t="s">
        <v>339</v>
      </c>
      <c r="H19" s="134"/>
      <c r="J19" s="44" t="s">
        <v>489</v>
      </c>
      <c r="K19" s="141" t="s">
        <v>252</v>
      </c>
      <c r="L19" s="42"/>
      <c r="M19" s="57" t="s">
        <v>154</v>
      </c>
      <c r="N19" s="57" t="s">
        <v>153</v>
      </c>
      <c r="O19" s="105" t="s">
        <v>290</v>
      </c>
      <c r="P19" s="42" t="s">
        <v>146</v>
      </c>
      <c r="Q19" s="42"/>
      <c r="R19" s="42"/>
      <c r="S19" s="42"/>
      <c r="U19" s="47" t="s">
        <v>34</v>
      </c>
      <c r="V19" s="189">
        <v>45783</v>
      </c>
      <c r="W19" s="57"/>
      <c r="X19" s="148"/>
      <c r="Y19" s="190" t="s">
        <v>56</v>
      </c>
      <c r="Z19" s="189">
        <v>45852</v>
      </c>
      <c r="AA19" s="57"/>
      <c r="AB19" s="57"/>
    </row>
    <row r="20" spans="2:28" ht="57.6" x14ac:dyDescent="0.3">
      <c r="B20" s="42" t="s">
        <v>385</v>
      </c>
      <c r="C20" s="42">
        <v>10</v>
      </c>
      <c r="D20" s="44" t="s">
        <v>356</v>
      </c>
      <c r="E20" s="42" t="s">
        <v>291</v>
      </c>
      <c r="F20" s="42" t="s">
        <v>311</v>
      </c>
      <c r="G20" s="44" t="s">
        <v>447</v>
      </c>
      <c r="H20" s="134"/>
      <c r="J20" s="44" t="s">
        <v>489</v>
      </c>
      <c r="K20" s="141" t="s">
        <v>252</v>
      </c>
      <c r="L20" s="42"/>
      <c r="M20" s="57" t="s">
        <v>341</v>
      </c>
      <c r="N20" s="57" t="s">
        <v>342</v>
      </c>
      <c r="O20" s="136" t="s">
        <v>291</v>
      </c>
      <c r="P20" s="42" t="s">
        <v>146</v>
      </c>
      <c r="Q20" s="140" t="s">
        <v>343</v>
      </c>
      <c r="R20" s="42"/>
      <c r="S20" s="42"/>
      <c r="U20" s="47" t="s">
        <v>34</v>
      </c>
      <c r="V20" s="189">
        <v>45783</v>
      </c>
      <c r="W20" s="57"/>
      <c r="X20" s="148"/>
      <c r="Y20" s="190" t="s">
        <v>56</v>
      </c>
      <c r="Z20" s="189">
        <v>45852</v>
      </c>
      <c r="AA20" s="57"/>
      <c r="AB20" s="57"/>
    </row>
    <row r="21" spans="2:28" ht="115.2" x14ac:dyDescent="0.3">
      <c r="B21" s="42" t="s">
        <v>385</v>
      </c>
      <c r="C21" s="42">
        <v>11</v>
      </c>
      <c r="D21" s="44" t="s">
        <v>437</v>
      </c>
      <c r="E21" s="42" t="s">
        <v>436</v>
      </c>
      <c r="F21" s="42" t="s">
        <v>311</v>
      </c>
      <c r="G21" s="44" t="s">
        <v>448</v>
      </c>
      <c r="H21" s="134"/>
      <c r="J21" s="44"/>
      <c r="K21" s="122"/>
      <c r="L21" s="42"/>
      <c r="M21" s="57" t="s">
        <v>438</v>
      </c>
      <c r="N21" s="57" t="s">
        <v>439</v>
      </c>
      <c r="O21" s="109" t="s">
        <v>487</v>
      </c>
      <c r="P21" s="42"/>
      <c r="Q21" s="140"/>
      <c r="R21" s="44" t="s">
        <v>440</v>
      </c>
      <c r="S21" s="42"/>
      <c r="U21" s="47" t="s">
        <v>34</v>
      </c>
      <c r="V21" s="189">
        <v>45820</v>
      </c>
      <c r="W21" s="57" t="s">
        <v>488</v>
      </c>
      <c r="X21" s="148"/>
      <c r="Y21" s="190" t="s">
        <v>56</v>
      </c>
      <c r="Z21" s="189">
        <v>45852</v>
      </c>
      <c r="AA21" s="57"/>
      <c r="AB21" s="57"/>
    </row>
    <row r="22" spans="2:28" ht="230.4" x14ac:dyDescent="0.3">
      <c r="B22" s="42" t="s">
        <v>385</v>
      </c>
      <c r="C22" s="42">
        <v>12</v>
      </c>
      <c r="D22" s="44" t="s">
        <v>227</v>
      </c>
      <c r="E22" s="42" t="s">
        <v>228</v>
      </c>
      <c r="F22" s="42" t="s">
        <v>311</v>
      </c>
      <c r="G22" s="44" t="s">
        <v>449</v>
      </c>
      <c r="H22" s="134"/>
      <c r="J22" s="44" t="s">
        <v>489</v>
      </c>
      <c r="K22" s="42" t="s">
        <v>96</v>
      </c>
      <c r="L22" s="44" t="s">
        <v>313</v>
      </c>
      <c r="M22" s="42" t="s">
        <v>154</v>
      </c>
      <c r="N22" s="42" t="s">
        <v>153</v>
      </c>
      <c r="O22" s="96" t="s">
        <v>384</v>
      </c>
      <c r="P22" s="42" t="s">
        <v>146</v>
      </c>
      <c r="Q22" s="42"/>
      <c r="R22" s="44"/>
      <c r="S22" s="42"/>
      <c r="U22" s="47" t="s">
        <v>34</v>
      </c>
      <c r="V22" s="189">
        <v>45785</v>
      </c>
      <c r="W22" s="57"/>
      <c r="X22" s="148"/>
      <c r="Y22" s="190" t="s">
        <v>56</v>
      </c>
      <c r="Z22" s="189">
        <v>45852</v>
      </c>
      <c r="AA22" s="57"/>
      <c r="AB22" s="57"/>
    </row>
    <row r="23" spans="2:28" ht="43.2" x14ac:dyDescent="0.3">
      <c r="B23" s="42" t="s">
        <v>385</v>
      </c>
      <c r="C23" s="42">
        <v>13</v>
      </c>
      <c r="D23" s="44" t="s">
        <v>215</v>
      </c>
      <c r="E23" s="105" t="s">
        <v>344</v>
      </c>
      <c r="F23" s="42" t="s">
        <v>311</v>
      </c>
      <c r="G23" s="44" t="s">
        <v>347</v>
      </c>
      <c r="H23" s="134"/>
      <c r="J23" s="44" t="s">
        <v>489</v>
      </c>
      <c r="K23" s="42" t="s">
        <v>185</v>
      </c>
      <c r="L23" s="44" t="s">
        <v>72</v>
      </c>
      <c r="M23" s="44" t="s">
        <v>159</v>
      </c>
      <c r="N23" s="44" t="s">
        <v>160</v>
      </c>
      <c r="O23" s="105" t="s">
        <v>344</v>
      </c>
      <c r="P23" s="42" t="s">
        <v>146</v>
      </c>
      <c r="Q23" s="42"/>
      <c r="R23" s="44" t="s">
        <v>383</v>
      </c>
      <c r="S23" s="42"/>
      <c r="U23" s="47" t="s">
        <v>34</v>
      </c>
      <c r="V23" s="189">
        <v>45785</v>
      </c>
      <c r="W23" s="57"/>
      <c r="X23" s="148"/>
      <c r="Y23" s="190" t="s">
        <v>56</v>
      </c>
      <c r="Z23" s="189">
        <v>45852</v>
      </c>
      <c r="AA23" s="57"/>
      <c r="AB23" s="57"/>
    </row>
    <row r="24" spans="2:28" ht="43.2" x14ac:dyDescent="0.3">
      <c r="B24" s="42" t="s">
        <v>385</v>
      </c>
      <c r="C24" s="42">
        <v>14</v>
      </c>
      <c r="D24" s="44" t="s">
        <v>412</v>
      </c>
      <c r="E24" s="105" t="s">
        <v>395</v>
      </c>
      <c r="F24" s="42" t="s">
        <v>311</v>
      </c>
      <c r="G24" s="44" t="s">
        <v>450</v>
      </c>
      <c r="H24" s="134"/>
      <c r="J24" s="44"/>
      <c r="K24" s="42"/>
      <c r="L24" s="44"/>
      <c r="M24" s="44" t="s">
        <v>159</v>
      </c>
      <c r="N24" s="44" t="s">
        <v>160</v>
      </c>
      <c r="O24" s="96" t="s">
        <v>415</v>
      </c>
      <c r="P24" s="42"/>
      <c r="Q24" s="42"/>
      <c r="R24" s="44"/>
      <c r="S24" s="42"/>
      <c r="U24" s="47" t="s">
        <v>34</v>
      </c>
      <c r="V24" s="189"/>
      <c r="W24" s="57"/>
      <c r="X24" s="148"/>
      <c r="Y24" s="190" t="s">
        <v>56</v>
      </c>
      <c r="Z24" s="189">
        <v>45852</v>
      </c>
      <c r="AA24" s="57"/>
      <c r="AB24" s="57"/>
    </row>
    <row r="25" spans="2:28" ht="86.4" x14ac:dyDescent="0.3">
      <c r="B25" s="42" t="s">
        <v>385</v>
      </c>
      <c r="C25" s="42">
        <v>15</v>
      </c>
      <c r="D25" s="44" t="s">
        <v>414</v>
      </c>
      <c r="E25" s="105" t="s">
        <v>413</v>
      </c>
      <c r="F25" s="42" t="s">
        <v>311</v>
      </c>
      <c r="G25" s="44" t="s">
        <v>451</v>
      </c>
      <c r="H25" s="134"/>
      <c r="J25" s="44"/>
      <c r="K25" s="42"/>
      <c r="L25" s="44"/>
      <c r="M25" s="44" t="s">
        <v>159</v>
      </c>
      <c r="N25" s="44" t="s">
        <v>160</v>
      </c>
      <c r="O25" s="96" t="s">
        <v>416</v>
      </c>
      <c r="P25" s="42"/>
      <c r="Q25" s="42"/>
      <c r="R25" s="44"/>
      <c r="S25" s="42"/>
      <c r="U25" s="47" t="s">
        <v>34</v>
      </c>
      <c r="V25" s="189"/>
      <c r="W25" s="57"/>
      <c r="X25" s="148"/>
      <c r="Y25" s="190" t="s">
        <v>56</v>
      </c>
      <c r="Z25" s="189">
        <v>45852</v>
      </c>
      <c r="AA25" s="57"/>
      <c r="AB25" s="57"/>
    </row>
    <row r="26" spans="2:28" ht="123" customHeight="1" x14ac:dyDescent="0.3">
      <c r="B26" s="42" t="s">
        <v>385</v>
      </c>
      <c r="C26" s="42">
        <v>16</v>
      </c>
      <c r="D26" s="44" t="s">
        <v>192</v>
      </c>
      <c r="E26" s="44" t="s">
        <v>422</v>
      </c>
      <c r="F26" s="42" t="s">
        <v>311</v>
      </c>
      <c r="G26" s="44" t="s">
        <v>452</v>
      </c>
      <c r="H26" s="134"/>
      <c r="J26" s="44" t="s">
        <v>489</v>
      </c>
      <c r="K26" s="42" t="s">
        <v>204</v>
      </c>
      <c r="L26" s="44" t="s">
        <v>84</v>
      </c>
      <c r="M26" s="120" t="s">
        <v>690</v>
      </c>
      <c r="N26" s="120" t="s">
        <v>689</v>
      </c>
      <c r="O26" s="44" t="s">
        <v>692</v>
      </c>
      <c r="P26" s="42" t="s">
        <v>147</v>
      </c>
      <c r="Q26" s="42"/>
      <c r="R26" s="44"/>
      <c r="S26" s="44" t="s">
        <v>691</v>
      </c>
      <c r="U26" s="47" t="s">
        <v>34</v>
      </c>
      <c r="V26" s="189">
        <v>45908</v>
      </c>
      <c r="W26" s="191" t="s">
        <v>695</v>
      </c>
      <c r="X26" s="148"/>
      <c r="Y26" s="192" t="s">
        <v>58</v>
      </c>
      <c r="Z26" s="189">
        <v>45852</v>
      </c>
      <c r="AA26" s="57"/>
      <c r="AB26" s="57"/>
    </row>
    <row r="27" spans="2:28" ht="121.8" customHeight="1" x14ac:dyDescent="0.3">
      <c r="B27" s="42" t="s">
        <v>385</v>
      </c>
      <c r="C27" s="42">
        <v>17</v>
      </c>
      <c r="D27" s="44" t="s">
        <v>194</v>
      </c>
      <c r="E27" s="44" t="s">
        <v>423</v>
      </c>
      <c r="F27" s="42" t="s">
        <v>311</v>
      </c>
      <c r="G27" s="44" t="s">
        <v>453</v>
      </c>
      <c r="H27" s="134"/>
      <c r="J27" s="44" t="s">
        <v>489</v>
      </c>
      <c r="K27" s="42" t="s">
        <v>205</v>
      </c>
      <c r="L27" s="44" t="s">
        <v>84</v>
      </c>
      <c r="M27" s="120" t="s">
        <v>690</v>
      </c>
      <c r="N27" s="120" t="s">
        <v>689</v>
      </c>
      <c r="O27" s="44" t="s">
        <v>693</v>
      </c>
      <c r="P27" s="42" t="s">
        <v>147</v>
      </c>
      <c r="Q27" s="42"/>
      <c r="R27" s="44"/>
      <c r="S27" s="44" t="s">
        <v>691</v>
      </c>
      <c r="U27" s="47" t="s">
        <v>34</v>
      </c>
      <c r="V27" s="189">
        <v>45908</v>
      </c>
      <c r="W27" s="191" t="s">
        <v>695</v>
      </c>
      <c r="X27" s="148"/>
      <c r="Y27" s="192" t="s">
        <v>58</v>
      </c>
      <c r="Z27" s="189">
        <v>45852</v>
      </c>
      <c r="AA27" s="57"/>
      <c r="AB27" s="57"/>
    </row>
    <row r="28" spans="2:28" ht="118.8" customHeight="1" x14ac:dyDescent="0.3">
      <c r="B28" s="42" t="s">
        <v>385</v>
      </c>
      <c r="C28" s="42">
        <v>18</v>
      </c>
      <c r="D28" s="44" t="s">
        <v>195</v>
      </c>
      <c r="E28" s="44" t="s">
        <v>424</v>
      </c>
      <c r="F28" s="42" t="s">
        <v>311</v>
      </c>
      <c r="G28" s="44" t="s">
        <v>454</v>
      </c>
      <c r="H28" s="134"/>
      <c r="J28" s="44" t="s">
        <v>489</v>
      </c>
      <c r="K28" s="42" t="s">
        <v>206</v>
      </c>
      <c r="L28" s="44" t="s">
        <v>84</v>
      </c>
      <c r="M28" s="120" t="s">
        <v>690</v>
      </c>
      <c r="N28" s="120" t="s">
        <v>689</v>
      </c>
      <c r="O28" s="44" t="s">
        <v>694</v>
      </c>
      <c r="P28" s="42" t="s">
        <v>147</v>
      </c>
      <c r="Q28" s="44"/>
      <c r="R28" s="44"/>
      <c r="S28" s="44" t="s">
        <v>691</v>
      </c>
      <c r="U28" s="47" t="s">
        <v>34</v>
      </c>
      <c r="V28" s="189">
        <v>45908</v>
      </c>
      <c r="W28" s="191" t="s">
        <v>695</v>
      </c>
      <c r="X28" s="148"/>
      <c r="Y28" s="192" t="s">
        <v>58</v>
      </c>
      <c r="Z28" s="189">
        <v>45852</v>
      </c>
      <c r="AA28" s="57"/>
      <c r="AB28" s="57"/>
    </row>
    <row r="29" spans="2:28" ht="316.8" x14ac:dyDescent="0.3">
      <c r="B29" s="42" t="s">
        <v>385</v>
      </c>
      <c r="C29" s="42">
        <v>19</v>
      </c>
      <c r="D29" s="44" t="s">
        <v>196</v>
      </c>
      <c r="E29" s="44" t="s">
        <v>393</v>
      </c>
      <c r="F29" s="42" t="s">
        <v>410</v>
      </c>
      <c r="G29" s="44" t="s">
        <v>196</v>
      </c>
      <c r="H29" s="134"/>
      <c r="J29" s="44" t="s">
        <v>489</v>
      </c>
      <c r="K29" s="42" t="s">
        <v>207</v>
      </c>
      <c r="L29" s="44" t="s">
        <v>322</v>
      </c>
      <c r="M29" s="120" t="s">
        <v>810</v>
      </c>
      <c r="N29" s="120" t="s">
        <v>160</v>
      </c>
      <c r="O29" s="120" t="s">
        <v>634</v>
      </c>
      <c r="P29" s="141" t="s">
        <v>146</v>
      </c>
      <c r="Q29" s="141"/>
      <c r="R29" s="142" t="s">
        <v>377</v>
      </c>
      <c r="S29" s="120" t="s">
        <v>376</v>
      </c>
      <c r="U29" s="47" t="s">
        <v>34</v>
      </c>
      <c r="V29" s="189">
        <v>45790</v>
      </c>
      <c r="W29" s="58" t="s">
        <v>387</v>
      </c>
      <c r="X29" s="148"/>
      <c r="Y29" s="190" t="s">
        <v>56</v>
      </c>
      <c r="Z29" s="189">
        <v>45852</v>
      </c>
      <c r="AA29" s="57"/>
      <c r="AB29" s="57"/>
    </row>
    <row r="30" spans="2:28" ht="144" x14ac:dyDescent="0.3">
      <c r="B30" s="42" t="s">
        <v>385</v>
      </c>
      <c r="C30" s="42">
        <v>20</v>
      </c>
      <c r="D30" s="44" t="s">
        <v>197</v>
      </c>
      <c r="E30" s="42" t="s">
        <v>411</v>
      </c>
      <c r="F30" s="42" t="s">
        <v>410</v>
      </c>
      <c r="G30" s="44" t="s">
        <v>402</v>
      </c>
      <c r="H30" s="134"/>
      <c r="J30" s="44" t="s">
        <v>489</v>
      </c>
      <c r="K30" s="42" t="s">
        <v>208</v>
      </c>
      <c r="L30" s="44" t="s">
        <v>321</v>
      </c>
      <c r="M30" s="120" t="s">
        <v>159</v>
      </c>
      <c r="N30" s="120" t="s">
        <v>160</v>
      </c>
      <c r="O30" s="120" t="s">
        <v>635</v>
      </c>
      <c r="P30" s="141" t="s">
        <v>146</v>
      </c>
      <c r="Q30" s="120"/>
      <c r="R30" s="120"/>
      <c r="S30" s="120"/>
      <c r="U30" s="47" t="s">
        <v>34</v>
      </c>
      <c r="V30" s="189">
        <v>45797</v>
      </c>
      <c r="W30" s="58" t="s">
        <v>388</v>
      </c>
      <c r="X30" s="148"/>
      <c r="Y30" s="190" t="s">
        <v>56</v>
      </c>
      <c r="Z30" s="189">
        <v>45852</v>
      </c>
      <c r="AA30" s="57"/>
      <c r="AB30" s="57"/>
    </row>
    <row r="31" spans="2:28" ht="288" x14ac:dyDescent="0.3">
      <c r="B31" s="42" t="s">
        <v>385</v>
      </c>
      <c r="C31" s="42">
        <v>21</v>
      </c>
      <c r="D31" s="44" t="s">
        <v>198</v>
      </c>
      <c r="E31" s="44" t="s">
        <v>392</v>
      </c>
      <c r="F31" s="42" t="s">
        <v>311</v>
      </c>
      <c r="G31" s="44" t="s">
        <v>403</v>
      </c>
      <c r="H31" s="134"/>
      <c r="J31" s="44" t="s">
        <v>489</v>
      </c>
      <c r="K31" s="42" t="s">
        <v>209</v>
      </c>
      <c r="L31" s="120" t="s">
        <v>379</v>
      </c>
      <c r="M31" s="120" t="s">
        <v>159</v>
      </c>
      <c r="N31" s="120" t="s">
        <v>160</v>
      </c>
      <c r="O31" s="44" t="s">
        <v>611</v>
      </c>
      <c r="P31" s="141" t="s">
        <v>147</v>
      </c>
      <c r="Q31" s="141"/>
      <c r="R31" s="120"/>
      <c r="S31" s="120"/>
      <c r="U31" s="47" t="s">
        <v>34</v>
      </c>
      <c r="V31" s="189">
        <v>45806</v>
      </c>
      <c r="W31" s="58" t="s">
        <v>421</v>
      </c>
      <c r="X31" s="148"/>
      <c r="Y31" s="190" t="s">
        <v>56</v>
      </c>
      <c r="Z31" s="189">
        <v>45852</v>
      </c>
      <c r="AA31" s="57"/>
      <c r="AB31" s="57"/>
    </row>
    <row r="32" spans="2:28" ht="172.8" x14ac:dyDescent="0.3">
      <c r="B32" s="42" t="s">
        <v>385</v>
      </c>
      <c r="C32" s="42">
        <v>22</v>
      </c>
      <c r="D32" s="44" t="s">
        <v>199</v>
      </c>
      <c r="E32" s="44" t="s">
        <v>394</v>
      </c>
      <c r="F32" s="42" t="s">
        <v>410</v>
      </c>
      <c r="G32" s="44" t="s">
        <v>455</v>
      </c>
      <c r="H32" s="134"/>
      <c r="J32" s="44" t="s">
        <v>489</v>
      </c>
      <c r="K32" s="42" t="s">
        <v>210</v>
      </c>
      <c r="L32" s="120" t="s">
        <v>85</v>
      </c>
      <c r="M32" s="120" t="s">
        <v>159</v>
      </c>
      <c r="N32" s="120" t="s">
        <v>160</v>
      </c>
      <c r="O32" s="142" t="s">
        <v>636</v>
      </c>
      <c r="P32" s="120" t="s">
        <v>150</v>
      </c>
      <c r="Q32" s="141"/>
      <c r="R32" s="120" t="s">
        <v>380</v>
      </c>
      <c r="S32" s="120"/>
      <c r="U32" s="47" t="s">
        <v>34</v>
      </c>
      <c r="V32" s="189">
        <v>45785</v>
      </c>
      <c r="W32" s="57"/>
      <c r="X32" s="148"/>
      <c r="Y32" s="190" t="s">
        <v>56</v>
      </c>
      <c r="Z32" s="189">
        <v>45852</v>
      </c>
      <c r="AA32" s="57"/>
      <c r="AB32" s="57"/>
    </row>
    <row r="33" spans="1:28" ht="201.6" x14ac:dyDescent="0.3">
      <c r="B33" s="42" t="s">
        <v>385</v>
      </c>
      <c r="C33" s="42">
        <v>23</v>
      </c>
      <c r="D33" s="44" t="s">
        <v>86</v>
      </c>
      <c r="E33" s="42" t="s">
        <v>397</v>
      </c>
      <c r="F33" s="42" t="s">
        <v>311</v>
      </c>
      <c r="G33" s="44" t="s">
        <v>404</v>
      </c>
      <c r="H33" s="134"/>
      <c r="J33" s="44" t="s">
        <v>489</v>
      </c>
      <c r="K33" s="42" t="s">
        <v>211</v>
      </c>
      <c r="L33" s="44" t="s">
        <v>318</v>
      </c>
      <c r="M33" s="141" t="s">
        <v>435</v>
      </c>
      <c r="N33" s="141" t="s">
        <v>152</v>
      </c>
      <c r="O33" s="120" t="s">
        <v>382</v>
      </c>
      <c r="P33" s="141" t="s">
        <v>147</v>
      </c>
      <c r="Q33" s="141"/>
      <c r="R33" s="120" t="s">
        <v>168</v>
      </c>
      <c r="S33" s="120" t="s">
        <v>167</v>
      </c>
      <c r="U33" s="47" t="s">
        <v>34</v>
      </c>
      <c r="V33" s="189">
        <v>45783</v>
      </c>
      <c r="W33" s="193"/>
      <c r="X33" s="148"/>
      <c r="Y33" s="190" t="s">
        <v>56</v>
      </c>
      <c r="Z33" s="189">
        <v>45852</v>
      </c>
      <c r="AA33" s="57"/>
      <c r="AB33" s="57"/>
    </row>
    <row r="34" spans="1:28" ht="187.2" x14ac:dyDescent="0.3">
      <c r="B34" s="42" t="s">
        <v>385</v>
      </c>
      <c r="C34" s="42">
        <v>24</v>
      </c>
      <c r="D34" s="44" t="s">
        <v>200</v>
      </c>
      <c r="E34" s="42" t="s">
        <v>398</v>
      </c>
      <c r="F34" s="42" t="s">
        <v>354</v>
      </c>
      <c r="G34" s="44" t="s">
        <v>406</v>
      </c>
      <c r="H34" s="134"/>
      <c r="J34" s="44" t="s">
        <v>489</v>
      </c>
      <c r="K34" s="42" t="s">
        <v>212</v>
      </c>
      <c r="L34" s="44" t="s">
        <v>319</v>
      </c>
      <c r="M34" s="141" t="s">
        <v>435</v>
      </c>
      <c r="N34" s="141" t="s">
        <v>152</v>
      </c>
      <c r="O34" s="120" t="s">
        <v>431</v>
      </c>
      <c r="P34" s="141" t="s">
        <v>147</v>
      </c>
      <c r="Q34" s="141"/>
      <c r="R34" s="120"/>
      <c r="S34" s="120" t="s">
        <v>167</v>
      </c>
      <c r="U34" s="47" t="s">
        <v>34</v>
      </c>
      <c r="V34" s="189">
        <v>45783</v>
      </c>
      <c r="W34" s="193"/>
      <c r="X34" s="148"/>
      <c r="Y34" s="190" t="s">
        <v>56</v>
      </c>
      <c r="Z34" s="189">
        <v>45852</v>
      </c>
      <c r="AA34" s="57"/>
      <c r="AB34" s="57"/>
    </row>
    <row r="35" spans="1:28" ht="201.6" x14ac:dyDescent="0.3">
      <c r="B35" s="42" t="s">
        <v>385</v>
      </c>
      <c r="C35" s="42">
        <v>25</v>
      </c>
      <c r="D35" s="44" t="s">
        <v>87</v>
      </c>
      <c r="E35" s="44" t="s">
        <v>399</v>
      </c>
      <c r="F35" s="42" t="s">
        <v>311</v>
      </c>
      <c r="G35" s="44" t="s">
        <v>405</v>
      </c>
      <c r="H35" s="134"/>
      <c r="J35" s="44" t="s">
        <v>489</v>
      </c>
      <c r="K35" s="42" t="s">
        <v>213</v>
      </c>
      <c r="L35" s="44" t="s">
        <v>318</v>
      </c>
      <c r="M35" s="141" t="s">
        <v>435</v>
      </c>
      <c r="N35" s="141" t="s">
        <v>152</v>
      </c>
      <c r="O35" s="120" t="s">
        <v>381</v>
      </c>
      <c r="P35" s="141" t="s">
        <v>147</v>
      </c>
      <c r="Q35" s="141"/>
      <c r="R35" s="120"/>
      <c r="S35" s="120" t="s">
        <v>167</v>
      </c>
      <c r="U35" s="47" t="s">
        <v>34</v>
      </c>
      <c r="V35" s="189">
        <v>45783</v>
      </c>
      <c r="W35" s="193"/>
      <c r="X35" s="148"/>
      <c r="Y35" s="190" t="s">
        <v>56</v>
      </c>
      <c r="Z35" s="189">
        <v>45852</v>
      </c>
      <c r="AA35" s="57"/>
      <c r="AB35" s="57"/>
    </row>
    <row r="36" spans="1:28" ht="201.6" x14ac:dyDescent="0.3">
      <c r="B36" s="42" t="s">
        <v>385</v>
      </c>
      <c r="C36" s="42">
        <v>26</v>
      </c>
      <c r="D36" s="44" t="s">
        <v>201</v>
      </c>
      <c r="E36" s="44" t="s">
        <v>400</v>
      </c>
      <c r="F36" s="42" t="s">
        <v>311</v>
      </c>
      <c r="G36" s="44" t="s">
        <v>456</v>
      </c>
      <c r="H36" s="134"/>
      <c r="J36" s="44" t="s">
        <v>489</v>
      </c>
      <c r="K36" s="42" t="s">
        <v>214</v>
      </c>
      <c r="L36" s="44" t="s">
        <v>318</v>
      </c>
      <c r="M36" s="141" t="s">
        <v>435</v>
      </c>
      <c r="N36" s="141" t="s">
        <v>152</v>
      </c>
      <c r="O36" s="120" t="s">
        <v>434</v>
      </c>
      <c r="P36" s="141" t="s">
        <v>147</v>
      </c>
      <c r="Q36" s="141"/>
      <c r="R36" s="141"/>
      <c r="S36" s="120" t="s">
        <v>167</v>
      </c>
      <c r="U36" s="47" t="s">
        <v>34</v>
      </c>
      <c r="V36" s="189">
        <v>45783</v>
      </c>
      <c r="W36" s="191" t="s">
        <v>433</v>
      </c>
      <c r="X36" s="148"/>
      <c r="Y36" s="190" t="s">
        <v>56</v>
      </c>
      <c r="Z36" s="189">
        <v>45852</v>
      </c>
      <c r="AA36" s="57"/>
      <c r="AB36" s="57"/>
    </row>
    <row r="37" spans="1:28" ht="86.4" x14ac:dyDescent="0.3">
      <c r="B37" s="42" t="s">
        <v>385</v>
      </c>
      <c r="C37" s="42">
        <v>27</v>
      </c>
      <c r="D37" s="44" t="s">
        <v>217</v>
      </c>
      <c r="E37" s="42" t="s">
        <v>396</v>
      </c>
      <c r="F37" s="42" t="s">
        <v>410</v>
      </c>
      <c r="G37" s="44" t="s">
        <v>408</v>
      </c>
      <c r="H37" s="134"/>
      <c r="J37" s="44" t="s">
        <v>489</v>
      </c>
      <c r="K37" s="42" t="s">
        <v>241</v>
      </c>
      <c r="L37" s="44" t="s">
        <v>314</v>
      </c>
      <c r="M37" s="44" t="s">
        <v>159</v>
      </c>
      <c r="N37" s="44" t="s">
        <v>160</v>
      </c>
      <c r="O37" s="44" t="s">
        <v>389</v>
      </c>
      <c r="P37" s="44"/>
      <c r="Q37" s="44"/>
      <c r="R37" s="42"/>
      <c r="S37" s="42"/>
      <c r="U37" s="47" t="s">
        <v>34</v>
      </c>
      <c r="V37" s="189">
        <v>45797</v>
      </c>
      <c r="W37" s="194" t="s">
        <v>734</v>
      </c>
      <c r="X37" s="148"/>
      <c r="Y37" s="190" t="s">
        <v>56</v>
      </c>
      <c r="Z37" s="189">
        <v>45852</v>
      </c>
      <c r="AA37" s="57"/>
      <c r="AB37" s="57"/>
    </row>
    <row r="38" spans="1:28" ht="216" x14ac:dyDescent="0.3">
      <c r="B38" s="42" t="s">
        <v>385</v>
      </c>
      <c r="C38" s="42">
        <v>28</v>
      </c>
      <c r="D38" s="44" t="s">
        <v>90</v>
      </c>
      <c r="E38" s="42" t="s">
        <v>401</v>
      </c>
      <c r="F38" s="42" t="s">
        <v>410</v>
      </c>
      <c r="G38" s="44" t="s">
        <v>407</v>
      </c>
      <c r="H38" s="134"/>
      <c r="J38" s="44" t="s">
        <v>489</v>
      </c>
      <c r="K38" s="42" t="s">
        <v>292</v>
      </c>
      <c r="L38" s="44" t="s">
        <v>320</v>
      </c>
      <c r="M38" s="44" t="s">
        <v>159</v>
      </c>
      <c r="N38" s="44" t="s">
        <v>160</v>
      </c>
      <c r="O38" s="120" t="s">
        <v>390</v>
      </c>
      <c r="P38" s="141" t="s">
        <v>147</v>
      </c>
      <c r="Q38" s="141"/>
      <c r="R38" s="141"/>
      <c r="S38" s="120"/>
      <c r="U38" s="47" t="s">
        <v>34</v>
      </c>
      <c r="V38" s="189">
        <v>45797</v>
      </c>
      <c r="W38" s="193"/>
      <c r="X38" s="148"/>
      <c r="Y38" s="190" t="s">
        <v>56</v>
      </c>
      <c r="Z38" s="189">
        <v>45852</v>
      </c>
      <c r="AA38" s="57"/>
      <c r="AB38" s="57"/>
    </row>
    <row r="39" spans="1:28" ht="316.8" x14ac:dyDescent="0.3">
      <c r="B39" s="42" t="s">
        <v>385</v>
      </c>
      <c r="C39" s="42">
        <v>29</v>
      </c>
      <c r="D39" s="44" t="s">
        <v>293</v>
      </c>
      <c r="E39" s="42" t="s">
        <v>179</v>
      </c>
      <c r="F39" s="42" t="s">
        <v>311</v>
      </c>
      <c r="G39" s="44" t="s">
        <v>457</v>
      </c>
      <c r="H39" s="134"/>
      <c r="J39" s="44" t="s">
        <v>489</v>
      </c>
      <c r="K39" s="42" t="s">
        <v>186</v>
      </c>
      <c r="L39" s="44" t="s">
        <v>92</v>
      </c>
      <c r="M39" s="42" t="s">
        <v>435</v>
      </c>
      <c r="N39" s="42" t="s">
        <v>152</v>
      </c>
      <c r="O39" s="44" t="s">
        <v>473</v>
      </c>
      <c r="P39" s="42" t="s">
        <v>147</v>
      </c>
      <c r="Q39" s="42"/>
      <c r="R39" s="42"/>
      <c r="S39" s="44" t="s">
        <v>143</v>
      </c>
      <c r="U39" s="47" t="s">
        <v>34</v>
      </c>
      <c r="V39" s="195">
        <v>45785</v>
      </c>
      <c r="W39" s="196"/>
      <c r="X39" s="148"/>
      <c r="Y39" s="190" t="s">
        <v>56</v>
      </c>
      <c r="Z39" s="189"/>
      <c r="AA39" s="57"/>
      <c r="AB39" s="57"/>
    </row>
    <row r="40" spans="1:28" ht="100.8" x14ac:dyDescent="0.3">
      <c r="B40" s="141" t="s">
        <v>385</v>
      </c>
      <c r="C40" s="42">
        <v>30</v>
      </c>
      <c r="D40" s="120" t="s">
        <v>298</v>
      </c>
      <c r="E40" s="44" t="s">
        <v>181</v>
      </c>
      <c r="F40" s="141" t="s">
        <v>410</v>
      </c>
      <c r="G40" s="120" t="s">
        <v>459</v>
      </c>
      <c r="H40" s="172"/>
      <c r="I40" s="121"/>
      <c r="J40" s="44" t="s">
        <v>489</v>
      </c>
      <c r="K40" s="42" t="s">
        <v>188</v>
      </c>
      <c r="L40" s="42" t="s">
        <v>323</v>
      </c>
      <c r="M40" s="44" t="s">
        <v>159</v>
      </c>
      <c r="N40" s="44" t="s">
        <v>160</v>
      </c>
      <c r="O40" s="44" t="s">
        <v>638</v>
      </c>
      <c r="P40" s="42" t="s">
        <v>146</v>
      </c>
      <c r="Q40" s="42"/>
      <c r="R40" s="42"/>
      <c r="S40" s="44"/>
      <c r="T40" s="121"/>
      <c r="U40" s="47" t="s">
        <v>34</v>
      </c>
      <c r="V40" s="195">
        <v>45806</v>
      </c>
      <c r="W40" s="200"/>
      <c r="X40" s="201"/>
      <c r="Y40" s="190" t="s">
        <v>56</v>
      </c>
      <c r="Z40" s="195"/>
      <c r="AA40" s="200"/>
      <c r="AB40" s="200"/>
    </row>
    <row r="41" spans="1:28" ht="216" x14ac:dyDescent="0.3">
      <c r="B41" s="141" t="s">
        <v>385</v>
      </c>
      <c r="C41" s="42">
        <v>31</v>
      </c>
      <c r="D41" s="120" t="s">
        <v>297</v>
      </c>
      <c r="E41" s="44" t="s">
        <v>182</v>
      </c>
      <c r="F41" s="141" t="s">
        <v>410</v>
      </c>
      <c r="G41" s="120" t="s">
        <v>460</v>
      </c>
      <c r="H41" s="172"/>
      <c r="I41" s="121"/>
      <c r="J41" s="44" t="s">
        <v>489</v>
      </c>
      <c r="K41" s="42" t="s">
        <v>189</v>
      </c>
      <c r="L41" s="42" t="s">
        <v>323</v>
      </c>
      <c r="M41" s="186" t="s">
        <v>629</v>
      </c>
      <c r="N41" s="44" t="s">
        <v>481</v>
      </c>
      <c r="O41" s="44" t="s">
        <v>637</v>
      </c>
      <c r="P41" s="42" t="s">
        <v>147</v>
      </c>
      <c r="Q41" s="42"/>
      <c r="R41" s="60" t="s">
        <v>482</v>
      </c>
      <c r="S41" s="44"/>
      <c r="T41" s="121"/>
      <c r="U41" s="47" t="s">
        <v>34</v>
      </c>
      <c r="V41" s="195">
        <v>45859</v>
      </c>
      <c r="W41" s="149" t="s">
        <v>788</v>
      </c>
      <c r="X41" s="201"/>
      <c r="Y41" s="192" t="s">
        <v>806</v>
      </c>
      <c r="Z41" s="189">
        <v>45852</v>
      </c>
      <c r="AA41" s="200"/>
      <c r="AB41" s="200"/>
    </row>
    <row r="42" spans="1:28" ht="43.2" x14ac:dyDescent="0.3">
      <c r="B42" s="141" t="s">
        <v>385</v>
      </c>
      <c r="C42" s="42">
        <v>32</v>
      </c>
      <c r="D42" s="120" t="s">
        <v>632</v>
      </c>
      <c r="E42" s="44" t="s">
        <v>630</v>
      </c>
      <c r="F42" s="42" t="s">
        <v>311</v>
      </c>
      <c r="G42" s="120" t="s">
        <v>631</v>
      </c>
      <c r="H42" s="172"/>
      <c r="I42" s="121"/>
      <c r="J42" s="44"/>
      <c r="K42" s="42"/>
      <c r="L42" s="42"/>
      <c r="M42" s="44" t="s">
        <v>159</v>
      </c>
      <c r="N42" s="44" t="s">
        <v>160</v>
      </c>
      <c r="O42" s="120" t="s">
        <v>630</v>
      </c>
      <c r="P42" s="42"/>
      <c r="Q42" s="42"/>
      <c r="R42" s="60"/>
      <c r="S42" s="44"/>
      <c r="T42" s="121"/>
      <c r="U42" s="47" t="s">
        <v>34</v>
      </c>
      <c r="V42" s="195"/>
      <c r="W42" s="149"/>
      <c r="X42" s="201"/>
      <c r="Y42" s="190" t="s">
        <v>56</v>
      </c>
      <c r="Z42" s="195"/>
      <c r="AA42" s="200"/>
      <c r="AB42" s="200"/>
    </row>
    <row r="43" spans="1:28" ht="230.4" x14ac:dyDescent="0.3">
      <c r="A43"/>
      <c r="B43" s="42" t="s">
        <v>385</v>
      </c>
      <c r="C43" s="42">
        <v>33</v>
      </c>
      <c r="D43" s="44" t="s">
        <v>216</v>
      </c>
      <c r="E43" s="42" t="s">
        <v>710</v>
      </c>
      <c r="F43" s="42" t="s">
        <v>311</v>
      </c>
      <c r="G43" s="44" t="s">
        <v>639</v>
      </c>
      <c r="H43" s="134"/>
      <c r="J43" s="44" t="s">
        <v>507</v>
      </c>
      <c r="K43" s="42" t="s">
        <v>239</v>
      </c>
      <c r="L43" s="44"/>
      <c r="M43" s="42" t="s">
        <v>353</v>
      </c>
      <c r="N43" s="42" t="s">
        <v>771</v>
      </c>
      <c r="O43" s="96" t="s">
        <v>783</v>
      </c>
      <c r="P43" s="42"/>
      <c r="Q43" s="44" t="s">
        <v>782</v>
      </c>
      <c r="S43" s="42"/>
      <c r="U43" s="213" t="s">
        <v>34</v>
      </c>
      <c r="V43" s="189">
        <v>45903</v>
      </c>
      <c r="W43" s="198" t="s">
        <v>604</v>
      </c>
      <c r="X43" s="148"/>
      <c r="Y43" s="197" t="s">
        <v>58</v>
      </c>
      <c r="Z43" s="189"/>
      <c r="AA43" s="57"/>
      <c r="AB43" s="57"/>
    </row>
    <row r="44" spans="1:28" ht="43.2" x14ac:dyDescent="0.3">
      <c r="A44"/>
      <c r="B44" s="42" t="s">
        <v>385</v>
      </c>
      <c r="C44" s="42">
        <v>34</v>
      </c>
      <c r="D44" s="44" t="s">
        <v>669</v>
      </c>
      <c r="E44" s="42" t="s">
        <v>667</v>
      </c>
      <c r="F44" s="42" t="s">
        <v>348</v>
      </c>
      <c r="G44" s="44"/>
      <c r="H44" s="134"/>
      <c r="J44" s="44"/>
      <c r="K44" s="42"/>
      <c r="L44" s="44"/>
      <c r="M44" s="44" t="s">
        <v>159</v>
      </c>
      <c r="N44" s="44" t="s">
        <v>160</v>
      </c>
      <c r="O44" s="42" t="s">
        <v>667</v>
      </c>
      <c r="P44" s="42"/>
      <c r="Q44" s="44"/>
      <c r="S44" s="42"/>
      <c r="U44" s="47" t="s">
        <v>34</v>
      </c>
      <c r="V44" s="189">
        <v>45916</v>
      </c>
      <c r="W44" s="58" t="s">
        <v>668</v>
      </c>
      <c r="X44" s="148"/>
      <c r="Y44" s="139" t="s">
        <v>47</v>
      </c>
      <c r="Z44" s="189">
        <v>45950</v>
      </c>
      <c r="AA44" s="57"/>
      <c r="AB44" s="57"/>
    </row>
    <row r="45" spans="1:28" ht="187.2" x14ac:dyDescent="0.3">
      <c r="A45"/>
      <c r="B45" s="42" t="s">
        <v>385</v>
      </c>
      <c r="C45" s="42">
        <v>35</v>
      </c>
      <c r="D45" s="44" t="s">
        <v>218</v>
      </c>
      <c r="E45" s="42" t="s">
        <v>230</v>
      </c>
      <c r="F45" s="42" t="s">
        <v>348</v>
      </c>
      <c r="G45" s="44" t="s">
        <v>572</v>
      </c>
      <c r="H45" s="134"/>
      <c r="J45" s="117" t="s">
        <v>507</v>
      </c>
      <c r="K45" s="118" t="s">
        <v>558</v>
      </c>
      <c r="L45" s="117"/>
      <c r="M45" s="42" t="s">
        <v>594</v>
      </c>
      <c r="N45" s="42" t="s">
        <v>595</v>
      </c>
      <c r="O45" s="44" t="s">
        <v>768</v>
      </c>
      <c r="P45" s="42" t="s">
        <v>146</v>
      </c>
      <c r="Q45" s="42" t="s">
        <v>345</v>
      </c>
      <c r="R45" s="44"/>
      <c r="S45" s="118"/>
      <c r="U45" s="213" t="s">
        <v>34</v>
      </c>
      <c r="V45" s="189">
        <v>45903</v>
      </c>
      <c r="W45" s="58" t="s">
        <v>769</v>
      </c>
      <c r="X45" s="148"/>
      <c r="Y45" s="199" t="s">
        <v>47</v>
      </c>
      <c r="Z45" s="189">
        <v>45950</v>
      </c>
      <c r="AA45" s="57"/>
      <c r="AB45" s="57"/>
    </row>
    <row r="46" spans="1:28" ht="75.599999999999994" customHeight="1" x14ac:dyDescent="0.3">
      <c r="A46"/>
      <c r="B46" s="42" t="s">
        <v>385</v>
      </c>
      <c r="C46" s="42">
        <v>36</v>
      </c>
      <c r="D46" s="44" t="s">
        <v>219</v>
      </c>
      <c r="E46" s="42" t="s">
        <v>231</v>
      </c>
      <c r="F46" s="42" t="s">
        <v>348</v>
      </c>
      <c r="G46" s="44" t="s">
        <v>573</v>
      </c>
      <c r="H46" s="134"/>
      <c r="J46" s="117" t="s">
        <v>507</v>
      </c>
      <c r="K46" s="118" t="s">
        <v>559</v>
      </c>
      <c r="L46" s="117"/>
      <c r="M46" s="42" t="s">
        <v>594</v>
      </c>
      <c r="N46" s="42" t="s">
        <v>595</v>
      </c>
      <c r="O46" s="44" t="s">
        <v>777</v>
      </c>
      <c r="P46" s="42" t="s">
        <v>146</v>
      </c>
      <c r="Q46" s="42" t="s">
        <v>345</v>
      </c>
      <c r="R46" s="42"/>
      <c r="S46" s="118"/>
      <c r="U46" s="213" t="s">
        <v>34</v>
      </c>
      <c r="V46" s="189">
        <v>45903</v>
      </c>
      <c r="W46" s="58" t="s">
        <v>665</v>
      </c>
      <c r="X46" s="148"/>
      <c r="Y46" s="199" t="s">
        <v>47</v>
      </c>
      <c r="Z46" s="189">
        <v>45950</v>
      </c>
      <c r="AA46" s="57"/>
      <c r="AB46" s="57"/>
    </row>
    <row r="47" spans="1:28" ht="68.25" customHeight="1" x14ac:dyDescent="0.3">
      <c r="A47"/>
      <c r="B47" s="42" t="s">
        <v>385</v>
      </c>
      <c r="C47" s="42">
        <v>37</v>
      </c>
      <c r="D47" s="44" t="s">
        <v>220</v>
      </c>
      <c r="E47" s="42" t="s">
        <v>712</v>
      </c>
      <c r="F47" s="42" t="s">
        <v>354</v>
      </c>
      <c r="G47" s="44" t="s">
        <v>574</v>
      </c>
      <c r="H47" s="134"/>
      <c r="J47" s="44" t="s">
        <v>507</v>
      </c>
      <c r="K47" s="42" t="s">
        <v>241</v>
      </c>
      <c r="L47" s="44"/>
      <c r="M47" s="44" t="s">
        <v>159</v>
      </c>
      <c r="N47" s="44" t="s">
        <v>160</v>
      </c>
      <c r="O47" s="96" t="s">
        <v>480</v>
      </c>
      <c r="P47" s="42" t="s">
        <v>146</v>
      </c>
      <c r="Q47" s="42"/>
      <c r="R47" s="58"/>
      <c r="S47" s="42"/>
      <c r="U47" s="47" t="s">
        <v>34</v>
      </c>
      <c r="V47" s="189">
        <v>45903</v>
      </c>
      <c r="W47" s="198"/>
      <c r="X47" s="148"/>
      <c r="Y47" s="139" t="s">
        <v>47</v>
      </c>
      <c r="Z47" s="189">
        <v>45950</v>
      </c>
      <c r="AA47" s="57"/>
      <c r="AB47" s="57"/>
    </row>
    <row r="48" spans="1:28" ht="72" x14ac:dyDescent="0.3">
      <c r="A48"/>
      <c r="B48" s="42" t="s">
        <v>385</v>
      </c>
      <c r="C48" s="42">
        <v>38</v>
      </c>
      <c r="D48" s="44" t="s">
        <v>221</v>
      </c>
      <c r="E48" s="42" t="s">
        <v>232</v>
      </c>
      <c r="F48" s="42" t="s">
        <v>311</v>
      </c>
      <c r="G48" s="44" t="s">
        <v>586</v>
      </c>
      <c r="H48" s="134"/>
      <c r="J48" s="44" t="s">
        <v>507</v>
      </c>
      <c r="K48" s="42" t="s">
        <v>242</v>
      </c>
      <c r="L48" s="44"/>
      <c r="M48" s="44" t="s">
        <v>159</v>
      </c>
      <c r="N48" s="44" t="s">
        <v>160</v>
      </c>
      <c r="O48" s="96" t="s">
        <v>776</v>
      </c>
      <c r="P48" s="42" t="s">
        <v>146</v>
      </c>
      <c r="Q48" s="42"/>
      <c r="R48" s="42" t="s">
        <v>772</v>
      </c>
      <c r="S48" s="42"/>
      <c r="U48" s="47" t="s">
        <v>34</v>
      </c>
      <c r="V48" s="189">
        <v>45912</v>
      </c>
      <c r="W48" s="188" t="s">
        <v>642</v>
      </c>
      <c r="X48" s="148"/>
      <c r="Y48" s="138" t="s">
        <v>806</v>
      </c>
      <c r="Z48" s="189">
        <v>45950</v>
      </c>
      <c r="AA48" s="58" t="s">
        <v>789</v>
      </c>
      <c r="AB48" s="57"/>
    </row>
    <row r="49" spans="1:28" ht="43.2" x14ac:dyDescent="0.3">
      <c r="A49"/>
      <c r="B49" s="42" t="s">
        <v>385</v>
      </c>
      <c r="C49" s="42">
        <v>39</v>
      </c>
      <c r="D49" s="44" t="s">
        <v>222</v>
      </c>
      <c r="E49" s="42" t="s">
        <v>346</v>
      </c>
      <c r="F49" s="42" t="s">
        <v>311</v>
      </c>
      <c r="G49" s="44" t="s">
        <v>587</v>
      </c>
      <c r="H49" s="134"/>
      <c r="J49" s="44" t="s">
        <v>507</v>
      </c>
      <c r="K49" s="42" t="s">
        <v>243</v>
      </c>
      <c r="L49" s="44"/>
      <c r="M49" s="44" t="s">
        <v>159</v>
      </c>
      <c r="N49" s="44" t="s">
        <v>160</v>
      </c>
      <c r="O49" s="105" t="s">
        <v>346</v>
      </c>
      <c r="P49" s="42" t="s">
        <v>146</v>
      </c>
      <c r="Q49" s="42"/>
      <c r="R49" s="42"/>
      <c r="S49" s="42"/>
      <c r="U49" s="47" t="s">
        <v>34</v>
      </c>
      <c r="V49" s="189">
        <v>45903</v>
      </c>
      <c r="W49" s="198"/>
      <c r="X49" s="148"/>
      <c r="Y49" s="139" t="s">
        <v>47</v>
      </c>
      <c r="Z49" s="189">
        <v>45950</v>
      </c>
      <c r="AA49" s="57"/>
      <c r="AB49" s="57"/>
    </row>
    <row r="50" spans="1:28" ht="43.2" x14ac:dyDescent="0.3">
      <c r="A50"/>
      <c r="B50" s="42" t="s">
        <v>385</v>
      </c>
      <c r="C50" s="42">
        <v>40</v>
      </c>
      <c r="D50" s="44" t="s">
        <v>544</v>
      </c>
      <c r="E50" s="42" t="s">
        <v>606</v>
      </c>
      <c r="F50" s="42" t="s">
        <v>311</v>
      </c>
      <c r="G50" s="44" t="s">
        <v>588</v>
      </c>
      <c r="H50" s="134"/>
      <c r="J50" s="44" t="s">
        <v>507</v>
      </c>
      <c r="K50" s="42" t="s">
        <v>244</v>
      </c>
      <c r="L50" s="44"/>
      <c r="M50" s="44" t="s">
        <v>159</v>
      </c>
      <c r="N50" s="44" t="s">
        <v>160</v>
      </c>
      <c r="O50" s="105" t="s">
        <v>609</v>
      </c>
      <c r="P50" s="42" t="s">
        <v>146</v>
      </c>
      <c r="Q50" s="42"/>
      <c r="R50" s="44" t="s">
        <v>610</v>
      </c>
      <c r="S50" s="42"/>
      <c r="U50" s="47" t="s">
        <v>34</v>
      </c>
      <c r="V50" s="189">
        <v>45909</v>
      </c>
      <c r="W50" s="58"/>
      <c r="X50" s="148"/>
      <c r="Y50" s="139" t="s">
        <v>47</v>
      </c>
      <c r="Z50" s="189">
        <v>45950</v>
      </c>
      <c r="AA50" s="57"/>
      <c r="AB50" s="57"/>
    </row>
    <row r="51" spans="1:28" ht="193.2" customHeight="1" x14ac:dyDescent="0.3">
      <c r="A51"/>
      <c r="B51" s="42" t="s">
        <v>385</v>
      </c>
      <c r="C51" s="42">
        <v>41</v>
      </c>
      <c r="D51" s="44" t="s">
        <v>223</v>
      </c>
      <c r="E51" s="42" t="s">
        <v>233</v>
      </c>
      <c r="F51" s="42" t="s">
        <v>311</v>
      </c>
      <c r="G51" s="44" t="s">
        <v>575</v>
      </c>
      <c r="H51" s="134"/>
      <c r="J51" s="44" t="s">
        <v>507</v>
      </c>
      <c r="K51" s="42" t="s">
        <v>245</v>
      </c>
      <c r="L51" s="44"/>
      <c r="M51" s="44" t="s">
        <v>159</v>
      </c>
      <c r="N51" s="44" t="s">
        <v>160</v>
      </c>
      <c r="O51" s="206" t="s">
        <v>651</v>
      </c>
      <c r="P51" s="42" t="s">
        <v>146</v>
      </c>
      <c r="Q51" s="44" t="s">
        <v>640</v>
      </c>
      <c r="R51" s="117" t="s">
        <v>780</v>
      </c>
      <c r="S51" s="42"/>
      <c r="U51" s="47" t="s">
        <v>34</v>
      </c>
      <c r="V51" s="189">
        <v>45903</v>
      </c>
      <c r="W51" s="188" t="s">
        <v>661</v>
      </c>
      <c r="X51" s="148"/>
      <c r="Y51" s="197" t="s">
        <v>806</v>
      </c>
      <c r="Z51" s="189">
        <v>45950</v>
      </c>
      <c r="AA51" s="58" t="s">
        <v>789</v>
      </c>
      <c r="AB51" s="57"/>
    </row>
    <row r="52" spans="1:28" ht="409.2" customHeight="1" x14ac:dyDescent="0.3">
      <c r="A52"/>
      <c r="B52" s="42" t="s">
        <v>385</v>
      </c>
      <c r="C52" s="42">
        <v>42</v>
      </c>
      <c r="D52" s="44" t="s">
        <v>361</v>
      </c>
      <c r="E52" s="42" t="s">
        <v>714</v>
      </c>
      <c r="F52" s="42" t="s">
        <v>311</v>
      </c>
      <c r="G52" s="44" t="s">
        <v>589</v>
      </c>
      <c r="H52" s="134"/>
      <c r="J52" s="44" t="s">
        <v>507</v>
      </c>
      <c r="K52" s="42" t="s">
        <v>246</v>
      </c>
      <c r="L52" s="44"/>
      <c r="M52" s="44" t="s">
        <v>159</v>
      </c>
      <c r="N52" s="44" t="s">
        <v>160</v>
      </c>
      <c r="O52" s="205" t="s">
        <v>672</v>
      </c>
      <c r="P52" s="42" t="s">
        <v>146</v>
      </c>
      <c r="Q52" s="103" t="s">
        <v>641</v>
      </c>
      <c r="R52" s="117" t="s">
        <v>785</v>
      </c>
      <c r="S52" s="42"/>
      <c r="U52" s="47" t="s">
        <v>34</v>
      </c>
      <c r="V52" s="189">
        <v>45903</v>
      </c>
      <c r="W52" s="188" t="s">
        <v>605</v>
      </c>
      <c r="X52" s="148"/>
      <c r="Y52" s="197" t="s">
        <v>806</v>
      </c>
      <c r="Z52" s="189">
        <v>45950</v>
      </c>
      <c r="AA52" s="58" t="s">
        <v>789</v>
      </c>
      <c r="AB52" s="57"/>
    </row>
    <row r="53" spans="1:28" ht="100.8" x14ac:dyDescent="0.3">
      <c r="A53"/>
      <c r="B53" s="42" t="s">
        <v>385</v>
      </c>
      <c r="C53" s="42">
        <v>43</v>
      </c>
      <c r="D53" s="44" t="s">
        <v>224</v>
      </c>
      <c r="E53" s="42" t="s">
        <v>644</v>
      </c>
      <c r="F53" s="42" t="s">
        <v>311</v>
      </c>
      <c r="G53" s="44" t="s">
        <v>576</v>
      </c>
      <c r="H53" s="134"/>
      <c r="J53" s="44" t="s">
        <v>507</v>
      </c>
      <c r="K53" s="42" t="s">
        <v>79</v>
      </c>
      <c r="L53" s="44"/>
      <c r="M53" s="44" t="s">
        <v>159</v>
      </c>
      <c r="N53" s="44" t="s">
        <v>160</v>
      </c>
      <c r="O53" s="96" t="s">
        <v>644</v>
      </c>
      <c r="P53" s="42" t="s">
        <v>147</v>
      </c>
      <c r="Q53" s="207" t="s">
        <v>646</v>
      </c>
      <c r="R53" s="117" t="s">
        <v>645</v>
      </c>
      <c r="S53" s="42"/>
      <c r="U53" s="213" t="s">
        <v>34</v>
      </c>
      <c r="V53" s="189">
        <v>45915</v>
      </c>
      <c r="W53" s="209" t="s">
        <v>729</v>
      </c>
      <c r="X53" s="148"/>
      <c r="Y53" s="139" t="s">
        <v>47</v>
      </c>
      <c r="Z53" s="189">
        <v>45950</v>
      </c>
      <c r="AA53" s="57"/>
      <c r="AB53" s="57"/>
    </row>
    <row r="54" spans="1:28" ht="72" x14ac:dyDescent="0.3">
      <c r="A54"/>
      <c r="B54" s="42" t="s">
        <v>385</v>
      </c>
      <c r="C54" s="42">
        <v>44</v>
      </c>
      <c r="D54" s="44" t="s">
        <v>225</v>
      </c>
      <c r="E54" s="42" t="s">
        <v>643</v>
      </c>
      <c r="F54" s="42" t="s">
        <v>348</v>
      </c>
      <c r="G54" s="44" t="s">
        <v>577</v>
      </c>
      <c r="H54" s="134"/>
      <c r="J54" s="44" t="s">
        <v>507</v>
      </c>
      <c r="K54" s="42" t="s">
        <v>247</v>
      </c>
      <c r="L54" s="44"/>
      <c r="M54" s="44" t="s">
        <v>159</v>
      </c>
      <c r="N54" s="44" t="s">
        <v>160</v>
      </c>
      <c r="O54" s="96" t="s">
        <v>793</v>
      </c>
      <c r="P54" s="42" t="s">
        <v>146</v>
      </c>
      <c r="Q54" s="105"/>
      <c r="R54" s="42"/>
      <c r="S54" s="42"/>
      <c r="U54" s="47" t="s">
        <v>34</v>
      </c>
      <c r="V54" s="189">
        <v>45915</v>
      </c>
      <c r="W54" s="198"/>
      <c r="X54" s="148"/>
      <c r="Y54" s="139" t="s">
        <v>47</v>
      </c>
      <c r="Z54" s="189">
        <v>45950</v>
      </c>
      <c r="AA54" s="57"/>
      <c r="AB54" s="57"/>
    </row>
    <row r="55" spans="1:28" ht="409.6" x14ac:dyDescent="0.3">
      <c r="A55"/>
      <c r="B55" s="42" t="s">
        <v>385</v>
      </c>
      <c r="C55" s="42">
        <v>45</v>
      </c>
      <c r="D55" s="44" t="s">
        <v>545</v>
      </c>
      <c r="E55" s="42" t="s">
        <v>590</v>
      </c>
      <c r="F55" s="42" t="s">
        <v>311</v>
      </c>
      <c r="G55" s="44" t="s">
        <v>578</v>
      </c>
      <c r="H55" s="134"/>
      <c r="J55" s="44" t="s">
        <v>507</v>
      </c>
      <c r="K55" s="42" t="s">
        <v>248</v>
      </c>
      <c r="L55" s="44"/>
      <c r="M55" s="42"/>
      <c r="N55" s="42"/>
      <c r="O55" s="105"/>
      <c r="P55" s="42"/>
      <c r="Q55" s="96" t="s">
        <v>647</v>
      </c>
      <c r="R55" s="117" t="s">
        <v>784</v>
      </c>
      <c r="S55" s="42"/>
      <c r="U55" s="47" t="s">
        <v>34</v>
      </c>
      <c r="V55" s="189">
        <v>45919</v>
      </c>
      <c r="W55" s="188" t="s">
        <v>605</v>
      </c>
      <c r="X55" s="148"/>
      <c r="Y55" s="145" t="s">
        <v>806</v>
      </c>
      <c r="Z55" s="189"/>
      <c r="AA55" s="58" t="s">
        <v>790</v>
      </c>
      <c r="AB55" s="57"/>
    </row>
    <row r="56" spans="1:28" ht="129.6" customHeight="1" x14ac:dyDescent="0.3">
      <c r="A56"/>
      <c r="B56" s="42" t="s">
        <v>385</v>
      </c>
      <c r="C56" s="42">
        <v>46</v>
      </c>
      <c r="D56" s="44" t="s">
        <v>81</v>
      </c>
      <c r="E56" s="42" t="s">
        <v>715</v>
      </c>
      <c r="F56" s="42" t="s">
        <v>348</v>
      </c>
      <c r="G56" s="44" t="s">
        <v>579</v>
      </c>
      <c r="H56" s="134"/>
      <c r="J56" s="44" t="s">
        <v>507</v>
      </c>
      <c r="K56" s="42" t="s">
        <v>249</v>
      </c>
      <c r="L56" s="44"/>
      <c r="M56" s="42" t="s">
        <v>778</v>
      </c>
      <c r="N56" s="44" t="s">
        <v>773</v>
      </c>
      <c r="O56" s="96" t="s">
        <v>774</v>
      </c>
      <c r="P56" s="42"/>
      <c r="Q56" s="105"/>
      <c r="R56" s="109" t="s">
        <v>779</v>
      </c>
      <c r="S56" s="208" t="s">
        <v>775</v>
      </c>
      <c r="U56" s="47" t="s">
        <v>34</v>
      </c>
      <c r="V56" s="189">
        <v>45926</v>
      </c>
      <c r="W56" s="188" t="s">
        <v>731</v>
      </c>
      <c r="X56" s="148"/>
      <c r="Y56" s="139" t="s">
        <v>47</v>
      </c>
      <c r="Z56" s="189">
        <v>45950</v>
      </c>
      <c r="AA56" s="57"/>
      <c r="AB56" s="57"/>
    </row>
    <row r="57" spans="1:28" ht="253.2" customHeight="1" x14ac:dyDescent="0.3">
      <c r="A57"/>
      <c r="B57" s="42" t="s">
        <v>385</v>
      </c>
      <c r="C57" s="42">
        <v>47</v>
      </c>
      <c r="D57" s="117" t="s">
        <v>226</v>
      </c>
      <c r="E57" s="42" t="s">
        <v>716</v>
      </c>
      <c r="F57" s="42" t="s">
        <v>348</v>
      </c>
      <c r="G57" s="44" t="s">
        <v>580</v>
      </c>
      <c r="H57" s="134"/>
      <c r="J57" s="44" t="s">
        <v>507</v>
      </c>
      <c r="K57" s="42" t="s">
        <v>250</v>
      </c>
      <c r="L57" s="44"/>
      <c r="M57" s="42" t="s">
        <v>608</v>
      </c>
      <c r="N57" s="42" t="s">
        <v>607</v>
      </c>
      <c r="O57" s="96" t="s">
        <v>791</v>
      </c>
      <c r="P57" s="42"/>
      <c r="Q57" s="96" t="s">
        <v>732</v>
      </c>
      <c r="R57" s="44" t="s">
        <v>781</v>
      </c>
      <c r="S57" s="42" t="s">
        <v>733</v>
      </c>
      <c r="U57" s="47" t="s">
        <v>34</v>
      </c>
      <c r="V57" s="189">
        <v>45930</v>
      </c>
      <c r="W57" s="58" t="s">
        <v>696</v>
      </c>
      <c r="X57" s="148"/>
      <c r="Y57" s="139" t="s">
        <v>47</v>
      </c>
      <c r="Z57" s="189">
        <v>45950</v>
      </c>
      <c r="AA57" s="57"/>
      <c r="AB57" s="57"/>
    </row>
    <row r="58" spans="1:28" ht="100.2" customHeight="1" x14ac:dyDescent="0.3">
      <c r="A58"/>
      <c r="B58" s="42" t="s">
        <v>385</v>
      </c>
      <c r="C58" s="42">
        <v>48</v>
      </c>
      <c r="D58" s="117" t="s">
        <v>82</v>
      </c>
      <c r="E58" s="42" t="s">
        <v>717</v>
      </c>
      <c r="F58" s="42" t="s">
        <v>348</v>
      </c>
      <c r="G58" s="44" t="s">
        <v>581</v>
      </c>
      <c r="H58" s="134"/>
      <c r="J58" s="44" t="s">
        <v>507</v>
      </c>
      <c r="K58" s="42" t="s">
        <v>251</v>
      </c>
      <c r="L58" s="44"/>
      <c r="M58" s="42" t="s">
        <v>608</v>
      </c>
      <c r="N58" s="42" t="s">
        <v>607</v>
      </c>
      <c r="O58" s="96" t="s">
        <v>792</v>
      </c>
      <c r="P58" s="42"/>
      <c r="Q58" s="42"/>
      <c r="R58" s="42"/>
      <c r="S58" s="42"/>
      <c r="U58" s="47" t="s">
        <v>34</v>
      </c>
      <c r="V58" s="189">
        <v>45930</v>
      </c>
      <c r="W58" s="58" t="s">
        <v>696</v>
      </c>
      <c r="X58" s="148"/>
      <c r="Y58" s="139" t="s">
        <v>47</v>
      </c>
      <c r="Z58" s="189">
        <v>45950</v>
      </c>
      <c r="AA58" s="57"/>
      <c r="AB58" s="57"/>
    </row>
    <row r="59" spans="1:28" ht="180" customHeight="1" x14ac:dyDescent="0.3">
      <c r="A59"/>
      <c r="B59" s="42" t="s">
        <v>385</v>
      </c>
      <c r="C59" s="42">
        <v>49</v>
      </c>
      <c r="D59" s="44" t="s">
        <v>568</v>
      </c>
      <c r="E59" s="42" t="s">
        <v>719</v>
      </c>
      <c r="F59" s="42" t="s">
        <v>311</v>
      </c>
      <c r="G59" s="44" t="s">
        <v>674</v>
      </c>
      <c r="H59" s="134"/>
      <c r="J59" s="44" t="s">
        <v>507</v>
      </c>
      <c r="K59" s="42" t="s">
        <v>562</v>
      </c>
      <c r="L59" s="44"/>
      <c r="M59" s="42"/>
      <c r="N59" s="42"/>
      <c r="O59" s="109" t="s">
        <v>736</v>
      </c>
      <c r="P59" s="42"/>
      <c r="Q59" s="46" t="s">
        <v>687</v>
      </c>
      <c r="R59" s="42"/>
      <c r="S59" s="42"/>
      <c r="U59" s="213" t="s">
        <v>34</v>
      </c>
      <c r="V59" s="189">
        <v>45915</v>
      </c>
      <c r="W59" s="58" t="s">
        <v>737</v>
      </c>
      <c r="X59" s="148"/>
      <c r="Y59" s="197" t="s">
        <v>58</v>
      </c>
      <c r="Z59" s="189"/>
      <c r="AA59" s="57"/>
      <c r="AB59" s="57"/>
    </row>
    <row r="60" spans="1:28" ht="264" customHeight="1" x14ac:dyDescent="0.3">
      <c r="A60"/>
      <c r="B60" s="42" t="s">
        <v>385</v>
      </c>
      <c r="C60" s="42">
        <v>50</v>
      </c>
      <c r="D60" s="44" t="s">
        <v>551</v>
      </c>
      <c r="E60" s="42" t="s">
        <v>720</v>
      </c>
      <c r="F60" s="42" t="s">
        <v>348</v>
      </c>
      <c r="G60" s="44" t="s">
        <v>649</v>
      </c>
      <c r="H60" s="134"/>
      <c r="J60" s="44" t="s">
        <v>507</v>
      </c>
      <c r="K60" s="42" t="s">
        <v>563</v>
      </c>
      <c r="L60" s="42"/>
      <c r="M60" s="42" t="s">
        <v>608</v>
      </c>
      <c r="N60" s="42" t="s">
        <v>607</v>
      </c>
      <c r="O60" s="96" t="s">
        <v>787</v>
      </c>
      <c r="P60" s="42"/>
      <c r="Q60" s="42"/>
      <c r="R60" s="44" t="s">
        <v>786</v>
      </c>
      <c r="S60" s="42"/>
      <c r="U60" s="47" t="s">
        <v>34</v>
      </c>
      <c r="V60" s="189">
        <v>45926</v>
      </c>
      <c r="W60" s="58" t="s">
        <v>698</v>
      </c>
      <c r="X60" s="148"/>
      <c r="Y60" s="145" t="s">
        <v>47</v>
      </c>
      <c r="Z60" s="189">
        <v>45950</v>
      </c>
      <c r="AA60" s="57"/>
      <c r="AB60" s="57"/>
    </row>
    <row r="61" spans="1:28" ht="28.8" x14ac:dyDescent="0.3">
      <c r="A61"/>
      <c r="B61" s="42" t="s">
        <v>385</v>
      </c>
      <c r="C61" s="42">
        <v>51</v>
      </c>
      <c r="D61" s="44" t="s">
        <v>567</v>
      </c>
      <c r="E61" s="42" t="s">
        <v>721</v>
      </c>
      <c r="F61" s="42" t="s">
        <v>311</v>
      </c>
      <c r="G61" s="44" t="s">
        <v>582</v>
      </c>
      <c r="H61" s="134"/>
      <c r="J61" s="44" t="s">
        <v>507</v>
      </c>
      <c r="K61" s="42" t="s">
        <v>564</v>
      </c>
      <c r="L61" s="42"/>
      <c r="M61" s="42" t="s">
        <v>353</v>
      </c>
      <c r="N61" s="42" t="s">
        <v>771</v>
      </c>
      <c r="O61" s="42" t="s">
        <v>721</v>
      </c>
      <c r="P61" s="42"/>
      <c r="Q61" s="42" t="s">
        <v>675</v>
      </c>
      <c r="R61" s="42"/>
      <c r="S61" s="42"/>
      <c r="U61" s="47" t="s">
        <v>34</v>
      </c>
      <c r="V61" s="189">
        <v>45903</v>
      </c>
      <c r="W61" s="60" t="s">
        <v>688</v>
      </c>
      <c r="X61" s="148"/>
      <c r="Y61" s="197" t="s">
        <v>58</v>
      </c>
      <c r="Z61" s="189"/>
      <c r="AA61" s="57"/>
      <c r="AB61" s="57"/>
    </row>
    <row r="62" spans="1:28" ht="28.8" x14ac:dyDescent="0.3">
      <c r="A62"/>
      <c r="B62" s="42" t="s">
        <v>385</v>
      </c>
      <c r="C62" s="42">
        <v>52</v>
      </c>
      <c r="D62" s="44" t="s">
        <v>726</v>
      </c>
      <c r="E62" s="42" t="s">
        <v>725</v>
      </c>
      <c r="F62" s="42" t="s">
        <v>311</v>
      </c>
      <c r="G62" s="44" t="s">
        <v>727</v>
      </c>
      <c r="H62" s="134"/>
      <c r="J62" s="44" t="s">
        <v>507</v>
      </c>
      <c r="K62" s="42" t="s">
        <v>728</v>
      </c>
      <c r="L62" s="44"/>
      <c r="M62" s="42" t="s">
        <v>353</v>
      </c>
      <c r="N62" s="42" t="s">
        <v>771</v>
      </c>
      <c r="O62" s="42" t="s">
        <v>725</v>
      </c>
      <c r="P62" s="42"/>
      <c r="Q62" s="42"/>
      <c r="R62" s="42"/>
      <c r="S62" s="42"/>
      <c r="U62" s="47" t="s">
        <v>34</v>
      </c>
      <c r="V62" s="189">
        <v>45929</v>
      </c>
      <c r="W62" s="58" t="s">
        <v>730</v>
      </c>
      <c r="X62" s="148"/>
      <c r="Y62" s="197" t="s">
        <v>58</v>
      </c>
      <c r="Z62" s="189"/>
      <c r="AA62" s="57"/>
      <c r="AB62" s="57"/>
    </row>
    <row r="63" spans="1:28" s="147" customFormat="1" ht="86.4" x14ac:dyDescent="0.3">
      <c r="A63" s="143"/>
      <c r="B63" s="141" t="s">
        <v>385</v>
      </c>
      <c r="C63" s="42">
        <v>53</v>
      </c>
      <c r="D63" s="120" t="s">
        <v>307</v>
      </c>
      <c r="E63" s="42" t="s">
        <v>471</v>
      </c>
      <c r="F63" s="141" t="s">
        <v>311</v>
      </c>
      <c r="G63" s="120" t="s">
        <v>463</v>
      </c>
      <c r="H63" s="172"/>
      <c r="I63" s="121"/>
      <c r="J63" s="44" t="s">
        <v>489</v>
      </c>
      <c r="K63" s="141" t="s">
        <v>252</v>
      </c>
      <c r="L63" s="141"/>
      <c r="M63" s="57" t="s">
        <v>438</v>
      </c>
      <c r="N63" s="57" t="s">
        <v>439</v>
      </c>
      <c r="O63" s="109" t="s">
        <v>593</v>
      </c>
      <c r="P63" s="42"/>
      <c r="Q63" s="42"/>
      <c r="R63" s="42"/>
      <c r="S63" s="42"/>
      <c r="T63" s="121"/>
      <c r="U63" s="47" t="s">
        <v>34</v>
      </c>
      <c r="V63" s="195">
        <v>45786</v>
      </c>
      <c r="W63" s="200"/>
      <c r="X63" s="201"/>
      <c r="Y63" s="190" t="s">
        <v>56</v>
      </c>
      <c r="Z63" s="189">
        <v>45852</v>
      </c>
      <c r="AA63" s="200"/>
      <c r="AB63" s="200"/>
    </row>
    <row r="64" spans="1:28" s="147" customFormat="1" ht="29.1" customHeight="1" x14ac:dyDescent="0.3">
      <c r="A64" s="143"/>
      <c r="B64" s="141" t="s">
        <v>385</v>
      </c>
      <c r="C64" s="42">
        <v>54</v>
      </c>
      <c r="D64" s="120" t="s">
        <v>427</v>
      </c>
      <c r="E64" s="42" t="s">
        <v>426</v>
      </c>
      <c r="F64" s="141" t="s">
        <v>311</v>
      </c>
      <c r="G64" s="120" t="s">
        <v>464</v>
      </c>
      <c r="H64" s="172"/>
      <c r="I64" s="121"/>
      <c r="J64" s="44"/>
      <c r="K64" s="42" t="s">
        <v>310</v>
      </c>
      <c r="L64" s="42"/>
      <c r="M64" s="42" t="s">
        <v>332</v>
      </c>
      <c r="N64" s="42" t="s">
        <v>332</v>
      </c>
      <c r="O64" s="173" t="s">
        <v>332</v>
      </c>
      <c r="P64" s="42"/>
      <c r="Q64" s="42"/>
      <c r="R64" s="42"/>
      <c r="S64" s="42"/>
      <c r="T64" s="121"/>
      <c r="U64" s="47" t="s">
        <v>34</v>
      </c>
      <c r="V64" s="195">
        <v>45786</v>
      </c>
      <c r="W64" s="200"/>
      <c r="X64" s="201"/>
      <c r="Y64" s="190" t="s">
        <v>56</v>
      </c>
      <c r="Z64" s="189">
        <v>45852</v>
      </c>
      <c r="AA64" s="200"/>
      <c r="AB64" s="200"/>
    </row>
    <row r="65" spans="1:28" s="147" customFormat="1" ht="29.1" customHeight="1" x14ac:dyDescent="0.3">
      <c r="A65" s="143"/>
      <c r="B65" s="42" t="s">
        <v>385</v>
      </c>
      <c r="C65" s="42">
        <v>55</v>
      </c>
      <c r="D65" s="44" t="s">
        <v>329</v>
      </c>
      <c r="E65" s="42" t="s">
        <v>309</v>
      </c>
      <c r="F65" s="42" t="s">
        <v>349</v>
      </c>
      <c r="G65" s="44" t="s">
        <v>465</v>
      </c>
      <c r="H65" s="134"/>
      <c r="I65" s="22"/>
      <c r="J65" s="120"/>
      <c r="K65" s="141" t="s">
        <v>310</v>
      </c>
      <c r="L65" s="141"/>
      <c r="M65" s="42" t="s">
        <v>332</v>
      </c>
      <c r="N65" s="42" t="s">
        <v>332</v>
      </c>
      <c r="O65" s="42" t="s">
        <v>332</v>
      </c>
      <c r="P65" s="42"/>
      <c r="Q65" s="42"/>
      <c r="R65" s="42"/>
      <c r="S65" s="42"/>
      <c r="T65" s="22"/>
      <c r="U65" s="47" t="s">
        <v>34</v>
      </c>
      <c r="V65" s="189">
        <v>45786</v>
      </c>
      <c r="W65" s="57"/>
      <c r="X65" s="148"/>
      <c r="Y65" s="190" t="s">
        <v>56</v>
      </c>
      <c r="Z65" s="189">
        <v>45852</v>
      </c>
      <c r="AA65" s="57"/>
      <c r="AB65" s="57"/>
    </row>
    <row r="66" spans="1:28" s="147" customFormat="1" ht="43.5" customHeight="1" x14ac:dyDescent="0.3">
      <c r="A66" s="143"/>
      <c r="B66" s="42" t="s">
        <v>385</v>
      </c>
      <c r="C66" s="42">
        <v>56</v>
      </c>
      <c r="D66" s="44" t="s">
        <v>328</v>
      </c>
      <c r="E66" s="42" t="s">
        <v>308</v>
      </c>
      <c r="F66" s="42" t="s">
        <v>311</v>
      </c>
      <c r="G66" s="44" t="s">
        <v>330</v>
      </c>
      <c r="H66" s="134" t="s">
        <v>327</v>
      </c>
      <c r="I66" s="22"/>
      <c r="J66" s="44"/>
      <c r="K66" s="42" t="s">
        <v>310</v>
      </c>
      <c r="L66" s="42"/>
      <c r="M66" s="42" t="s">
        <v>332</v>
      </c>
      <c r="N66" s="42" t="s">
        <v>332</v>
      </c>
      <c r="O66" s="105" t="s">
        <v>332</v>
      </c>
      <c r="P66" s="42"/>
      <c r="Q66" s="42"/>
      <c r="R66" s="42"/>
      <c r="S66" s="42"/>
      <c r="T66" s="22"/>
      <c r="U66" s="47" t="s">
        <v>34</v>
      </c>
      <c r="V66" s="189">
        <v>45786</v>
      </c>
      <c r="W66" s="57"/>
      <c r="X66" s="148"/>
      <c r="Y66" s="190" t="s">
        <v>56</v>
      </c>
      <c r="Z66" s="189">
        <v>45852</v>
      </c>
      <c r="AA66" s="57"/>
      <c r="AB66" s="57"/>
    </row>
    <row r="67" spans="1:28" s="147" customFormat="1" x14ac:dyDescent="0.3">
      <c r="A67" s="143"/>
      <c r="B67" s="42" t="s">
        <v>385</v>
      </c>
      <c r="C67" s="42">
        <v>57</v>
      </c>
      <c r="D67" s="44" t="s">
        <v>428</v>
      </c>
      <c r="E67" s="42" t="s">
        <v>425</v>
      </c>
      <c r="F67" s="42" t="s">
        <v>354</v>
      </c>
      <c r="G67" s="44" t="s">
        <v>466</v>
      </c>
      <c r="H67" s="134" t="s">
        <v>327</v>
      </c>
      <c r="I67" s="22"/>
      <c r="J67" s="120"/>
      <c r="K67" s="42" t="s">
        <v>310</v>
      </c>
      <c r="L67" s="141"/>
      <c r="M67" s="42" t="s">
        <v>332</v>
      </c>
      <c r="N67" s="42" t="s">
        <v>332</v>
      </c>
      <c r="O67" s="105" t="s">
        <v>332</v>
      </c>
      <c r="P67" s="42"/>
      <c r="Q67" s="42"/>
      <c r="R67" s="42"/>
      <c r="S67" s="42"/>
      <c r="T67" s="22"/>
      <c r="U67" s="47" t="s">
        <v>34</v>
      </c>
      <c r="V67" s="189">
        <v>45786</v>
      </c>
      <c r="W67" s="57"/>
      <c r="X67" s="148"/>
      <c r="Y67" s="190" t="s">
        <v>56</v>
      </c>
      <c r="Z67" s="189">
        <v>45852</v>
      </c>
      <c r="AA67" s="57"/>
      <c r="AB67" s="57"/>
    </row>
  </sheetData>
  <autoFilter ref="B10:AB67">
    <sortState ref="B11:AB73">
      <sortCondition ref="C10:C70"/>
    </sortState>
  </autoFilter>
  <mergeCells count="7">
    <mergeCell ref="Y9:AB9"/>
    <mergeCell ref="C7:H7"/>
    <mergeCell ref="B9:H9"/>
    <mergeCell ref="M9:O9"/>
    <mergeCell ref="P9:S9"/>
    <mergeCell ref="U9:W9"/>
    <mergeCell ref="J9:L9"/>
  </mergeCells>
  <conditionalFormatting sqref="U11:U42">
    <cfRule type="cellIs" dxfId="183" priority="31" operator="equal">
      <formula>"Testes utilizador"</formula>
    </cfRule>
  </conditionalFormatting>
  <conditionalFormatting sqref="U44 U47:U52">
    <cfRule type="cellIs" dxfId="182" priority="6" operator="equal">
      <formula>"Testes utilizador"</formula>
    </cfRule>
  </conditionalFormatting>
  <conditionalFormatting sqref="U54:U58">
    <cfRule type="cellIs" dxfId="181" priority="1" operator="equal">
      <formula>"Testes utilizador"</formula>
    </cfRule>
  </conditionalFormatting>
  <conditionalFormatting sqref="U60:U67">
    <cfRule type="cellIs" dxfId="180" priority="66" operator="equal">
      <formula>"Testes utilizador"</formula>
    </cfRule>
  </conditionalFormatting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32" operator="equal" id="{F8E315A9-093B-4D37-9402-272A2DC31E3B}">
            <xm:f>'C:\Users\e859162\Documents\00. Old\[BS_Especificação_FEI_v0.3.xlsx]Tabelas AUX'!#REF!</xm:f>
            <x14:dxf>
              <font>
                <color rgb="FF00B050"/>
              </font>
            </x14:dxf>
          </x14:cfRule>
          <x14:cfRule type="cellIs" priority="33" operator="equal" id="{386BF0E4-41DE-4D06-8930-93AFA69B630F}">
            <xm:f>'C:\Users\e859162\Documents\00. Old\[BS_Especificação_FEI_v0.3.xlsx]Tabelas AUX'!#REF!</xm:f>
            <x14:dxf>
              <font>
                <color rgb="FF7F7F7F"/>
              </font>
            </x14:dxf>
          </x14:cfRule>
          <x14:cfRule type="cellIs" priority="34" operator="equal" id="{F7EA348A-010A-4292-AC7E-AE512D2D2B23}">
            <xm:f>'C:\Users\e859162\Documents\00. Old\[BS_Especificação_FEI_v0.3.xlsx]Tabelas AUX'!#REF!</xm:f>
            <x14:dxf>
              <font>
                <color theme="5"/>
              </font>
            </x14:dxf>
          </x14:cfRule>
          <x14:cfRule type="cellIs" priority="35" operator="equal" id="{292F1347-15D6-45A2-AE00-23F454C19401}">
            <xm:f>'C:\Users\e859162\Documents\00. Old\[BS_Especificação_FEI_v0.3.xlsx]Tabelas AUX'!#REF!</xm:f>
            <x14:dxf>
              <font>
                <color rgb="FFC00000"/>
              </font>
            </x14:dxf>
          </x14:cfRule>
          <xm:sqref>U11:U42</xm:sqref>
        </x14:conditionalFormatting>
        <x14:conditionalFormatting xmlns:xm="http://schemas.microsoft.com/office/excel/2006/main">
          <x14:cfRule type="cellIs" priority="7" operator="equal" id="{031ECF69-4A2B-478C-936B-7B305AA216D9}">
            <xm:f>'C:\Users\e859162\Documents\00. Old\[BS_Especificação_FEI_v0.3.xlsx]Tabelas AUX'!#REF!</xm:f>
            <x14:dxf>
              <font>
                <color rgb="FF00B050"/>
              </font>
            </x14:dxf>
          </x14:cfRule>
          <x14:cfRule type="cellIs" priority="8" operator="equal" id="{33DA5983-2224-445C-83E2-CB621F738239}">
            <xm:f>'C:\Users\e859162\Documents\00. Old\[BS_Especificação_FEI_v0.3.xlsx]Tabelas AUX'!#REF!</xm:f>
            <x14:dxf>
              <font>
                <color rgb="FF7F7F7F"/>
              </font>
            </x14:dxf>
          </x14:cfRule>
          <x14:cfRule type="cellIs" priority="9" operator="equal" id="{BC530D9A-A58A-43BC-99B4-E9021B4D8AAB}">
            <xm:f>'C:\Users\e859162\Documents\00. Old\[BS_Especificação_FEI_v0.3.xlsx]Tabelas AUX'!#REF!</xm:f>
            <x14:dxf>
              <font>
                <color theme="5"/>
              </font>
            </x14:dxf>
          </x14:cfRule>
          <x14:cfRule type="cellIs" priority="10" operator="equal" id="{2A32196D-68D2-4A73-A8B3-CDD908F0D4DF}">
            <xm:f>'C:\Users\e859162\Documents\00. Old\[BS_Especificação_FEI_v0.3.xlsx]Tabelas AUX'!#REF!</xm:f>
            <x14:dxf>
              <font>
                <color rgb="FFC00000"/>
              </font>
            </x14:dxf>
          </x14:cfRule>
          <xm:sqref>U44 U47:U52</xm:sqref>
        </x14:conditionalFormatting>
        <x14:conditionalFormatting xmlns:xm="http://schemas.microsoft.com/office/excel/2006/main">
          <x14:cfRule type="cellIs" priority="2" operator="equal" id="{9EFB2D4A-5160-4EF0-BBE0-7D7F36D044FF}">
            <xm:f>'C:\Users\e859162\Documents\00. Old\[BS_Especificação_FEI_v0.3.xlsx]Tabelas AUX'!#REF!</xm:f>
            <x14:dxf>
              <font>
                <color rgb="FF00B050"/>
              </font>
            </x14:dxf>
          </x14:cfRule>
          <x14:cfRule type="cellIs" priority="3" operator="equal" id="{D4A05EE6-F791-4AD6-A6AA-469C95B6738D}">
            <xm:f>'C:\Users\e859162\Documents\00. Old\[BS_Especificação_FEI_v0.3.xlsx]Tabelas AUX'!#REF!</xm:f>
            <x14:dxf>
              <font>
                <color rgb="FF7F7F7F"/>
              </font>
            </x14:dxf>
          </x14:cfRule>
          <x14:cfRule type="cellIs" priority="4" operator="equal" id="{58271317-11CB-4AD0-A2F6-AFAA2B4486EA}">
            <xm:f>'C:\Users\e859162\Documents\00. Old\[BS_Especificação_FEI_v0.3.xlsx]Tabelas AUX'!#REF!</xm:f>
            <x14:dxf>
              <font>
                <color theme="5"/>
              </font>
            </x14:dxf>
          </x14:cfRule>
          <x14:cfRule type="cellIs" priority="5" operator="equal" id="{66ABD14D-0EF6-4E2A-99BE-E3929484665C}">
            <xm:f>'C:\Users\e859162\Documents\00. Old\[BS_Especificação_FEI_v0.3.xlsx]Tabelas AUX'!#REF!</xm:f>
            <x14:dxf>
              <font>
                <color rgb="FFC00000"/>
              </font>
            </x14:dxf>
          </x14:cfRule>
          <xm:sqref>U54:U58</xm:sqref>
        </x14:conditionalFormatting>
        <x14:conditionalFormatting xmlns:xm="http://schemas.microsoft.com/office/excel/2006/main">
          <x14:cfRule type="cellIs" priority="67" operator="equal" id="{3020CF14-6D28-481F-80FF-440A7F1CB296}">
            <xm:f>'C:\Users\e859162\Documents\00. Old\[BS_Especificação_FEI_v0.3.xlsx]Tabelas AUX'!#REF!</xm:f>
            <x14:dxf>
              <font>
                <color rgb="FF00B050"/>
              </font>
            </x14:dxf>
          </x14:cfRule>
          <x14:cfRule type="cellIs" priority="68" operator="equal" id="{8225011D-02FF-44D2-A6ED-D392FE477C4F}">
            <xm:f>'C:\Users\e859162\Documents\00. Old\[BS_Especificação_FEI_v0.3.xlsx]Tabelas AUX'!#REF!</xm:f>
            <x14:dxf>
              <font>
                <color rgb="FF7F7F7F"/>
              </font>
            </x14:dxf>
          </x14:cfRule>
          <x14:cfRule type="cellIs" priority="69" operator="equal" id="{5F99D161-DCA3-4992-8204-D494F7489C9C}">
            <xm:f>'C:\Users\e859162\Documents\00. Old\[BS_Especificação_FEI_v0.3.xlsx]Tabelas AUX'!#REF!</xm:f>
            <x14:dxf>
              <font>
                <color theme="5"/>
              </font>
            </x14:dxf>
          </x14:cfRule>
          <x14:cfRule type="cellIs" priority="70" operator="equal" id="{D6B434CB-A7AF-476C-8F6A-03D2CD9BAF24}">
            <xm:f>'C:\Users\e859162\Documents\00. Old\[BS_Especificação_FEI_v0.3.xlsx]Tabelas AUX'!#REF!</xm:f>
            <x14:dxf>
              <font>
                <color rgb="FFC00000"/>
              </font>
            </x14:dxf>
          </x14:cfRule>
          <xm:sqref>U60:U67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>
          <x14:formula1>
            <xm:f>'Tabelas AUX'!$E$2:$E$9</xm:f>
          </x14:formula1>
          <xm:sqref>U53 U45:U46 U43 U56 U59</xm:sqref>
        </x14:dataValidation>
        <x14:dataValidation type="list" allowBlank="1" showInputMessage="1" showErrorMessage="1">
          <x14:formula1>
            <xm:f>'https://santandernet.sharepoint.com/sites/FEIeBEI/Shared Documents/FEI e BEI/03. Documentos Produzidos/01. Especificação/00. Old/[BS_Especificação_FEI_v0.3.xlsx]Tabelas AUX'!#REF!</xm:f>
          </x14:formula1>
          <xm:sqref>U11:U42 U60:U67 U54:U55 U57:U58 U44 U47:U52</xm:sqref>
        </x14:dataValidation>
        <x14:dataValidation type="list" allowBlank="1" showInputMessage="1" showErrorMessage="1">
          <x14:formula1>
            <xm:f>'Tabelas AUX'!$G$2:$G$17</xm:f>
          </x14:formula1>
          <xm:sqref>Y11:Y64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9" tint="0.59999389629810485"/>
    <pageSetUpPr autoPageBreaks="0"/>
  </sheetPr>
  <dimension ref="A1:AB37"/>
  <sheetViews>
    <sheetView showGridLines="0" zoomScale="70" zoomScaleNormal="70" workbookViewId="0"/>
  </sheetViews>
  <sheetFormatPr defaultRowHeight="14.4" outlineLevelRow="1" outlineLevelCol="1" x14ac:dyDescent="0.3"/>
  <cols>
    <col min="1" max="1" width="3.6640625" customWidth="1"/>
    <col min="2" max="2" width="35.5546875" customWidth="1"/>
    <col min="3" max="3" width="10.109375" bestFit="1" customWidth="1"/>
    <col min="4" max="4" width="49.109375" bestFit="1" customWidth="1"/>
    <col min="5" max="5" width="35.109375" bestFit="1" customWidth="1"/>
    <col min="6" max="6" width="16.5546875" bestFit="1" customWidth="1"/>
    <col min="7" max="7" width="98.33203125" customWidth="1"/>
    <col min="8" max="8" width="18.33203125" bestFit="1" customWidth="1"/>
    <col min="9" max="9" width="2" customWidth="1"/>
    <col min="10" max="10" width="9.109375" hidden="1" customWidth="1" outlineLevel="1"/>
    <col min="11" max="11" width="20.44140625" hidden="1" customWidth="1" outlineLevel="1"/>
    <col min="12" max="12" width="25.88671875" hidden="1" customWidth="1" outlineLevel="1"/>
    <col min="13" max="13" width="18.33203125" bestFit="1" customWidth="1" collapsed="1"/>
    <col min="14" max="14" width="14.44140625" bestFit="1" customWidth="1"/>
    <col min="15" max="15" width="36.77734375" customWidth="1"/>
    <col min="16" max="16" width="23.109375" hidden="1" customWidth="1" outlineLevel="1"/>
    <col min="17" max="17" width="15.44140625" hidden="1" customWidth="1" outlineLevel="1"/>
    <col min="18" max="18" width="24.5546875" hidden="1" customWidth="1" outlineLevel="1"/>
    <col min="19" max="19" width="28.88671875" hidden="1" customWidth="1" outlineLevel="1"/>
    <col min="20" max="20" width="2.109375" customWidth="1" collapsed="1"/>
    <col min="21" max="21" width="14.44140625" bestFit="1" customWidth="1" outlineLevel="1"/>
    <col min="22" max="22" width="17.88671875" bestFit="1" customWidth="1" outlineLevel="1"/>
    <col min="23" max="23" width="35.44140625" customWidth="1" outlineLevel="1"/>
    <col min="24" max="24" width="2.109375" customWidth="1"/>
    <col min="25" max="25" width="21.21875" customWidth="1" outlineLevel="1"/>
    <col min="26" max="26" width="21.44140625" bestFit="1" customWidth="1" outlineLevel="1"/>
    <col min="27" max="27" width="27.109375" customWidth="1" outlineLevel="1"/>
    <col min="28" max="28" width="11" bestFit="1" customWidth="1" outlineLevel="1"/>
  </cols>
  <sheetData>
    <row r="1" spans="1:28" ht="15" customHeight="1" x14ac:dyDescent="0.3">
      <c r="B1" s="22"/>
      <c r="C1" s="22"/>
      <c r="D1" s="22"/>
      <c r="E1" s="22"/>
      <c r="G1" s="22"/>
      <c r="H1" s="22"/>
    </row>
    <row r="2" spans="1:28" ht="34.5" customHeight="1" x14ac:dyDescent="0.3">
      <c r="B2" s="22"/>
      <c r="C2" s="22"/>
      <c r="D2" s="22"/>
      <c r="E2" s="23"/>
      <c r="G2" s="22"/>
      <c r="H2" s="22"/>
    </row>
    <row r="3" spans="1:28" s="49" customFormat="1" ht="2.25" customHeight="1" x14ac:dyDescent="0.3">
      <c r="A3" s="19"/>
      <c r="B3" s="24"/>
      <c r="C3" s="24"/>
      <c r="D3" s="24"/>
      <c r="E3" s="24"/>
      <c r="F3" s="24"/>
      <c r="G3" s="24"/>
      <c r="H3" s="24"/>
    </row>
    <row r="4" spans="1:28" ht="15" customHeight="1" x14ac:dyDescent="0.3">
      <c r="B4" s="22"/>
      <c r="C4" s="22"/>
      <c r="D4" s="22"/>
      <c r="E4" s="22"/>
      <c r="G4" s="22"/>
      <c r="H4" s="22"/>
    </row>
    <row r="5" spans="1:28" ht="15" customHeight="1" x14ac:dyDescent="0.3">
      <c r="B5" s="25" t="s">
        <v>269</v>
      </c>
      <c r="C5" s="25"/>
      <c r="D5" s="25"/>
      <c r="E5" s="22"/>
      <c r="G5" s="22"/>
      <c r="H5" s="22"/>
    </row>
    <row r="6" spans="1:28" ht="15" customHeight="1" x14ac:dyDescent="0.3">
      <c r="B6" s="22"/>
      <c r="C6" s="22"/>
      <c r="D6" s="22"/>
      <c r="E6" s="22"/>
      <c r="G6" s="22"/>
      <c r="H6" s="22"/>
    </row>
    <row r="7" spans="1:28" hidden="1" outlineLevel="1" x14ac:dyDescent="0.3">
      <c r="B7" s="26" t="s">
        <v>9</v>
      </c>
      <c r="C7" s="219" t="s">
        <v>812</v>
      </c>
      <c r="D7" s="219"/>
      <c r="E7" s="220"/>
      <c r="F7" s="220"/>
      <c r="G7" s="220"/>
      <c r="H7" s="220"/>
      <c r="I7" s="27"/>
      <c r="J7" s="27"/>
      <c r="S7" s="27"/>
      <c r="T7" s="27"/>
      <c r="X7" s="27"/>
    </row>
    <row r="8" spans="1:28" ht="15" hidden="1" customHeight="1" outlineLevel="1" x14ac:dyDescent="0.3">
      <c r="B8" s="22"/>
      <c r="C8" s="22"/>
      <c r="D8" s="22"/>
      <c r="E8" s="22"/>
      <c r="G8" s="22"/>
      <c r="H8" s="22"/>
    </row>
    <row r="9" spans="1:28" collapsed="1" x14ac:dyDescent="0.3">
      <c r="B9" s="221" t="s">
        <v>10</v>
      </c>
      <c r="C9" s="222"/>
      <c r="D9" s="222"/>
      <c r="E9" s="222"/>
      <c r="F9" s="222"/>
      <c r="G9" s="222"/>
      <c r="H9" s="223"/>
      <c r="J9" s="224" t="s">
        <v>11</v>
      </c>
      <c r="K9" s="225"/>
      <c r="L9" s="225"/>
      <c r="M9" s="216" t="s">
        <v>12</v>
      </c>
      <c r="N9" s="217"/>
      <c r="O9" s="218"/>
      <c r="P9" s="216" t="s">
        <v>13</v>
      </c>
      <c r="Q9" s="217"/>
      <c r="R9" s="217"/>
      <c r="S9" s="218"/>
      <c r="U9" s="216" t="s">
        <v>14</v>
      </c>
      <c r="V9" s="217"/>
      <c r="W9" s="218"/>
      <c r="Y9" s="216" t="s">
        <v>15</v>
      </c>
      <c r="Z9" s="217"/>
      <c r="AA9" s="217"/>
      <c r="AB9" s="218"/>
    </row>
    <row r="10" spans="1:28" x14ac:dyDescent="0.3">
      <c r="B10" s="35" t="s">
        <v>16</v>
      </c>
      <c r="C10" s="35" t="s">
        <v>17</v>
      </c>
      <c r="D10" s="35" t="s">
        <v>18</v>
      </c>
      <c r="E10" s="35" t="s">
        <v>317</v>
      </c>
      <c r="F10" s="35" t="s">
        <v>19</v>
      </c>
      <c r="G10" s="35" t="s">
        <v>20</v>
      </c>
      <c r="H10" s="35" t="s">
        <v>312</v>
      </c>
      <c r="J10" s="30" t="s">
        <v>64</v>
      </c>
      <c r="K10" s="31" t="s">
        <v>169</v>
      </c>
      <c r="L10" s="31" t="s">
        <v>65</v>
      </c>
      <c r="M10" s="30" t="s">
        <v>22</v>
      </c>
      <c r="N10" s="31" t="s">
        <v>23</v>
      </c>
      <c r="O10" s="32" t="s">
        <v>24</v>
      </c>
      <c r="P10" s="33" t="s">
        <v>145</v>
      </c>
      <c r="Q10" s="34" t="s">
        <v>26</v>
      </c>
      <c r="R10" s="28" t="s">
        <v>27</v>
      </c>
      <c r="S10" s="28" t="s">
        <v>28</v>
      </c>
      <c r="U10" s="36" t="s">
        <v>29</v>
      </c>
      <c r="V10" s="36" t="s">
        <v>30</v>
      </c>
      <c r="W10" s="36" t="s">
        <v>31</v>
      </c>
      <c r="Y10" s="36" t="s">
        <v>29</v>
      </c>
      <c r="Z10" s="36" t="s">
        <v>32</v>
      </c>
      <c r="AA10" s="36" t="s">
        <v>33</v>
      </c>
      <c r="AB10" s="36" t="s">
        <v>31</v>
      </c>
    </row>
    <row r="11" spans="1:28" x14ac:dyDescent="0.3">
      <c r="B11" s="44" t="s">
        <v>417</v>
      </c>
      <c r="C11" s="44">
        <v>1</v>
      </c>
      <c r="D11" s="44" t="s">
        <v>255</v>
      </c>
      <c r="E11" s="44" t="s">
        <v>170</v>
      </c>
      <c r="F11" s="44" t="s">
        <v>311</v>
      </c>
      <c r="G11" s="113" t="s">
        <v>351</v>
      </c>
      <c r="H11" s="167"/>
      <c r="I11" s="113"/>
      <c r="J11" s="44" t="s">
        <v>66</v>
      </c>
      <c r="K11" s="44" t="s">
        <v>95</v>
      </c>
      <c r="L11" s="44"/>
      <c r="M11" s="58" t="s">
        <v>353</v>
      </c>
      <c r="N11" s="58" t="s">
        <v>385</v>
      </c>
      <c r="O11" s="44" t="s">
        <v>170</v>
      </c>
      <c r="P11" s="44"/>
      <c r="Q11" s="44"/>
      <c r="R11" s="44"/>
      <c r="S11" s="44"/>
      <c r="T11" s="113"/>
      <c r="U11" s="47" t="s">
        <v>34</v>
      </c>
      <c r="V11" s="45">
        <v>45789</v>
      </c>
      <c r="W11" s="44"/>
      <c r="X11" s="113"/>
      <c r="Y11" s="174" t="s">
        <v>56</v>
      </c>
      <c r="Z11" s="43">
        <v>45852</v>
      </c>
      <c r="AA11" s="44" t="s">
        <v>478</v>
      </c>
      <c r="AB11" s="44"/>
    </row>
    <row r="12" spans="1:28" ht="72" x14ac:dyDescent="0.3">
      <c r="B12" s="44" t="s">
        <v>417</v>
      </c>
      <c r="C12" s="44">
        <v>2</v>
      </c>
      <c r="D12" s="44" t="s">
        <v>193</v>
      </c>
      <c r="E12" s="44" t="s">
        <v>171</v>
      </c>
      <c r="F12" s="44" t="s">
        <v>311</v>
      </c>
      <c r="G12" s="44" t="s">
        <v>357</v>
      </c>
      <c r="H12" s="167" t="s">
        <v>327</v>
      </c>
      <c r="I12" s="113"/>
      <c r="J12" s="44" t="s">
        <v>66</v>
      </c>
      <c r="K12" s="44" t="s">
        <v>96</v>
      </c>
      <c r="L12" s="44"/>
      <c r="M12" s="58" t="s">
        <v>353</v>
      </c>
      <c r="N12" s="58" t="s">
        <v>385</v>
      </c>
      <c r="O12" s="168" t="s">
        <v>627</v>
      </c>
      <c r="P12" s="44"/>
      <c r="Q12" s="44"/>
      <c r="R12" s="46" t="s">
        <v>375</v>
      </c>
      <c r="S12" s="44"/>
      <c r="T12" s="113"/>
      <c r="U12" s="47" t="s">
        <v>34</v>
      </c>
      <c r="V12" s="45">
        <v>45789</v>
      </c>
      <c r="W12" s="44"/>
      <c r="X12" s="113"/>
      <c r="Y12" s="174" t="s">
        <v>56</v>
      </c>
      <c r="Z12" s="43">
        <v>45852</v>
      </c>
      <c r="AA12" s="44" t="s">
        <v>478</v>
      </c>
      <c r="AB12" s="44"/>
    </row>
    <row r="13" spans="1:28" ht="43.2" x14ac:dyDescent="0.3">
      <c r="B13" s="44" t="s">
        <v>417</v>
      </c>
      <c r="C13" s="44">
        <v>3</v>
      </c>
      <c r="D13" s="44" t="s">
        <v>192</v>
      </c>
      <c r="E13" s="44" t="s">
        <v>422</v>
      </c>
      <c r="F13" s="44" t="s">
        <v>311</v>
      </c>
      <c r="G13" s="44" t="s">
        <v>491</v>
      </c>
      <c r="H13" s="167"/>
      <c r="I13" s="113"/>
      <c r="J13" s="44" t="s">
        <v>66</v>
      </c>
      <c r="K13" s="44" t="s">
        <v>204</v>
      </c>
      <c r="L13" s="44"/>
      <c r="M13" s="58" t="s">
        <v>353</v>
      </c>
      <c r="N13" s="58" t="s">
        <v>385</v>
      </c>
      <c r="O13" s="44" t="s">
        <v>422</v>
      </c>
      <c r="P13" s="44"/>
      <c r="Q13" s="44"/>
      <c r="R13" s="44"/>
      <c r="S13" s="44"/>
      <c r="T13" s="113"/>
      <c r="U13" s="47" t="s">
        <v>34</v>
      </c>
      <c r="V13" s="45">
        <v>45789</v>
      </c>
      <c r="W13" s="44"/>
      <c r="X13" s="113"/>
      <c r="Y13" s="212" t="s">
        <v>58</v>
      </c>
      <c r="Z13" s="43">
        <v>45852</v>
      </c>
      <c r="AA13" s="44" t="s">
        <v>478</v>
      </c>
      <c r="AB13" s="44" t="s">
        <v>808</v>
      </c>
    </row>
    <row r="14" spans="1:28" ht="43.2" x14ac:dyDescent="0.3">
      <c r="B14" s="44" t="s">
        <v>417</v>
      </c>
      <c r="C14" s="44">
        <v>4</v>
      </c>
      <c r="D14" s="44" t="s">
        <v>194</v>
      </c>
      <c r="E14" s="44" t="s">
        <v>423</v>
      </c>
      <c r="F14" s="44" t="s">
        <v>311</v>
      </c>
      <c r="G14" s="44" t="s">
        <v>453</v>
      </c>
      <c r="H14" s="167"/>
      <c r="I14" s="113"/>
      <c r="J14" s="44" t="s">
        <v>66</v>
      </c>
      <c r="K14" s="44" t="s">
        <v>205</v>
      </c>
      <c r="L14" s="44"/>
      <c r="M14" s="58" t="s">
        <v>353</v>
      </c>
      <c r="N14" s="58" t="s">
        <v>385</v>
      </c>
      <c r="O14" s="44" t="s">
        <v>423</v>
      </c>
      <c r="P14" s="44"/>
      <c r="Q14" s="44"/>
      <c r="R14" s="44"/>
      <c r="S14" s="44"/>
      <c r="T14" s="113"/>
      <c r="U14" s="47" t="s">
        <v>34</v>
      </c>
      <c r="V14" s="45">
        <v>45789</v>
      </c>
      <c r="W14" s="44"/>
      <c r="X14" s="113"/>
      <c r="Y14" s="212" t="s">
        <v>58</v>
      </c>
      <c r="Z14" s="43">
        <v>45852</v>
      </c>
      <c r="AA14" s="44" t="s">
        <v>478</v>
      </c>
      <c r="AB14" s="44" t="s">
        <v>808</v>
      </c>
    </row>
    <row r="15" spans="1:28" ht="43.2" x14ac:dyDescent="0.3">
      <c r="B15" s="44" t="s">
        <v>417</v>
      </c>
      <c r="C15" s="44">
        <v>5</v>
      </c>
      <c r="D15" s="44" t="s">
        <v>195</v>
      </c>
      <c r="E15" s="44" t="s">
        <v>424</v>
      </c>
      <c r="F15" s="44" t="s">
        <v>311</v>
      </c>
      <c r="G15" s="44" t="s">
        <v>454</v>
      </c>
      <c r="H15" s="167"/>
      <c r="I15" s="113"/>
      <c r="J15" s="44" t="s">
        <v>66</v>
      </c>
      <c r="K15" s="44" t="s">
        <v>492</v>
      </c>
      <c r="L15" s="44"/>
      <c r="M15" s="58" t="s">
        <v>353</v>
      </c>
      <c r="N15" s="58" t="s">
        <v>385</v>
      </c>
      <c r="O15" s="44" t="s">
        <v>424</v>
      </c>
      <c r="P15" s="44"/>
      <c r="Q15" s="44"/>
      <c r="R15" s="44"/>
      <c r="S15" s="44"/>
      <c r="T15" s="113"/>
      <c r="U15" s="47" t="s">
        <v>34</v>
      </c>
      <c r="V15" s="45">
        <v>45789</v>
      </c>
      <c r="W15" s="58"/>
      <c r="X15" s="166"/>
      <c r="Y15" s="212" t="s">
        <v>58</v>
      </c>
      <c r="Z15" s="43">
        <v>45852</v>
      </c>
      <c r="AA15" s="44" t="s">
        <v>478</v>
      </c>
      <c r="AB15" s="44" t="s">
        <v>808</v>
      </c>
    </row>
    <row r="16" spans="1:28" ht="28.8" x14ac:dyDescent="0.3">
      <c r="B16" s="44" t="s">
        <v>417</v>
      </c>
      <c r="C16" s="44">
        <v>6</v>
      </c>
      <c r="D16" s="44" t="s">
        <v>196</v>
      </c>
      <c r="E16" s="44" t="s">
        <v>393</v>
      </c>
      <c r="F16" s="44" t="s">
        <v>410</v>
      </c>
      <c r="G16" s="44" t="s">
        <v>196</v>
      </c>
      <c r="H16" s="167"/>
      <c r="I16" s="113"/>
      <c r="J16" s="44" t="s">
        <v>66</v>
      </c>
      <c r="K16" s="44" t="s">
        <v>493</v>
      </c>
      <c r="L16" s="44"/>
      <c r="M16" s="58" t="s">
        <v>353</v>
      </c>
      <c r="N16" s="58" t="s">
        <v>385</v>
      </c>
      <c r="O16" s="168" t="s">
        <v>393</v>
      </c>
      <c r="P16" s="44"/>
      <c r="Q16" s="44"/>
      <c r="R16" s="44"/>
      <c r="S16" s="44"/>
      <c r="T16" s="113"/>
      <c r="U16" s="47" t="s">
        <v>34</v>
      </c>
      <c r="V16" s="45">
        <v>45789</v>
      </c>
      <c r="W16" s="44"/>
      <c r="X16" s="113"/>
      <c r="Y16" s="174" t="s">
        <v>56</v>
      </c>
      <c r="Z16" s="43">
        <v>45852</v>
      </c>
      <c r="AA16" s="44" t="s">
        <v>478</v>
      </c>
      <c r="AB16" s="44"/>
    </row>
    <row r="17" spans="1:28" ht="28.8" x14ac:dyDescent="0.3">
      <c r="B17" s="44" t="s">
        <v>417</v>
      </c>
      <c r="C17" s="44">
        <v>7</v>
      </c>
      <c r="D17" s="44" t="s">
        <v>197</v>
      </c>
      <c r="E17" s="44" t="s">
        <v>411</v>
      </c>
      <c r="F17" s="44" t="s">
        <v>410</v>
      </c>
      <c r="G17" s="44" t="s">
        <v>402</v>
      </c>
      <c r="H17" s="167"/>
      <c r="I17" s="113"/>
      <c r="J17" s="44" t="s">
        <v>66</v>
      </c>
      <c r="K17" s="44" t="s">
        <v>494</v>
      </c>
      <c r="L17" s="44"/>
      <c r="M17" s="58" t="s">
        <v>353</v>
      </c>
      <c r="N17" s="58" t="s">
        <v>385</v>
      </c>
      <c r="O17" s="168" t="s">
        <v>391</v>
      </c>
      <c r="P17" s="44"/>
      <c r="Q17" s="44"/>
      <c r="R17" s="44"/>
      <c r="S17" s="44"/>
      <c r="T17" s="113"/>
      <c r="U17" s="47" t="s">
        <v>34</v>
      </c>
      <c r="V17" s="45">
        <v>45789</v>
      </c>
      <c r="W17" s="44"/>
      <c r="X17" s="113"/>
      <c r="Y17" s="174" t="s">
        <v>56</v>
      </c>
      <c r="Z17" s="43">
        <v>45852</v>
      </c>
      <c r="AA17" s="44" t="s">
        <v>478</v>
      </c>
      <c r="AB17" s="44"/>
    </row>
    <row r="18" spans="1:28" ht="28.8" x14ac:dyDescent="0.3">
      <c r="B18" s="44" t="s">
        <v>417</v>
      </c>
      <c r="C18" s="44">
        <v>8</v>
      </c>
      <c r="D18" s="44" t="s">
        <v>198</v>
      </c>
      <c r="E18" s="44" t="s">
        <v>409</v>
      </c>
      <c r="F18" s="44" t="s">
        <v>311</v>
      </c>
      <c r="G18" s="44" t="s">
        <v>403</v>
      </c>
      <c r="H18" s="167"/>
      <c r="I18" s="113"/>
      <c r="J18" s="44" t="s">
        <v>66</v>
      </c>
      <c r="K18" s="44" t="s">
        <v>495</v>
      </c>
      <c r="L18" s="44"/>
      <c r="M18" s="58" t="s">
        <v>353</v>
      </c>
      <c r="N18" s="58" t="s">
        <v>385</v>
      </c>
      <c r="O18" s="168" t="s">
        <v>392</v>
      </c>
      <c r="P18" s="44"/>
      <c r="Q18" s="44"/>
      <c r="R18" s="44"/>
      <c r="S18" s="44"/>
      <c r="T18" s="113"/>
      <c r="U18" s="47" t="s">
        <v>34</v>
      </c>
      <c r="V18" s="45">
        <v>45789</v>
      </c>
      <c r="W18" s="44"/>
      <c r="X18" s="113"/>
      <c r="Y18" s="174" t="s">
        <v>56</v>
      </c>
      <c r="Z18" s="43">
        <v>45852</v>
      </c>
      <c r="AA18" s="44" t="s">
        <v>478</v>
      </c>
      <c r="AB18" s="44"/>
    </row>
    <row r="19" spans="1:28" ht="28.8" x14ac:dyDescent="0.3">
      <c r="B19" s="44" t="s">
        <v>417</v>
      </c>
      <c r="C19" s="44">
        <v>9</v>
      </c>
      <c r="D19" s="44" t="s">
        <v>199</v>
      </c>
      <c r="E19" s="44" t="s">
        <v>394</v>
      </c>
      <c r="F19" s="44" t="s">
        <v>410</v>
      </c>
      <c r="G19" s="44" t="s">
        <v>455</v>
      </c>
      <c r="H19" s="167"/>
      <c r="I19" s="113"/>
      <c r="J19" s="44" t="s">
        <v>66</v>
      </c>
      <c r="K19" s="44" t="s">
        <v>496</v>
      </c>
      <c r="L19" s="44"/>
      <c r="M19" s="58" t="s">
        <v>353</v>
      </c>
      <c r="N19" s="58" t="s">
        <v>385</v>
      </c>
      <c r="O19" s="168" t="s">
        <v>394</v>
      </c>
      <c r="P19" s="44"/>
      <c r="Q19" s="44"/>
      <c r="R19" s="44"/>
      <c r="S19" s="44"/>
      <c r="T19" s="113"/>
      <c r="U19" s="47" t="s">
        <v>34</v>
      </c>
      <c r="V19" s="45">
        <v>45789</v>
      </c>
      <c r="W19" s="44"/>
      <c r="X19" s="113"/>
      <c r="Y19" s="174" t="s">
        <v>56</v>
      </c>
      <c r="Z19" s="43">
        <v>45852</v>
      </c>
      <c r="AA19" s="44" t="s">
        <v>478</v>
      </c>
      <c r="AB19" s="44"/>
    </row>
    <row r="20" spans="1:28" ht="28.8" x14ac:dyDescent="0.3">
      <c r="B20" s="44" t="s">
        <v>417</v>
      </c>
      <c r="C20" s="44">
        <v>10</v>
      </c>
      <c r="D20" s="44" t="s">
        <v>86</v>
      </c>
      <c r="E20" s="44" t="s">
        <v>397</v>
      </c>
      <c r="F20" s="44" t="s">
        <v>311</v>
      </c>
      <c r="G20" s="44" t="s">
        <v>404</v>
      </c>
      <c r="H20" s="167"/>
      <c r="I20" s="113"/>
      <c r="J20" s="44" t="s">
        <v>66</v>
      </c>
      <c r="K20" s="44" t="s">
        <v>497</v>
      </c>
      <c r="L20" s="44"/>
      <c r="M20" s="58" t="s">
        <v>353</v>
      </c>
      <c r="N20" s="58" t="s">
        <v>385</v>
      </c>
      <c r="O20" s="168" t="s">
        <v>397</v>
      </c>
      <c r="P20" s="44"/>
      <c r="Q20" s="44"/>
      <c r="R20" s="44"/>
      <c r="S20" s="44"/>
      <c r="T20" s="113"/>
      <c r="U20" s="47" t="s">
        <v>34</v>
      </c>
      <c r="V20" s="45">
        <v>45789</v>
      </c>
      <c r="W20" s="44"/>
      <c r="X20" s="113"/>
      <c r="Y20" s="174" t="s">
        <v>56</v>
      </c>
      <c r="Z20" s="43">
        <v>45852</v>
      </c>
      <c r="AA20" s="44" t="s">
        <v>478</v>
      </c>
      <c r="AB20" s="44"/>
    </row>
    <row r="21" spans="1:28" ht="28.8" x14ac:dyDescent="0.3">
      <c r="B21" s="44" t="s">
        <v>417</v>
      </c>
      <c r="C21" s="44">
        <v>11</v>
      </c>
      <c r="D21" s="44" t="s">
        <v>200</v>
      </c>
      <c r="E21" s="44" t="s">
        <v>398</v>
      </c>
      <c r="F21" s="44" t="s">
        <v>354</v>
      </c>
      <c r="G21" s="44" t="s">
        <v>406</v>
      </c>
      <c r="H21" s="167"/>
      <c r="I21" s="113"/>
      <c r="J21" s="44" t="s">
        <v>66</v>
      </c>
      <c r="K21" s="44" t="s">
        <v>498</v>
      </c>
      <c r="L21" s="44"/>
      <c r="M21" s="58" t="s">
        <v>353</v>
      </c>
      <c r="N21" s="58" t="s">
        <v>385</v>
      </c>
      <c r="O21" s="168" t="s">
        <v>398</v>
      </c>
      <c r="P21" s="44"/>
      <c r="Q21" s="44"/>
      <c r="R21" s="44"/>
      <c r="S21" s="44"/>
      <c r="T21" s="113"/>
      <c r="U21" s="47" t="s">
        <v>34</v>
      </c>
      <c r="V21" s="45">
        <v>45789</v>
      </c>
      <c r="W21" s="44"/>
      <c r="X21" s="113"/>
      <c r="Y21" s="174" t="s">
        <v>56</v>
      </c>
      <c r="Z21" s="43">
        <v>45852</v>
      </c>
      <c r="AA21" s="44" t="s">
        <v>478</v>
      </c>
      <c r="AB21" s="44"/>
    </row>
    <row r="22" spans="1:28" ht="28.8" x14ac:dyDescent="0.3">
      <c r="B22" s="44" t="s">
        <v>417</v>
      </c>
      <c r="C22" s="44">
        <v>12</v>
      </c>
      <c r="D22" s="44" t="s">
        <v>87</v>
      </c>
      <c r="E22" s="44" t="s">
        <v>399</v>
      </c>
      <c r="F22" s="44" t="s">
        <v>311</v>
      </c>
      <c r="G22" s="44" t="s">
        <v>405</v>
      </c>
      <c r="H22" s="167"/>
      <c r="I22" s="113"/>
      <c r="J22" s="44" t="s">
        <v>66</v>
      </c>
      <c r="K22" s="44" t="s">
        <v>499</v>
      </c>
      <c r="L22" s="44"/>
      <c r="M22" s="58" t="s">
        <v>353</v>
      </c>
      <c r="N22" s="58" t="s">
        <v>385</v>
      </c>
      <c r="O22" s="168" t="s">
        <v>399</v>
      </c>
      <c r="P22" s="44"/>
      <c r="Q22" s="44"/>
      <c r="R22" s="44"/>
      <c r="S22" s="44"/>
      <c r="T22" s="113"/>
      <c r="U22" s="47" t="s">
        <v>34</v>
      </c>
      <c r="V22" s="45">
        <v>45789</v>
      </c>
      <c r="W22" s="44"/>
      <c r="X22" s="113"/>
      <c r="Y22" s="174" t="s">
        <v>56</v>
      </c>
      <c r="Z22" s="43">
        <v>45852</v>
      </c>
      <c r="AA22" s="44" t="s">
        <v>478</v>
      </c>
      <c r="AB22" s="44"/>
    </row>
    <row r="23" spans="1:28" ht="28.8" x14ac:dyDescent="0.3">
      <c r="B23" s="44" t="s">
        <v>417</v>
      </c>
      <c r="C23" s="44">
        <v>13</v>
      </c>
      <c r="D23" s="44" t="s">
        <v>201</v>
      </c>
      <c r="E23" s="44" t="s">
        <v>400</v>
      </c>
      <c r="F23" s="44" t="s">
        <v>311</v>
      </c>
      <c r="G23" s="44" t="s">
        <v>456</v>
      </c>
      <c r="H23" s="167"/>
      <c r="I23" s="113"/>
      <c r="J23" s="44" t="s">
        <v>66</v>
      </c>
      <c r="K23" s="44" t="s">
        <v>500</v>
      </c>
      <c r="L23" s="44"/>
      <c r="M23" s="58" t="s">
        <v>353</v>
      </c>
      <c r="N23" s="58" t="s">
        <v>385</v>
      </c>
      <c r="O23" s="168" t="s">
        <v>400</v>
      </c>
      <c r="P23" s="44"/>
      <c r="Q23" s="44"/>
      <c r="R23" s="44"/>
      <c r="S23" s="44"/>
      <c r="T23" s="113"/>
      <c r="U23" s="47" t="s">
        <v>34</v>
      </c>
      <c r="V23" s="45">
        <v>45789</v>
      </c>
      <c r="W23" s="58"/>
      <c r="X23" s="166"/>
      <c r="Y23" s="174" t="s">
        <v>56</v>
      </c>
      <c r="Z23" s="43">
        <v>45852</v>
      </c>
      <c r="AA23" s="44" t="s">
        <v>478</v>
      </c>
      <c r="AB23" s="44"/>
    </row>
    <row r="24" spans="1:28" ht="28.8" x14ac:dyDescent="0.3">
      <c r="B24" s="44" t="s">
        <v>417</v>
      </c>
      <c r="C24" s="44">
        <v>14</v>
      </c>
      <c r="D24" s="44" t="s">
        <v>202</v>
      </c>
      <c r="E24" s="44" t="s">
        <v>362</v>
      </c>
      <c r="F24" s="44" t="s">
        <v>311</v>
      </c>
      <c r="G24" s="44" t="s">
        <v>419</v>
      </c>
      <c r="H24" s="167"/>
      <c r="I24" s="113"/>
      <c r="J24" s="44" t="s">
        <v>66</v>
      </c>
      <c r="K24" s="44" t="s">
        <v>501</v>
      </c>
      <c r="L24" s="44"/>
      <c r="M24" s="58" t="s">
        <v>88</v>
      </c>
      <c r="N24" s="58" t="s">
        <v>88</v>
      </c>
      <c r="O24" s="58" t="s">
        <v>80</v>
      </c>
      <c r="P24" s="44"/>
      <c r="Q24" s="44"/>
      <c r="R24" s="44"/>
      <c r="S24" s="44"/>
      <c r="T24" s="113"/>
      <c r="U24" s="47" t="s">
        <v>34</v>
      </c>
      <c r="V24" s="45">
        <v>45789</v>
      </c>
      <c r="W24" s="44" t="s">
        <v>617</v>
      </c>
      <c r="X24" s="113"/>
      <c r="Y24" s="174" t="s">
        <v>56</v>
      </c>
      <c r="Z24" s="43">
        <v>45852</v>
      </c>
      <c r="AA24" s="44" t="s">
        <v>478</v>
      </c>
      <c r="AB24" s="44"/>
    </row>
    <row r="25" spans="1:28" ht="43.2" x14ac:dyDescent="0.3">
      <c r="B25" s="44" t="s">
        <v>417</v>
      </c>
      <c r="C25" s="44">
        <v>15</v>
      </c>
      <c r="D25" s="44" t="s">
        <v>203</v>
      </c>
      <c r="E25" s="44" t="s">
        <v>363</v>
      </c>
      <c r="F25" s="44" t="s">
        <v>311</v>
      </c>
      <c r="G25" s="44" t="s">
        <v>418</v>
      </c>
      <c r="H25" s="167"/>
      <c r="I25" s="113"/>
      <c r="J25" s="44" t="s">
        <v>66</v>
      </c>
      <c r="K25" s="44" t="s">
        <v>502</v>
      </c>
      <c r="L25" s="44"/>
      <c r="M25" s="58" t="s">
        <v>88</v>
      </c>
      <c r="N25" s="58" t="s">
        <v>88</v>
      </c>
      <c r="O25" s="58" t="s">
        <v>80</v>
      </c>
      <c r="P25" s="44"/>
      <c r="Q25" s="44"/>
      <c r="R25" s="44"/>
      <c r="S25" s="44"/>
      <c r="T25" s="113"/>
      <c r="U25" s="47" t="s">
        <v>34</v>
      </c>
      <c r="V25" s="45">
        <v>45789</v>
      </c>
      <c r="W25" s="44" t="s">
        <v>617</v>
      </c>
      <c r="X25" s="113"/>
      <c r="Y25" s="174" t="s">
        <v>56</v>
      </c>
      <c r="Z25" s="43">
        <v>45852</v>
      </c>
      <c r="AA25" s="44" t="s">
        <v>478</v>
      </c>
      <c r="AB25" s="44"/>
    </row>
    <row r="26" spans="1:28" ht="33" customHeight="1" x14ac:dyDescent="0.3">
      <c r="B26" s="44" t="s">
        <v>417</v>
      </c>
      <c r="C26" s="44">
        <v>16</v>
      </c>
      <c r="D26" s="44" t="s">
        <v>89</v>
      </c>
      <c r="E26" s="44" t="s">
        <v>364</v>
      </c>
      <c r="F26" s="44" t="s">
        <v>311</v>
      </c>
      <c r="G26" s="44" t="s">
        <v>420</v>
      </c>
      <c r="H26" s="167"/>
      <c r="I26" s="113"/>
      <c r="J26" s="44" t="s">
        <v>66</v>
      </c>
      <c r="K26" s="44" t="s">
        <v>503</v>
      </c>
      <c r="L26" s="44"/>
      <c r="M26" s="58" t="s">
        <v>88</v>
      </c>
      <c r="N26" s="58" t="s">
        <v>88</v>
      </c>
      <c r="O26" s="171" t="s">
        <v>144</v>
      </c>
      <c r="P26" s="44"/>
      <c r="Q26" s="44"/>
      <c r="R26" s="44"/>
      <c r="S26" s="44"/>
      <c r="T26" s="113"/>
      <c r="U26" s="47" t="s">
        <v>34</v>
      </c>
      <c r="V26" s="45">
        <v>45789</v>
      </c>
      <c r="W26" s="44"/>
      <c r="X26" s="113"/>
      <c r="Y26" s="174" t="s">
        <v>56</v>
      </c>
      <c r="Z26" s="43">
        <v>45852</v>
      </c>
      <c r="AA26" s="44" t="s">
        <v>478</v>
      </c>
      <c r="AB26" s="44"/>
    </row>
    <row r="27" spans="1:28" ht="34.200000000000003" customHeight="1" x14ac:dyDescent="0.3">
      <c r="B27" s="44" t="s">
        <v>417</v>
      </c>
      <c r="C27" s="44">
        <v>17</v>
      </c>
      <c r="D27" s="44" t="s">
        <v>90</v>
      </c>
      <c r="E27" s="44" t="s">
        <v>365</v>
      </c>
      <c r="F27" s="44" t="s">
        <v>410</v>
      </c>
      <c r="G27" s="44" t="s">
        <v>407</v>
      </c>
      <c r="H27" s="167"/>
      <c r="I27" s="113"/>
      <c r="J27" s="44" t="s">
        <v>66</v>
      </c>
      <c r="K27" s="44" t="s">
        <v>252</v>
      </c>
      <c r="L27" s="44"/>
      <c r="M27" s="58" t="s">
        <v>353</v>
      </c>
      <c r="N27" s="58" t="s">
        <v>385</v>
      </c>
      <c r="O27" s="168" t="s">
        <v>401</v>
      </c>
      <c r="P27" s="44"/>
      <c r="Q27" s="44"/>
      <c r="R27" s="44"/>
      <c r="S27" s="44"/>
      <c r="T27" s="113"/>
      <c r="U27" s="47" t="s">
        <v>34</v>
      </c>
      <c r="V27" s="45">
        <v>45789</v>
      </c>
      <c r="W27" s="44"/>
      <c r="X27" s="113"/>
      <c r="Y27" s="174" t="s">
        <v>56</v>
      </c>
      <c r="Z27" s="43">
        <v>45852</v>
      </c>
      <c r="AA27" s="44" t="s">
        <v>478</v>
      </c>
      <c r="AB27" s="44"/>
    </row>
    <row r="28" spans="1:28" x14ac:dyDescent="0.3">
      <c r="A28" s="143"/>
      <c r="B28" s="44" t="s">
        <v>417</v>
      </c>
      <c r="C28" s="44">
        <v>18</v>
      </c>
      <c r="D28" s="44" t="s">
        <v>622</v>
      </c>
      <c r="E28" s="44" t="s">
        <v>613</v>
      </c>
      <c r="F28" s="42" t="s">
        <v>311</v>
      </c>
      <c r="G28" s="44" t="s">
        <v>618</v>
      </c>
      <c r="H28" s="134"/>
      <c r="I28" s="22"/>
      <c r="J28" s="44" t="s">
        <v>625</v>
      </c>
      <c r="K28" s="42"/>
      <c r="L28" s="44"/>
      <c r="M28" s="58" t="s">
        <v>88</v>
      </c>
      <c r="N28" s="58" t="s">
        <v>88</v>
      </c>
      <c r="O28" s="58" t="s">
        <v>80</v>
      </c>
      <c r="P28" s="141"/>
      <c r="Q28" s="141"/>
      <c r="R28" s="141"/>
      <c r="S28" s="120"/>
      <c r="T28" s="22"/>
      <c r="U28" s="169" t="s">
        <v>34</v>
      </c>
      <c r="V28" s="43">
        <v>45909</v>
      </c>
      <c r="W28" s="44" t="s">
        <v>617</v>
      </c>
      <c r="Y28" s="174" t="s">
        <v>56</v>
      </c>
      <c r="Z28" s="43">
        <v>45918</v>
      </c>
      <c r="AA28" s="37"/>
      <c r="AB28" s="37"/>
    </row>
    <row r="29" spans="1:28" x14ac:dyDescent="0.3">
      <c r="A29" s="143"/>
      <c r="B29" s="44" t="s">
        <v>417</v>
      </c>
      <c r="C29" s="44">
        <v>19</v>
      </c>
      <c r="D29" s="44" t="s">
        <v>623</v>
      </c>
      <c r="E29" s="42" t="s">
        <v>614</v>
      </c>
      <c r="F29" s="42" t="s">
        <v>311</v>
      </c>
      <c r="G29" s="44" t="s">
        <v>619</v>
      </c>
      <c r="H29" s="134"/>
      <c r="I29" s="22"/>
      <c r="J29" s="44" t="s">
        <v>625</v>
      </c>
      <c r="K29" s="42"/>
      <c r="L29" s="44"/>
      <c r="M29" s="58" t="s">
        <v>88</v>
      </c>
      <c r="N29" s="58" t="s">
        <v>88</v>
      </c>
      <c r="O29" s="58" t="s">
        <v>80</v>
      </c>
      <c r="P29" s="141"/>
      <c r="Q29" s="141"/>
      <c r="R29" s="141"/>
      <c r="S29" s="120"/>
      <c r="T29" s="22"/>
      <c r="U29" s="169" t="s">
        <v>34</v>
      </c>
      <c r="V29" s="43">
        <v>45909</v>
      </c>
      <c r="W29" s="44" t="s">
        <v>617</v>
      </c>
      <c r="Y29" s="174" t="s">
        <v>56</v>
      </c>
      <c r="Z29" s="43">
        <v>45918</v>
      </c>
      <c r="AA29" s="37"/>
      <c r="AB29" s="37"/>
    </row>
    <row r="30" spans="1:28" x14ac:dyDescent="0.3">
      <c r="A30" s="143"/>
      <c r="B30" s="44" t="s">
        <v>417</v>
      </c>
      <c r="C30" s="44">
        <v>20</v>
      </c>
      <c r="D30" s="44" t="s">
        <v>620</v>
      </c>
      <c r="E30" s="42" t="s">
        <v>615</v>
      </c>
      <c r="F30" s="42" t="s">
        <v>311</v>
      </c>
      <c r="G30" s="44" t="s">
        <v>620</v>
      </c>
      <c r="H30" s="134"/>
      <c r="I30" s="22"/>
      <c r="J30" s="44" t="s">
        <v>625</v>
      </c>
      <c r="K30" s="42"/>
      <c r="L30" s="44"/>
      <c r="M30" s="58" t="s">
        <v>88</v>
      </c>
      <c r="N30" s="58" t="s">
        <v>88</v>
      </c>
      <c r="O30" s="58" t="s">
        <v>80</v>
      </c>
      <c r="P30" s="141"/>
      <c r="Q30" s="141"/>
      <c r="R30" s="141"/>
      <c r="S30" s="120"/>
      <c r="T30" s="22"/>
      <c r="U30" s="169" t="s">
        <v>34</v>
      </c>
      <c r="V30" s="43">
        <v>45909</v>
      </c>
      <c r="W30" s="44" t="s">
        <v>617</v>
      </c>
      <c r="Y30" s="174" t="s">
        <v>56</v>
      </c>
      <c r="Z30" s="43">
        <v>45918</v>
      </c>
      <c r="AA30" s="37"/>
      <c r="AB30" s="37"/>
    </row>
    <row r="31" spans="1:28" x14ac:dyDescent="0.3">
      <c r="A31" s="143"/>
      <c r="B31" s="44" t="s">
        <v>417</v>
      </c>
      <c r="C31" s="44">
        <v>21</v>
      </c>
      <c r="D31" s="44" t="s">
        <v>624</v>
      </c>
      <c r="E31" s="42" t="s">
        <v>616</v>
      </c>
      <c r="F31" s="42" t="s">
        <v>311</v>
      </c>
      <c r="G31" s="44" t="s">
        <v>621</v>
      </c>
      <c r="H31" s="134"/>
      <c r="I31" s="22"/>
      <c r="J31" s="44" t="s">
        <v>625</v>
      </c>
      <c r="K31" s="42"/>
      <c r="L31" s="44"/>
      <c r="M31" s="58" t="s">
        <v>88</v>
      </c>
      <c r="N31" s="58" t="s">
        <v>88</v>
      </c>
      <c r="O31" s="58" t="s">
        <v>80</v>
      </c>
      <c r="P31" s="141"/>
      <c r="Q31" s="141"/>
      <c r="R31" s="141"/>
      <c r="S31" s="120"/>
      <c r="T31" s="22"/>
      <c r="U31" s="169" t="s">
        <v>34</v>
      </c>
      <c r="V31" s="43">
        <v>45909</v>
      </c>
      <c r="W31" s="44" t="s">
        <v>617</v>
      </c>
      <c r="Y31" s="174" t="s">
        <v>56</v>
      </c>
      <c r="Z31" s="43">
        <v>45918</v>
      </c>
      <c r="AA31" s="37"/>
      <c r="AB31" s="37"/>
    </row>
    <row r="32" spans="1:28" ht="30.6" customHeight="1" x14ac:dyDescent="0.3">
      <c r="B32" s="44" t="s">
        <v>417</v>
      </c>
      <c r="C32" s="44">
        <v>22</v>
      </c>
      <c r="D32" s="42" t="s">
        <v>442</v>
      </c>
      <c r="E32" s="42" t="s">
        <v>436</v>
      </c>
      <c r="F32" s="44" t="s">
        <v>311</v>
      </c>
      <c r="G32" s="44" t="s">
        <v>448</v>
      </c>
      <c r="H32" s="167"/>
      <c r="I32" s="113"/>
      <c r="J32" s="44" t="s">
        <v>66</v>
      </c>
      <c r="K32" s="44" t="s">
        <v>252</v>
      </c>
      <c r="L32" s="44"/>
      <c r="M32" s="58" t="s">
        <v>353</v>
      </c>
      <c r="N32" s="58" t="s">
        <v>385</v>
      </c>
      <c r="O32" s="42" t="s">
        <v>436</v>
      </c>
      <c r="P32" s="44"/>
      <c r="Q32" s="44"/>
      <c r="R32" s="44"/>
      <c r="S32" s="44"/>
      <c r="T32" s="113"/>
      <c r="U32" s="47" t="s">
        <v>34</v>
      </c>
      <c r="V32" s="43">
        <v>45820</v>
      </c>
      <c r="W32" s="44"/>
      <c r="X32" s="113"/>
      <c r="Y32" s="174" t="s">
        <v>56</v>
      </c>
      <c r="Z32" s="43">
        <v>45852</v>
      </c>
      <c r="AA32" s="44" t="s">
        <v>478</v>
      </c>
      <c r="AB32" s="44"/>
    </row>
    <row r="33" spans="2:28" x14ac:dyDescent="0.3">
      <c r="B33" s="44" t="s">
        <v>417</v>
      </c>
      <c r="C33" s="44">
        <v>23</v>
      </c>
      <c r="D33" s="44" t="s">
        <v>307</v>
      </c>
      <c r="E33" s="42" t="s">
        <v>471</v>
      </c>
      <c r="F33" s="42" t="s">
        <v>311</v>
      </c>
      <c r="G33" s="44" t="s">
        <v>463</v>
      </c>
      <c r="H33" s="167"/>
      <c r="I33" s="113"/>
      <c r="J33" s="44"/>
      <c r="K33" s="44" t="s">
        <v>252</v>
      </c>
      <c r="L33" s="44"/>
      <c r="M33" s="58" t="s">
        <v>353</v>
      </c>
      <c r="N33" s="58" t="s">
        <v>385</v>
      </c>
      <c r="O33" s="42" t="s">
        <v>471</v>
      </c>
      <c r="P33" s="44"/>
      <c r="Q33" s="44"/>
      <c r="R33" s="44"/>
      <c r="S33" s="44"/>
      <c r="T33" s="113"/>
      <c r="U33" s="47" t="s">
        <v>34</v>
      </c>
      <c r="V33" s="43">
        <v>45834</v>
      </c>
      <c r="W33" s="37"/>
      <c r="Y33" s="185" t="s">
        <v>34</v>
      </c>
      <c r="Z33" s="43">
        <v>45852</v>
      </c>
      <c r="AA33" s="44" t="s">
        <v>478</v>
      </c>
      <c r="AB33" s="37"/>
    </row>
    <row r="34" spans="2:28" x14ac:dyDescent="0.3">
      <c r="B34" s="44" t="s">
        <v>417</v>
      </c>
      <c r="C34" s="44">
        <v>24</v>
      </c>
      <c r="D34" s="44" t="s">
        <v>427</v>
      </c>
      <c r="E34" s="42" t="s">
        <v>426</v>
      </c>
      <c r="F34" s="44" t="s">
        <v>311</v>
      </c>
      <c r="G34" s="44" t="s">
        <v>430</v>
      </c>
      <c r="H34" s="167"/>
      <c r="I34" s="113"/>
      <c r="J34" s="44"/>
      <c r="K34" s="44" t="s">
        <v>310</v>
      </c>
      <c r="L34" s="44"/>
      <c r="M34" s="44" t="s">
        <v>332</v>
      </c>
      <c r="N34" s="44" t="s">
        <v>332</v>
      </c>
      <c r="O34" s="44" t="s">
        <v>332</v>
      </c>
      <c r="P34" s="44"/>
      <c r="Q34" s="44"/>
      <c r="R34" s="44"/>
      <c r="S34" s="44"/>
      <c r="T34" s="113"/>
      <c r="U34" s="47" t="s">
        <v>34</v>
      </c>
      <c r="V34" s="45">
        <v>45806</v>
      </c>
      <c r="W34" s="44"/>
      <c r="X34" s="113"/>
      <c r="Y34" s="185" t="s">
        <v>34</v>
      </c>
      <c r="Z34" s="43">
        <v>45852</v>
      </c>
      <c r="AA34" s="44" t="s">
        <v>478</v>
      </c>
      <c r="AB34" s="44"/>
    </row>
    <row r="35" spans="2:28" x14ac:dyDescent="0.3">
      <c r="B35" s="44" t="s">
        <v>417</v>
      </c>
      <c r="C35" s="44">
        <v>25</v>
      </c>
      <c r="D35" s="44" t="s">
        <v>329</v>
      </c>
      <c r="E35" s="44" t="s">
        <v>309</v>
      </c>
      <c r="F35" s="44" t="s">
        <v>349</v>
      </c>
      <c r="G35" s="44" t="s">
        <v>331</v>
      </c>
      <c r="H35" s="167"/>
      <c r="I35" s="113"/>
      <c r="J35" s="44"/>
      <c r="K35" s="44" t="s">
        <v>310</v>
      </c>
      <c r="L35" s="44"/>
      <c r="M35" s="44" t="s">
        <v>332</v>
      </c>
      <c r="N35" s="44" t="s">
        <v>332</v>
      </c>
      <c r="O35" s="44" t="s">
        <v>332</v>
      </c>
      <c r="P35" s="44"/>
      <c r="Q35" s="44"/>
      <c r="R35" s="44"/>
      <c r="S35" s="44"/>
      <c r="T35" s="113"/>
      <c r="U35" s="47" t="s">
        <v>34</v>
      </c>
      <c r="V35" s="45">
        <v>45806</v>
      </c>
      <c r="W35" s="44"/>
      <c r="X35" s="113"/>
      <c r="Y35" s="185" t="s">
        <v>34</v>
      </c>
      <c r="Z35" s="43">
        <v>45852</v>
      </c>
      <c r="AA35" s="44" t="s">
        <v>478</v>
      </c>
      <c r="AB35" s="44"/>
    </row>
    <row r="36" spans="2:28" x14ac:dyDescent="0.3">
      <c r="B36" s="44" t="s">
        <v>417</v>
      </c>
      <c r="C36" s="44">
        <v>26</v>
      </c>
      <c r="D36" s="44" t="s">
        <v>328</v>
      </c>
      <c r="E36" s="44" t="s">
        <v>308</v>
      </c>
      <c r="F36" s="44" t="s">
        <v>311</v>
      </c>
      <c r="G36" s="44" t="s">
        <v>330</v>
      </c>
      <c r="H36" s="167" t="s">
        <v>327</v>
      </c>
      <c r="I36" s="113"/>
      <c r="J36" s="44"/>
      <c r="K36" s="44" t="s">
        <v>310</v>
      </c>
      <c r="L36" s="44"/>
      <c r="M36" s="44" t="s">
        <v>332</v>
      </c>
      <c r="N36" s="44" t="s">
        <v>332</v>
      </c>
      <c r="O36" s="96" t="s">
        <v>332</v>
      </c>
      <c r="P36" s="44"/>
      <c r="Q36" s="44"/>
      <c r="R36" s="44"/>
      <c r="S36" s="44"/>
      <c r="T36" s="113"/>
      <c r="U36" s="47" t="s">
        <v>34</v>
      </c>
      <c r="V36" s="45">
        <v>45806</v>
      </c>
      <c r="W36" s="44"/>
      <c r="X36" s="113"/>
      <c r="Y36" s="185" t="s">
        <v>34</v>
      </c>
      <c r="Z36" s="43">
        <v>45852</v>
      </c>
      <c r="AA36" s="44" t="s">
        <v>478</v>
      </c>
      <c r="AB36" s="44"/>
    </row>
    <row r="37" spans="2:28" x14ac:dyDescent="0.3">
      <c r="B37" s="44" t="s">
        <v>417</v>
      </c>
      <c r="C37" s="44">
        <v>27</v>
      </c>
      <c r="D37" s="44" t="s">
        <v>428</v>
      </c>
      <c r="E37" s="44" t="s">
        <v>425</v>
      </c>
      <c r="F37" s="44" t="s">
        <v>354</v>
      </c>
      <c r="G37" s="44" t="s">
        <v>429</v>
      </c>
      <c r="H37" s="167" t="s">
        <v>327</v>
      </c>
      <c r="I37" s="113"/>
      <c r="J37" s="44"/>
      <c r="K37" s="44" t="s">
        <v>310</v>
      </c>
      <c r="L37" s="44"/>
      <c r="M37" s="44" t="s">
        <v>332</v>
      </c>
      <c r="N37" s="44" t="s">
        <v>332</v>
      </c>
      <c r="O37" s="44" t="s">
        <v>332</v>
      </c>
      <c r="P37" s="44"/>
      <c r="Q37" s="44"/>
      <c r="R37" s="44"/>
      <c r="S37" s="44"/>
      <c r="T37" s="113"/>
      <c r="U37" s="47" t="s">
        <v>34</v>
      </c>
      <c r="V37" s="45">
        <v>45806</v>
      </c>
      <c r="W37" s="44"/>
      <c r="X37" s="113"/>
      <c r="Y37" s="185" t="s">
        <v>34</v>
      </c>
      <c r="Z37" s="43">
        <v>45852</v>
      </c>
      <c r="AA37" s="44" t="s">
        <v>478</v>
      </c>
      <c r="AB37" s="44"/>
    </row>
  </sheetData>
  <autoFilter ref="B10:AB10"/>
  <mergeCells count="7">
    <mergeCell ref="Y9:AB9"/>
    <mergeCell ref="J9:L9"/>
    <mergeCell ref="C7:H7"/>
    <mergeCell ref="B9:H9"/>
    <mergeCell ref="M9:O9"/>
    <mergeCell ref="P9:S9"/>
    <mergeCell ref="U9:W9"/>
  </mergeCells>
  <conditionalFormatting sqref="U11:U27">
    <cfRule type="cellIs" dxfId="163" priority="1" operator="equal">
      <formula>"Testes utilizador"</formula>
    </cfRule>
  </conditionalFormatting>
  <conditionalFormatting sqref="U32:U37">
    <cfRule type="cellIs" dxfId="162" priority="16" operator="equal">
      <formula>"Testes utilizador"</formula>
    </cfRule>
  </conditionalFormatting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equal" id="{D60E3912-D91C-4E12-9D40-82420FCB932A}">
            <xm:f>'C:\Users\e859162\Documents\00. Old\[BS_Especificação_FEI_v0.3.xlsx]Tabelas AUX'!#REF!</xm:f>
            <x14:dxf>
              <font>
                <color rgb="FF00B050"/>
              </font>
            </x14:dxf>
          </x14:cfRule>
          <x14:cfRule type="cellIs" priority="3" operator="equal" id="{9C0D8CCB-54E5-45BE-B8B0-009990599F5C}">
            <xm:f>'C:\Users\e859162\Documents\00. Old\[BS_Especificação_FEI_v0.3.xlsx]Tabelas AUX'!#REF!</xm:f>
            <x14:dxf>
              <font>
                <color rgb="FF7F7F7F"/>
              </font>
            </x14:dxf>
          </x14:cfRule>
          <x14:cfRule type="cellIs" priority="4" operator="equal" id="{76262A1B-1677-48A3-B628-764D69DAE332}">
            <xm:f>'C:\Users\e859162\Documents\00. Old\[BS_Especificação_FEI_v0.3.xlsx]Tabelas AUX'!#REF!</xm:f>
            <x14:dxf>
              <font>
                <color theme="5"/>
              </font>
            </x14:dxf>
          </x14:cfRule>
          <x14:cfRule type="cellIs" priority="5" operator="equal" id="{81A8545F-A4AF-4833-97E0-6AD349A1CD3A}">
            <xm:f>'C:\Users\e859162\Documents\00. Old\[BS_Especificação_FEI_v0.3.xlsx]Tabelas AUX'!#REF!</xm:f>
            <x14:dxf>
              <font>
                <color rgb="FFC00000"/>
              </font>
            </x14:dxf>
          </x14:cfRule>
          <xm:sqref>U11:U27</xm:sqref>
        </x14:conditionalFormatting>
        <x14:conditionalFormatting xmlns:xm="http://schemas.microsoft.com/office/excel/2006/main">
          <x14:cfRule type="cellIs" priority="17" operator="equal" id="{496E4E1C-D1D2-4F30-B183-17E5A63158FC}">
            <xm:f>'C:\Users\e859162\Documents\00. Old\[BS_Especificação_FEI_v0.3.xlsx]Tabelas AUX'!#REF!</xm:f>
            <x14:dxf>
              <font>
                <color rgb="FF00B050"/>
              </font>
            </x14:dxf>
          </x14:cfRule>
          <x14:cfRule type="cellIs" priority="18" operator="equal" id="{1E15F6C3-0DC1-43F8-B3E4-5E0C116998AD}">
            <xm:f>'C:\Users\e859162\Documents\00. Old\[BS_Especificação_FEI_v0.3.xlsx]Tabelas AUX'!#REF!</xm:f>
            <x14:dxf>
              <font>
                <color rgb="FF7F7F7F"/>
              </font>
            </x14:dxf>
          </x14:cfRule>
          <x14:cfRule type="cellIs" priority="19" operator="equal" id="{7007F244-00F0-456B-8229-28B7CF812A22}">
            <xm:f>'C:\Users\e859162\Documents\00. Old\[BS_Especificação_FEI_v0.3.xlsx]Tabelas AUX'!#REF!</xm:f>
            <x14:dxf>
              <font>
                <color theme="5"/>
              </font>
            </x14:dxf>
          </x14:cfRule>
          <x14:cfRule type="cellIs" priority="20" operator="equal" id="{63D34E7D-A8FB-492A-8597-8C9917549B3F}">
            <xm:f>'C:\Users\e859162\Documents\00. Old\[BS_Especificação_FEI_v0.3.xlsx]Tabelas AUX'!#REF!</xm:f>
            <x14:dxf>
              <font>
                <color rgb="FFC00000"/>
              </font>
            </x14:dxf>
          </x14:cfRule>
          <xm:sqref>U32:U37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'Tabelas AUX'!$G$2:$G$17</xm:f>
          </x14:formula1>
          <xm:sqref>Y11:Y37</xm:sqref>
        </x14:dataValidation>
        <x14:dataValidation type="list" allowBlank="1" showInputMessage="1" showErrorMessage="1">
          <x14:formula1>
            <xm:f>'https://santandernet.sharepoint.com/sites/FEIeBEI/Shared Documents/FEI e BEI/03. Documentos Produzidos/01. Especificação/00. Old/[BS_Especificação_FEI_v0.3.xlsx]Tabelas AUX'!#REF!</xm:f>
          </x14:formula1>
          <xm:sqref>U11:U27 U32:U37</xm:sqref>
        </x14:dataValidation>
        <x14:dataValidation type="list" allowBlank="1" showInputMessage="1" showErrorMessage="1">
          <x14:formula1>
            <xm:f>'Tabelas AUX'!$E$2:$E$9</xm:f>
          </x14:formula1>
          <xm:sqref>U28:U31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59999389629810485"/>
    <pageSetUpPr autoPageBreaks="0"/>
  </sheetPr>
  <dimension ref="A1:AB25"/>
  <sheetViews>
    <sheetView showGridLines="0" zoomScale="70" zoomScaleNormal="70" workbookViewId="0"/>
  </sheetViews>
  <sheetFormatPr defaultRowHeight="14.4" outlineLevelRow="1" outlineLevelCol="1" x14ac:dyDescent="0.3"/>
  <cols>
    <col min="1" max="1" width="3.6640625" customWidth="1"/>
    <col min="2" max="2" width="33.44140625" bestFit="1" customWidth="1"/>
    <col min="3" max="3" width="10.109375" bestFit="1" customWidth="1"/>
    <col min="4" max="4" width="24" bestFit="1" customWidth="1"/>
    <col min="5" max="5" width="24.88671875" bestFit="1" customWidth="1"/>
    <col min="6" max="6" width="16.5546875" bestFit="1" customWidth="1"/>
    <col min="7" max="7" width="79.6640625" customWidth="1"/>
    <col min="8" max="8" width="18.33203125" bestFit="1" customWidth="1"/>
    <col min="9" max="9" width="2" customWidth="1"/>
    <col min="10" max="10" width="9.109375" hidden="1" customWidth="1" outlineLevel="1"/>
    <col min="11" max="11" width="20.44140625" hidden="1" customWidth="1" outlineLevel="1"/>
    <col min="12" max="12" width="25.88671875" hidden="1" customWidth="1" outlineLevel="1"/>
    <col min="13" max="13" width="25.109375" customWidth="1" collapsed="1"/>
    <col min="14" max="14" width="14.5546875" bestFit="1" customWidth="1"/>
    <col min="15" max="15" width="84.5546875" bestFit="1" customWidth="1"/>
    <col min="16" max="16" width="23.109375" hidden="1" customWidth="1" outlineLevel="1"/>
    <col min="17" max="17" width="22.6640625" hidden="1" customWidth="1" outlineLevel="1"/>
    <col min="18" max="18" width="24.5546875" hidden="1" customWidth="1" outlineLevel="1"/>
    <col min="19" max="19" width="28.88671875" hidden="1" customWidth="1" outlineLevel="1"/>
    <col min="20" max="20" width="2.109375" customWidth="1" collapsed="1"/>
    <col min="21" max="21" width="14.5546875" bestFit="1" customWidth="1" outlineLevel="1"/>
    <col min="22" max="22" width="17.88671875" bestFit="1" customWidth="1" outlineLevel="1"/>
    <col min="23" max="23" width="33.88671875" customWidth="1" outlineLevel="1"/>
    <col min="24" max="24" width="2.109375" customWidth="1"/>
    <col min="25" max="25" width="14.88671875" bestFit="1" customWidth="1" outlineLevel="1"/>
    <col min="26" max="26" width="32" bestFit="1" customWidth="1" outlineLevel="1"/>
    <col min="27" max="27" width="10.6640625" bestFit="1" customWidth="1" outlineLevel="1"/>
    <col min="28" max="28" width="10" bestFit="1" customWidth="1" outlineLevel="1"/>
  </cols>
  <sheetData>
    <row r="1" spans="1:28" ht="15" customHeight="1" x14ac:dyDescent="0.3">
      <c r="B1" s="22"/>
      <c r="C1" s="22"/>
      <c r="D1" s="22"/>
      <c r="E1" s="22"/>
      <c r="G1" s="22"/>
      <c r="H1" s="22"/>
    </row>
    <row r="2" spans="1:28" ht="34.5" customHeight="1" x14ac:dyDescent="0.3">
      <c r="B2" s="22"/>
      <c r="C2" s="22"/>
      <c r="D2" s="22"/>
      <c r="E2" s="23"/>
      <c r="G2" s="22"/>
      <c r="H2" s="22"/>
    </row>
    <row r="3" spans="1:28" s="49" customFormat="1" ht="2.25" customHeight="1" x14ac:dyDescent="0.3">
      <c r="A3" s="19"/>
      <c r="B3" s="24"/>
      <c r="C3" s="24"/>
      <c r="D3" s="24"/>
      <c r="E3" s="24"/>
      <c r="F3" s="24"/>
      <c r="G3" s="24"/>
      <c r="H3" s="24"/>
    </row>
    <row r="4" spans="1:28" ht="15" customHeight="1" x14ac:dyDescent="0.3">
      <c r="B4" s="22"/>
      <c r="C4" s="22"/>
      <c r="D4" s="22"/>
      <c r="E4" s="22"/>
      <c r="G4" s="22"/>
      <c r="H4" s="22"/>
    </row>
    <row r="5" spans="1:28" ht="15" customHeight="1" x14ac:dyDescent="0.3">
      <c r="B5" s="25" t="s">
        <v>178</v>
      </c>
      <c r="C5" s="25"/>
      <c r="D5" s="25"/>
      <c r="E5" s="22"/>
      <c r="G5" s="22"/>
      <c r="H5" s="22"/>
    </row>
    <row r="6" spans="1:28" ht="15" customHeight="1" x14ac:dyDescent="0.3">
      <c r="B6" s="22"/>
      <c r="C6" s="22"/>
      <c r="D6" s="22"/>
      <c r="E6" s="22"/>
      <c r="G6" s="22"/>
      <c r="H6" s="22"/>
    </row>
    <row r="7" spans="1:28" ht="81.75" hidden="1" customHeight="1" outlineLevel="1" x14ac:dyDescent="0.3">
      <c r="B7" s="26" t="s">
        <v>9</v>
      </c>
      <c r="C7" s="219" t="s">
        <v>92</v>
      </c>
      <c r="D7" s="219"/>
      <c r="E7" s="220"/>
      <c r="F7" s="220"/>
      <c r="G7" s="220"/>
      <c r="H7" s="220"/>
      <c r="I7" s="27"/>
      <c r="J7" s="27"/>
      <c r="S7" s="27"/>
      <c r="T7" s="27"/>
      <c r="X7" s="27"/>
    </row>
    <row r="8" spans="1:28" ht="15" hidden="1" customHeight="1" outlineLevel="1" x14ac:dyDescent="0.3">
      <c r="B8" s="22"/>
      <c r="C8" s="22"/>
      <c r="D8" s="22"/>
      <c r="E8" s="22"/>
      <c r="G8" s="22"/>
      <c r="H8" s="22"/>
    </row>
    <row r="9" spans="1:28" collapsed="1" x14ac:dyDescent="0.3">
      <c r="B9" s="221" t="s">
        <v>10</v>
      </c>
      <c r="C9" s="222"/>
      <c r="D9" s="222"/>
      <c r="E9" s="222"/>
      <c r="F9" s="222"/>
      <c r="G9" s="222"/>
      <c r="H9" s="223"/>
      <c r="J9" s="224" t="s">
        <v>11</v>
      </c>
      <c r="K9" s="225"/>
      <c r="L9" s="225"/>
      <c r="M9" s="216" t="s">
        <v>12</v>
      </c>
      <c r="N9" s="217"/>
      <c r="O9" s="218"/>
      <c r="P9" s="216" t="s">
        <v>13</v>
      </c>
      <c r="Q9" s="217"/>
      <c r="R9" s="217"/>
      <c r="S9" s="218"/>
      <c r="U9" s="216" t="s">
        <v>14</v>
      </c>
      <c r="V9" s="217"/>
      <c r="W9" s="218"/>
      <c r="Y9" s="216" t="s">
        <v>15</v>
      </c>
      <c r="Z9" s="217"/>
      <c r="AA9" s="217"/>
      <c r="AB9" s="218"/>
    </row>
    <row r="10" spans="1:28" x14ac:dyDescent="0.3">
      <c r="B10" s="35" t="s">
        <v>16</v>
      </c>
      <c r="C10" s="35" t="s">
        <v>17</v>
      </c>
      <c r="D10" s="35" t="s">
        <v>18</v>
      </c>
      <c r="E10" s="35" t="s">
        <v>317</v>
      </c>
      <c r="F10" s="35" t="s">
        <v>19</v>
      </c>
      <c r="G10" s="35" t="s">
        <v>20</v>
      </c>
      <c r="H10" s="35" t="s">
        <v>312</v>
      </c>
      <c r="J10" s="30" t="s">
        <v>64</v>
      </c>
      <c r="K10" s="31" t="s">
        <v>169</v>
      </c>
      <c r="L10" s="31" t="s">
        <v>65</v>
      </c>
      <c r="M10" s="30" t="s">
        <v>22</v>
      </c>
      <c r="N10" s="31" t="s">
        <v>23</v>
      </c>
      <c r="O10" s="32" t="s">
        <v>24</v>
      </c>
      <c r="P10" s="33" t="s">
        <v>145</v>
      </c>
      <c r="Q10" s="34" t="s">
        <v>26</v>
      </c>
      <c r="R10" s="28" t="s">
        <v>27</v>
      </c>
      <c r="S10" s="28" t="s">
        <v>28</v>
      </c>
      <c r="U10" s="36" t="s">
        <v>29</v>
      </c>
      <c r="V10" s="36" t="s">
        <v>30</v>
      </c>
      <c r="W10" s="36" t="s">
        <v>31</v>
      </c>
      <c r="Y10" s="36" t="s">
        <v>29</v>
      </c>
      <c r="Z10" s="36" t="s">
        <v>32</v>
      </c>
      <c r="AA10" s="36" t="s">
        <v>33</v>
      </c>
      <c r="AB10" s="36" t="s">
        <v>31</v>
      </c>
    </row>
    <row r="11" spans="1:28" x14ac:dyDescent="0.3">
      <c r="B11" s="44" t="s">
        <v>467</v>
      </c>
      <c r="C11" s="44">
        <v>1</v>
      </c>
      <c r="D11" s="44" t="s">
        <v>255</v>
      </c>
      <c r="E11" s="44" t="s">
        <v>170</v>
      </c>
      <c r="F11" s="44" t="s">
        <v>311</v>
      </c>
      <c r="G11" s="113" t="s">
        <v>351</v>
      </c>
      <c r="H11" s="134"/>
      <c r="I11" s="22"/>
      <c r="J11" s="44" t="s">
        <v>66</v>
      </c>
      <c r="K11" s="42" t="s">
        <v>95</v>
      </c>
      <c r="L11" s="42"/>
      <c r="M11" s="57" t="s">
        <v>353</v>
      </c>
      <c r="N11" s="57" t="s">
        <v>385</v>
      </c>
      <c r="O11" s="42" t="s">
        <v>170</v>
      </c>
      <c r="P11" s="37"/>
      <c r="Q11" s="37"/>
      <c r="R11" s="37"/>
      <c r="S11" s="37"/>
      <c r="U11" s="47" t="s">
        <v>34</v>
      </c>
      <c r="V11" s="43">
        <v>45789</v>
      </c>
      <c r="W11" s="37"/>
      <c r="Y11" s="174" t="s">
        <v>56</v>
      </c>
      <c r="Z11" s="43">
        <v>45852</v>
      </c>
      <c r="AA11" s="37"/>
      <c r="AB11" s="37"/>
    </row>
    <row r="12" spans="1:28" x14ac:dyDescent="0.3">
      <c r="B12" s="44" t="s">
        <v>467</v>
      </c>
      <c r="C12" s="44">
        <v>2</v>
      </c>
      <c r="D12" s="44" t="s">
        <v>193</v>
      </c>
      <c r="E12" s="44" t="s">
        <v>171</v>
      </c>
      <c r="F12" s="44" t="s">
        <v>311</v>
      </c>
      <c r="G12" s="44" t="s">
        <v>357</v>
      </c>
      <c r="H12" s="134" t="s">
        <v>327</v>
      </c>
      <c r="I12" s="22"/>
      <c r="J12" s="44" t="s">
        <v>66</v>
      </c>
      <c r="K12" s="42" t="s">
        <v>96</v>
      </c>
      <c r="L12" s="42"/>
      <c r="M12" s="57" t="s">
        <v>353</v>
      </c>
      <c r="N12" s="57" t="s">
        <v>385</v>
      </c>
      <c r="O12" s="42" t="s">
        <v>627</v>
      </c>
      <c r="P12" s="37"/>
      <c r="Q12" s="37"/>
      <c r="R12" s="37"/>
      <c r="S12" s="37"/>
      <c r="U12" s="47" t="s">
        <v>34</v>
      </c>
      <c r="V12" s="43">
        <v>45789</v>
      </c>
      <c r="W12" s="37"/>
      <c r="Y12" s="174" t="s">
        <v>56</v>
      </c>
      <c r="Z12" s="43">
        <v>45852</v>
      </c>
      <c r="AA12" s="37"/>
      <c r="AB12" s="37"/>
    </row>
    <row r="13" spans="1:28" x14ac:dyDescent="0.3">
      <c r="B13" s="44" t="s">
        <v>467</v>
      </c>
      <c r="C13" s="44">
        <v>3</v>
      </c>
      <c r="D13" s="44" t="s">
        <v>215</v>
      </c>
      <c r="E13" s="44" t="s">
        <v>229</v>
      </c>
      <c r="F13" s="44" t="s">
        <v>311</v>
      </c>
      <c r="G13" s="44" t="s">
        <v>347</v>
      </c>
      <c r="H13" s="134"/>
      <c r="I13" s="22"/>
      <c r="J13" s="44" t="s">
        <v>66</v>
      </c>
      <c r="K13" s="42" t="s">
        <v>239</v>
      </c>
      <c r="L13" s="42"/>
      <c r="M13" s="57" t="s">
        <v>353</v>
      </c>
      <c r="N13" s="57" t="s">
        <v>385</v>
      </c>
      <c r="O13" s="42" t="s">
        <v>229</v>
      </c>
      <c r="P13" s="37"/>
      <c r="Q13" s="44"/>
      <c r="R13" s="37"/>
      <c r="S13" s="37"/>
      <c r="U13" s="47" t="s">
        <v>34</v>
      </c>
      <c r="V13" s="43">
        <v>45789</v>
      </c>
      <c r="W13" s="37"/>
      <c r="Y13" s="174" t="s">
        <v>56</v>
      </c>
      <c r="Z13" s="43">
        <v>45852</v>
      </c>
      <c r="AA13" s="37"/>
      <c r="AB13" s="37"/>
    </row>
    <row r="14" spans="1:28" x14ac:dyDescent="0.3">
      <c r="B14" s="44" t="s">
        <v>467</v>
      </c>
      <c r="C14" s="44">
        <v>4</v>
      </c>
      <c r="D14" s="44" t="s">
        <v>293</v>
      </c>
      <c r="E14" s="44" t="s">
        <v>179</v>
      </c>
      <c r="F14" s="44" t="s">
        <v>311</v>
      </c>
      <c r="G14" s="44" t="s">
        <v>457</v>
      </c>
      <c r="H14" s="134"/>
      <c r="I14" s="22"/>
      <c r="J14" s="44" t="s">
        <v>66</v>
      </c>
      <c r="K14" s="42" t="s">
        <v>186</v>
      </c>
      <c r="L14" s="42"/>
      <c r="M14" s="57" t="s">
        <v>353</v>
      </c>
      <c r="N14" s="57" t="s">
        <v>385</v>
      </c>
      <c r="O14" s="42" t="s">
        <v>179</v>
      </c>
      <c r="P14" s="37"/>
      <c r="Q14" s="37"/>
      <c r="R14" s="37"/>
      <c r="S14" s="37"/>
      <c r="U14" s="47" t="s">
        <v>34</v>
      </c>
      <c r="V14" s="43">
        <v>45789</v>
      </c>
      <c r="W14" s="37"/>
      <c r="Y14" s="174" t="s">
        <v>56</v>
      </c>
      <c r="Z14" s="43">
        <v>45852</v>
      </c>
      <c r="AA14" s="37"/>
      <c r="AB14" s="37"/>
    </row>
    <row r="15" spans="1:28" ht="28.8" x14ac:dyDescent="0.3">
      <c r="B15" s="44" t="s">
        <v>467</v>
      </c>
      <c r="C15" s="44">
        <v>5</v>
      </c>
      <c r="D15" s="44" t="s">
        <v>294</v>
      </c>
      <c r="E15" s="44" t="s">
        <v>180</v>
      </c>
      <c r="F15" s="44" t="s">
        <v>311</v>
      </c>
      <c r="G15" s="44" t="s">
        <v>458</v>
      </c>
      <c r="H15" s="134"/>
      <c r="I15" s="22"/>
      <c r="J15" s="44" t="s">
        <v>66</v>
      </c>
      <c r="K15" s="42" t="s">
        <v>187</v>
      </c>
      <c r="L15" s="42"/>
      <c r="M15" s="44" t="s">
        <v>88</v>
      </c>
      <c r="N15" s="44" t="s">
        <v>88</v>
      </c>
      <c r="O15" s="44" t="s">
        <v>472</v>
      </c>
      <c r="P15" s="37"/>
      <c r="Q15" s="37"/>
      <c r="R15" s="37"/>
      <c r="S15" s="37"/>
      <c r="U15" s="47" t="s">
        <v>34</v>
      </c>
      <c r="V15" s="43">
        <v>45789</v>
      </c>
      <c r="W15" s="58" t="s">
        <v>628</v>
      </c>
      <c r="X15" s="148"/>
      <c r="Y15" s="174" t="s">
        <v>56</v>
      </c>
      <c r="Z15" s="43">
        <v>45852</v>
      </c>
      <c r="AA15" s="37"/>
      <c r="AB15" s="37"/>
    </row>
    <row r="16" spans="1:28" x14ac:dyDescent="0.3">
      <c r="B16" s="44" t="s">
        <v>467</v>
      </c>
      <c r="C16" s="44">
        <v>6</v>
      </c>
      <c r="D16" s="44" t="s">
        <v>298</v>
      </c>
      <c r="E16" s="44" t="s">
        <v>181</v>
      </c>
      <c r="F16" s="44" t="s">
        <v>410</v>
      </c>
      <c r="G16" s="44" t="s">
        <v>459</v>
      </c>
      <c r="H16" s="134"/>
      <c r="I16" s="22"/>
      <c r="J16" s="44" t="s">
        <v>66</v>
      </c>
      <c r="K16" s="42" t="s">
        <v>188</v>
      </c>
      <c r="L16" s="42"/>
      <c r="M16" s="57" t="s">
        <v>353</v>
      </c>
      <c r="N16" s="57" t="s">
        <v>385</v>
      </c>
      <c r="O16" s="42" t="s">
        <v>181</v>
      </c>
      <c r="P16" s="37"/>
      <c r="Q16" s="37"/>
      <c r="R16" s="37"/>
      <c r="S16" s="37"/>
      <c r="U16" s="47" t="s">
        <v>34</v>
      </c>
      <c r="V16" s="43">
        <v>45789</v>
      </c>
      <c r="W16" s="183"/>
      <c r="Y16" s="174" t="s">
        <v>56</v>
      </c>
      <c r="Z16" s="43">
        <v>45852</v>
      </c>
      <c r="AA16" s="37"/>
      <c r="AB16" s="37"/>
    </row>
    <row r="17" spans="2:28" x14ac:dyDescent="0.3">
      <c r="B17" s="44" t="s">
        <v>467</v>
      </c>
      <c r="C17" s="44">
        <v>7</v>
      </c>
      <c r="D17" s="44" t="s">
        <v>297</v>
      </c>
      <c r="E17" s="44" t="s">
        <v>182</v>
      </c>
      <c r="F17" s="44" t="s">
        <v>410</v>
      </c>
      <c r="G17" s="44" t="s">
        <v>460</v>
      </c>
      <c r="H17" s="134"/>
      <c r="I17" s="22"/>
      <c r="J17" s="44" t="s">
        <v>66</v>
      </c>
      <c r="K17" s="42" t="s">
        <v>189</v>
      </c>
      <c r="L17" s="42"/>
      <c r="M17" s="57" t="s">
        <v>353</v>
      </c>
      <c r="N17" s="57" t="s">
        <v>385</v>
      </c>
      <c r="O17" s="42" t="s">
        <v>182</v>
      </c>
      <c r="P17" s="37"/>
      <c r="Q17" s="37"/>
      <c r="R17" s="37"/>
      <c r="S17" s="37"/>
      <c r="U17" s="47" t="s">
        <v>34</v>
      </c>
      <c r="V17" s="43">
        <v>45789</v>
      </c>
      <c r="W17" s="183"/>
      <c r="Y17" s="174" t="s">
        <v>56</v>
      </c>
      <c r="Z17" s="43">
        <v>45852</v>
      </c>
      <c r="AA17" s="37"/>
      <c r="AB17" s="37"/>
    </row>
    <row r="18" spans="2:28" ht="28.8" x14ac:dyDescent="0.3">
      <c r="B18" s="44" t="s">
        <v>467</v>
      </c>
      <c r="C18" s="44">
        <v>8</v>
      </c>
      <c r="D18" s="44" t="s">
        <v>295</v>
      </c>
      <c r="E18" s="44" t="s">
        <v>183</v>
      </c>
      <c r="F18" s="44" t="s">
        <v>311</v>
      </c>
      <c r="G18" s="44" t="s">
        <v>461</v>
      </c>
      <c r="H18" s="134"/>
      <c r="I18" s="22"/>
      <c r="J18" s="44" t="s">
        <v>66</v>
      </c>
      <c r="K18" s="42" t="s">
        <v>190</v>
      </c>
      <c r="L18" s="42"/>
      <c r="M18" s="44" t="s">
        <v>88</v>
      </c>
      <c r="N18" s="44" t="s">
        <v>88</v>
      </c>
      <c r="O18" s="44" t="s">
        <v>80</v>
      </c>
      <c r="P18" s="37"/>
      <c r="Q18" s="37"/>
      <c r="R18" s="37"/>
      <c r="S18" s="37"/>
      <c r="U18" s="47" t="s">
        <v>34</v>
      </c>
      <c r="V18" s="43">
        <v>45789</v>
      </c>
      <c r="W18" s="58" t="s">
        <v>628</v>
      </c>
      <c r="Y18" s="174" t="s">
        <v>56</v>
      </c>
      <c r="Z18" s="43">
        <v>45852</v>
      </c>
      <c r="AA18" s="37"/>
      <c r="AB18" s="37"/>
    </row>
    <row r="19" spans="2:28" ht="28.8" x14ac:dyDescent="0.3">
      <c r="B19" s="44" t="s">
        <v>467</v>
      </c>
      <c r="C19" s="44">
        <v>9</v>
      </c>
      <c r="D19" s="44" t="s">
        <v>296</v>
      </c>
      <c r="E19" s="44" t="s">
        <v>184</v>
      </c>
      <c r="F19" s="44" t="s">
        <v>311</v>
      </c>
      <c r="G19" s="44" t="s">
        <v>462</v>
      </c>
      <c r="H19" s="134"/>
      <c r="I19" s="22"/>
      <c r="J19" s="44" t="s">
        <v>66</v>
      </c>
      <c r="K19" s="42" t="s">
        <v>191</v>
      </c>
      <c r="L19" s="42"/>
      <c r="M19" s="44" t="s">
        <v>88</v>
      </c>
      <c r="N19" s="44" t="s">
        <v>88</v>
      </c>
      <c r="O19" s="44" t="s">
        <v>80</v>
      </c>
      <c r="P19" s="37"/>
      <c r="Q19" s="37"/>
      <c r="R19" s="37"/>
      <c r="S19" s="37"/>
      <c r="U19" s="47" t="s">
        <v>34</v>
      </c>
      <c r="V19" s="43">
        <v>45789</v>
      </c>
      <c r="W19" s="58" t="s">
        <v>628</v>
      </c>
      <c r="Y19" s="174" t="s">
        <v>56</v>
      </c>
      <c r="Z19" s="43">
        <v>45852</v>
      </c>
      <c r="AA19" s="37"/>
      <c r="AB19" s="37"/>
    </row>
    <row r="20" spans="2:28" x14ac:dyDescent="0.3">
      <c r="B20" s="44" t="s">
        <v>467</v>
      </c>
      <c r="C20" s="44">
        <v>10</v>
      </c>
      <c r="D20" s="44" t="s">
        <v>442</v>
      </c>
      <c r="E20" s="44" t="s">
        <v>436</v>
      </c>
      <c r="F20" s="44" t="s">
        <v>311</v>
      </c>
      <c r="G20" s="44" t="s">
        <v>437</v>
      </c>
      <c r="H20" s="167"/>
      <c r="I20" s="113"/>
      <c r="J20" s="44" t="s">
        <v>66</v>
      </c>
      <c r="K20" s="44" t="s">
        <v>252</v>
      </c>
      <c r="L20" s="44"/>
      <c r="M20" s="58" t="s">
        <v>353</v>
      </c>
      <c r="N20" s="57" t="s">
        <v>385</v>
      </c>
      <c r="O20" s="42" t="s">
        <v>436</v>
      </c>
      <c r="P20" s="44"/>
      <c r="Q20" s="44"/>
      <c r="R20" s="44"/>
      <c r="S20" s="44"/>
      <c r="T20" s="113"/>
      <c r="U20" s="47" t="s">
        <v>34</v>
      </c>
      <c r="V20" s="43">
        <v>45789</v>
      </c>
      <c r="W20" s="37"/>
      <c r="Y20" s="174" t="s">
        <v>56</v>
      </c>
      <c r="Z20" s="43">
        <v>45852</v>
      </c>
      <c r="AA20" s="37"/>
      <c r="AB20" s="37"/>
    </row>
    <row r="21" spans="2:28" s="143" customFormat="1" x14ac:dyDescent="0.3">
      <c r="B21" s="178" t="s">
        <v>467</v>
      </c>
      <c r="C21" s="120">
        <v>11</v>
      </c>
      <c r="D21" s="120" t="s">
        <v>307</v>
      </c>
      <c r="E21" s="120" t="s">
        <v>471</v>
      </c>
      <c r="F21" s="120" t="s">
        <v>311</v>
      </c>
      <c r="G21" s="120" t="s">
        <v>463</v>
      </c>
      <c r="H21" s="177"/>
      <c r="I21" s="178"/>
      <c r="J21" s="120"/>
      <c r="K21" s="120" t="s">
        <v>252</v>
      </c>
      <c r="L21" s="120"/>
      <c r="M21" s="149" t="s">
        <v>353</v>
      </c>
      <c r="N21" s="149" t="s">
        <v>385</v>
      </c>
      <c r="O21" s="141" t="s">
        <v>471</v>
      </c>
      <c r="P21" s="120"/>
      <c r="Q21" s="120"/>
      <c r="R21" s="120"/>
      <c r="S21" s="120"/>
      <c r="T21" s="178"/>
      <c r="U21" s="185" t="s">
        <v>34</v>
      </c>
      <c r="V21" s="152">
        <v>45834</v>
      </c>
      <c r="W21" s="146"/>
      <c r="Y21" s="185" t="s">
        <v>34</v>
      </c>
      <c r="Z21" s="43">
        <v>45852</v>
      </c>
      <c r="AA21" s="146"/>
      <c r="AB21" s="146"/>
    </row>
    <row r="22" spans="2:28" x14ac:dyDescent="0.3">
      <c r="B22" s="44" t="s">
        <v>467</v>
      </c>
      <c r="C22" s="44">
        <v>12</v>
      </c>
      <c r="D22" s="44" t="s">
        <v>427</v>
      </c>
      <c r="E22" s="44" t="s">
        <v>426</v>
      </c>
      <c r="F22" s="44" t="s">
        <v>311</v>
      </c>
      <c r="G22" s="44" t="s">
        <v>430</v>
      </c>
      <c r="H22" s="167"/>
      <c r="I22" s="113"/>
      <c r="J22" s="44"/>
      <c r="K22" s="44" t="s">
        <v>310</v>
      </c>
      <c r="L22" s="44"/>
      <c r="M22" s="44" t="s">
        <v>332</v>
      </c>
      <c r="N22" s="44" t="s">
        <v>332</v>
      </c>
      <c r="O22" s="44" t="s">
        <v>332</v>
      </c>
      <c r="P22" s="44"/>
      <c r="Q22" s="44"/>
      <c r="R22" s="44"/>
      <c r="S22" s="44"/>
      <c r="T22" s="113"/>
      <c r="U22" s="185" t="s">
        <v>34</v>
      </c>
      <c r="V22" s="43">
        <v>45826</v>
      </c>
      <c r="W22" s="37"/>
      <c r="Y22" s="185" t="s">
        <v>34</v>
      </c>
      <c r="Z22" s="43">
        <v>45852</v>
      </c>
      <c r="AA22" s="37"/>
      <c r="AB22" s="37"/>
    </row>
    <row r="23" spans="2:28" x14ac:dyDescent="0.3">
      <c r="B23" s="44" t="s">
        <v>467</v>
      </c>
      <c r="C23" s="44">
        <v>13</v>
      </c>
      <c r="D23" s="44" t="s">
        <v>329</v>
      </c>
      <c r="E23" s="44" t="s">
        <v>309</v>
      </c>
      <c r="F23" s="44" t="s">
        <v>349</v>
      </c>
      <c r="G23" s="44" t="s">
        <v>331</v>
      </c>
      <c r="H23" s="167"/>
      <c r="I23" s="113"/>
      <c r="J23" s="44"/>
      <c r="K23" s="44" t="s">
        <v>310</v>
      </c>
      <c r="L23" s="44"/>
      <c r="M23" s="44" t="s">
        <v>332</v>
      </c>
      <c r="N23" s="44" t="s">
        <v>332</v>
      </c>
      <c r="O23" s="44" t="s">
        <v>332</v>
      </c>
      <c r="P23" s="44"/>
      <c r="Q23" s="44"/>
      <c r="R23" s="44"/>
      <c r="S23" s="44"/>
      <c r="T23" s="113"/>
      <c r="U23" s="185" t="s">
        <v>34</v>
      </c>
      <c r="V23" s="43">
        <v>45826</v>
      </c>
      <c r="W23" s="37"/>
      <c r="Y23" s="185" t="s">
        <v>34</v>
      </c>
      <c r="Z23" s="43">
        <v>45852</v>
      </c>
      <c r="AA23" s="37"/>
      <c r="AB23" s="37"/>
    </row>
    <row r="24" spans="2:28" x14ac:dyDescent="0.3">
      <c r="B24" s="44" t="s">
        <v>467</v>
      </c>
      <c r="C24" s="44">
        <v>14</v>
      </c>
      <c r="D24" s="44" t="s">
        <v>328</v>
      </c>
      <c r="E24" s="44" t="s">
        <v>308</v>
      </c>
      <c r="F24" s="44" t="s">
        <v>311</v>
      </c>
      <c r="G24" s="44" t="s">
        <v>330</v>
      </c>
      <c r="H24" s="167" t="s">
        <v>327</v>
      </c>
      <c r="I24" s="113"/>
      <c r="J24" s="44"/>
      <c r="K24" s="44" t="s">
        <v>310</v>
      </c>
      <c r="L24" s="44"/>
      <c r="M24" s="44" t="s">
        <v>332</v>
      </c>
      <c r="N24" s="44" t="s">
        <v>332</v>
      </c>
      <c r="O24" s="96" t="s">
        <v>332</v>
      </c>
      <c r="P24" s="44"/>
      <c r="Q24" s="44"/>
      <c r="R24" s="44"/>
      <c r="S24" s="44"/>
      <c r="T24" s="113"/>
      <c r="U24" s="185" t="s">
        <v>34</v>
      </c>
      <c r="V24" s="43">
        <v>45789</v>
      </c>
      <c r="W24" s="37"/>
      <c r="Y24" s="185" t="s">
        <v>34</v>
      </c>
      <c r="Z24" s="43">
        <v>45852</v>
      </c>
      <c r="AA24" s="37"/>
      <c r="AB24" s="37"/>
    </row>
    <row r="25" spans="2:28" x14ac:dyDescent="0.3">
      <c r="B25" s="44" t="s">
        <v>467</v>
      </c>
      <c r="C25" s="44">
        <v>15</v>
      </c>
      <c r="D25" s="44" t="s">
        <v>428</v>
      </c>
      <c r="E25" s="44" t="s">
        <v>425</v>
      </c>
      <c r="F25" s="44" t="s">
        <v>354</v>
      </c>
      <c r="G25" s="44" t="s">
        <v>429</v>
      </c>
      <c r="H25" s="167" t="s">
        <v>327</v>
      </c>
      <c r="I25" s="113"/>
      <c r="J25" s="44"/>
      <c r="K25" s="44" t="s">
        <v>310</v>
      </c>
      <c r="L25" s="44"/>
      <c r="M25" s="44" t="s">
        <v>332</v>
      </c>
      <c r="N25" s="44" t="s">
        <v>332</v>
      </c>
      <c r="O25" s="44" t="s">
        <v>332</v>
      </c>
      <c r="P25" s="44"/>
      <c r="Q25" s="44"/>
      <c r="R25" s="44"/>
      <c r="S25" s="44"/>
      <c r="T25" s="113"/>
      <c r="U25" s="185" t="s">
        <v>34</v>
      </c>
      <c r="V25" s="43">
        <v>45789</v>
      </c>
      <c r="W25" s="57"/>
      <c r="X25" s="148"/>
      <c r="Y25" s="185" t="s">
        <v>34</v>
      </c>
      <c r="Z25" s="43">
        <v>45852</v>
      </c>
      <c r="AA25" s="37"/>
      <c r="AB25" s="37"/>
    </row>
  </sheetData>
  <autoFilter ref="B10:U10"/>
  <mergeCells count="7">
    <mergeCell ref="Y9:AB9"/>
    <mergeCell ref="J9:L9"/>
    <mergeCell ref="C7:H7"/>
    <mergeCell ref="B9:H9"/>
    <mergeCell ref="M9:O9"/>
    <mergeCell ref="P9:S9"/>
    <mergeCell ref="U9:W9"/>
  </mergeCells>
  <conditionalFormatting sqref="U11:U20">
    <cfRule type="cellIs" dxfId="153" priority="1" operator="equal">
      <formula>"Testes utilizador"</formula>
    </cfRule>
  </conditionalFormatting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equal" id="{DA3C4FDD-3917-40F4-B149-C4C5107D3266}">
            <xm:f>'C:\Users\e859162\Documents\00. Old\[BS_Especificação_FEI_v0.3.xlsx]Tabelas AUX'!#REF!</xm:f>
            <x14:dxf>
              <font>
                <color rgb="FF00B050"/>
              </font>
            </x14:dxf>
          </x14:cfRule>
          <x14:cfRule type="cellIs" priority="3" operator="equal" id="{4B89AC3D-8F97-4ACD-9F52-3F849DB769F2}">
            <xm:f>'C:\Users\e859162\Documents\00. Old\[BS_Especificação_FEI_v0.3.xlsx]Tabelas AUX'!#REF!</xm:f>
            <x14:dxf>
              <font>
                <color rgb="FF7F7F7F"/>
              </font>
            </x14:dxf>
          </x14:cfRule>
          <x14:cfRule type="cellIs" priority="4" operator="equal" id="{96CE1731-F23D-4FA3-9D1C-5DD1E075C782}">
            <xm:f>'C:\Users\e859162\Documents\00. Old\[BS_Especificação_FEI_v0.3.xlsx]Tabelas AUX'!#REF!</xm:f>
            <x14:dxf>
              <font>
                <color theme="5"/>
              </font>
            </x14:dxf>
          </x14:cfRule>
          <x14:cfRule type="cellIs" priority="5" operator="equal" id="{FD5CA714-634C-4C0B-8F8C-5FB7BB92A753}">
            <xm:f>'C:\Users\e859162\Documents\00. Old\[BS_Especificação_FEI_v0.3.xlsx]Tabelas AUX'!#REF!</xm:f>
            <x14:dxf>
              <font>
                <color rgb="FFC00000"/>
              </font>
            </x14:dxf>
          </x14:cfRule>
          <xm:sqref>U11:U20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'Tabelas AUX'!$G$2:$G$17</xm:f>
          </x14:formula1>
          <xm:sqref>U21:U25 Y11:Y25</xm:sqref>
        </x14:dataValidation>
        <x14:dataValidation type="list" allowBlank="1" showInputMessage="1" showErrorMessage="1">
          <x14:formula1>
            <xm:f>'https://santandernet.sharepoint.com/sites/FEIeBEI/Shared Documents/FEI e BEI/03. Documentos Produzidos/01. Especificação/00. Old/[BS_Especificação_FEI_v0.3.xlsx]Tabelas AUX'!#REF!</xm:f>
          </x14:formula1>
          <xm:sqref>U11:U20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9" tint="0.59999389629810485"/>
    <pageSetUpPr autoPageBreaks="0"/>
  </sheetPr>
  <dimension ref="A1:AB19"/>
  <sheetViews>
    <sheetView showGridLines="0" zoomScale="55" zoomScaleNormal="55" workbookViewId="0"/>
  </sheetViews>
  <sheetFormatPr defaultRowHeight="14.4" outlineLevelRow="1" outlineLevelCol="1" x14ac:dyDescent="0.3"/>
  <cols>
    <col min="1" max="1" width="3.6640625" customWidth="1"/>
    <col min="2" max="2" width="42.44140625" bestFit="1" customWidth="1"/>
    <col min="3" max="3" width="10.109375" customWidth="1"/>
    <col min="4" max="4" width="24.109375" bestFit="1" customWidth="1"/>
    <col min="5" max="5" width="19.44140625" bestFit="1" customWidth="1"/>
    <col min="6" max="6" width="16.5546875" bestFit="1" customWidth="1"/>
    <col min="7" max="7" width="55.88671875" bestFit="1" customWidth="1"/>
    <col min="8" max="8" width="18.33203125" bestFit="1" customWidth="1"/>
    <col min="9" max="9" width="2" customWidth="1"/>
    <col min="10" max="10" width="9.109375" hidden="1" customWidth="1" outlineLevel="1"/>
    <col min="11" max="11" width="20.44140625" hidden="1" customWidth="1" outlineLevel="1"/>
    <col min="12" max="12" width="25.88671875" hidden="1" customWidth="1" outlineLevel="1"/>
    <col min="13" max="13" width="38.5546875" customWidth="1" collapsed="1"/>
    <col min="14" max="14" width="17" customWidth="1"/>
    <col min="15" max="15" width="41.33203125" bestFit="1" customWidth="1"/>
    <col min="16" max="16" width="23.109375" customWidth="1" outlineLevel="1"/>
    <col min="17" max="17" width="15.44140625" customWidth="1" outlineLevel="1"/>
    <col min="18" max="18" width="43.88671875" customWidth="1" outlineLevel="1"/>
    <col min="19" max="19" width="28.88671875" customWidth="1" outlineLevel="1"/>
    <col min="20" max="20" width="2.109375" customWidth="1"/>
    <col min="21" max="21" width="14.5546875" bestFit="1" customWidth="1" outlineLevel="1"/>
    <col min="22" max="22" width="17.88671875" bestFit="1" customWidth="1" outlineLevel="1"/>
    <col min="23" max="23" width="6.5546875" bestFit="1" customWidth="1" outlineLevel="1"/>
    <col min="24" max="24" width="2.109375" customWidth="1"/>
    <col min="25" max="25" width="20.33203125" bestFit="1" customWidth="1" outlineLevel="1"/>
    <col min="26" max="26" width="12.33203125" customWidth="1" outlineLevel="1"/>
    <col min="27" max="27" width="22.33203125" customWidth="1" outlineLevel="1"/>
    <col min="28" max="28" width="6.5546875" bestFit="1" customWidth="1" outlineLevel="1"/>
  </cols>
  <sheetData>
    <row r="1" spans="1:28" ht="15" customHeight="1" x14ac:dyDescent="0.3">
      <c r="B1" s="22"/>
      <c r="C1" s="22"/>
      <c r="D1" s="22"/>
      <c r="E1" s="22"/>
      <c r="G1" s="22"/>
      <c r="H1" s="22"/>
    </row>
    <row r="2" spans="1:28" ht="34.5" customHeight="1" x14ac:dyDescent="0.3">
      <c r="B2" s="22"/>
      <c r="C2" s="22"/>
      <c r="D2" s="22"/>
      <c r="E2" s="23"/>
      <c r="G2" s="22"/>
      <c r="H2" s="22"/>
    </row>
    <row r="3" spans="1:28" s="49" customFormat="1" ht="2.25" customHeight="1" x14ac:dyDescent="0.3">
      <c r="A3" s="19"/>
      <c r="B3" s="24"/>
      <c r="C3" s="24"/>
      <c r="D3" s="24"/>
      <c r="E3" s="24"/>
      <c r="F3" s="24"/>
      <c r="G3" s="24"/>
      <c r="H3" s="24"/>
    </row>
    <row r="4" spans="1:28" ht="15" customHeight="1" x14ac:dyDescent="0.3">
      <c r="B4" s="22"/>
      <c r="C4" s="22"/>
      <c r="D4" s="22"/>
      <c r="E4" s="22"/>
      <c r="G4" s="22"/>
      <c r="H4" s="22"/>
    </row>
    <row r="5" spans="1:28" ht="15" customHeight="1" x14ac:dyDescent="0.3">
      <c r="B5" s="25" t="s">
        <v>175</v>
      </c>
      <c r="C5" s="25"/>
      <c r="D5" s="25"/>
      <c r="E5" s="22"/>
      <c r="G5" s="22"/>
      <c r="H5" s="22"/>
    </row>
    <row r="6" spans="1:28" ht="15" customHeight="1" x14ac:dyDescent="0.3">
      <c r="B6" s="22"/>
      <c r="C6" s="22"/>
      <c r="D6" s="22"/>
      <c r="E6" s="22"/>
      <c r="G6" s="22"/>
      <c r="H6" s="22"/>
    </row>
    <row r="7" spans="1:28" hidden="1" outlineLevel="1" x14ac:dyDescent="0.3">
      <c r="B7" s="26" t="s">
        <v>9</v>
      </c>
      <c r="C7" s="219" t="s">
        <v>813</v>
      </c>
      <c r="D7" s="219"/>
      <c r="E7" s="220"/>
      <c r="F7" s="220"/>
      <c r="G7" s="220"/>
      <c r="H7" s="220"/>
      <c r="I7" s="27"/>
      <c r="J7" s="27"/>
      <c r="S7" s="27"/>
      <c r="T7" s="27"/>
      <c r="X7" s="27"/>
    </row>
    <row r="8" spans="1:28" ht="15" hidden="1" customHeight="1" outlineLevel="1" x14ac:dyDescent="0.3">
      <c r="B8" s="22"/>
      <c r="C8" s="22"/>
      <c r="D8" s="22"/>
      <c r="E8" s="22"/>
      <c r="G8" s="22"/>
      <c r="H8" s="22"/>
    </row>
    <row r="9" spans="1:28" collapsed="1" x14ac:dyDescent="0.3">
      <c r="B9" s="221" t="s">
        <v>10</v>
      </c>
      <c r="C9" s="222"/>
      <c r="D9" s="222"/>
      <c r="E9" s="222"/>
      <c r="F9" s="222"/>
      <c r="G9" s="222"/>
      <c r="H9" s="223"/>
      <c r="J9" s="224" t="s">
        <v>11</v>
      </c>
      <c r="K9" s="225"/>
      <c r="L9" s="225"/>
      <c r="M9" s="216" t="s">
        <v>12</v>
      </c>
      <c r="N9" s="217"/>
      <c r="O9" s="218"/>
      <c r="P9" s="216" t="s">
        <v>13</v>
      </c>
      <c r="Q9" s="217"/>
      <c r="R9" s="217"/>
      <c r="S9" s="218"/>
      <c r="U9" s="216" t="s">
        <v>14</v>
      </c>
      <c r="V9" s="217"/>
      <c r="W9" s="218"/>
      <c r="Y9" s="216" t="s">
        <v>15</v>
      </c>
      <c r="Z9" s="217"/>
      <c r="AA9" s="217"/>
      <c r="AB9" s="218"/>
    </row>
    <row r="10" spans="1:28" x14ac:dyDescent="0.3">
      <c r="B10" s="35" t="s">
        <v>16</v>
      </c>
      <c r="C10" s="35" t="s">
        <v>17</v>
      </c>
      <c r="D10" s="35" t="s">
        <v>18</v>
      </c>
      <c r="E10" s="35" t="s">
        <v>317</v>
      </c>
      <c r="F10" s="35" t="s">
        <v>19</v>
      </c>
      <c r="G10" s="35" t="s">
        <v>20</v>
      </c>
      <c r="H10" s="35" t="s">
        <v>312</v>
      </c>
      <c r="J10" s="30" t="s">
        <v>64</v>
      </c>
      <c r="K10" s="31" t="s">
        <v>169</v>
      </c>
      <c r="L10" s="31" t="s">
        <v>65</v>
      </c>
      <c r="M10" s="30" t="s">
        <v>22</v>
      </c>
      <c r="N10" s="31" t="s">
        <v>23</v>
      </c>
      <c r="O10" s="32" t="s">
        <v>24</v>
      </c>
      <c r="P10" s="33" t="s">
        <v>145</v>
      </c>
      <c r="Q10" s="34" t="s">
        <v>26</v>
      </c>
      <c r="R10" s="28" t="s">
        <v>27</v>
      </c>
      <c r="S10" s="28" t="s">
        <v>28</v>
      </c>
      <c r="U10" s="36" t="s">
        <v>29</v>
      </c>
      <c r="V10" s="36" t="s">
        <v>30</v>
      </c>
      <c r="W10" s="36" t="s">
        <v>31</v>
      </c>
      <c r="Y10" s="36" t="s">
        <v>29</v>
      </c>
      <c r="Z10" s="36" t="s">
        <v>32</v>
      </c>
      <c r="AA10" s="36" t="s">
        <v>33</v>
      </c>
      <c r="AB10" s="36" t="s">
        <v>31</v>
      </c>
    </row>
    <row r="11" spans="1:28" x14ac:dyDescent="0.3">
      <c r="B11" s="44" t="s">
        <v>443</v>
      </c>
      <c r="C11" s="42">
        <v>1</v>
      </c>
      <c r="D11" s="42" t="s">
        <v>255</v>
      </c>
      <c r="E11" s="42" t="s">
        <v>170</v>
      </c>
      <c r="F11" s="42" t="s">
        <v>311</v>
      </c>
      <c r="G11" s="22" t="s">
        <v>351</v>
      </c>
      <c r="H11" s="134"/>
      <c r="I11" s="22"/>
      <c r="J11" s="44" t="s">
        <v>66</v>
      </c>
      <c r="K11" s="42" t="s">
        <v>95</v>
      </c>
      <c r="L11" s="42"/>
      <c r="M11" s="57" t="s">
        <v>353</v>
      </c>
      <c r="N11" s="58" t="s">
        <v>385</v>
      </c>
      <c r="O11" s="42" t="s">
        <v>170</v>
      </c>
      <c r="P11" s="42"/>
      <c r="Q11" s="42"/>
      <c r="R11" s="42"/>
      <c r="S11" s="42"/>
      <c r="T11" s="22"/>
      <c r="U11" s="47" t="s">
        <v>34</v>
      </c>
      <c r="V11" s="43">
        <v>45789</v>
      </c>
      <c r="W11" s="42"/>
      <c r="X11" s="22"/>
      <c r="Y11" s="174" t="s">
        <v>56</v>
      </c>
      <c r="Z11" s="43">
        <v>45852</v>
      </c>
      <c r="AA11" s="44" t="s">
        <v>478</v>
      </c>
      <c r="AB11" s="42"/>
    </row>
    <row r="12" spans="1:28" ht="28.8" x14ac:dyDescent="0.3">
      <c r="B12" s="44" t="s">
        <v>443</v>
      </c>
      <c r="C12" s="42">
        <v>2</v>
      </c>
      <c r="D12" s="42" t="s">
        <v>77</v>
      </c>
      <c r="E12" s="42" t="s">
        <v>171</v>
      </c>
      <c r="F12" s="42" t="s">
        <v>311</v>
      </c>
      <c r="G12" s="42" t="s">
        <v>357</v>
      </c>
      <c r="H12" s="134" t="s">
        <v>327</v>
      </c>
      <c r="I12" s="22"/>
      <c r="J12" s="44" t="s">
        <v>66</v>
      </c>
      <c r="K12" s="42" t="s">
        <v>96</v>
      </c>
      <c r="L12" s="42"/>
      <c r="M12" s="57" t="s">
        <v>353</v>
      </c>
      <c r="N12" s="58" t="s">
        <v>385</v>
      </c>
      <c r="O12" s="44" t="s">
        <v>627</v>
      </c>
      <c r="P12" s="42"/>
      <c r="Q12" s="42"/>
      <c r="R12" s="42"/>
      <c r="S12" s="42"/>
      <c r="T12" s="22"/>
      <c r="U12" s="47" t="s">
        <v>34</v>
      </c>
      <c r="V12" s="43">
        <v>45789</v>
      </c>
      <c r="W12" s="42"/>
      <c r="X12" s="22"/>
      <c r="Y12" s="174" t="s">
        <v>56</v>
      </c>
      <c r="Z12" s="43">
        <v>45852</v>
      </c>
      <c r="AA12" s="44" t="s">
        <v>478</v>
      </c>
      <c r="AB12" s="42"/>
    </row>
    <row r="13" spans="1:28" ht="158.4" x14ac:dyDescent="0.3">
      <c r="B13" s="44" t="s">
        <v>443</v>
      </c>
      <c r="C13" s="42">
        <v>3</v>
      </c>
      <c r="D13" s="42" t="s">
        <v>177</v>
      </c>
      <c r="E13" s="42" t="s">
        <v>441</v>
      </c>
      <c r="F13" s="42" t="s">
        <v>311</v>
      </c>
      <c r="G13" s="42" t="s">
        <v>470</v>
      </c>
      <c r="H13" s="134"/>
      <c r="I13" s="22"/>
      <c r="J13" s="44" t="s">
        <v>66</v>
      </c>
      <c r="K13" s="42" t="s">
        <v>176</v>
      </c>
      <c r="L13" s="42"/>
      <c r="M13" s="57" t="s">
        <v>353</v>
      </c>
      <c r="N13" s="58" t="s">
        <v>385</v>
      </c>
      <c r="O13" s="42" t="s">
        <v>469</v>
      </c>
      <c r="P13" s="42" t="s">
        <v>147</v>
      </c>
      <c r="Q13" s="42"/>
      <c r="R13" s="44" t="s">
        <v>468</v>
      </c>
      <c r="S13" s="42"/>
      <c r="T13" s="22"/>
      <c r="U13" s="47" t="s">
        <v>34</v>
      </c>
      <c r="V13" s="43">
        <v>45793</v>
      </c>
      <c r="W13" s="42"/>
      <c r="X13" s="22"/>
      <c r="Y13" s="174" t="s">
        <v>56</v>
      </c>
      <c r="Z13" s="43">
        <v>45852</v>
      </c>
      <c r="AA13" s="44" t="s">
        <v>478</v>
      </c>
      <c r="AB13" s="42"/>
    </row>
    <row r="14" spans="1:28" x14ac:dyDescent="0.3">
      <c r="B14" s="44" t="s">
        <v>443</v>
      </c>
      <c r="C14" s="42">
        <v>4</v>
      </c>
      <c r="D14" s="42" t="s">
        <v>442</v>
      </c>
      <c r="E14" s="42" t="s">
        <v>436</v>
      </c>
      <c r="F14" s="44" t="s">
        <v>311</v>
      </c>
      <c r="G14" s="44" t="s">
        <v>437</v>
      </c>
      <c r="H14" s="167"/>
      <c r="I14" s="113"/>
      <c r="J14" s="44" t="s">
        <v>66</v>
      </c>
      <c r="K14" s="44" t="s">
        <v>252</v>
      </c>
      <c r="L14" s="44"/>
      <c r="M14" s="58" t="s">
        <v>353</v>
      </c>
      <c r="N14" s="58" t="s">
        <v>385</v>
      </c>
      <c r="O14" s="42" t="s">
        <v>436</v>
      </c>
      <c r="P14" s="44"/>
      <c r="Q14" s="44"/>
      <c r="R14" s="44"/>
      <c r="S14" s="44"/>
      <c r="T14" s="113"/>
      <c r="U14" s="47" t="s">
        <v>34</v>
      </c>
      <c r="V14" s="43">
        <v>45826</v>
      </c>
      <c r="W14" s="42"/>
      <c r="X14" s="22"/>
      <c r="Y14" s="174" t="s">
        <v>56</v>
      </c>
      <c r="Z14" s="43">
        <v>45852</v>
      </c>
      <c r="AA14" s="44" t="s">
        <v>478</v>
      </c>
      <c r="AB14" s="42"/>
    </row>
    <row r="15" spans="1:28" x14ac:dyDescent="0.3">
      <c r="B15" s="44" t="s">
        <v>443</v>
      </c>
      <c r="C15" s="42">
        <v>5</v>
      </c>
      <c r="D15" s="44" t="s">
        <v>307</v>
      </c>
      <c r="E15" s="42" t="s">
        <v>471</v>
      </c>
      <c r="F15" s="42" t="s">
        <v>311</v>
      </c>
      <c r="G15" s="44" t="s">
        <v>463</v>
      </c>
      <c r="H15" s="167"/>
      <c r="I15" s="113"/>
      <c r="J15" s="44"/>
      <c r="K15" s="44" t="s">
        <v>252</v>
      </c>
      <c r="L15" s="44"/>
      <c r="M15" s="58" t="s">
        <v>353</v>
      </c>
      <c r="N15" s="58" t="s">
        <v>385</v>
      </c>
      <c r="O15" s="42" t="s">
        <v>471</v>
      </c>
      <c r="P15" s="44"/>
      <c r="Q15" s="44"/>
      <c r="R15" s="44"/>
      <c r="S15" s="44"/>
      <c r="T15" s="113"/>
      <c r="U15" s="47" t="s">
        <v>34</v>
      </c>
      <c r="V15" s="43">
        <v>45834</v>
      </c>
      <c r="W15" s="42"/>
      <c r="X15" s="22"/>
      <c r="Y15" s="185" t="s">
        <v>34</v>
      </c>
      <c r="Z15" s="43">
        <v>45852</v>
      </c>
      <c r="AA15" s="44" t="s">
        <v>478</v>
      </c>
      <c r="AB15" s="42"/>
    </row>
    <row r="16" spans="1:28" x14ac:dyDescent="0.3">
      <c r="B16" s="42" t="s">
        <v>443</v>
      </c>
      <c r="C16" s="42">
        <v>6</v>
      </c>
      <c r="D16" s="44" t="s">
        <v>427</v>
      </c>
      <c r="E16" s="42" t="s">
        <v>426</v>
      </c>
      <c r="F16" s="44" t="s">
        <v>311</v>
      </c>
      <c r="G16" s="44" t="s">
        <v>430</v>
      </c>
      <c r="H16" s="167"/>
      <c r="I16" s="113"/>
      <c r="J16" s="44"/>
      <c r="K16" s="44" t="s">
        <v>310</v>
      </c>
      <c r="L16" s="44"/>
      <c r="M16" s="44" t="s">
        <v>332</v>
      </c>
      <c r="N16" s="44" t="s">
        <v>332</v>
      </c>
      <c r="O16" s="44" t="s">
        <v>332</v>
      </c>
      <c r="P16" s="44"/>
      <c r="Q16" s="44"/>
      <c r="R16" s="44"/>
      <c r="S16" s="44"/>
      <c r="T16" s="113"/>
      <c r="U16" s="47" t="s">
        <v>34</v>
      </c>
      <c r="V16" s="43">
        <v>45826</v>
      </c>
      <c r="W16" s="42"/>
      <c r="X16" s="22"/>
      <c r="Y16" s="185" t="s">
        <v>34</v>
      </c>
      <c r="Z16" s="43">
        <v>45852</v>
      </c>
      <c r="AA16" s="44" t="s">
        <v>478</v>
      </c>
      <c r="AB16" s="42"/>
    </row>
    <row r="17" spans="2:28" x14ac:dyDescent="0.3">
      <c r="B17" s="42" t="s">
        <v>443</v>
      </c>
      <c r="C17" s="42">
        <v>7</v>
      </c>
      <c r="D17" s="44" t="s">
        <v>329</v>
      </c>
      <c r="E17" s="44" t="s">
        <v>309</v>
      </c>
      <c r="F17" s="44" t="s">
        <v>349</v>
      </c>
      <c r="G17" s="44" t="s">
        <v>331</v>
      </c>
      <c r="H17" s="167"/>
      <c r="I17" s="113"/>
      <c r="J17" s="44"/>
      <c r="K17" s="44" t="s">
        <v>310</v>
      </c>
      <c r="L17" s="44"/>
      <c r="M17" s="44" t="s">
        <v>332</v>
      </c>
      <c r="N17" s="44" t="s">
        <v>332</v>
      </c>
      <c r="O17" s="44" t="s">
        <v>332</v>
      </c>
      <c r="P17" s="44"/>
      <c r="Q17" s="44"/>
      <c r="R17" s="44"/>
      <c r="S17" s="44"/>
      <c r="T17" s="113"/>
      <c r="U17" s="47" t="s">
        <v>34</v>
      </c>
      <c r="V17" s="43">
        <v>45826</v>
      </c>
      <c r="W17" s="42"/>
      <c r="X17" s="22"/>
      <c r="Y17" s="185" t="s">
        <v>34</v>
      </c>
      <c r="Z17" s="43">
        <v>45852</v>
      </c>
      <c r="AA17" s="44" t="s">
        <v>478</v>
      </c>
      <c r="AB17" s="42"/>
    </row>
    <row r="18" spans="2:28" x14ac:dyDescent="0.3">
      <c r="B18" s="42" t="s">
        <v>443</v>
      </c>
      <c r="C18" s="42">
        <v>8</v>
      </c>
      <c r="D18" s="44" t="s">
        <v>328</v>
      </c>
      <c r="E18" s="44" t="s">
        <v>308</v>
      </c>
      <c r="F18" s="44" t="s">
        <v>311</v>
      </c>
      <c r="G18" s="44" t="s">
        <v>330</v>
      </c>
      <c r="H18" s="167" t="s">
        <v>327</v>
      </c>
      <c r="I18" s="113"/>
      <c r="J18" s="44"/>
      <c r="K18" s="44" t="s">
        <v>310</v>
      </c>
      <c r="L18" s="44"/>
      <c r="M18" s="44" t="s">
        <v>332</v>
      </c>
      <c r="N18" s="44" t="s">
        <v>332</v>
      </c>
      <c r="O18" s="96" t="s">
        <v>332</v>
      </c>
      <c r="P18" s="44"/>
      <c r="Q18" s="44"/>
      <c r="R18" s="44"/>
      <c r="S18" s="44"/>
      <c r="T18" s="113"/>
      <c r="U18" s="47" t="s">
        <v>34</v>
      </c>
      <c r="V18" s="43">
        <v>45789</v>
      </c>
      <c r="W18" s="42"/>
      <c r="X18" s="22"/>
      <c r="Y18" s="185" t="s">
        <v>34</v>
      </c>
      <c r="Z18" s="43">
        <v>45852</v>
      </c>
      <c r="AA18" s="44" t="s">
        <v>478</v>
      </c>
      <c r="AB18" s="42"/>
    </row>
    <row r="19" spans="2:28" x14ac:dyDescent="0.3">
      <c r="B19" s="44" t="s">
        <v>443</v>
      </c>
      <c r="C19" s="42">
        <v>9</v>
      </c>
      <c r="D19" s="44" t="s">
        <v>428</v>
      </c>
      <c r="E19" s="44" t="s">
        <v>425</v>
      </c>
      <c r="F19" s="44" t="s">
        <v>354</v>
      </c>
      <c r="G19" s="44" t="s">
        <v>429</v>
      </c>
      <c r="H19" s="167" t="s">
        <v>327</v>
      </c>
      <c r="I19" s="113"/>
      <c r="J19" s="44"/>
      <c r="K19" s="44" t="s">
        <v>310</v>
      </c>
      <c r="L19" s="44"/>
      <c r="M19" s="44" t="s">
        <v>332</v>
      </c>
      <c r="N19" s="44" t="s">
        <v>332</v>
      </c>
      <c r="O19" s="44" t="s">
        <v>332</v>
      </c>
      <c r="P19" s="44"/>
      <c r="Q19" s="44"/>
      <c r="R19" s="44"/>
      <c r="S19" s="44"/>
      <c r="T19" s="113"/>
      <c r="U19" s="47" t="s">
        <v>34</v>
      </c>
      <c r="V19" s="43">
        <v>45789</v>
      </c>
      <c r="W19" s="57"/>
      <c r="X19" s="148"/>
      <c r="Y19" s="185" t="s">
        <v>34</v>
      </c>
      <c r="Z19" s="43">
        <v>45852</v>
      </c>
      <c r="AA19" s="44" t="s">
        <v>478</v>
      </c>
      <c r="AB19" s="42"/>
    </row>
  </sheetData>
  <autoFilter ref="B10:U10"/>
  <mergeCells count="7">
    <mergeCell ref="Y9:AB9"/>
    <mergeCell ref="J9:L9"/>
    <mergeCell ref="C7:H7"/>
    <mergeCell ref="B9:H9"/>
    <mergeCell ref="M9:O9"/>
    <mergeCell ref="P9:S9"/>
    <mergeCell ref="U9:W9"/>
  </mergeCells>
  <conditionalFormatting sqref="U11:U19">
    <cfRule type="cellIs" dxfId="148" priority="1" operator="equal">
      <formula>"Testes utilizador"</formula>
    </cfRule>
  </conditionalFormatting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equal" id="{ABCABA66-22E4-42BB-96B3-2CFA5901CD39}">
            <xm:f>'C:\Users\e859162\Documents\00. Old\[BS_Especificação_FEI_v0.3.xlsx]Tabelas AUX'!#REF!</xm:f>
            <x14:dxf>
              <font>
                <color rgb="FF00B050"/>
              </font>
            </x14:dxf>
          </x14:cfRule>
          <x14:cfRule type="cellIs" priority="3" operator="equal" id="{FC19DF5A-E288-41AC-B2C2-19A74BE2BFEB}">
            <xm:f>'C:\Users\e859162\Documents\00. Old\[BS_Especificação_FEI_v0.3.xlsx]Tabelas AUX'!#REF!</xm:f>
            <x14:dxf>
              <font>
                <color rgb="FF7F7F7F"/>
              </font>
            </x14:dxf>
          </x14:cfRule>
          <x14:cfRule type="cellIs" priority="4" operator="equal" id="{6AFA4FF2-57D4-4044-88F9-CB905F136E75}">
            <xm:f>'C:\Users\e859162\Documents\00. Old\[BS_Especificação_FEI_v0.3.xlsx]Tabelas AUX'!#REF!</xm:f>
            <x14:dxf>
              <font>
                <color theme="5"/>
              </font>
            </x14:dxf>
          </x14:cfRule>
          <x14:cfRule type="cellIs" priority="5" operator="equal" id="{24550FCA-75C0-4E99-A8B6-0E6D08D566E1}">
            <xm:f>'C:\Users\e859162\Documents\00. Old\[BS_Especificação_FEI_v0.3.xlsx]Tabelas AUX'!#REF!</xm:f>
            <x14:dxf>
              <font>
                <color rgb="FFC00000"/>
              </font>
            </x14:dxf>
          </x14:cfRule>
          <xm:sqref>U11:U19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'https://santandernet.sharepoint.com/sites/FEIeBEI/Shared Documents/FEI e BEI/03. Documentos Produzidos/01. Especificação/00. Old/[BS_Especificação_FEI_v0.3.xlsx]Tabelas AUX'!#REF!</xm:f>
          </x14:formula1>
          <xm:sqref>U11:U19</xm:sqref>
        </x14:dataValidation>
        <x14:dataValidation type="list" allowBlank="1" showInputMessage="1" showErrorMessage="1">
          <x14:formula1>
            <xm:f>'Tabelas AUX'!$G$2:$G$17</xm:f>
          </x14:formula1>
          <xm:sqref>Y11:Y19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9" tint="0.59999389629810485"/>
    <pageSetUpPr autoPageBreaks="0"/>
  </sheetPr>
  <dimension ref="A1:AB45"/>
  <sheetViews>
    <sheetView showGridLines="0" zoomScale="52" zoomScaleNormal="70" workbookViewId="0"/>
  </sheetViews>
  <sheetFormatPr defaultRowHeight="14.4" outlineLevelRow="1" outlineLevelCol="1" x14ac:dyDescent="0.3"/>
  <cols>
    <col min="1" max="1" width="3.6640625" customWidth="1"/>
    <col min="2" max="2" width="24" customWidth="1"/>
    <col min="3" max="3" width="10.109375" bestFit="1" customWidth="1"/>
    <col min="4" max="4" width="37.109375" bestFit="1" customWidth="1"/>
    <col min="5" max="5" width="29.5546875" bestFit="1" customWidth="1"/>
    <col min="6" max="6" width="16.5546875" bestFit="1" customWidth="1"/>
    <col min="7" max="7" width="48.109375" bestFit="1" customWidth="1"/>
    <col min="8" max="8" width="18.33203125" bestFit="1" customWidth="1"/>
    <col min="9" max="9" width="2" customWidth="1"/>
    <col min="10" max="10" width="9.109375" hidden="1" customWidth="1" outlineLevel="1"/>
    <col min="11" max="11" width="20.44140625" hidden="1" customWidth="1" outlineLevel="1"/>
    <col min="12" max="12" width="25.88671875" hidden="1" customWidth="1" outlineLevel="1"/>
    <col min="13" max="13" width="22.5546875" bestFit="1" customWidth="1" collapsed="1"/>
    <col min="14" max="14" width="17.5546875" bestFit="1" customWidth="1"/>
    <col min="15" max="15" width="59.88671875" customWidth="1"/>
    <col min="16" max="16" width="23.109375" hidden="1" customWidth="1" outlineLevel="1"/>
    <col min="17" max="17" width="25.109375" hidden="1" customWidth="1" outlineLevel="1"/>
    <col min="18" max="18" width="24.5546875" hidden="1" customWidth="1" outlineLevel="1"/>
    <col min="19" max="19" width="28.88671875" hidden="1" customWidth="1" outlineLevel="1"/>
    <col min="20" max="20" width="2.109375" customWidth="1" collapsed="1"/>
    <col min="21" max="21" width="14.5546875" customWidth="1" outlineLevel="1"/>
    <col min="22" max="22" width="17.88671875" customWidth="1" outlineLevel="1"/>
    <col min="23" max="23" width="6.5546875" customWidth="1" outlineLevel="1"/>
    <col min="24" max="24" width="2.109375" customWidth="1"/>
    <col min="25" max="25" width="15.33203125" bestFit="1" customWidth="1" outlineLevel="1"/>
    <col min="26" max="26" width="21.44140625" customWidth="1" outlineLevel="1"/>
    <col min="27" max="28" width="6.5546875" customWidth="1" outlineLevel="1"/>
  </cols>
  <sheetData>
    <row r="1" spans="1:28" ht="15" customHeight="1" x14ac:dyDescent="0.3">
      <c r="B1" s="22"/>
      <c r="C1" s="22"/>
      <c r="D1" s="22"/>
      <c r="E1" s="22"/>
      <c r="G1" s="22"/>
      <c r="H1" s="22"/>
    </row>
    <row r="2" spans="1:28" ht="34.5" customHeight="1" x14ac:dyDescent="0.3">
      <c r="B2" s="22"/>
      <c r="C2" s="22"/>
      <c r="D2" s="22"/>
      <c r="E2" s="23"/>
      <c r="G2" s="22"/>
      <c r="H2" s="22"/>
    </row>
    <row r="3" spans="1:28" s="49" customFormat="1" ht="2.25" customHeight="1" x14ac:dyDescent="0.3">
      <c r="A3" s="19"/>
      <c r="B3" s="24"/>
      <c r="C3" s="24"/>
      <c r="D3" s="24"/>
      <c r="E3" s="24"/>
      <c r="F3" s="24"/>
      <c r="G3" s="24"/>
      <c r="H3" s="24"/>
    </row>
    <row r="4" spans="1:28" ht="15" customHeight="1" x14ac:dyDescent="0.3">
      <c r="B4" s="22"/>
      <c r="C4" s="22"/>
      <c r="D4" s="22"/>
      <c r="E4" s="22"/>
      <c r="G4" s="22"/>
      <c r="H4" s="22"/>
    </row>
    <row r="5" spans="1:28" ht="15" customHeight="1" x14ac:dyDescent="0.3">
      <c r="B5" s="25" t="s">
        <v>270</v>
      </c>
      <c r="C5" s="25"/>
      <c r="D5" s="25"/>
      <c r="E5" s="22"/>
      <c r="G5" s="22"/>
      <c r="H5" s="22"/>
    </row>
    <row r="6" spans="1:28" ht="15" customHeight="1" x14ac:dyDescent="0.3">
      <c r="B6" s="22"/>
      <c r="C6" s="22"/>
      <c r="D6" s="22"/>
      <c r="E6" s="22"/>
      <c r="G6" s="22"/>
      <c r="H6" s="22"/>
    </row>
    <row r="7" spans="1:28" hidden="1" outlineLevel="1" x14ac:dyDescent="0.3">
      <c r="B7" s="26" t="s">
        <v>9</v>
      </c>
      <c r="C7" s="219" t="s">
        <v>78</v>
      </c>
      <c r="D7" s="219"/>
      <c r="E7" s="220"/>
      <c r="F7" s="220"/>
      <c r="G7" s="220"/>
      <c r="H7" s="220"/>
      <c r="I7" s="27"/>
      <c r="J7" s="27"/>
      <c r="S7" s="27"/>
      <c r="T7" s="27"/>
      <c r="X7" s="27"/>
    </row>
    <row r="8" spans="1:28" ht="15" hidden="1" customHeight="1" outlineLevel="1" x14ac:dyDescent="0.3">
      <c r="B8" s="22"/>
      <c r="C8" s="22"/>
      <c r="D8" s="22"/>
      <c r="E8" s="22"/>
      <c r="G8" s="22"/>
      <c r="H8" s="22"/>
    </row>
    <row r="9" spans="1:28" collapsed="1" x14ac:dyDescent="0.3">
      <c r="B9" s="221" t="s">
        <v>546</v>
      </c>
      <c r="C9" s="222"/>
      <c r="D9" s="222"/>
      <c r="E9" s="222"/>
      <c r="F9" s="222"/>
      <c r="G9" s="222"/>
      <c r="H9" s="223"/>
      <c r="J9" s="224" t="s">
        <v>11</v>
      </c>
      <c r="K9" s="225"/>
      <c r="L9" s="225"/>
      <c r="M9" s="216" t="s">
        <v>12</v>
      </c>
      <c r="N9" s="217"/>
      <c r="O9" s="218"/>
      <c r="P9" s="216" t="s">
        <v>13</v>
      </c>
      <c r="Q9" s="217"/>
      <c r="R9" s="217"/>
      <c r="S9" s="218"/>
      <c r="U9" s="216" t="s">
        <v>14</v>
      </c>
      <c r="V9" s="217"/>
      <c r="W9" s="218"/>
      <c r="Y9" s="216" t="s">
        <v>15</v>
      </c>
      <c r="Z9" s="217"/>
      <c r="AA9" s="217"/>
      <c r="AB9" s="218"/>
    </row>
    <row r="10" spans="1:28" x14ac:dyDescent="0.3">
      <c r="B10" s="35" t="s">
        <v>16</v>
      </c>
      <c r="C10" s="35" t="s">
        <v>17</v>
      </c>
      <c r="D10" s="35" t="s">
        <v>18</v>
      </c>
      <c r="E10" s="35" t="s">
        <v>317</v>
      </c>
      <c r="F10" s="35" t="s">
        <v>19</v>
      </c>
      <c r="G10" s="35" t="s">
        <v>20</v>
      </c>
      <c r="H10" s="35" t="s">
        <v>312</v>
      </c>
      <c r="J10" s="30" t="s">
        <v>64</v>
      </c>
      <c r="K10" s="31" t="s">
        <v>169</v>
      </c>
      <c r="L10" s="31" t="s">
        <v>65</v>
      </c>
      <c r="M10" s="30" t="s">
        <v>22</v>
      </c>
      <c r="N10" s="31" t="s">
        <v>23</v>
      </c>
      <c r="O10" s="32" t="s">
        <v>24</v>
      </c>
      <c r="P10" s="33" t="s">
        <v>145</v>
      </c>
      <c r="Q10" s="34" t="s">
        <v>26</v>
      </c>
      <c r="R10" s="28" t="s">
        <v>27</v>
      </c>
      <c r="S10" s="28" t="s">
        <v>28</v>
      </c>
      <c r="U10" s="36" t="s">
        <v>29</v>
      </c>
      <c r="V10" s="36" t="s">
        <v>30</v>
      </c>
      <c r="W10" s="36" t="s">
        <v>31</v>
      </c>
      <c r="Y10" s="36" t="s">
        <v>29</v>
      </c>
      <c r="Z10" s="36" t="s">
        <v>32</v>
      </c>
      <c r="AA10" s="36" t="s">
        <v>33</v>
      </c>
      <c r="AB10" s="36" t="s">
        <v>31</v>
      </c>
    </row>
    <row r="11" spans="1:28" s="22" customFormat="1" ht="28.8" x14ac:dyDescent="0.3">
      <c r="B11" s="42" t="s">
        <v>633</v>
      </c>
      <c r="C11" s="42">
        <v>1</v>
      </c>
      <c r="D11" s="42" t="s">
        <v>255</v>
      </c>
      <c r="E11" s="42" t="s">
        <v>170</v>
      </c>
      <c r="F11" s="42" t="s">
        <v>311</v>
      </c>
      <c r="G11" s="44" t="s">
        <v>351</v>
      </c>
      <c r="H11" s="134" t="s">
        <v>327</v>
      </c>
      <c r="J11" s="44" t="s">
        <v>552</v>
      </c>
      <c r="K11" s="42" t="s">
        <v>95</v>
      </c>
      <c r="L11" s="42"/>
      <c r="M11" s="57" t="s">
        <v>353</v>
      </c>
      <c r="N11" s="57" t="s">
        <v>385</v>
      </c>
      <c r="O11" s="44" t="s">
        <v>170</v>
      </c>
      <c r="P11" s="42"/>
      <c r="Q11" s="42"/>
      <c r="R11" s="42"/>
      <c r="S11" s="42"/>
      <c r="U11" s="47" t="s">
        <v>34</v>
      </c>
      <c r="V11" s="43">
        <v>45789</v>
      </c>
      <c r="W11" s="42"/>
      <c r="Y11" s="174" t="s">
        <v>56</v>
      </c>
      <c r="Z11" s="43">
        <v>45936</v>
      </c>
      <c r="AA11" s="42"/>
      <c r="AB11" s="42"/>
    </row>
    <row r="12" spans="1:28" s="22" customFormat="1" ht="28.8" x14ac:dyDescent="0.3">
      <c r="B12" s="42" t="s">
        <v>633</v>
      </c>
      <c r="C12" s="42">
        <v>2</v>
      </c>
      <c r="D12" s="42" t="s">
        <v>193</v>
      </c>
      <c r="E12" s="42" t="s">
        <v>171</v>
      </c>
      <c r="F12" s="42" t="s">
        <v>311</v>
      </c>
      <c r="G12" s="42" t="s">
        <v>357</v>
      </c>
      <c r="H12" s="134" t="s">
        <v>327</v>
      </c>
      <c r="J12" s="44" t="s">
        <v>552</v>
      </c>
      <c r="K12" s="42" t="s">
        <v>96</v>
      </c>
      <c r="L12" s="42"/>
      <c r="M12" s="57" t="s">
        <v>353</v>
      </c>
      <c r="N12" s="57" t="s">
        <v>385</v>
      </c>
      <c r="O12" s="168" t="s">
        <v>627</v>
      </c>
      <c r="P12" s="42"/>
      <c r="Q12" s="42"/>
      <c r="R12" s="42"/>
      <c r="S12" s="42"/>
      <c r="U12" s="47" t="s">
        <v>34</v>
      </c>
      <c r="V12" s="43">
        <v>45789</v>
      </c>
      <c r="W12" s="42"/>
      <c r="Y12" s="174" t="s">
        <v>56</v>
      </c>
      <c r="Z12" s="43">
        <v>45936</v>
      </c>
      <c r="AA12" s="42"/>
      <c r="AB12" s="42"/>
    </row>
    <row r="13" spans="1:28" s="22" customFormat="1" ht="28.8" x14ac:dyDescent="0.3">
      <c r="B13" s="42" t="s">
        <v>633</v>
      </c>
      <c r="C13" s="42">
        <v>3</v>
      </c>
      <c r="D13" s="42" t="s">
        <v>227</v>
      </c>
      <c r="E13" s="42" t="s">
        <v>708</v>
      </c>
      <c r="F13" s="141" t="s">
        <v>311</v>
      </c>
      <c r="G13" s="44" t="s">
        <v>367</v>
      </c>
      <c r="H13" s="134"/>
      <c r="J13" s="44" t="s">
        <v>507</v>
      </c>
      <c r="K13" s="42" t="s">
        <v>96</v>
      </c>
      <c r="L13" s="42"/>
      <c r="M13" s="57" t="s">
        <v>353</v>
      </c>
      <c r="N13" s="57" t="s">
        <v>385</v>
      </c>
      <c r="O13" s="168" t="s">
        <v>228</v>
      </c>
      <c r="P13" s="42"/>
      <c r="Q13" s="42"/>
      <c r="R13" s="42"/>
      <c r="S13" s="42"/>
      <c r="U13" s="47" t="s">
        <v>34</v>
      </c>
      <c r="V13" s="43">
        <v>45789</v>
      </c>
      <c r="W13" s="42"/>
      <c r="Y13" s="139" t="s">
        <v>47</v>
      </c>
      <c r="Z13" s="43">
        <v>45950</v>
      </c>
      <c r="AA13" s="42"/>
      <c r="AB13" s="42"/>
    </row>
    <row r="14" spans="1:28" s="22" customFormat="1" ht="28.8" x14ac:dyDescent="0.3">
      <c r="B14" s="42" t="s">
        <v>633</v>
      </c>
      <c r="C14" s="42">
        <v>4</v>
      </c>
      <c r="D14" s="42" t="s">
        <v>215</v>
      </c>
      <c r="E14" s="42" t="s">
        <v>709</v>
      </c>
      <c r="F14" s="141" t="s">
        <v>311</v>
      </c>
      <c r="G14" s="42" t="s">
        <v>347</v>
      </c>
      <c r="H14" s="134"/>
      <c r="J14" s="44" t="s">
        <v>507</v>
      </c>
      <c r="K14" s="42" t="s">
        <v>185</v>
      </c>
      <c r="L14" s="42"/>
      <c r="M14" s="57" t="s">
        <v>353</v>
      </c>
      <c r="N14" s="57" t="s">
        <v>385</v>
      </c>
      <c r="O14" s="168" t="str">
        <f>IFERROR(IF(VLOOKUP(K14, out_contracts!$K$10:$O$64, 5, FALSE)=0, "", VLOOKUP(K14, out_contracts!$K$10:$O$64, 5, FALSE)), "")</f>
        <v>currency_code</v>
      </c>
      <c r="P14" s="42"/>
      <c r="Q14" s="42"/>
      <c r="R14" s="42"/>
      <c r="S14" s="42"/>
      <c r="U14" s="47" t="s">
        <v>34</v>
      </c>
      <c r="V14" s="43">
        <v>45789</v>
      </c>
      <c r="W14" s="42"/>
      <c r="Y14" s="139" t="s">
        <v>47</v>
      </c>
      <c r="Z14" s="43">
        <v>45950</v>
      </c>
      <c r="AA14" s="42"/>
      <c r="AB14" s="42"/>
    </row>
    <row r="15" spans="1:28" s="22" customFormat="1" ht="28.8" x14ac:dyDescent="0.3">
      <c r="B15" s="42" t="s">
        <v>633</v>
      </c>
      <c r="C15" s="42">
        <v>5</v>
      </c>
      <c r="D15" s="42" t="s">
        <v>216</v>
      </c>
      <c r="E15" s="42" t="s">
        <v>710</v>
      </c>
      <c r="F15" s="141" t="s">
        <v>311</v>
      </c>
      <c r="G15" s="42" t="s">
        <v>571</v>
      </c>
      <c r="H15" s="134"/>
      <c r="J15" s="44" t="s">
        <v>507</v>
      </c>
      <c r="K15" s="42" t="s">
        <v>239</v>
      </c>
      <c r="L15" s="42"/>
      <c r="M15" s="57" t="s">
        <v>353</v>
      </c>
      <c r="N15" s="57" t="s">
        <v>385</v>
      </c>
      <c r="O15" s="168" t="s">
        <v>710</v>
      </c>
      <c r="P15" s="42"/>
      <c r="Q15" s="42"/>
      <c r="R15" s="42"/>
      <c r="S15" s="42"/>
      <c r="U15" s="47" t="s">
        <v>34</v>
      </c>
      <c r="V15" s="43">
        <v>45789</v>
      </c>
      <c r="W15" s="42"/>
      <c r="Y15" s="138" t="s">
        <v>58</v>
      </c>
      <c r="Z15" s="43"/>
      <c r="AA15" s="42"/>
      <c r="AB15" s="42"/>
    </row>
    <row r="16" spans="1:28" s="22" customFormat="1" ht="57.6" x14ac:dyDescent="0.3">
      <c r="B16" s="42" t="s">
        <v>633</v>
      </c>
      <c r="C16" s="42">
        <v>6</v>
      </c>
      <c r="D16" s="42" t="s">
        <v>217</v>
      </c>
      <c r="E16" s="42" t="s">
        <v>711</v>
      </c>
      <c r="F16" s="141" t="s">
        <v>348</v>
      </c>
      <c r="G16" s="44" t="s">
        <v>570</v>
      </c>
      <c r="H16" s="134"/>
      <c r="J16" s="44" t="s">
        <v>507</v>
      </c>
      <c r="K16" s="42" t="s">
        <v>240</v>
      </c>
      <c r="L16" s="42"/>
      <c r="M16" s="57" t="s">
        <v>353</v>
      </c>
      <c r="N16" s="57" t="s">
        <v>385</v>
      </c>
      <c r="O16" s="168" t="s">
        <v>666</v>
      </c>
      <c r="P16" s="42"/>
      <c r="Q16" s="42"/>
      <c r="R16" s="42"/>
      <c r="S16" s="42"/>
      <c r="U16" s="47" t="s">
        <v>34</v>
      </c>
      <c r="V16" s="43">
        <v>45789</v>
      </c>
      <c r="W16" s="57"/>
      <c r="X16" s="148"/>
      <c r="Y16" s="139" t="s">
        <v>47</v>
      </c>
      <c r="Z16" s="43">
        <v>45950</v>
      </c>
      <c r="AA16" s="57"/>
      <c r="AB16" s="57"/>
    </row>
    <row r="17" spans="2:28" s="22" customFormat="1" ht="28.8" x14ac:dyDescent="0.3">
      <c r="B17" s="42" t="s">
        <v>633</v>
      </c>
      <c r="C17" s="42">
        <v>7</v>
      </c>
      <c r="D17" s="42" t="s">
        <v>218</v>
      </c>
      <c r="E17" s="42" t="s">
        <v>230</v>
      </c>
      <c r="F17" s="141" t="s">
        <v>348</v>
      </c>
      <c r="G17" s="44" t="s">
        <v>572</v>
      </c>
      <c r="H17" s="134"/>
      <c r="J17" s="44" t="s">
        <v>507</v>
      </c>
      <c r="K17" s="42" t="s">
        <v>558</v>
      </c>
      <c r="L17" s="42"/>
      <c r="M17" s="57" t="s">
        <v>353</v>
      </c>
      <c r="N17" s="57" t="s">
        <v>385</v>
      </c>
      <c r="O17" s="42" t="s">
        <v>230</v>
      </c>
      <c r="P17" s="42"/>
      <c r="Q17" s="42"/>
      <c r="R17" s="42"/>
      <c r="S17" s="42"/>
      <c r="U17" s="47" t="s">
        <v>34</v>
      </c>
      <c r="V17" s="43">
        <v>45793</v>
      </c>
      <c r="W17" s="42"/>
      <c r="Y17" s="139" t="s">
        <v>47</v>
      </c>
      <c r="Z17" s="43">
        <v>45950</v>
      </c>
      <c r="AA17" s="42"/>
      <c r="AB17" s="42"/>
    </row>
    <row r="18" spans="2:28" s="22" customFormat="1" ht="28.8" x14ac:dyDescent="0.3">
      <c r="B18" s="42" t="s">
        <v>633</v>
      </c>
      <c r="C18" s="42">
        <v>8</v>
      </c>
      <c r="D18" s="42" t="s">
        <v>219</v>
      </c>
      <c r="E18" s="42" t="s">
        <v>231</v>
      </c>
      <c r="F18" s="141" t="s">
        <v>348</v>
      </c>
      <c r="G18" s="44" t="s">
        <v>573</v>
      </c>
      <c r="H18" s="134"/>
      <c r="J18" s="44" t="s">
        <v>507</v>
      </c>
      <c r="K18" s="42" t="s">
        <v>559</v>
      </c>
      <c r="L18" s="42"/>
      <c r="M18" s="57" t="s">
        <v>353</v>
      </c>
      <c r="N18" s="57" t="s">
        <v>385</v>
      </c>
      <c r="O18" s="42" t="s">
        <v>231</v>
      </c>
      <c r="P18" s="42"/>
      <c r="Q18" s="42"/>
      <c r="R18" s="42"/>
      <c r="S18" s="42"/>
      <c r="U18" s="47" t="s">
        <v>34</v>
      </c>
      <c r="V18" s="43">
        <v>45793</v>
      </c>
      <c r="W18" s="42"/>
      <c r="Y18" s="139" t="s">
        <v>47</v>
      </c>
      <c r="Z18" s="43">
        <v>45950</v>
      </c>
      <c r="AA18" s="42"/>
      <c r="AB18" s="42"/>
    </row>
    <row r="19" spans="2:28" s="22" customFormat="1" ht="28.8" x14ac:dyDescent="0.3">
      <c r="B19" s="42" t="s">
        <v>633</v>
      </c>
      <c r="C19" s="42">
        <v>9</v>
      </c>
      <c r="D19" s="42" t="s">
        <v>220</v>
      </c>
      <c r="E19" s="42" t="s">
        <v>712</v>
      </c>
      <c r="F19" s="141" t="s">
        <v>354</v>
      </c>
      <c r="G19" s="44" t="s">
        <v>574</v>
      </c>
      <c r="H19" s="134"/>
      <c r="J19" s="44" t="s">
        <v>507</v>
      </c>
      <c r="K19" s="42" t="s">
        <v>241</v>
      </c>
      <c r="L19" s="42"/>
      <c r="M19" s="57" t="s">
        <v>353</v>
      </c>
      <c r="N19" s="57" t="s">
        <v>385</v>
      </c>
      <c r="O19" s="42" t="s">
        <v>712</v>
      </c>
      <c r="P19" s="42"/>
      <c r="Q19" s="42"/>
      <c r="R19" s="42"/>
      <c r="S19" s="42"/>
      <c r="U19" s="47" t="s">
        <v>34</v>
      </c>
      <c r="V19" s="43">
        <v>45789</v>
      </c>
      <c r="W19" s="42"/>
      <c r="Y19" s="139" t="s">
        <v>47</v>
      </c>
      <c r="Z19" s="43">
        <v>45950</v>
      </c>
      <c r="AA19" s="42"/>
      <c r="AB19" s="42"/>
    </row>
    <row r="20" spans="2:28" s="22" customFormat="1" ht="28.8" x14ac:dyDescent="0.3">
      <c r="B20" s="42" t="s">
        <v>633</v>
      </c>
      <c r="C20" s="42">
        <v>10</v>
      </c>
      <c r="D20" s="42" t="s">
        <v>221</v>
      </c>
      <c r="E20" s="42" t="s">
        <v>232</v>
      </c>
      <c r="F20" s="141" t="s">
        <v>354</v>
      </c>
      <c r="G20" s="44" t="s">
        <v>586</v>
      </c>
      <c r="H20" s="134"/>
      <c r="J20" s="44" t="s">
        <v>507</v>
      </c>
      <c r="K20" s="42" t="s">
        <v>242</v>
      </c>
      <c r="L20" s="42"/>
      <c r="M20" s="57" t="s">
        <v>353</v>
      </c>
      <c r="N20" s="57" t="s">
        <v>385</v>
      </c>
      <c r="O20" s="168" t="s">
        <v>232</v>
      </c>
      <c r="P20" s="42"/>
      <c r="Q20" s="42"/>
      <c r="R20" s="42"/>
      <c r="S20" s="42"/>
      <c r="U20" s="47" t="s">
        <v>34</v>
      </c>
      <c r="V20" s="43">
        <v>45789</v>
      </c>
      <c r="W20" s="57" t="s">
        <v>809</v>
      </c>
      <c r="X20" s="148"/>
      <c r="Y20" s="138" t="s">
        <v>806</v>
      </c>
      <c r="Z20" s="43"/>
      <c r="AA20" s="57"/>
      <c r="AB20" s="57"/>
    </row>
    <row r="21" spans="2:28" s="22" customFormat="1" ht="28.8" x14ac:dyDescent="0.3">
      <c r="B21" s="42" t="s">
        <v>633</v>
      </c>
      <c r="C21" s="42">
        <v>11</v>
      </c>
      <c r="D21" s="42" t="s">
        <v>222</v>
      </c>
      <c r="E21" s="42" t="s">
        <v>713</v>
      </c>
      <c r="F21" s="141" t="s">
        <v>311</v>
      </c>
      <c r="G21" s="44" t="s">
        <v>587</v>
      </c>
      <c r="H21" s="134"/>
      <c r="J21" s="44" t="s">
        <v>507</v>
      </c>
      <c r="K21" s="42" t="s">
        <v>243</v>
      </c>
      <c r="L21" s="42"/>
      <c r="M21" s="57" t="s">
        <v>353</v>
      </c>
      <c r="N21" s="57" t="s">
        <v>385</v>
      </c>
      <c r="O21" s="168" t="s">
        <v>346</v>
      </c>
      <c r="P21" s="42"/>
      <c r="Q21" s="42"/>
      <c r="R21" s="42"/>
      <c r="S21" s="42"/>
      <c r="U21" s="169" t="s">
        <v>34</v>
      </c>
      <c r="V21" s="43">
        <v>45789</v>
      </c>
      <c r="W21" s="42"/>
      <c r="Y21" s="139" t="s">
        <v>47</v>
      </c>
      <c r="Z21" s="43">
        <v>45950</v>
      </c>
      <c r="AA21" s="42"/>
      <c r="AB21" s="42"/>
    </row>
    <row r="22" spans="2:28" s="22" customFormat="1" ht="28.8" x14ac:dyDescent="0.3">
      <c r="B22" s="42" t="s">
        <v>633</v>
      </c>
      <c r="C22" s="42">
        <v>12</v>
      </c>
      <c r="D22" s="42" t="s">
        <v>544</v>
      </c>
      <c r="E22" s="42" t="s">
        <v>606</v>
      </c>
      <c r="F22" s="141" t="s">
        <v>311</v>
      </c>
      <c r="G22" s="44" t="s">
        <v>588</v>
      </c>
      <c r="H22" s="134"/>
      <c r="J22" s="44" t="s">
        <v>507</v>
      </c>
      <c r="K22" s="42" t="s">
        <v>244</v>
      </c>
      <c r="L22" s="42"/>
      <c r="M22" s="57" t="s">
        <v>353</v>
      </c>
      <c r="N22" s="57" t="s">
        <v>385</v>
      </c>
      <c r="O22" s="168" t="s">
        <v>606</v>
      </c>
      <c r="P22" s="42"/>
      <c r="Q22" s="42"/>
      <c r="R22" s="42"/>
      <c r="S22" s="42"/>
      <c r="U22" s="47" t="s">
        <v>34</v>
      </c>
      <c r="V22" s="43">
        <v>45789</v>
      </c>
      <c r="W22" s="42"/>
      <c r="Y22" s="139" t="s">
        <v>47</v>
      </c>
      <c r="Z22" s="43">
        <v>45950</v>
      </c>
      <c r="AA22" s="42"/>
      <c r="AB22" s="42"/>
    </row>
    <row r="23" spans="2:28" s="22" customFormat="1" ht="28.8" x14ac:dyDescent="0.3">
      <c r="B23" s="42" t="s">
        <v>633</v>
      </c>
      <c r="C23" s="42">
        <v>13</v>
      </c>
      <c r="D23" s="42" t="s">
        <v>223</v>
      </c>
      <c r="E23" s="42" t="s">
        <v>233</v>
      </c>
      <c r="F23" s="141" t="s">
        <v>311</v>
      </c>
      <c r="G23" s="44" t="s">
        <v>575</v>
      </c>
      <c r="H23" s="134"/>
      <c r="J23" s="44" t="s">
        <v>507</v>
      </c>
      <c r="K23" s="42" t="s">
        <v>245</v>
      </c>
      <c r="L23" s="42"/>
      <c r="M23" s="57" t="s">
        <v>353</v>
      </c>
      <c r="N23" s="57" t="s">
        <v>385</v>
      </c>
      <c r="O23" s="168" t="s">
        <v>233</v>
      </c>
      <c r="P23" s="42"/>
      <c r="Q23" s="42"/>
      <c r="R23" s="42"/>
      <c r="S23" s="42"/>
      <c r="U23" s="47" t="s">
        <v>34</v>
      </c>
      <c r="V23" s="43">
        <v>45789</v>
      </c>
      <c r="W23" s="57" t="s">
        <v>809</v>
      </c>
      <c r="Y23" s="138" t="s">
        <v>806</v>
      </c>
      <c r="Z23" s="43"/>
      <c r="AA23" s="42"/>
      <c r="AB23" s="42"/>
    </row>
    <row r="24" spans="2:28" s="22" customFormat="1" ht="28.8" x14ac:dyDescent="0.3">
      <c r="B24" s="42" t="s">
        <v>633</v>
      </c>
      <c r="C24" s="42">
        <v>14</v>
      </c>
      <c r="D24" s="42" t="s">
        <v>361</v>
      </c>
      <c r="E24" s="42" t="s">
        <v>714</v>
      </c>
      <c r="F24" s="141" t="s">
        <v>311</v>
      </c>
      <c r="G24" s="44" t="s">
        <v>589</v>
      </c>
      <c r="H24" s="134"/>
      <c r="J24" s="44" t="s">
        <v>507</v>
      </c>
      <c r="K24" s="42" t="s">
        <v>246</v>
      </c>
      <c r="L24" s="42"/>
      <c r="M24" s="57" t="s">
        <v>353</v>
      </c>
      <c r="N24" s="57" t="s">
        <v>385</v>
      </c>
      <c r="O24" s="168" t="s">
        <v>234</v>
      </c>
      <c r="P24" s="42"/>
      <c r="Q24" s="42"/>
      <c r="R24" s="42"/>
      <c r="S24" s="42"/>
      <c r="U24" s="47" t="s">
        <v>34</v>
      </c>
      <c r="V24" s="43">
        <v>45789</v>
      </c>
      <c r="W24" s="57" t="s">
        <v>809</v>
      </c>
      <c r="Y24" s="138" t="s">
        <v>806</v>
      </c>
      <c r="Z24" s="43"/>
      <c r="AA24" s="42"/>
      <c r="AB24" s="42"/>
    </row>
    <row r="25" spans="2:28" s="22" customFormat="1" ht="28.8" x14ac:dyDescent="0.3">
      <c r="B25" s="42" t="s">
        <v>633</v>
      </c>
      <c r="C25" s="42">
        <v>15</v>
      </c>
      <c r="D25" s="42" t="s">
        <v>224</v>
      </c>
      <c r="E25" s="42" t="s">
        <v>235</v>
      </c>
      <c r="F25" s="141" t="s">
        <v>311</v>
      </c>
      <c r="G25" s="44" t="s">
        <v>576</v>
      </c>
      <c r="H25" s="134"/>
      <c r="J25" s="44" t="s">
        <v>507</v>
      </c>
      <c r="K25" s="42" t="s">
        <v>79</v>
      </c>
      <c r="L25" s="42"/>
      <c r="M25" s="57" t="s">
        <v>353</v>
      </c>
      <c r="N25" s="57" t="s">
        <v>385</v>
      </c>
      <c r="O25" s="168" t="s">
        <v>644</v>
      </c>
      <c r="P25" s="42"/>
      <c r="Q25" s="42"/>
      <c r="R25" s="42"/>
      <c r="S25" s="42"/>
      <c r="U25" s="47" t="s">
        <v>34</v>
      </c>
      <c r="V25" s="43">
        <v>45792</v>
      </c>
      <c r="W25" s="42"/>
      <c r="Y25" s="139" t="s">
        <v>47</v>
      </c>
      <c r="Z25" s="43">
        <v>45950</v>
      </c>
      <c r="AA25" s="42"/>
      <c r="AB25" s="42"/>
    </row>
    <row r="26" spans="2:28" s="22" customFormat="1" ht="28.8" x14ac:dyDescent="0.3">
      <c r="B26" s="42" t="s">
        <v>633</v>
      </c>
      <c r="C26" s="42">
        <v>16</v>
      </c>
      <c r="D26" s="44" t="s">
        <v>225</v>
      </c>
      <c r="E26" s="42" t="s">
        <v>236</v>
      </c>
      <c r="F26" s="141" t="s">
        <v>348</v>
      </c>
      <c r="G26" s="44" t="s">
        <v>577</v>
      </c>
      <c r="H26" s="134"/>
      <c r="J26" s="44" t="s">
        <v>507</v>
      </c>
      <c r="K26" s="42" t="s">
        <v>247</v>
      </c>
      <c r="L26" s="42"/>
      <c r="M26" s="57" t="s">
        <v>353</v>
      </c>
      <c r="N26" s="57" t="s">
        <v>385</v>
      </c>
      <c r="O26" s="168" t="s">
        <v>643</v>
      </c>
      <c r="P26" s="42"/>
      <c r="Q26" s="42"/>
      <c r="R26" s="42"/>
      <c r="S26" s="42"/>
      <c r="U26" s="47" t="s">
        <v>34</v>
      </c>
      <c r="V26" s="43">
        <v>45789</v>
      </c>
      <c r="W26" s="42"/>
      <c r="Y26" s="139" t="s">
        <v>47</v>
      </c>
      <c r="Z26" s="43">
        <v>45950</v>
      </c>
      <c r="AA26" s="42"/>
      <c r="AB26" s="42"/>
    </row>
    <row r="27" spans="2:28" s="22" customFormat="1" ht="28.8" x14ac:dyDescent="0.3">
      <c r="B27" s="42" t="s">
        <v>633</v>
      </c>
      <c r="C27" s="42">
        <v>17</v>
      </c>
      <c r="D27" s="42" t="s">
        <v>545</v>
      </c>
      <c r="E27" s="42" t="s">
        <v>590</v>
      </c>
      <c r="F27" s="141" t="s">
        <v>311</v>
      </c>
      <c r="G27" s="44" t="s">
        <v>578</v>
      </c>
      <c r="H27" s="134"/>
      <c r="J27" s="44" t="s">
        <v>507</v>
      </c>
      <c r="K27" s="42" t="s">
        <v>248</v>
      </c>
      <c r="L27" s="42"/>
      <c r="M27" s="57" t="s">
        <v>353</v>
      </c>
      <c r="N27" s="57" t="s">
        <v>385</v>
      </c>
      <c r="O27" s="168" t="s">
        <v>590</v>
      </c>
      <c r="P27" s="42"/>
      <c r="Q27" s="42"/>
      <c r="R27" s="42"/>
      <c r="S27" s="42"/>
      <c r="U27" s="47" t="s">
        <v>34</v>
      </c>
      <c r="V27" s="43">
        <v>45789</v>
      </c>
      <c r="W27" s="57" t="s">
        <v>809</v>
      </c>
      <c r="Y27" s="138" t="s">
        <v>806</v>
      </c>
      <c r="Z27" s="43"/>
      <c r="AA27" s="42"/>
      <c r="AB27" s="42"/>
    </row>
    <row r="28" spans="2:28" s="22" customFormat="1" ht="28.8" x14ac:dyDescent="0.3">
      <c r="B28" s="42" t="s">
        <v>633</v>
      </c>
      <c r="C28" s="42">
        <v>18</v>
      </c>
      <c r="D28" s="42" t="s">
        <v>81</v>
      </c>
      <c r="E28" s="42" t="s">
        <v>715</v>
      </c>
      <c r="F28" s="141" t="s">
        <v>348</v>
      </c>
      <c r="G28" s="44" t="s">
        <v>579</v>
      </c>
      <c r="H28" s="134"/>
      <c r="J28" s="44" t="s">
        <v>507</v>
      </c>
      <c r="K28" s="42" t="s">
        <v>249</v>
      </c>
      <c r="L28" s="42"/>
      <c r="M28" s="57" t="s">
        <v>353</v>
      </c>
      <c r="N28" s="57" t="s">
        <v>385</v>
      </c>
      <c r="O28" s="168" t="s">
        <v>715</v>
      </c>
      <c r="P28" s="42"/>
      <c r="Q28" s="42"/>
      <c r="R28" s="42"/>
      <c r="S28" s="42"/>
      <c r="U28" s="47" t="s">
        <v>34</v>
      </c>
      <c r="V28" s="43">
        <v>45789</v>
      </c>
      <c r="W28" s="42"/>
      <c r="Y28" s="139" t="s">
        <v>47</v>
      </c>
      <c r="Z28" s="43">
        <v>45950</v>
      </c>
      <c r="AA28" s="42"/>
      <c r="AB28" s="42"/>
    </row>
    <row r="29" spans="2:28" s="22" customFormat="1" ht="28.8" x14ac:dyDescent="0.3">
      <c r="B29" s="42" t="s">
        <v>633</v>
      </c>
      <c r="C29" s="42">
        <v>19</v>
      </c>
      <c r="D29" s="42" t="s">
        <v>226</v>
      </c>
      <c r="E29" s="42" t="s">
        <v>716</v>
      </c>
      <c r="F29" s="141" t="s">
        <v>348</v>
      </c>
      <c r="G29" s="44" t="s">
        <v>580</v>
      </c>
      <c r="H29" s="134"/>
      <c r="J29" s="44" t="s">
        <v>507</v>
      </c>
      <c r="K29" s="42" t="s">
        <v>250</v>
      </c>
      <c r="L29" s="42"/>
      <c r="M29" s="57" t="s">
        <v>353</v>
      </c>
      <c r="N29" s="57" t="s">
        <v>385</v>
      </c>
      <c r="O29" s="168" t="s">
        <v>238</v>
      </c>
      <c r="P29" s="42"/>
      <c r="Q29" s="42"/>
      <c r="R29" s="42"/>
      <c r="S29" s="42"/>
      <c r="U29" s="47" t="s">
        <v>34</v>
      </c>
      <c r="V29" s="43">
        <v>45789</v>
      </c>
      <c r="W29" s="42"/>
      <c r="Y29" s="139" t="s">
        <v>47</v>
      </c>
      <c r="Z29" s="43">
        <v>45950</v>
      </c>
      <c r="AA29" s="42"/>
      <c r="AB29" s="42"/>
    </row>
    <row r="30" spans="2:28" s="22" customFormat="1" ht="28.8" x14ac:dyDescent="0.3">
      <c r="B30" s="42" t="s">
        <v>633</v>
      </c>
      <c r="C30" s="42">
        <v>20</v>
      </c>
      <c r="D30" s="42" t="s">
        <v>82</v>
      </c>
      <c r="E30" s="42" t="s">
        <v>717</v>
      </c>
      <c r="F30" s="141" t="s">
        <v>348</v>
      </c>
      <c r="G30" s="44" t="s">
        <v>581</v>
      </c>
      <c r="H30" s="134"/>
      <c r="I30" s="42"/>
      <c r="J30" s="44" t="s">
        <v>507</v>
      </c>
      <c r="K30" s="42" t="s">
        <v>251</v>
      </c>
      <c r="L30" s="42"/>
      <c r="M30" s="57" t="s">
        <v>353</v>
      </c>
      <c r="N30" s="57" t="s">
        <v>385</v>
      </c>
      <c r="O30" s="168" t="s">
        <v>237</v>
      </c>
      <c r="P30" s="42"/>
      <c r="Q30" s="42"/>
      <c r="R30" s="42"/>
      <c r="S30" s="42"/>
      <c r="U30" s="47" t="s">
        <v>34</v>
      </c>
      <c r="V30" s="43">
        <v>45789</v>
      </c>
      <c r="W30" s="42"/>
      <c r="Y30" s="139" t="s">
        <v>47</v>
      </c>
      <c r="Z30" s="43">
        <v>45950</v>
      </c>
      <c r="AA30" s="42"/>
      <c r="AB30" s="42"/>
    </row>
    <row r="31" spans="2:28" s="22" customFormat="1" ht="28.8" x14ac:dyDescent="0.3">
      <c r="B31" s="42" t="s">
        <v>633</v>
      </c>
      <c r="C31" s="42">
        <v>21</v>
      </c>
      <c r="D31" s="42" t="s">
        <v>74</v>
      </c>
      <c r="E31" s="42" t="s">
        <v>268</v>
      </c>
      <c r="F31" s="141" t="s">
        <v>311</v>
      </c>
      <c r="G31" s="44" t="s">
        <v>598</v>
      </c>
      <c r="H31" s="134"/>
      <c r="I31" s="42"/>
      <c r="J31" s="44" t="s">
        <v>507</v>
      </c>
      <c r="K31" s="42" t="s">
        <v>560</v>
      </c>
      <c r="L31" s="42"/>
      <c r="M31" s="57"/>
      <c r="N31" s="57"/>
      <c r="O31" s="105" t="s">
        <v>697</v>
      </c>
      <c r="P31" s="42"/>
      <c r="Q31" s="42"/>
      <c r="R31" s="42"/>
      <c r="S31" s="42"/>
      <c r="U31" s="47" t="s">
        <v>34</v>
      </c>
      <c r="V31" s="43">
        <v>45789</v>
      </c>
      <c r="W31" s="42"/>
      <c r="Y31" s="139" t="s">
        <v>47</v>
      </c>
      <c r="Z31" s="43">
        <v>45950</v>
      </c>
      <c r="AA31" s="42"/>
      <c r="AB31" s="42"/>
    </row>
    <row r="32" spans="2:28" s="22" customFormat="1" ht="28.8" x14ac:dyDescent="0.3">
      <c r="B32" s="42" t="s">
        <v>633</v>
      </c>
      <c r="C32" s="42">
        <v>22</v>
      </c>
      <c r="D32" s="42" t="s">
        <v>547</v>
      </c>
      <c r="E32" s="42" t="s">
        <v>718</v>
      </c>
      <c r="F32" s="141" t="s">
        <v>311</v>
      </c>
      <c r="G32" s="44" t="s">
        <v>599</v>
      </c>
      <c r="H32" s="134"/>
      <c r="I32" s="42"/>
      <c r="J32" s="44" t="s">
        <v>507</v>
      </c>
      <c r="K32" s="42" t="s">
        <v>561</v>
      </c>
      <c r="L32" s="42"/>
      <c r="M32" s="57"/>
      <c r="N32" s="57"/>
      <c r="O32" s="105" t="s">
        <v>75</v>
      </c>
      <c r="P32" s="42"/>
      <c r="Q32" s="42"/>
      <c r="R32" s="42"/>
      <c r="S32" s="42"/>
      <c r="U32" s="47" t="s">
        <v>34</v>
      </c>
      <c r="V32" s="43">
        <v>45789</v>
      </c>
      <c r="W32" s="57"/>
      <c r="X32" s="148"/>
      <c r="Y32" s="139" t="s">
        <v>47</v>
      </c>
      <c r="Z32" s="43">
        <v>45950</v>
      </c>
      <c r="AA32" s="57"/>
      <c r="AB32" s="57"/>
    </row>
    <row r="33" spans="2:28" s="22" customFormat="1" ht="28.8" x14ac:dyDescent="0.3">
      <c r="B33" s="42" t="s">
        <v>633</v>
      </c>
      <c r="C33" s="42">
        <v>23</v>
      </c>
      <c r="D33" s="42" t="s">
        <v>568</v>
      </c>
      <c r="E33" s="42" t="s">
        <v>719</v>
      </c>
      <c r="F33" s="141" t="s">
        <v>311</v>
      </c>
      <c r="G33" s="44" t="s">
        <v>582</v>
      </c>
      <c r="H33" s="134"/>
      <c r="I33" s="42"/>
      <c r="J33" s="44" t="s">
        <v>507</v>
      </c>
      <c r="K33" s="42" t="s">
        <v>562</v>
      </c>
      <c r="L33" s="42"/>
      <c r="M33" s="57" t="s">
        <v>353</v>
      </c>
      <c r="N33" s="57" t="s">
        <v>385</v>
      </c>
      <c r="O33" s="42" t="s">
        <v>719</v>
      </c>
      <c r="P33" s="42"/>
      <c r="Q33" s="42"/>
      <c r="R33" s="42"/>
      <c r="S33" s="42"/>
      <c r="U33" s="47" t="s">
        <v>34</v>
      </c>
      <c r="V33" s="43">
        <v>45789</v>
      </c>
      <c r="W33" s="42"/>
      <c r="Y33" s="138" t="s">
        <v>58</v>
      </c>
      <c r="Z33" s="43">
        <v>45950</v>
      </c>
      <c r="AA33" s="42"/>
      <c r="AB33" s="42"/>
    </row>
    <row r="34" spans="2:28" s="22" customFormat="1" ht="28.8" x14ac:dyDescent="0.3">
      <c r="B34" s="42" t="s">
        <v>633</v>
      </c>
      <c r="C34" s="42">
        <v>24</v>
      </c>
      <c r="D34" s="42" t="s">
        <v>551</v>
      </c>
      <c r="E34" s="42" t="s">
        <v>720</v>
      </c>
      <c r="F34" s="141" t="s">
        <v>348</v>
      </c>
      <c r="G34" s="44" t="s">
        <v>583</v>
      </c>
      <c r="H34" s="134"/>
      <c r="J34" s="44" t="s">
        <v>507</v>
      </c>
      <c r="K34" s="42" t="s">
        <v>563</v>
      </c>
      <c r="L34" s="42"/>
      <c r="M34" s="57" t="s">
        <v>353</v>
      </c>
      <c r="N34" s="57" t="s">
        <v>385</v>
      </c>
      <c r="O34" s="42" t="s">
        <v>720</v>
      </c>
      <c r="P34" s="42"/>
      <c r="Q34" s="42"/>
      <c r="R34" s="42"/>
      <c r="S34" s="42"/>
      <c r="U34" s="47" t="s">
        <v>34</v>
      </c>
      <c r="V34" s="43">
        <v>45789</v>
      </c>
      <c r="W34" s="42"/>
      <c r="Y34" s="139" t="s">
        <v>47</v>
      </c>
      <c r="Z34" s="43">
        <v>45950</v>
      </c>
      <c r="AA34" s="42"/>
      <c r="AB34" s="42"/>
    </row>
    <row r="35" spans="2:28" s="22" customFormat="1" ht="43.2" x14ac:dyDescent="0.3">
      <c r="B35" s="42" t="s">
        <v>633</v>
      </c>
      <c r="C35" s="42">
        <v>25</v>
      </c>
      <c r="D35" s="44" t="s">
        <v>567</v>
      </c>
      <c r="E35" s="42" t="s">
        <v>721</v>
      </c>
      <c r="F35" s="141" t="s">
        <v>591</v>
      </c>
      <c r="G35" s="44" t="s">
        <v>584</v>
      </c>
      <c r="H35" s="134"/>
      <c r="J35" s="44" t="s">
        <v>507</v>
      </c>
      <c r="K35" s="42" t="s">
        <v>564</v>
      </c>
      <c r="L35" s="42"/>
      <c r="M35" s="57" t="s">
        <v>353</v>
      </c>
      <c r="N35" s="57" t="s">
        <v>385</v>
      </c>
      <c r="O35" s="42" t="s">
        <v>721</v>
      </c>
      <c r="P35" s="42"/>
      <c r="Q35" s="42"/>
      <c r="R35" s="42"/>
      <c r="S35" s="42"/>
      <c r="U35" s="47" t="s">
        <v>34</v>
      </c>
      <c r="V35" s="43">
        <v>45789</v>
      </c>
      <c r="W35" s="42"/>
      <c r="Y35" s="138" t="s">
        <v>58</v>
      </c>
      <c r="Z35" s="43"/>
      <c r="AA35" s="42"/>
      <c r="AB35" s="42"/>
    </row>
    <row r="36" spans="2:28" s="22" customFormat="1" ht="28.8" x14ac:dyDescent="0.3">
      <c r="B36" s="42" t="s">
        <v>633</v>
      </c>
      <c r="C36" s="42">
        <v>26</v>
      </c>
      <c r="D36" s="42" t="s">
        <v>548</v>
      </c>
      <c r="E36" s="42" t="s">
        <v>722</v>
      </c>
      <c r="F36" s="141" t="s">
        <v>311</v>
      </c>
      <c r="G36" s="44" t="s">
        <v>585</v>
      </c>
      <c r="H36" s="134"/>
      <c r="J36" s="44" t="s">
        <v>507</v>
      </c>
      <c r="K36" s="42" t="s">
        <v>565</v>
      </c>
      <c r="L36" s="42"/>
      <c r="M36" s="57"/>
      <c r="N36" s="57"/>
      <c r="O36" s="168" t="s">
        <v>80</v>
      </c>
      <c r="P36" s="42"/>
      <c r="Q36" s="42" t="s">
        <v>650</v>
      </c>
      <c r="R36" s="42"/>
      <c r="S36" s="42"/>
      <c r="U36" s="47" t="s">
        <v>34</v>
      </c>
      <c r="V36" s="43">
        <v>45789</v>
      </c>
      <c r="W36" s="42"/>
      <c r="Y36" s="139" t="s">
        <v>47</v>
      </c>
      <c r="Z36" s="43">
        <v>45950</v>
      </c>
      <c r="AA36" s="42"/>
      <c r="AB36" s="42"/>
    </row>
    <row r="37" spans="2:28" s="22" customFormat="1" ht="172.8" x14ac:dyDescent="0.3">
      <c r="B37" s="42" t="s">
        <v>633</v>
      </c>
      <c r="C37" s="42">
        <v>27</v>
      </c>
      <c r="D37" s="42" t="s">
        <v>549</v>
      </c>
      <c r="E37" s="42" t="s">
        <v>723</v>
      </c>
      <c r="F37" s="141" t="s">
        <v>311</v>
      </c>
      <c r="G37" s="44" t="s">
        <v>600</v>
      </c>
      <c r="H37" s="134"/>
      <c r="J37" s="44" t="s">
        <v>507</v>
      </c>
      <c r="K37" s="42" t="s">
        <v>566</v>
      </c>
      <c r="L37" s="42"/>
      <c r="M37" s="57"/>
      <c r="N37" s="57"/>
      <c r="O37" s="168" t="s">
        <v>80</v>
      </c>
      <c r="P37" s="42"/>
      <c r="Q37" s="44" t="s">
        <v>671</v>
      </c>
      <c r="R37" s="42"/>
      <c r="S37" s="42"/>
      <c r="U37" s="47" t="s">
        <v>34</v>
      </c>
      <c r="V37" s="43">
        <v>45789</v>
      </c>
      <c r="W37" s="42"/>
      <c r="Y37" s="139" t="s">
        <v>47</v>
      </c>
      <c r="Z37" s="43">
        <v>45950</v>
      </c>
      <c r="AA37" s="42"/>
      <c r="AB37" s="42"/>
    </row>
    <row r="38" spans="2:28" s="22" customFormat="1" ht="28.8" x14ac:dyDescent="0.3">
      <c r="B38" s="42" t="s">
        <v>633</v>
      </c>
      <c r="C38" s="42">
        <v>28</v>
      </c>
      <c r="D38" s="42" t="s">
        <v>550</v>
      </c>
      <c r="E38" s="42" t="s">
        <v>724</v>
      </c>
      <c r="F38" s="141" t="s">
        <v>311</v>
      </c>
      <c r="G38" s="44" t="s">
        <v>601</v>
      </c>
      <c r="H38" s="134"/>
      <c r="J38" s="44" t="s">
        <v>507</v>
      </c>
      <c r="K38" s="42" t="s">
        <v>569</v>
      </c>
      <c r="L38" s="42"/>
      <c r="M38" s="57"/>
      <c r="N38" s="57"/>
      <c r="O38" s="168" t="s">
        <v>80</v>
      </c>
      <c r="P38" s="42"/>
      <c r="Q38" s="42" t="s">
        <v>650</v>
      </c>
      <c r="R38" s="42"/>
      <c r="S38" s="42"/>
      <c r="U38" s="47" t="s">
        <v>34</v>
      </c>
      <c r="V38" s="43">
        <v>45789</v>
      </c>
      <c r="W38" s="42"/>
      <c r="Y38" s="139" t="s">
        <v>47</v>
      </c>
      <c r="Z38" s="43">
        <v>45950</v>
      </c>
      <c r="AA38" s="42"/>
      <c r="AB38" s="42"/>
    </row>
    <row r="39" spans="2:28" s="22" customFormat="1" x14ac:dyDescent="0.3">
      <c r="B39" s="42" t="s">
        <v>633</v>
      </c>
      <c r="C39" s="42">
        <v>29</v>
      </c>
      <c r="D39" s="42" t="s">
        <v>726</v>
      </c>
      <c r="E39" s="42" t="s">
        <v>725</v>
      </c>
      <c r="F39" s="141" t="s">
        <v>311</v>
      </c>
      <c r="G39" s="44" t="s">
        <v>727</v>
      </c>
      <c r="H39" s="134"/>
      <c r="J39" s="44"/>
      <c r="K39" s="42"/>
      <c r="L39" s="42"/>
      <c r="M39" s="57" t="s">
        <v>353</v>
      </c>
      <c r="N39" s="57" t="s">
        <v>385</v>
      </c>
      <c r="O39" s="42" t="s">
        <v>725</v>
      </c>
      <c r="P39" s="42"/>
      <c r="Q39" s="42"/>
      <c r="R39" s="42"/>
      <c r="S39" s="42"/>
      <c r="U39" s="47" t="s">
        <v>34</v>
      </c>
      <c r="V39" s="43">
        <v>45929</v>
      </c>
      <c r="W39" s="42"/>
      <c r="Y39" s="138" t="s">
        <v>58</v>
      </c>
      <c r="Z39" s="43"/>
      <c r="AA39" s="42"/>
      <c r="AB39" s="42"/>
    </row>
    <row r="40" spans="2:28" s="22" customFormat="1" x14ac:dyDescent="0.3">
      <c r="B40" s="42" t="s">
        <v>633</v>
      </c>
      <c r="C40" s="42">
        <v>30</v>
      </c>
      <c r="D40" s="42" t="s">
        <v>442</v>
      </c>
      <c r="E40" s="42" t="s">
        <v>436</v>
      </c>
      <c r="F40" s="44" t="s">
        <v>311</v>
      </c>
      <c r="G40" s="44" t="s">
        <v>437</v>
      </c>
      <c r="H40" s="167"/>
      <c r="I40" s="113"/>
      <c r="J40" s="44" t="s">
        <v>552</v>
      </c>
      <c r="K40" s="44" t="s">
        <v>252</v>
      </c>
      <c r="L40" s="44"/>
      <c r="M40" s="58" t="s">
        <v>353</v>
      </c>
      <c r="N40" s="58" t="s">
        <v>385</v>
      </c>
      <c r="O40" s="42" t="s">
        <v>436</v>
      </c>
      <c r="P40" s="44"/>
      <c r="Q40" s="44"/>
      <c r="R40" s="44"/>
      <c r="S40" s="44"/>
      <c r="T40" s="113"/>
      <c r="U40" s="47" t="s">
        <v>34</v>
      </c>
      <c r="V40" s="43">
        <v>45901</v>
      </c>
      <c r="W40" s="42"/>
      <c r="Y40" s="174" t="s">
        <v>56</v>
      </c>
      <c r="Z40" s="43">
        <v>45936</v>
      </c>
      <c r="AA40" s="44"/>
      <c r="AB40" s="42"/>
    </row>
    <row r="41" spans="2:28" s="22" customFormat="1" x14ac:dyDescent="0.3">
      <c r="B41" s="42" t="s">
        <v>633</v>
      </c>
      <c r="C41" s="42">
        <v>31</v>
      </c>
      <c r="D41" s="44" t="s">
        <v>307</v>
      </c>
      <c r="E41" s="42" t="s">
        <v>471</v>
      </c>
      <c r="F41" s="42" t="s">
        <v>311</v>
      </c>
      <c r="G41" s="44" t="s">
        <v>463</v>
      </c>
      <c r="H41" s="167"/>
      <c r="I41" s="113"/>
      <c r="J41" s="44" t="s">
        <v>552</v>
      </c>
      <c r="K41" s="44" t="s">
        <v>252</v>
      </c>
      <c r="L41" s="44"/>
      <c r="M41" s="58" t="s">
        <v>353</v>
      </c>
      <c r="N41" s="58" t="s">
        <v>385</v>
      </c>
      <c r="O41" s="42" t="s">
        <v>471</v>
      </c>
      <c r="P41" s="44"/>
      <c r="Q41" s="44"/>
      <c r="R41" s="44"/>
      <c r="S41" s="44"/>
      <c r="T41" s="113"/>
      <c r="U41" s="47" t="s">
        <v>34</v>
      </c>
      <c r="V41" s="43">
        <v>45901</v>
      </c>
      <c r="W41" s="42"/>
      <c r="Y41" s="145" t="s">
        <v>34</v>
      </c>
      <c r="Z41" s="43">
        <v>45936</v>
      </c>
      <c r="AA41" s="44"/>
      <c r="AB41" s="42"/>
    </row>
    <row r="42" spans="2:28" x14ac:dyDescent="0.3">
      <c r="B42" s="42" t="s">
        <v>633</v>
      </c>
      <c r="C42" s="42">
        <v>32</v>
      </c>
      <c r="D42" s="44" t="s">
        <v>427</v>
      </c>
      <c r="E42" s="42" t="s">
        <v>426</v>
      </c>
      <c r="F42" s="44" t="s">
        <v>311</v>
      </c>
      <c r="G42" s="44" t="s">
        <v>430</v>
      </c>
      <c r="H42" s="167"/>
      <c r="I42" s="113"/>
      <c r="J42" s="44" t="s">
        <v>552</v>
      </c>
      <c r="K42" s="44" t="s">
        <v>310</v>
      </c>
      <c r="L42" s="44"/>
      <c r="M42" s="44" t="s">
        <v>332</v>
      </c>
      <c r="N42" s="44" t="s">
        <v>332</v>
      </c>
      <c r="O42" s="44" t="s">
        <v>332</v>
      </c>
      <c r="P42" s="44"/>
      <c r="Q42" s="44"/>
      <c r="R42" s="44"/>
      <c r="S42" s="44"/>
      <c r="T42" s="113"/>
      <c r="U42" s="47" t="s">
        <v>34</v>
      </c>
      <c r="V42" s="43">
        <v>45901</v>
      </c>
      <c r="W42" s="42"/>
      <c r="X42" s="22"/>
      <c r="Y42" s="145" t="s">
        <v>34</v>
      </c>
      <c r="Z42" s="43">
        <v>45936</v>
      </c>
      <c r="AA42" s="44"/>
      <c r="AB42" s="42"/>
    </row>
    <row r="43" spans="2:28" x14ac:dyDescent="0.3">
      <c r="B43" s="42" t="s">
        <v>633</v>
      </c>
      <c r="C43" s="42">
        <v>33</v>
      </c>
      <c r="D43" s="44" t="s">
        <v>329</v>
      </c>
      <c r="E43" s="44" t="s">
        <v>309</v>
      </c>
      <c r="F43" s="44" t="s">
        <v>349</v>
      </c>
      <c r="G43" s="44" t="s">
        <v>331</v>
      </c>
      <c r="H43" s="167"/>
      <c r="I43" s="113"/>
      <c r="J43" s="44" t="s">
        <v>552</v>
      </c>
      <c r="K43" s="44" t="s">
        <v>310</v>
      </c>
      <c r="L43" s="44"/>
      <c r="M43" s="44" t="s">
        <v>332</v>
      </c>
      <c r="N43" s="44" t="s">
        <v>332</v>
      </c>
      <c r="O43" s="44" t="s">
        <v>332</v>
      </c>
      <c r="P43" s="44"/>
      <c r="Q43" s="44"/>
      <c r="R43" s="44"/>
      <c r="S43" s="44"/>
      <c r="T43" s="113"/>
      <c r="U43" s="47" t="s">
        <v>34</v>
      </c>
      <c r="V43" s="43">
        <v>45901</v>
      </c>
      <c r="W43" s="42"/>
      <c r="X43" s="22"/>
      <c r="Y43" s="145" t="s">
        <v>34</v>
      </c>
      <c r="Z43" s="43">
        <v>45936</v>
      </c>
      <c r="AA43" s="44"/>
      <c r="AB43" s="42"/>
    </row>
    <row r="44" spans="2:28" x14ac:dyDescent="0.3">
      <c r="B44" s="42" t="s">
        <v>633</v>
      </c>
      <c r="C44" s="42">
        <v>34</v>
      </c>
      <c r="D44" s="44" t="s">
        <v>328</v>
      </c>
      <c r="E44" s="44" t="s">
        <v>308</v>
      </c>
      <c r="F44" s="44" t="s">
        <v>311</v>
      </c>
      <c r="G44" s="44" t="s">
        <v>330</v>
      </c>
      <c r="H44" s="167" t="s">
        <v>327</v>
      </c>
      <c r="I44" s="113"/>
      <c r="J44" s="44" t="s">
        <v>552</v>
      </c>
      <c r="K44" s="44" t="s">
        <v>310</v>
      </c>
      <c r="L44" s="44"/>
      <c r="M44" s="44" t="s">
        <v>332</v>
      </c>
      <c r="N44" s="44" t="s">
        <v>332</v>
      </c>
      <c r="O44" s="96" t="s">
        <v>332</v>
      </c>
      <c r="P44" s="44"/>
      <c r="Q44" s="44"/>
      <c r="R44" s="44"/>
      <c r="S44" s="44"/>
      <c r="T44" s="113"/>
      <c r="U44" s="47" t="s">
        <v>34</v>
      </c>
      <c r="V44" s="43">
        <v>45901</v>
      </c>
      <c r="W44" s="42"/>
      <c r="X44" s="22"/>
      <c r="Y44" s="145" t="s">
        <v>34</v>
      </c>
      <c r="Z44" s="43">
        <v>45936</v>
      </c>
      <c r="AA44" s="44"/>
      <c r="AB44" s="42"/>
    </row>
    <row r="45" spans="2:28" x14ac:dyDescent="0.3">
      <c r="B45" s="42" t="s">
        <v>633</v>
      </c>
      <c r="C45" s="42">
        <v>35</v>
      </c>
      <c r="D45" s="44" t="s">
        <v>428</v>
      </c>
      <c r="E45" s="44" t="s">
        <v>425</v>
      </c>
      <c r="F45" s="44" t="s">
        <v>354</v>
      </c>
      <c r="G45" s="44" t="s">
        <v>429</v>
      </c>
      <c r="H45" s="167" t="s">
        <v>327</v>
      </c>
      <c r="I45" s="113"/>
      <c r="J45" s="44" t="s">
        <v>552</v>
      </c>
      <c r="K45" s="44" t="s">
        <v>310</v>
      </c>
      <c r="L45" s="44"/>
      <c r="M45" s="44" t="s">
        <v>332</v>
      </c>
      <c r="N45" s="44" t="s">
        <v>332</v>
      </c>
      <c r="O45" s="44" t="s">
        <v>332</v>
      </c>
      <c r="P45" s="44"/>
      <c r="Q45" s="44"/>
      <c r="R45" s="44"/>
      <c r="S45" s="44"/>
      <c r="T45" s="113"/>
      <c r="U45" s="47" t="s">
        <v>34</v>
      </c>
      <c r="V45" s="43">
        <v>45901</v>
      </c>
      <c r="W45" s="57"/>
      <c r="X45" s="148"/>
      <c r="Y45" s="145" t="s">
        <v>34</v>
      </c>
      <c r="Z45" s="43">
        <v>45936</v>
      </c>
      <c r="AA45" s="44"/>
      <c r="AB45" s="42"/>
    </row>
  </sheetData>
  <autoFilter ref="B10:U45"/>
  <mergeCells count="7">
    <mergeCell ref="Y9:AB9"/>
    <mergeCell ref="J9:L9"/>
    <mergeCell ref="C7:H7"/>
    <mergeCell ref="B9:H9"/>
    <mergeCell ref="M9:O9"/>
    <mergeCell ref="P9:S9"/>
    <mergeCell ref="U9:W9"/>
  </mergeCells>
  <conditionalFormatting sqref="U11:U15">
    <cfRule type="cellIs" dxfId="143" priority="126" operator="equal">
      <formula>"Testes utilizador"</formula>
    </cfRule>
  </conditionalFormatting>
  <conditionalFormatting sqref="U16:U20">
    <cfRule type="cellIs" dxfId="142" priority="21" operator="equal">
      <formula>"Testes utilizador"</formula>
    </cfRule>
  </conditionalFormatting>
  <conditionalFormatting sqref="U22">
    <cfRule type="cellIs" dxfId="141" priority="101" operator="equal">
      <formula>"Testes utilizador"</formula>
    </cfRule>
  </conditionalFormatting>
  <conditionalFormatting sqref="U25:U26">
    <cfRule type="cellIs" dxfId="140" priority="91" operator="equal">
      <formula>"Testes utilizador"</formula>
    </cfRule>
  </conditionalFormatting>
  <conditionalFormatting sqref="U28:U33">
    <cfRule type="cellIs" dxfId="139" priority="26" operator="equal">
      <formula>"Testes utilizador"</formula>
    </cfRule>
  </conditionalFormatting>
  <conditionalFormatting sqref="U34 U36:U45">
    <cfRule type="cellIs" dxfId="138" priority="36" operator="equal">
      <formula>"Testes utilizador"</formula>
    </cfRule>
  </conditionalFormatting>
  <conditionalFormatting sqref="U35">
    <cfRule type="cellIs" dxfId="137" priority="16" operator="equal">
      <formula>"Testes utilizador"</formula>
    </cfRule>
  </conditionalFormatting>
  <conditionalFormatting sqref="U23">
    <cfRule type="cellIs" dxfId="136" priority="11" operator="equal">
      <formula>"Testes utilizador"</formula>
    </cfRule>
  </conditionalFormatting>
  <conditionalFormatting sqref="U24">
    <cfRule type="cellIs" dxfId="135" priority="6" operator="equal">
      <formula>"Testes utilizador"</formula>
    </cfRule>
  </conditionalFormatting>
  <conditionalFormatting sqref="U27">
    <cfRule type="cellIs" dxfId="134" priority="1" operator="equal">
      <formula>"Testes utilizador"</formula>
    </cfRule>
  </conditionalFormatting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27" operator="equal" id="{FA584968-6BB5-443A-99F5-369CB7A092EF}">
            <xm:f>'C:\Users\e859162\Documents\00. Old\[BS_Especificação_FEI_v0.3.xlsx]Tabelas AUX'!#REF!</xm:f>
            <x14:dxf>
              <font>
                <color rgb="FF00B050"/>
              </font>
            </x14:dxf>
          </x14:cfRule>
          <x14:cfRule type="cellIs" priority="128" operator="equal" id="{A8DFAE4C-12D0-4EC0-B6ED-706395657D8C}">
            <xm:f>'C:\Users\e859162\Documents\00. Old\[BS_Especificação_FEI_v0.3.xlsx]Tabelas AUX'!#REF!</xm:f>
            <x14:dxf>
              <font>
                <color rgb="FF7F7F7F"/>
              </font>
            </x14:dxf>
          </x14:cfRule>
          <x14:cfRule type="cellIs" priority="129" operator="equal" id="{DFB8F1FA-39FA-4D6F-85C8-59C57473D2CD}">
            <xm:f>'C:\Users\e859162\Documents\00. Old\[BS_Especificação_FEI_v0.3.xlsx]Tabelas AUX'!#REF!</xm:f>
            <x14:dxf>
              <font>
                <color theme="5"/>
              </font>
            </x14:dxf>
          </x14:cfRule>
          <x14:cfRule type="cellIs" priority="130" operator="equal" id="{6020DD14-A3AB-424A-A273-B995A3E6FA03}">
            <xm:f>'C:\Users\e859162\Documents\00. Old\[BS_Especificação_FEI_v0.3.xlsx]Tabelas AUX'!#REF!</xm:f>
            <x14:dxf>
              <font>
                <color rgb="FFC00000"/>
              </font>
            </x14:dxf>
          </x14:cfRule>
          <xm:sqref>U11:U15</xm:sqref>
        </x14:conditionalFormatting>
        <x14:conditionalFormatting xmlns:xm="http://schemas.microsoft.com/office/excel/2006/main">
          <x14:cfRule type="cellIs" priority="22" operator="equal" id="{F8EDA3B9-142A-40A8-840A-B21AEC3BDB99}">
            <xm:f>'C:\Users\e859162\Documents\00. Old\[BS_Especificação_FEI_v0.3.xlsx]Tabelas AUX'!#REF!</xm:f>
            <x14:dxf>
              <font>
                <color rgb="FF00B050"/>
              </font>
            </x14:dxf>
          </x14:cfRule>
          <x14:cfRule type="cellIs" priority="23" operator="equal" id="{145EEECD-98AF-4BD9-9601-1576F2E73FDC}">
            <xm:f>'C:\Users\e859162\Documents\00. Old\[BS_Especificação_FEI_v0.3.xlsx]Tabelas AUX'!#REF!</xm:f>
            <x14:dxf>
              <font>
                <color rgb="FF7F7F7F"/>
              </font>
            </x14:dxf>
          </x14:cfRule>
          <x14:cfRule type="cellIs" priority="24" operator="equal" id="{C3156BD6-4C86-4D57-BF6D-0AA803AA9D0F}">
            <xm:f>'C:\Users\e859162\Documents\00. Old\[BS_Especificação_FEI_v0.3.xlsx]Tabelas AUX'!#REF!</xm:f>
            <x14:dxf>
              <font>
                <color theme="5"/>
              </font>
            </x14:dxf>
          </x14:cfRule>
          <x14:cfRule type="cellIs" priority="25" operator="equal" id="{E169C00C-017C-4344-B441-B5EC78F272E0}">
            <xm:f>'C:\Users\e859162\Documents\00. Old\[BS_Especificação_FEI_v0.3.xlsx]Tabelas AUX'!#REF!</xm:f>
            <x14:dxf>
              <font>
                <color rgb="FFC00000"/>
              </font>
            </x14:dxf>
          </x14:cfRule>
          <xm:sqref>U16:U20</xm:sqref>
        </x14:conditionalFormatting>
        <x14:conditionalFormatting xmlns:xm="http://schemas.microsoft.com/office/excel/2006/main">
          <x14:cfRule type="cellIs" priority="102" operator="equal" id="{768A2B11-E623-4AF7-ABE7-A2A281A7F507}">
            <xm:f>'C:\Users\e859162\Documents\00. Old\[BS_Especificação_FEI_v0.3.xlsx]Tabelas AUX'!#REF!</xm:f>
            <x14:dxf>
              <font>
                <color rgb="FF00B050"/>
              </font>
            </x14:dxf>
          </x14:cfRule>
          <x14:cfRule type="cellIs" priority="103" operator="equal" id="{AEE58D67-13E4-4995-B4BE-49F6ECCE246E}">
            <xm:f>'C:\Users\e859162\Documents\00. Old\[BS_Especificação_FEI_v0.3.xlsx]Tabelas AUX'!#REF!</xm:f>
            <x14:dxf>
              <font>
                <color rgb="FF7F7F7F"/>
              </font>
            </x14:dxf>
          </x14:cfRule>
          <x14:cfRule type="cellIs" priority="104" operator="equal" id="{D799D196-17D3-4626-8E30-9861699CC127}">
            <xm:f>'C:\Users\e859162\Documents\00. Old\[BS_Especificação_FEI_v0.3.xlsx]Tabelas AUX'!#REF!</xm:f>
            <x14:dxf>
              <font>
                <color theme="5"/>
              </font>
            </x14:dxf>
          </x14:cfRule>
          <x14:cfRule type="cellIs" priority="105" operator="equal" id="{76CF284D-14FB-4993-8295-274573F2A9A6}">
            <xm:f>'C:\Users\e859162\Documents\00. Old\[BS_Especificação_FEI_v0.3.xlsx]Tabelas AUX'!#REF!</xm:f>
            <x14:dxf>
              <font>
                <color rgb="FFC00000"/>
              </font>
            </x14:dxf>
          </x14:cfRule>
          <xm:sqref>U22</xm:sqref>
        </x14:conditionalFormatting>
        <x14:conditionalFormatting xmlns:xm="http://schemas.microsoft.com/office/excel/2006/main">
          <x14:cfRule type="cellIs" priority="92" operator="equal" id="{A0E56E4A-DE12-45C2-A0D2-95F9C4C3E070}">
            <xm:f>'C:\Users\e859162\Documents\00. Old\[BS_Especificação_FEI_v0.3.xlsx]Tabelas AUX'!#REF!</xm:f>
            <x14:dxf>
              <font>
                <color rgb="FF00B050"/>
              </font>
            </x14:dxf>
          </x14:cfRule>
          <x14:cfRule type="cellIs" priority="93" operator="equal" id="{F2233764-AA3F-4217-B695-BD94BC039245}">
            <xm:f>'C:\Users\e859162\Documents\00. Old\[BS_Especificação_FEI_v0.3.xlsx]Tabelas AUX'!#REF!</xm:f>
            <x14:dxf>
              <font>
                <color rgb="FF7F7F7F"/>
              </font>
            </x14:dxf>
          </x14:cfRule>
          <x14:cfRule type="cellIs" priority="94" operator="equal" id="{C7155DA7-C1CF-4D77-A27A-5621E7917A8D}">
            <xm:f>'C:\Users\e859162\Documents\00. Old\[BS_Especificação_FEI_v0.3.xlsx]Tabelas AUX'!#REF!</xm:f>
            <x14:dxf>
              <font>
                <color theme="5"/>
              </font>
            </x14:dxf>
          </x14:cfRule>
          <x14:cfRule type="cellIs" priority="95" operator="equal" id="{DC7CB423-5882-4938-9F6C-144EBE3C7351}">
            <xm:f>'C:\Users\e859162\Documents\00. Old\[BS_Especificação_FEI_v0.3.xlsx]Tabelas AUX'!#REF!</xm:f>
            <x14:dxf>
              <font>
                <color rgb="FFC00000"/>
              </font>
            </x14:dxf>
          </x14:cfRule>
          <xm:sqref>U25:U26</xm:sqref>
        </x14:conditionalFormatting>
        <x14:conditionalFormatting xmlns:xm="http://schemas.microsoft.com/office/excel/2006/main">
          <x14:cfRule type="cellIs" priority="27" operator="equal" id="{30CC275F-AB8D-4B4D-A202-0CD093230435}">
            <xm:f>'C:\Users\e859162\Documents\00. Old\[BS_Especificação_FEI_v0.3.xlsx]Tabelas AUX'!#REF!</xm:f>
            <x14:dxf>
              <font>
                <color rgb="FF00B050"/>
              </font>
            </x14:dxf>
          </x14:cfRule>
          <x14:cfRule type="cellIs" priority="28" operator="equal" id="{E6AB4940-1551-4FE6-A3AF-C67E941D308F}">
            <xm:f>'C:\Users\e859162\Documents\00. Old\[BS_Especificação_FEI_v0.3.xlsx]Tabelas AUX'!#REF!</xm:f>
            <x14:dxf>
              <font>
                <color rgb="FF7F7F7F"/>
              </font>
            </x14:dxf>
          </x14:cfRule>
          <x14:cfRule type="cellIs" priority="29" operator="equal" id="{44963EB1-19BB-4B56-B2BB-FA6B90FAA426}">
            <xm:f>'C:\Users\e859162\Documents\00. Old\[BS_Especificação_FEI_v0.3.xlsx]Tabelas AUX'!#REF!</xm:f>
            <x14:dxf>
              <font>
                <color theme="5"/>
              </font>
            </x14:dxf>
          </x14:cfRule>
          <x14:cfRule type="cellIs" priority="30" operator="equal" id="{B78BFEC5-0C52-4D42-AA53-237862ADBB86}">
            <xm:f>'C:\Users\e859162\Documents\00. Old\[BS_Especificação_FEI_v0.3.xlsx]Tabelas AUX'!#REF!</xm:f>
            <x14:dxf>
              <font>
                <color rgb="FFC00000"/>
              </font>
            </x14:dxf>
          </x14:cfRule>
          <xm:sqref>U28:U33</xm:sqref>
        </x14:conditionalFormatting>
        <x14:conditionalFormatting xmlns:xm="http://schemas.microsoft.com/office/excel/2006/main">
          <x14:cfRule type="cellIs" priority="37" operator="equal" id="{E71B6907-D838-456C-9286-E13C4EE42B6E}">
            <xm:f>'C:\Users\e859162\Documents\00. Old\[BS_Especificação_FEI_v0.3.xlsx]Tabelas AUX'!#REF!</xm:f>
            <x14:dxf>
              <font>
                <color rgb="FF00B050"/>
              </font>
            </x14:dxf>
          </x14:cfRule>
          <x14:cfRule type="cellIs" priority="38" operator="equal" id="{A65F0E85-7238-4515-B45C-31135054A92E}">
            <xm:f>'C:\Users\e859162\Documents\00. Old\[BS_Especificação_FEI_v0.3.xlsx]Tabelas AUX'!#REF!</xm:f>
            <x14:dxf>
              <font>
                <color rgb="FF7F7F7F"/>
              </font>
            </x14:dxf>
          </x14:cfRule>
          <x14:cfRule type="cellIs" priority="39" operator="equal" id="{E1BA595C-F235-468D-9CDD-0B47FCF40C88}">
            <xm:f>'C:\Users\e859162\Documents\00. Old\[BS_Especificação_FEI_v0.3.xlsx]Tabelas AUX'!#REF!</xm:f>
            <x14:dxf>
              <font>
                <color theme="5"/>
              </font>
            </x14:dxf>
          </x14:cfRule>
          <x14:cfRule type="cellIs" priority="40" operator="equal" id="{0D152D1D-958C-42D6-B7BE-F89ACF198C54}">
            <xm:f>'C:\Users\e859162\Documents\00. Old\[BS_Especificação_FEI_v0.3.xlsx]Tabelas AUX'!#REF!</xm:f>
            <x14:dxf>
              <font>
                <color rgb="FFC00000"/>
              </font>
            </x14:dxf>
          </x14:cfRule>
          <xm:sqref>U34 U36:U45</xm:sqref>
        </x14:conditionalFormatting>
        <x14:conditionalFormatting xmlns:xm="http://schemas.microsoft.com/office/excel/2006/main">
          <x14:cfRule type="cellIs" priority="17" operator="equal" id="{7A407E65-5BE7-400C-98D8-CD1E5D18BA81}">
            <xm:f>'C:\Users\e859162\Documents\00. Old\[BS_Especificação_FEI_v0.3.xlsx]Tabelas AUX'!#REF!</xm:f>
            <x14:dxf>
              <font>
                <color rgb="FF00B050"/>
              </font>
            </x14:dxf>
          </x14:cfRule>
          <x14:cfRule type="cellIs" priority="18" operator="equal" id="{3E23601E-24A4-40FB-90B1-1F750EF6CD8D}">
            <xm:f>'C:\Users\e859162\Documents\00. Old\[BS_Especificação_FEI_v0.3.xlsx]Tabelas AUX'!#REF!</xm:f>
            <x14:dxf>
              <font>
                <color rgb="FF7F7F7F"/>
              </font>
            </x14:dxf>
          </x14:cfRule>
          <x14:cfRule type="cellIs" priority="19" operator="equal" id="{8813354B-46AE-48D0-8E25-5D87EACA602E}">
            <xm:f>'C:\Users\e859162\Documents\00. Old\[BS_Especificação_FEI_v0.3.xlsx]Tabelas AUX'!#REF!</xm:f>
            <x14:dxf>
              <font>
                <color theme="5"/>
              </font>
            </x14:dxf>
          </x14:cfRule>
          <x14:cfRule type="cellIs" priority="20" operator="equal" id="{C69080B5-B5F8-4EE7-93E1-A20DDC2E1103}">
            <xm:f>'C:\Users\e859162\Documents\00. Old\[BS_Especificação_FEI_v0.3.xlsx]Tabelas AUX'!#REF!</xm:f>
            <x14:dxf>
              <font>
                <color rgb="FFC00000"/>
              </font>
            </x14:dxf>
          </x14:cfRule>
          <xm:sqref>U35</xm:sqref>
        </x14:conditionalFormatting>
        <x14:conditionalFormatting xmlns:xm="http://schemas.microsoft.com/office/excel/2006/main">
          <x14:cfRule type="cellIs" priority="12" operator="equal" id="{390FF245-FF05-4607-AFB3-02FB73D7540E}">
            <xm:f>'C:\Users\e859162\Documents\00. Old\[BS_Especificação_FEI_v0.3.xlsx]Tabelas AUX'!#REF!</xm:f>
            <x14:dxf>
              <font>
                <color rgb="FF00B050"/>
              </font>
            </x14:dxf>
          </x14:cfRule>
          <x14:cfRule type="cellIs" priority="13" operator="equal" id="{20D3EB57-D238-49F8-B8B9-FA4A9AD5D15D}">
            <xm:f>'C:\Users\e859162\Documents\00. Old\[BS_Especificação_FEI_v0.3.xlsx]Tabelas AUX'!#REF!</xm:f>
            <x14:dxf>
              <font>
                <color rgb="FF7F7F7F"/>
              </font>
            </x14:dxf>
          </x14:cfRule>
          <x14:cfRule type="cellIs" priority="14" operator="equal" id="{E69285A0-1561-4A0D-A01E-83A66421487E}">
            <xm:f>'C:\Users\e859162\Documents\00. Old\[BS_Especificação_FEI_v0.3.xlsx]Tabelas AUX'!#REF!</xm:f>
            <x14:dxf>
              <font>
                <color theme="5"/>
              </font>
            </x14:dxf>
          </x14:cfRule>
          <x14:cfRule type="cellIs" priority="15" operator="equal" id="{26AB59A7-AF15-41CA-A79C-AD5DDA282EA0}">
            <xm:f>'C:\Users\e859162\Documents\00. Old\[BS_Especificação_FEI_v0.3.xlsx]Tabelas AUX'!#REF!</xm:f>
            <x14:dxf>
              <font>
                <color rgb="FFC00000"/>
              </font>
            </x14:dxf>
          </x14:cfRule>
          <xm:sqref>U23</xm:sqref>
        </x14:conditionalFormatting>
        <x14:conditionalFormatting xmlns:xm="http://schemas.microsoft.com/office/excel/2006/main">
          <x14:cfRule type="cellIs" priority="7" operator="equal" id="{86E37FD1-E458-4189-9ED0-B7E44DC02BCE}">
            <xm:f>'C:\Users\e859162\Documents\00. Old\[BS_Especificação_FEI_v0.3.xlsx]Tabelas AUX'!#REF!</xm:f>
            <x14:dxf>
              <font>
                <color rgb="FF00B050"/>
              </font>
            </x14:dxf>
          </x14:cfRule>
          <x14:cfRule type="cellIs" priority="8" operator="equal" id="{BBCBA6E8-CEAA-47E9-A582-7EE2130AA911}">
            <xm:f>'C:\Users\e859162\Documents\00. Old\[BS_Especificação_FEI_v0.3.xlsx]Tabelas AUX'!#REF!</xm:f>
            <x14:dxf>
              <font>
                <color rgb="FF7F7F7F"/>
              </font>
            </x14:dxf>
          </x14:cfRule>
          <x14:cfRule type="cellIs" priority="9" operator="equal" id="{F9C7D6DE-63DC-427A-9B0D-AB4618BC7EEF}">
            <xm:f>'C:\Users\e859162\Documents\00. Old\[BS_Especificação_FEI_v0.3.xlsx]Tabelas AUX'!#REF!</xm:f>
            <x14:dxf>
              <font>
                <color theme="5"/>
              </font>
            </x14:dxf>
          </x14:cfRule>
          <x14:cfRule type="cellIs" priority="10" operator="equal" id="{71A206DD-BE5D-4A28-A100-9DADB4883D82}">
            <xm:f>'C:\Users\e859162\Documents\00. Old\[BS_Especificação_FEI_v0.3.xlsx]Tabelas AUX'!#REF!</xm:f>
            <x14:dxf>
              <font>
                <color rgb="FFC00000"/>
              </font>
            </x14:dxf>
          </x14:cfRule>
          <xm:sqref>U24</xm:sqref>
        </x14:conditionalFormatting>
        <x14:conditionalFormatting xmlns:xm="http://schemas.microsoft.com/office/excel/2006/main">
          <x14:cfRule type="cellIs" priority="2" operator="equal" id="{7588CE5F-5219-4529-B9AD-2A34C5AE2466}">
            <xm:f>'C:\Users\e859162\Documents\00. Old\[BS_Especificação_FEI_v0.3.xlsx]Tabelas AUX'!#REF!</xm:f>
            <x14:dxf>
              <font>
                <color rgb="FF00B050"/>
              </font>
            </x14:dxf>
          </x14:cfRule>
          <x14:cfRule type="cellIs" priority="3" operator="equal" id="{3AF979AD-FC04-487A-BE6D-64A3D6E8975E}">
            <xm:f>'C:\Users\e859162\Documents\00. Old\[BS_Especificação_FEI_v0.3.xlsx]Tabelas AUX'!#REF!</xm:f>
            <x14:dxf>
              <font>
                <color rgb="FF7F7F7F"/>
              </font>
            </x14:dxf>
          </x14:cfRule>
          <x14:cfRule type="cellIs" priority="4" operator="equal" id="{4C2276C8-ACA4-4A2B-835B-85167260EA20}">
            <xm:f>'C:\Users\e859162\Documents\00. Old\[BS_Especificação_FEI_v0.3.xlsx]Tabelas AUX'!#REF!</xm:f>
            <x14:dxf>
              <font>
                <color theme="5"/>
              </font>
            </x14:dxf>
          </x14:cfRule>
          <x14:cfRule type="cellIs" priority="5" operator="equal" id="{7DDEEF16-28C6-4EC0-9B46-6EABE02B7F7F}">
            <xm:f>'C:\Users\e859162\Documents\00. Old\[BS_Especificação_FEI_v0.3.xlsx]Tabelas AUX'!#REF!</xm:f>
            <x14:dxf>
              <font>
                <color rgb="FFC00000"/>
              </font>
            </x14:dxf>
          </x14:cfRule>
          <xm:sqref>U27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'Tabelas AUX'!$E$2:$E$9</xm:f>
          </x14:formula1>
          <xm:sqref>U21</xm:sqref>
        </x14:dataValidation>
        <x14:dataValidation type="list" allowBlank="1" showInputMessage="1" showErrorMessage="1">
          <x14:formula1>
            <xm:f>'Tabelas AUX'!$G$2:$G$17</xm:f>
          </x14:formula1>
          <xm:sqref>Y11:Y45</xm:sqref>
        </x14:dataValidation>
        <x14:dataValidation type="list" allowBlank="1" showInputMessage="1" showErrorMessage="1">
          <x14:formula1>
            <xm:f>'https://santandernet.sharepoint.com/sites/FEIeBEI/Shared Documents/FEI e BEI/03. Documentos Produzidos/01. Especificação/00. Old/[BS_Especificação_FEI_v0.3.xlsx]Tabelas AUX'!#REF!</xm:f>
          </x14:formula1>
          <xm:sqref>U11:U20 U22:U45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9" tint="0.59999389629810485"/>
    <pageSetUpPr autoPageBreaks="0"/>
  </sheetPr>
  <dimension ref="A1:AB37"/>
  <sheetViews>
    <sheetView showGridLines="0" zoomScale="70" zoomScaleNormal="70" workbookViewId="0"/>
  </sheetViews>
  <sheetFormatPr defaultColWidth="8.6640625" defaultRowHeight="14.4" outlineLevelRow="1" outlineLevelCol="1" x14ac:dyDescent="0.3"/>
  <cols>
    <col min="1" max="1" width="3.6640625" style="22" customWidth="1"/>
    <col min="2" max="2" width="16.109375" style="22" bestFit="1" customWidth="1"/>
    <col min="3" max="3" width="10" style="22" bestFit="1" customWidth="1"/>
    <col min="4" max="4" width="26.5546875" style="22" customWidth="1"/>
    <col min="5" max="5" width="25.88671875" style="22" bestFit="1" customWidth="1"/>
    <col min="6" max="6" width="16.5546875" style="22" bestFit="1" customWidth="1"/>
    <col min="7" max="7" width="73.109375" style="22" customWidth="1"/>
    <col min="8" max="8" width="18.33203125" style="135" bestFit="1" customWidth="1"/>
    <col min="9" max="9" width="2" style="22" customWidth="1"/>
    <col min="10" max="10" width="11.6640625" style="22" hidden="1" customWidth="1" outlineLevel="1"/>
    <col min="11" max="11" width="20.44140625" style="22" hidden="1" customWidth="1" outlineLevel="1"/>
    <col min="12" max="12" width="50.109375" style="22" hidden="1" customWidth="1" outlineLevel="1"/>
    <col min="13" max="13" width="36.33203125" style="22" bestFit="1" customWidth="1" collapsed="1"/>
    <col min="14" max="14" width="30.33203125" style="22" bestFit="1" customWidth="1"/>
    <col min="15" max="15" width="62.44140625" style="22" customWidth="1"/>
    <col min="16" max="16" width="23.109375" style="22" hidden="1" customWidth="1" outlineLevel="1"/>
    <col min="17" max="17" width="50.6640625" style="22" hidden="1" customWidth="1" outlineLevel="1"/>
    <col min="18" max="18" width="60.109375" style="22" hidden="1" customWidth="1" outlineLevel="1"/>
    <col min="19" max="19" width="28.88671875" style="22" hidden="1" customWidth="1" outlineLevel="1"/>
    <col min="20" max="20" width="2.109375" style="22" customWidth="1" collapsed="1"/>
    <col min="21" max="21" width="14.5546875" style="22" customWidth="1" outlineLevel="1"/>
    <col min="22" max="22" width="17.88671875" style="22" customWidth="1" outlineLevel="1"/>
    <col min="23" max="23" width="42.5546875" style="22" customWidth="1" outlineLevel="1"/>
    <col min="24" max="24" width="2.109375" style="22" customWidth="1"/>
    <col min="25" max="25" width="20.33203125" style="22" bestFit="1" customWidth="1" outlineLevel="1"/>
    <col min="26" max="26" width="22.33203125" style="22" bestFit="1" customWidth="1" outlineLevel="1"/>
    <col min="27" max="28" width="6.5546875" style="22" customWidth="1" outlineLevel="1"/>
    <col min="29" max="16384" width="8.6640625" style="22"/>
  </cols>
  <sheetData>
    <row r="1" spans="1:28" ht="15" customHeight="1" x14ac:dyDescent="0.3">
      <c r="H1" s="22"/>
    </row>
    <row r="2" spans="1:28" ht="34.5" customHeight="1" x14ac:dyDescent="0.3">
      <c r="E2" s="23"/>
      <c r="H2" s="22"/>
    </row>
    <row r="3" spans="1:28" ht="2.25" customHeight="1" x14ac:dyDescent="0.3">
      <c r="A3" s="24"/>
      <c r="B3" s="24"/>
      <c r="C3" s="24"/>
      <c r="D3" s="24"/>
      <c r="E3" s="24"/>
      <c r="F3" s="24"/>
      <c r="G3" s="24"/>
      <c r="H3" s="24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</row>
    <row r="4" spans="1:28" ht="15" customHeight="1" x14ac:dyDescent="0.3">
      <c r="H4" s="22"/>
    </row>
    <row r="5" spans="1:28" ht="15" customHeight="1" x14ac:dyDescent="0.3">
      <c r="B5" s="25" t="s">
        <v>386</v>
      </c>
      <c r="C5" s="25"/>
      <c r="D5" s="25"/>
      <c r="H5" s="22"/>
    </row>
    <row r="6" spans="1:28" ht="15" customHeight="1" x14ac:dyDescent="0.3">
      <c r="H6" s="22"/>
    </row>
    <row r="7" spans="1:28" hidden="1" outlineLevel="1" x14ac:dyDescent="0.3">
      <c r="B7" s="124" t="s">
        <v>9</v>
      </c>
      <c r="C7" s="231" t="s">
        <v>78</v>
      </c>
      <c r="D7" s="231"/>
      <c r="E7" s="232"/>
      <c r="F7" s="232"/>
      <c r="G7" s="232"/>
      <c r="H7" s="232"/>
      <c r="I7" s="125"/>
      <c r="J7" s="125"/>
      <c r="S7" s="125"/>
      <c r="T7" s="125"/>
      <c r="X7" s="125"/>
    </row>
    <row r="8" spans="1:28" ht="15" hidden="1" customHeight="1" outlineLevel="1" x14ac:dyDescent="0.3">
      <c r="H8" s="22"/>
    </row>
    <row r="9" spans="1:28" collapsed="1" x14ac:dyDescent="0.3">
      <c r="B9" s="233" t="s">
        <v>10</v>
      </c>
      <c r="C9" s="234"/>
      <c r="D9" s="234"/>
      <c r="E9" s="234"/>
      <c r="F9" s="234"/>
      <c r="G9" s="234"/>
      <c r="H9" s="235"/>
      <c r="J9" s="229" t="s">
        <v>11</v>
      </c>
      <c r="K9" s="230"/>
      <c r="L9" s="230"/>
      <c r="M9" s="226" t="s">
        <v>12</v>
      </c>
      <c r="N9" s="227"/>
      <c r="O9" s="228"/>
      <c r="P9" s="226" t="s">
        <v>13</v>
      </c>
      <c r="Q9" s="227"/>
      <c r="R9" s="227"/>
      <c r="S9" s="228"/>
      <c r="U9" s="226" t="s">
        <v>14</v>
      </c>
      <c r="V9" s="227"/>
      <c r="W9" s="228"/>
      <c r="Y9" s="226" t="s">
        <v>15</v>
      </c>
      <c r="Z9" s="227"/>
      <c r="AA9" s="227"/>
      <c r="AB9" s="228"/>
    </row>
    <row r="10" spans="1:28" x14ac:dyDescent="0.3">
      <c r="B10" s="126" t="s">
        <v>16</v>
      </c>
      <c r="C10" s="126" t="s">
        <v>17</v>
      </c>
      <c r="D10" s="126" t="s">
        <v>18</v>
      </c>
      <c r="E10" s="35" t="s">
        <v>317</v>
      </c>
      <c r="F10" s="126" t="s">
        <v>19</v>
      </c>
      <c r="G10" s="126" t="s">
        <v>20</v>
      </c>
      <c r="H10" s="126" t="s">
        <v>312</v>
      </c>
      <c r="J10" s="127" t="s">
        <v>64</v>
      </c>
      <c r="K10" s="128" t="s">
        <v>169</v>
      </c>
      <c r="L10" s="128" t="s">
        <v>65</v>
      </c>
      <c r="M10" s="127" t="s">
        <v>22</v>
      </c>
      <c r="N10" s="128" t="s">
        <v>23</v>
      </c>
      <c r="O10" s="129" t="s">
        <v>24</v>
      </c>
      <c r="P10" s="130" t="s">
        <v>145</v>
      </c>
      <c r="Q10" s="131" t="s">
        <v>26</v>
      </c>
      <c r="R10" s="132" t="s">
        <v>27</v>
      </c>
      <c r="S10" s="132" t="s">
        <v>28</v>
      </c>
      <c r="U10" s="133" t="s">
        <v>29</v>
      </c>
      <c r="V10" s="133" t="s">
        <v>30</v>
      </c>
      <c r="W10" s="133" t="s">
        <v>31</v>
      </c>
      <c r="Y10" s="133" t="s">
        <v>29</v>
      </c>
      <c r="Z10" s="133" t="s">
        <v>32</v>
      </c>
      <c r="AA10" s="133" t="s">
        <v>33</v>
      </c>
      <c r="AB10" s="133" t="s">
        <v>31</v>
      </c>
    </row>
    <row r="11" spans="1:28" x14ac:dyDescent="0.3">
      <c r="B11" s="42" t="s">
        <v>386</v>
      </c>
      <c r="C11" s="42">
        <v>1</v>
      </c>
      <c r="D11" s="42" t="s">
        <v>254</v>
      </c>
      <c r="E11" s="42" t="s">
        <v>253</v>
      </c>
      <c r="F11" s="42" t="s">
        <v>311</v>
      </c>
      <c r="G11" s="42" t="s">
        <v>350</v>
      </c>
      <c r="H11" s="134" t="s">
        <v>327</v>
      </c>
      <c r="J11" s="44" t="s">
        <v>507</v>
      </c>
      <c r="K11" s="42" t="s">
        <v>252</v>
      </c>
      <c r="L11" s="42"/>
      <c r="M11" s="58" t="s">
        <v>353</v>
      </c>
      <c r="N11" s="58" t="s">
        <v>385</v>
      </c>
      <c r="O11" s="98" t="s">
        <v>253</v>
      </c>
      <c r="P11" s="42" t="s">
        <v>146</v>
      </c>
      <c r="Q11" s="42"/>
      <c r="R11" s="42"/>
      <c r="S11" s="42"/>
      <c r="U11" s="145" t="s">
        <v>34</v>
      </c>
      <c r="V11" s="43">
        <v>45903</v>
      </c>
      <c r="W11" s="42"/>
      <c r="Y11" s="174" t="s">
        <v>56</v>
      </c>
      <c r="Z11" s="43">
        <v>45936</v>
      </c>
      <c r="AA11" s="42"/>
      <c r="AB11" s="42"/>
    </row>
    <row r="12" spans="1:28" x14ac:dyDescent="0.3">
      <c r="B12" s="42" t="s">
        <v>386</v>
      </c>
      <c r="C12" s="42">
        <v>2</v>
      </c>
      <c r="D12" s="42" t="s">
        <v>681</v>
      </c>
      <c r="E12" s="42" t="s">
        <v>682</v>
      </c>
      <c r="F12" s="42" t="s">
        <v>311</v>
      </c>
      <c r="G12" s="42" t="s">
        <v>685</v>
      </c>
      <c r="H12" s="134"/>
      <c r="J12" s="44"/>
      <c r="K12" s="42"/>
      <c r="L12" s="42"/>
      <c r="M12" s="58" t="s">
        <v>683</v>
      </c>
      <c r="N12" s="58" t="s">
        <v>684</v>
      </c>
      <c r="O12" s="42" t="s">
        <v>682</v>
      </c>
      <c r="P12" s="42" t="s">
        <v>146</v>
      </c>
      <c r="Q12" s="42"/>
      <c r="R12" s="42"/>
      <c r="S12" s="42" t="s">
        <v>253</v>
      </c>
      <c r="U12" s="145" t="s">
        <v>34</v>
      </c>
      <c r="V12" s="43">
        <v>45922</v>
      </c>
      <c r="W12" s="42"/>
      <c r="Y12" s="174" t="s">
        <v>56</v>
      </c>
      <c r="Z12" s="43">
        <v>45936</v>
      </c>
      <c r="AA12" s="42"/>
      <c r="AB12" s="42"/>
    </row>
    <row r="13" spans="1:28" ht="28.8" x14ac:dyDescent="0.3">
      <c r="B13" s="42" t="s">
        <v>386</v>
      </c>
      <c r="C13" s="42">
        <v>3</v>
      </c>
      <c r="D13" s="42" t="s">
        <v>255</v>
      </c>
      <c r="E13" s="42" t="s">
        <v>170</v>
      </c>
      <c r="F13" s="42" t="s">
        <v>311</v>
      </c>
      <c r="G13" s="44" t="s">
        <v>351</v>
      </c>
      <c r="H13" s="134"/>
      <c r="J13" s="44" t="s">
        <v>507</v>
      </c>
      <c r="K13" s="42" t="s">
        <v>95</v>
      </c>
      <c r="L13" s="44" t="s">
        <v>68</v>
      </c>
      <c r="M13" s="58" t="s">
        <v>353</v>
      </c>
      <c r="N13" s="58" t="s">
        <v>385</v>
      </c>
      <c r="O13" s="98" t="s">
        <v>170</v>
      </c>
      <c r="P13" s="42" t="s">
        <v>146</v>
      </c>
      <c r="Q13" s="140" t="s">
        <v>336</v>
      </c>
      <c r="R13" s="140"/>
      <c r="S13" s="42" t="s">
        <v>253</v>
      </c>
      <c r="U13" s="145" t="s">
        <v>34</v>
      </c>
      <c r="V13" s="43">
        <v>45903</v>
      </c>
      <c r="W13" s="42"/>
      <c r="Y13" s="174" t="s">
        <v>56</v>
      </c>
      <c r="Z13" s="43">
        <v>45936</v>
      </c>
      <c r="AA13" s="42"/>
      <c r="AB13" s="42"/>
    </row>
    <row r="14" spans="1:28" ht="28.8" x14ac:dyDescent="0.3">
      <c r="B14" s="42" t="s">
        <v>386</v>
      </c>
      <c r="C14" s="42">
        <v>4</v>
      </c>
      <c r="D14" s="42" t="s">
        <v>102</v>
      </c>
      <c r="E14" s="42" t="s">
        <v>707</v>
      </c>
      <c r="F14" s="42" t="s">
        <v>311</v>
      </c>
      <c r="G14" s="42" t="s">
        <v>358</v>
      </c>
      <c r="H14" s="134"/>
      <c r="J14" s="44" t="s">
        <v>507</v>
      </c>
      <c r="K14" s="42" t="s">
        <v>271</v>
      </c>
      <c r="L14" s="44" t="s">
        <v>68</v>
      </c>
      <c r="M14" s="58" t="s">
        <v>156</v>
      </c>
      <c r="N14" s="58" t="s">
        <v>162</v>
      </c>
      <c r="O14" s="137" t="s">
        <v>163</v>
      </c>
      <c r="P14" s="42" t="s">
        <v>146</v>
      </c>
      <c r="Q14" s="42"/>
      <c r="R14" s="42"/>
      <c r="S14" s="42" t="s">
        <v>253</v>
      </c>
      <c r="U14" s="145" t="s">
        <v>34</v>
      </c>
      <c r="V14" s="43">
        <v>45903</v>
      </c>
      <c r="W14" s="42"/>
      <c r="Y14" s="174" t="s">
        <v>56</v>
      </c>
      <c r="Z14" s="43">
        <v>45936</v>
      </c>
      <c r="AA14" s="42"/>
      <c r="AB14" s="42"/>
    </row>
    <row r="15" spans="1:28" ht="43.2" x14ac:dyDescent="0.3">
      <c r="B15" s="42" t="s">
        <v>386</v>
      </c>
      <c r="C15" s="42">
        <v>5</v>
      </c>
      <c r="D15" s="42" t="s">
        <v>505</v>
      </c>
      <c r="E15" s="42" t="s">
        <v>504</v>
      </c>
      <c r="F15" s="42" t="s">
        <v>311</v>
      </c>
      <c r="G15" s="42" t="s">
        <v>506</v>
      </c>
      <c r="H15" s="134"/>
      <c r="J15" s="44" t="s">
        <v>507</v>
      </c>
      <c r="K15" s="42" t="s">
        <v>272</v>
      </c>
      <c r="L15" s="44"/>
      <c r="M15" s="58" t="s">
        <v>156</v>
      </c>
      <c r="N15" s="58" t="s">
        <v>508</v>
      </c>
      <c r="O15" s="176" t="s">
        <v>531</v>
      </c>
      <c r="P15" s="42" t="s">
        <v>146</v>
      </c>
      <c r="Q15" s="42" t="s">
        <v>532</v>
      </c>
      <c r="R15" s="44" t="s">
        <v>533</v>
      </c>
      <c r="S15" s="42" t="s">
        <v>253</v>
      </c>
      <c r="U15" s="145" t="s">
        <v>34</v>
      </c>
      <c r="V15" s="43">
        <v>45903</v>
      </c>
      <c r="W15" s="42"/>
      <c r="Y15" s="174" t="s">
        <v>56</v>
      </c>
      <c r="Z15" s="43">
        <v>45936</v>
      </c>
      <c r="AA15" s="42"/>
      <c r="AB15" s="42"/>
    </row>
    <row r="16" spans="1:28" ht="45" customHeight="1" x14ac:dyDescent="0.3">
      <c r="B16" s="42" t="s">
        <v>386</v>
      </c>
      <c r="C16" s="42">
        <v>6</v>
      </c>
      <c r="D16" s="42" t="s">
        <v>509</v>
      </c>
      <c r="E16" s="42" t="s">
        <v>542</v>
      </c>
      <c r="F16" s="42" t="s">
        <v>311</v>
      </c>
      <c r="G16" s="42" t="s">
        <v>512</v>
      </c>
      <c r="H16" s="134"/>
      <c r="J16" s="44" t="s">
        <v>507</v>
      </c>
      <c r="K16" s="42" t="s">
        <v>273</v>
      </c>
      <c r="L16" s="44"/>
      <c r="M16" s="58" t="s">
        <v>156</v>
      </c>
      <c r="N16" s="58" t="s">
        <v>155</v>
      </c>
      <c r="O16" s="44" t="s">
        <v>673</v>
      </c>
      <c r="P16" s="42" t="s">
        <v>147</v>
      </c>
      <c r="Q16" s="42"/>
      <c r="R16" s="42"/>
      <c r="S16" s="42" t="s">
        <v>253</v>
      </c>
      <c r="U16" s="145" t="s">
        <v>34</v>
      </c>
      <c r="V16" s="43">
        <v>45903</v>
      </c>
      <c r="W16" s="42"/>
      <c r="Y16" s="174" t="s">
        <v>56</v>
      </c>
      <c r="Z16" s="43">
        <v>45936</v>
      </c>
      <c r="AA16" s="42"/>
      <c r="AB16" s="42"/>
    </row>
    <row r="17" spans="2:28" ht="28.8" x14ac:dyDescent="0.3">
      <c r="B17" s="42" t="s">
        <v>386</v>
      </c>
      <c r="C17" s="42">
        <v>7</v>
      </c>
      <c r="D17" s="42" t="s">
        <v>69</v>
      </c>
      <c r="E17" s="42" t="s">
        <v>164</v>
      </c>
      <c r="F17" s="42" t="s">
        <v>311</v>
      </c>
      <c r="G17" s="42" t="s">
        <v>359</v>
      </c>
      <c r="H17" s="134"/>
      <c r="J17" s="44" t="s">
        <v>507</v>
      </c>
      <c r="K17" s="42" t="s">
        <v>274</v>
      </c>
      <c r="L17" s="44" t="s">
        <v>68</v>
      </c>
      <c r="M17" s="58" t="s">
        <v>156</v>
      </c>
      <c r="N17" s="58" t="s">
        <v>155</v>
      </c>
      <c r="O17" s="105" t="s">
        <v>164</v>
      </c>
      <c r="P17" s="42" t="s">
        <v>146</v>
      </c>
      <c r="Q17" s="42"/>
      <c r="R17" s="42"/>
      <c r="S17" s="42" t="s">
        <v>253</v>
      </c>
      <c r="U17" s="145" t="s">
        <v>34</v>
      </c>
      <c r="V17" s="43">
        <v>45903</v>
      </c>
      <c r="W17" s="42"/>
      <c r="Y17" s="174" t="s">
        <v>56</v>
      </c>
      <c r="Z17" s="43">
        <v>45936</v>
      </c>
      <c r="AA17" s="42"/>
      <c r="AB17" s="42"/>
    </row>
    <row r="18" spans="2:28" ht="409.6" x14ac:dyDescent="0.3">
      <c r="B18" s="42" t="s">
        <v>386</v>
      </c>
      <c r="C18" s="42">
        <v>8</v>
      </c>
      <c r="D18" s="42" t="s">
        <v>510</v>
      </c>
      <c r="E18" s="42" t="s">
        <v>511</v>
      </c>
      <c r="F18" s="42" t="s">
        <v>311</v>
      </c>
      <c r="G18" s="42" t="s">
        <v>513</v>
      </c>
      <c r="H18" s="134"/>
      <c r="J18" s="44" t="s">
        <v>507</v>
      </c>
      <c r="K18" s="42" t="s">
        <v>283</v>
      </c>
      <c r="L18" s="44"/>
      <c r="M18" s="58" t="s">
        <v>156</v>
      </c>
      <c r="N18" s="58" t="s">
        <v>155</v>
      </c>
      <c r="O18" s="58" t="s">
        <v>767</v>
      </c>
      <c r="P18" s="42" t="s">
        <v>146</v>
      </c>
      <c r="Q18" s="42"/>
      <c r="R18" s="42"/>
      <c r="S18" s="42" t="s">
        <v>253</v>
      </c>
      <c r="U18" s="145" t="s">
        <v>34</v>
      </c>
      <c r="V18" s="43">
        <v>45910</v>
      </c>
      <c r="W18" s="42"/>
      <c r="Y18" s="174" t="s">
        <v>56</v>
      </c>
      <c r="Z18" s="43">
        <v>45936</v>
      </c>
      <c r="AA18" s="42"/>
      <c r="AB18" s="42"/>
    </row>
    <row r="19" spans="2:28" ht="28.8" x14ac:dyDescent="0.3">
      <c r="B19" s="42" t="s">
        <v>386</v>
      </c>
      <c r="C19" s="42">
        <v>9</v>
      </c>
      <c r="D19" s="42" t="s">
        <v>514</v>
      </c>
      <c r="E19" s="42" t="s">
        <v>706</v>
      </c>
      <c r="F19" s="42" t="s">
        <v>311</v>
      </c>
      <c r="G19" s="44" t="s">
        <v>522</v>
      </c>
      <c r="H19" s="134"/>
      <c r="J19" s="44" t="s">
        <v>507</v>
      </c>
      <c r="K19" s="42" t="s">
        <v>275</v>
      </c>
      <c r="L19" s="44"/>
      <c r="M19" s="58" t="s">
        <v>156</v>
      </c>
      <c r="N19" s="149" t="s">
        <v>155</v>
      </c>
      <c r="O19" s="173" t="s">
        <v>602</v>
      </c>
      <c r="P19" s="42" t="s">
        <v>146</v>
      </c>
      <c r="Q19" s="42"/>
      <c r="R19" s="42"/>
      <c r="S19" s="42" t="s">
        <v>253</v>
      </c>
      <c r="U19" s="145" t="s">
        <v>34</v>
      </c>
      <c r="V19" s="43">
        <v>45909</v>
      </c>
      <c r="W19" s="42"/>
      <c r="Y19" s="174" t="s">
        <v>56</v>
      </c>
      <c r="Z19" s="43">
        <v>45936</v>
      </c>
      <c r="AA19" s="42"/>
      <c r="AB19" s="42"/>
    </row>
    <row r="20" spans="2:28" ht="28.8" x14ac:dyDescent="0.3">
      <c r="B20" s="42" t="s">
        <v>386</v>
      </c>
      <c r="C20" s="42">
        <v>10</v>
      </c>
      <c r="D20" s="42" t="s">
        <v>515</v>
      </c>
      <c r="E20" s="42" t="s">
        <v>705</v>
      </c>
      <c r="F20" s="42" t="s">
        <v>311</v>
      </c>
      <c r="G20" s="44" t="s">
        <v>523</v>
      </c>
      <c r="H20" s="134"/>
      <c r="J20" s="44" t="s">
        <v>507</v>
      </c>
      <c r="K20" s="42" t="s">
        <v>276</v>
      </c>
      <c r="L20" s="44" t="s">
        <v>70</v>
      </c>
      <c r="M20" s="58" t="s">
        <v>156</v>
      </c>
      <c r="N20" s="149" t="s">
        <v>155</v>
      </c>
      <c r="O20" s="173" t="s">
        <v>165</v>
      </c>
      <c r="P20" s="42" t="s">
        <v>146</v>
      </c>
      <c r="Q20" s="42"/>
      <c r="R20" s="42"/>
      <c r="S20" s="42" t="s">
        <v>253</v>
      </c>
      <c r="U20" s="145" t="s">
        <v>34</v>
      </c>
      <c r="V20" s="43">
        <v>45909</v>
      </c>
      <c r="W20" s="42"/>
      <c r="Y20" s="174" t="s">
        <v>56</v>
      </c>
      <c r="Z20" s="43">
        <v>45936</v>
      </c>
      <c r="AA20" s="42"/>
      <c r="AB20" s="42"/>
    </row>
    <row r="21" spans="2:28" ht="43.2" x14ac:dyDescent="0.3">
      <c r="B21" s="42" t="s">
        <v>386</v>
      </c>
      <c r="C21" s="42">
        <v>11</v>
      </c>
      <c r="D21" s="42" t="s">
        <v>71</v>
      </c>
      <c r="E21" s="42" t="s">
        <v>256</v>
      </c>
      <c r="F21" s="42" t="s">
        <v>311</v>
      </c>
      <c r="G21" s="42" t="s">
        <v>360</v>
      </c>
      <c r="H21" s="134"/>
      <c r="J21" s="44" t="s">
        <v>507</v>
      </c>
      <c r="K21" s="42" t="s">
        <v>283</v>
      </c>
      <c r="L21" s="44" t="s">
        <v>142</v>
      </c>
      <c r="M21" s="58" t="s">
        <v>156</v>
      </c>
      <c r="N21" s="58" t="s">
        <v>155</v>
      </c>
      <c r="O21" s="173" t="s">
        <v>166</v>
      </c>
      <c r="P21" s="42" t="s">
        <v>146</v>
      </c>
      <c r="Q21" s="140" t="s">
        <v>538</v>
      </c>
      <c r="R21" s="140"/>
      <c r="S21" s="42" t="s">
        <v>253</v>
      </c>
      <c r="U21" s="145" t="s">
        <v>34</v>
      </c>
      <c r="V21" s="43">
        <v>45903</v>
      </c>
      <c r="W21" s="42"/>
      <c r="Y21" s="174" t="s">
        <v>56</v>
      </c>
      <c r="Z21" s="43">
        <v>45936</v>
      </c>
      <c r="AA21" s="42"/>
      <c r="AB21" s="42"/>
    </row>
    <row r="22" spans="2:28" ht="43.2" x14ac:dyDescent="0.3">
      <c r="B22" s="42" t="s">
        <v>386</v>
      </c>
      <c r="C22" s="42">
        <v>12</v>
      </c>
      <c r="D22" s="42" t="s">
        <v>517</v>
      </c>
      <c r="E22" s="42" t="s">
        <v>516</v>
      </c>
      <c r="F22" s="42" t="s">
        <v>311</v>
      </c>
      <c r="G22" s="42" t="s">
        <v>518</v>
      </c>
      <c r="H22" s="134"/>
      <c r="J22" s="44" t="s">
        <v>507</v>
      </c>
      <c r="K22" s="42" t="s">
        <v>278</v>
      </c>
      <c r="L22" s="44"/>
      <c r="M22" s="58" t="s">
        <v>156</v>
      </c>
      <c r="N22" s="58" t="s">
        <v>162</v>
      </c>
      <c r="O22" s="173" t="s">
        <v>534</v>
      </c>
      <c r="P22" s="42" t="s">
        <v>146</v>
      </c>
      <c r="Q22" s="140" t="s">
        <v>538</v>
      </c>
      <c r="R22" s="140"/>
      <c r="S22" s="42" t="s">
        <v>253</v>
      </c>
      <c r="U22" s="145" t="s">
        <v>34</v>
      </c>
      <c r="V22" s="43">
        <v>45903</v>
      </c>
      <c r="W22" s="42"/>
      <c r="Y22" s="174" t="s">
        <v>56</v>
      </c>
      <c r="Z22" s="43">
        <v>45936</v>
      </c>
      <c r="AA22" s="42"/>
      <c r="AB22" s="42"/>
    </row>
    <row r="23" spans="2:28" ht="28.8" x14ac:dyDescent="0.3">
      <c r="B23" s="42" t="s">
        <v>386</v>
      </c>
      <c r="C23" s="42">
        <v>13</v>
      </c>
      <c r="D23" s="42" t="s">
        <v>257</v>
      </c>
      <c r="E23" s="42" t="s">
        <v>704</v>
      </c>
      <c r="F23" s="42" t="s">
        <v>311</v>
      </c>
      <c r="G23" s="42" t="s">
        <v>524</v>
      </c>
      <c r="H23" s="134"/>
      <c r="J23" s="44" t="s">
        <v>507</v>
      </c>
      <c r="K23" s="42" t="s">
        <v>275</v>
      </c>
      <c r="L23" s="44" t="s">
        <v>148</v>
      </c>
      <c r="M23" s="58" t="s">
        <v>156</v>
      </c>
      <c r="N23" s="58" t="s">
        <v>162</v>
      </c>
      <c r="O23" s="109" t="s">
        <v>535</v>
      </c>
      <c r="P23" s="42" t="s">
        <v>146</v>
      </c>
      <c r="Q23" s="170"/>
      <c r="R23" s="42"/>
      <c r="S23" s="42" t="s">
        <v>253</v>
      </c>
      <c r="U23" s="145" t="s">
        <v>34</v>
      </c>
      <c r="V23" s="43">
        <v>45903</v>
      </c>
      <c r="W23" s="42"/>
      <c r="Y23" s="174" t="s">
        <v>56</v>
      </c>
      <c r="Z23" s="43">
        <v>45936</v>
      </c>
      <c r="AA23" s="42"/>
      <c r="AB23" s="42"/>
    </row>
    <row r="24" spans="2:28" ht="43.2" x14ac:dyDescent="0.3">
      <c r="B24" s="42" t="s">
        <v>386</v>
      </c>
      <c r="C24" s="42">
        <v>14</v>
      </c>
      <c r="D24" s="42" t="s">
        <v>259</v>
      </c>
      <c r="E24" s="42" t="s">
        <v>258</v>
      </c>
      <c r="F24" s="42" t="s">
        <v>311</v>
      </c>
      <c r="G24" s="42" t="s">
        <v>525</v>
      </c>
      <c r="H24" s="134"/>
      <c r="J24" s="44" t="s">
        <v>507</v>
      </c>
      <c r="K24" s="42" t="s">
        <v>276</v>
      </c>
      <c r="L24" s="44" t="s">
        <v>149</v>
      </c>
      <c r="M24" s="58" t="s">
        <v>156</v>
      </c>
      <c r="N24" s="44" t="s">
        <v>484</v>
      </c>
      <c r="O24" s="105" t="s">
        <v>536</v>
      </c>
      <c r="P24" s="42" t="s">
        <v>146</v>
      </c>
      <c r="Q24" s="140" t="s">
        <v>537</v>
      </c>
      <c r="R24" s="44" t="s">
        <v>483</v>
      </c>
      <c r="S24" s="42" t="s">
        <v>253</v>
      </c>
      <c r="U24" s="145" t="s">
        <v>34</v>
      </c>
      <c r="V24" s="43">
        <v>45903</v>
      </c>
      <c r="W24" s="170"/>
      <c r="Y24" s="174" t="s">
        <v>56</v>
      </c>
      <c r="Z24" s="43">
        <v>45936</v>
      </c>
      <c r="AA24" s="42"/>
      <c r="AB24" s="42"/>
    </row>
    <row r="25" spans="2:28" ht="172.8" x14ac:dyDescent="0.3">
      <c r="B25" s="42" t="s">
        <v>386</v>
      </c>
      <c r="C25" s="42">
        <v>15</v>
      </c>
      <c r="D25" s="42" t="s">
        <v>260</v>
      </c>
      <c r="E25" s="105" t="s">
        <v>703</v>
      </c>
      <c r="F25" s="42" t="s">
        <v>354</v>
      </c>
      <c r="G25" s="44" t="s">
        <v>355</v>
      </c>
      <c r="H25" s="134"/>
      <c r="J25" s="44" t="s">
        <v>507</v>
      </c>
      <c r="K25" s="42" t="s">
        <v>277</v>
      </c>
      <c r="L25" s="44" t="s">
        <v>325</v>
      </c>
      <c r="M25" s="58" t="s">
        <v>747</v>
      </c>
      <c r="N25" s="44" t="s">
        <v>748</v>
      </c>
      <c r="O25" s="105" t="s">
        <v>744</v>
      </c>
      <c r="P25" s="42" t="s">
        <v>147</v>
      </c>
      <c r="Q25" s="42"/>
      <c r="R25" s="44" t="s">
        <v>677</v>
      </c>
      <c r="S25" s="42" t="s">
        <v>680</v>
      </c>
      <c r="U25" s="47" t="s">
        <v>34</v>
      </c>
      <c r="V25" s="43">
        <v>45903</v>
      </c>
      <c r="W25" s="44" t="s">
        <v>676</v>
      </c>
      <c r="Y25" s="174" t="s">
        <v>56</v>
      </c>
      <c r="Z25" s="43">
        <v>45936</v>
      </c>
      <c r="AA25" s="42"/>
      <c r="AB25" s="42"/>
    </row>
    <row r="26" spans="2:28" ht="144" x14ac:dyDescent="0.3">
      <c r="B26" s="42" t="s">
        <v>386</v>
      </c>
      <c r="C26" s="42">
        <v>16</v>
      </c>
      <c r="D26" s="42" t="s">
        <v>261</v>
      </c>
      <c r="E26" s="42" t="s">
        <v>702</v>
      </c>
      <c r="F26" s="42" t="s">
        <v>348</v>
      </c>
      <c r="G26" s="42" t="s">
        <v>596</v>
      </c>
      <c r="H26" s="134"/>
      <c r="J26" s="44" t="s">
        <v>507</v>
      </c>
      <c r="K26" s="42" t="s">
        <v>278</v>
      </c>
      <c r="L26" s="44" t="s">
        <v>326</v>
      </c>
      <c r="M26" s="58" t="s">
        <v>747</v>
      </c>
      <c r="N26" s="44" t="s">
        <v>748</v>
      </c>
      <c r="O26" s="105" t="s">
        <v>745</v>
      </c>
      <c r="P26" s="42" t="s">
        <v>146</v>
      </c>
      <c r="Q26" s="170"/>
      <c r="R26" s="44" t="s">
        <v>678</v>
      </c>
      <c r="S26" s="42" t="s">
        <v>680</v>
      </c>
      <c r="U26" s="47" t="s">
        <v>34</v>
      </c>
      <c r="V26" s="43">
        <v>45903</v>
      </c>
      <c r="W26" s="44" t="s">
        <v>676</v>
      </c>
      <c r="Y26" s="174" t="s">
        <v>56</v>
      </c>
      <c r="Z26" s="43">
        <v>45936</v>
      </c>
      <c r="AA26" s="42"/>
      <c r="AB26" s="42"/>
    </row>
    <row r="27" spans="2:28" ht="86.4" x14ac:dyDescent="0.3">
      <c r="B27" s="42" t="s">
        <v>386</v>
      </c>
      <c r="C27" s="42">
        <v>17</v>
      </c>
      <c r="D27" s="42" t="s">
        <v>262</v>
      </c>
      <c r="E27" s="42" t="s">
        <v>701</v>
      </c>
      <c r="F27" s="42" t="s">
        <v>348</v>
      </c>
      <c r="G27" s="42" t="s">
        <v>597</v>
      </c>
      <c r="H27" s="134"/>
      <c r="J27" s="44" t="s">
        <v>507</v>
      </c>
      <c r="K27" s="42" t="s">
        <v>279</v>
      </c>
      <c r="L27" s="44" t="s">
        <v>326</v>
      </c>
      <c r="M27" s="58" t="s">
        <v>747</v>
      </c>
      <c r="N27" s="44" t="s">
        <v>748</v>
      </c>
      <c r="O27" s="105" t="s">
        <v>746</v>
      </c>
      <c r="P27" s="42" t="s">
        <v>146</v>
      </c>
      <c r="Q27" s="170"/>
      <c r="R27" s="44" t="s">
        <v>679</v>
      </c>
      <c r="S27" s="42" t="s">
        <v>680</v>
      </c>
      <c r="U27" s="47" t="s">
        <v>34</v>
      </c>
      <c r="V27" s="43">
        <v>45903</v>
      </c>
      <c r="W27" s="44" t="s">
        <v>676</v>
      </c>
      <c r="Y27" s="174" t="s">
        <v>56</v>
      </c>
      <c r="Z27" s="43">
        <v>45936</v>
      </c>
      <c r="AA27" s="42"/>
      <c r="AB27" s="42"/>
    </row>
    <row r="28" spans="2:28" ht="28.8" x14ac:dyDescent="0.3">
      <c r="B28" s="42" t="s">
        <v>386</v>
      </c>
      <c r="C28" s="42">
        <v>18</v>
      </c>
      <c r="D28" s="44" t="s">
        <v>264</v>
      </c>
      <c r="E28" s="42" t="s">
        <v>263</v>
      </c>
      <c r="F28" s="42" t="s">
        <v>311</v>
      </c>
      <c r="G28" s="42" t="s">
        <v>528</v>
      </c>
      <c r="H28" s="134"/>
      <c r="J28" s="44" t="s">
        <v>507</v>
      </c>
      <c r="K28" s="42" t="s">
        <v>280</v>
      </c>
      <c r="L28" s="44"/>
      <c r="M28" s="44" t="s">
        <v>485</v>
      </c>
      <c r="N28" s="42" t="s">
        <v>486</v>
      </c>
      <c r="O28" s="96" t="s">
        <v>648</v>
      </c>
      <c r="P28" s="42" t="s">
        <v>147</v>
      </c>
      <c r="Q28" s="170"/>
      <c r="R28" s="175"/>
      <c r="S28" s="42" t="s">
        <v>253</v>
      </c>
      <c r="U28" s="145" t="s">
        <v>34</v>
      </c>
      <c r="V28" s="43">
        <v>45903</v>
      </c>
      <c r="W28" s="170"/>
      <c r="Y28" s="174" t="s">
        <v>56</v>
      </c>
      <c r="Z28" s="43">
        <v>45936</v>
      </c>
      <c r="AA28" s="42"/>
      <c r="AB28" s="42"/>
    </row>
    <row r="29" spans="2:28" ht="263.25" customHeight="1" x14ac:dyDescent="0.3">
      <c r="B29" s="42" t="s">
        <v>386</v>
      </c>
      <c r="C29" s="42">
        <v>19</v>
      </c>
      <c r="D29" s="44" t="s">
        <v>265</v>
      </c>
      <c r="E29" s="42" t="s">
        <v>603</v>
      </c>
      <c r="F29" s="42" t="s">
        <v>311</v>
      </c>
      <c r="G29" s="42" t="s">
        <v>529</v>
      </c>
      <c r="H29" s="134"/>
      <c r="J29" s="44" t="s">
        <v>507</v>
      </c>
      <c r="K29" s="42" t="s">
        <v>281</v>
      </c>
      <c r="L29" s="44"/>
      <c r="M29" s="58" t="s">
        <v>353</v>
      </c>
      <c r="N29" s="44" t="s">
        <v>735</v>
      </c>
      <c r="O29" s="42" t="s">
        <v>603</v>
      </c>
      <c r="P29" s="42" t="s">
        <v>147</v>
      </c>
      <c r="Q29" s="109"/>
      <c r="R29" s="109" t="s">
        <v>662</v>
      </c>
      <c r="S29" s="42" t="s">
        <v>253</v>
      </c>
      <c r="U29" s="145" t="s">
        <v>34</v>
      </c>
      <c r="V29" s="43">
        <v>45910</v>
      </c>
      <c r="W29" s="44" t="s">
        <v>686</v>
      </c>
      <c r="Y29" s="138" t="s">
        <v>58</v>
      </c>
      <c r="Z29" s="43"/>
      <c r="AA29" s="42"/>
      <c r="AB29" s="42"/>
    </row>
    <row r="30" spans="2:28" ht="100.8" x14ac:dyDescent="0.3">
      <c r="B30" s="42" t="s">
        <v>386</v>
      </c>
      <c r="C30" s="42">
        <v>20</v>
      </c>
      <c r="D30" s="42" t="s">
        <v>267</v>
      </c>
      <c r="E30" s="42" t="s">
        <v>266</v>
      </c>
      <c r="F30" s="42" t="s">
        <v>311</v>
      </c>
      <c r="G30" s="44" t="s">
        <v>543</v>
      </c>
      <c r="H30" s="134"/>
      <c r="J30" s="44" t="s">
        <v>507</v>
      </c>
      <c r="K30" s="42" t="s">
        <v>282</v>
      </c>
      <c r="L30" s="44" t="s">
        <v>324</v>
      </c>
      <c r="M30" s="58" t="s">
        <v>156</v>
      </c>
      <c r="N30" s="58" t="s">
        <v>162</v>
      </c>
      <c r="O30" s="96" t="s">
        <v>539</v>
      </c>
      <c r="P30" s="42" t="s">
        <v>147</v>
      </c>
      <c r="Q30" s="42"/>
      <c r="R30" s="44" t="s">
        <v>333</v>
      </c>
      <c r="S30" s="42" t="s">
        <v>253</v>
      </c>
      <c r="U30" s="145" t="s">
        <v>34</v>
      </c>
      <c r="V30" s="43">
        <v>45903</v>
      </c>
      <c r="W30" s="42"/>
      <c r="Y30" s="174" t="s">
        <v>56</v>
      </c>
      <c r="Z30" s="43">
        <v>45936</v>
      </c>
      <c r="AA30" s="42"/>
      <c r="AB30" s="42"/>
    </row>
    <row r="31" spans="2:28" ht="87" customHeight="1" x14ac:dyDescent="0.3">
      <c r="B31" s="42" t="s">
        <v>386</v>
      </c>
      <c r="C31" s="42">
        <v>21</v>
      </c>
      <c r="D31" s="42" t="s">
        <v>519</v>
      </c>
      <c r="E31" s="42" t="s">
        <v>700</v>
      </c>
      <c r="F31" s="42" t="s">
        <v>311</v>
      </c>
      <c r="G31" s="44" t="s">
        <v>530</v>
      </c>
      <c r="H31" s="134"/>
      <c r="J31" s="44" t="s">
        <v>507</v>
      </c>
      <c r="K31" s="42"/>
      <c r="L31" s="44"/>
      <c r="M31" s="58" t="s">
        <v>353</v>
      </c>
      <c r="N31" s="44" t="s">
        <v>735</v>
      </c>
      <c r="O31" s="105" t="s">
        <v>700</v>
      </c>
      <c r="P31" s="42" t="s">
        <v>147</v>
      </c>
      <c r="Q31" s="42"/>
      <c r="R31" s="44"/>
      <c r="S31" s="42"/>
      <c r="U31" s="145" t="s">
        <v>34</v>
      </c>
      <c r="V31" s="43">
        <v>45903</v>
      </c>
      <c r="W31" s="44" t="s">
        <v>664</v>
      </c>
      <c r="Y31" s="138" t="s">
        <v>58</v>
      </c>
      <c r="Z31" s="43"/>
      <c r="AA31" s="42"/>
      <c r="AB31" s="42"/>
    </row>
    <row r="32" spans="2:28" ht="100.8" x14ac:dyDescent="0.3">
      <c r="B32" s="42" t="s">
        <v>386</v>
      </c>
      <c r="C32" s="42">
        <v>22</v>
      </c>
      <c r="D32" s="42" t="s">
        <v>520</v>
      </c>
      <c r="E32" s="42" t="s">
        <v>699</v>
      </c>
      <c r="F32" s="42" t="s">
        <v>311</v>
      </c>
      <c r="G32" s="44" t="s">
        <v>521</v>
      </c>
      <c r="H32" s="134"/>
      <c r="J32" s="44" t="s">
        <v>507</v>
      </c>
      <c r="K32" s="42"/>
      <c r="L32" s="44"/>
      <c r="M32" s="58" t="s">
        <v>156</v>
      </c>
      <c r="N32" s="58" t="s">
        <v>484</v>
      </c>
      <c r="O32" s="96" t="s">
        <v>751</v>
      </c>
      <c r="P32" s="42" t="s">
        <v>146</v>
      </c>
      <c r="Q32" s="96" t="s">
        <v>749</v>
      </c>
      <c r="R32" s="44" t="s">
        <v>670</v>
      </c>
      <c r="S32" s="44" t="s">
        <v>253</v>
      </c>
      <c r="U32" s="47" t="s">
        <v>34</v>
      </c>
      <c r="V32" s="43">
        <v>45917</v>
      </c>
      <c r="W32" s="44" t="s">
        <v>663</v>
      </c>
      <c r="Y32" s="174" t="s">
        <v>56</v>
      </c>
      <c r="Z32" s="43">
        <v>45936</v>
      </c>
      <c r="AA32" s="42"/>
      <c r="AB32" s="42"/>
    </row>
    <row r="33" spans="2:28" x14ac:dyDescent="0.3">
      <c r="B33" s="42" t="s">
        <v>386</v>
      </c>
      <c r="C33" s="42">
        <v>23</v>
      </c>
      <c r="D33" s="44" t="s">
        <v>750</v>
      </c>
      <c r="E33" s="42" t="s">
        <v>738</v>
      </c>
      <c r="F33" s="42" t="s">
        <v>311</v>
      </c>
      <c r="G33" s="44" t="s">
        <v>727</v>
      </c>
      <c r="H33" s="134"/>
      <c r="J33" s="44"/>
      <c r="K33" s="42"/>
      <c r="L33" s="44"/>
      <c r="M33" s="58" t="s">
        <v>353</v>
      </c>
      <c r="N33" s="44" t="s">
        <v>735</v>
      </c>
      <c r="O33" s="42" t="s">
        <v>738</v>
      </c>
      <c r="P33" s="42" t="s">
        <v>147</v>
      </c>
      <c r="Q33" s="96"/>
      <c r="R33" s="44"/>
      <c r="S33" s="44"/>
      <c r="U33" s="47" t="s">
        <v>34</v>
      </c>
      <c r="V33" s="43">
        <v>45930</v>
      </c>
      <c r="W33" s="44"/>
      <c r="Y33" s="138" t="s">
        <v>58</v>
      </c>
      <c r="Z33" s="43"/>
      <c r="AA33" s="42"/>
      <c r="AB33" s="42"/>
    </row>
    <row r="34" spans="2:28" ht="29.4" customHeight="1" x14ac:dyDescent="0.3">
      <c r="B34" s="42" t="s">
        <v>386</v>
      </c>
      <c r="C34" s="42">
        <v>24</v>
      </c>
      <c r="D34" s="44" t="s">
        <v>427</v>
      </c>
      <c r="E34" s="42" t="s">
        <v>426</v>
      </c>
      <c r="F34" s="44" t="s">
        <v>311</v>
      </c>
      <c r="G34" s="44" t="s">
        <v>430</v>
      </c>
      <c r="H34" s="167"/>
      <c r="I34" s="113"/>
      <c r="J34" s="44" t="s">
        <v>552</v>
      </c>
      <c r="K34" s="44" t="s">
        <v>310</v>
      </c>
      <c r="L34" s="44"/>
      <c r="M34" s="44" t="s">
        <v>332</v>
      </c>
      <c r="N34" s="44" t="s">
        <v>332</v>
      </c>
      <c r="O34" s="44" t="s">
        <v>332</v>
      </c>
      <c r="P34" s="44"/>
      <c r="Q34" s="44"/>
      <c r="R34" s="44"/>
      <c r="S34" s="44"/>
      <c r="T34" s="113"/>
      <c r="U34" s="145" t="s">
        <v>34</v>
      </c>
      <c r="V34" s="43">
        <v>45903</v>
      </c>
      <c r="W34" s="42"/>
      <c r="Y34" s="174" t="s">
        <v>56</v>
      </c>
      <c r="Z34" s="43">
        <v>45936</v>
      </c>
      <c r="AA34" s="44"/>
      <c r="AB34" s="42"/>
    </row>
    <row r="35" spans="2:28" x14ac:dyDescent="0.3">
      <c r="B35" s="42" t="s">
        <v>386</v>
      </c>
      <c r="C35" s="42">
        <v>25</v>
      </c>
      <c r="D35" s="44" t="s">
        <v>329</v>
      </c>
      <c r="E35" s="44" t="s">
        <v>309</v>
      </c>
      <c r="F35" s="44" t="s">
        <v>349</v>
      </c>
      <c r="G35" s="44" t="s">
        <v>331</v>
      </c>
      <c r="H35" s="167"/>
      <c r="I35" s="113"/>
      <c r="J35" s="44" t="s">
        <v>552</v>
      </c>
      <c r="K35" s="44" t="s">
        <v>310</v>
      </c>
      <c r="L35" s="44"/>
      <c r="M35" s="44" t="s">
        <v>332</v>
      </c>
      <c r="N35" s="44" t="s">
        <v>332</v>
      </c>
      <c r="O35" s="44" t="s">
        <v>332</v>
      </c>
      <c r="P35" s="44"/>
      <c r="Q35" s="44"/>
      <c r="R35" s="44"/>
      <c r="S35" s="44"/>
      <c r="T35" s="113"/>
      <c r="U35" s="145" t="s">
        <v>34</v>
      </c>
      <c r="V35" s="43">
        <v>45903</v>
      </c>
      <c r="W35" s="42"/>
      <c r="Y35" s="174" t="s">
        <v>56</v>
      </c>
      <c r="Z35" s="43">
        <v>45936</v>
      </c>
      <c r="AA35" s="44"/>
      <c r="AB35" s="42"/>
    </row>
    <row r="36" spans="2:28" x14ac:dyDescent="0.3">
      <c r="B36" s="42" t="s">
        <v>386</v>
      </c>
      <c r="C36" s="42">
        <v>26</v>
      </c>
      <c r="D36" s="44" t="s">
        <v>328</v>
      </c>
      <c r="E36" s="44" t="s">
        <v>308</v>
      </c>
      <c r="F36" s="44" t="s">
        <v>311</v>
      </c>
      <c r="G36" s="44" t="s">
        <v>330</v>
      </c>
      <c r="H36" s="167" t="s">
        <v>327</v>
      </c>
      <c r="I36" s="113"/>
      <c r="J36" s="44" t="s">
        <v>552</v>
      </c>
      <c r="K36" s="44" t="s">
        <v>310</v>
      </c>
      <c r="L36" s="44"/>
      <c r="M36" s="44" t="s">
        <v>332</v>
      </c>
      <c r="N36" s="44" t="s">
        <v>332</v>
      </c>
      <c r="O36" s="96" t="s">
        <v>332</v>
      </c>
      <c r="P36" s="44"/>
      <c r="Q36" s="44"/>
      <c r="R36" s="44"/>
      <c r="S36" s="44"/>
      <c r="T36" s="113"/>
      <c r="U36" s="145" t="s">
        <v>34</v>
      </c>
      <c r="V36" s="43">
        <v>45903</v>
      </c>
      <c r="W36" s="42"/>
      <c r="Y36" s="174" t="s">
        <v>56</v>
      </c>
      <c r="Z36" s="43">
        <v>45936</v>
      </c>
      <c r="AA36" s="44"/>
      <c r="AB36" s="42"/>
    </row>
    <row r="37" spans="2:28" x14ac:dyDescent="0.3">
      <c r="B37" s="42" t="s">
        <v>386</v>
      </c>
      <c r="C37" s="42">
        <v>27</v>
      </c>
      <c r="D37" s="44" t="s">
        <v>428</v>
      </c>
      <c r="E37" s="44" t="s">
        <v>425</v>
      </c>
      <c r="F37" s="44" t="s">
        <v>354</v>
      </c>
      <c r="G37" s="44" t="s">
        <v>429</v>
      </c>
      <c r="H37" s="167" t="s">
        <v>327</v>
      </c>
      <c r="I37" s="113"/>
      <c r="J37" s="44" t="s">
        <v>552</v>
      </c>
      <c r="K37" s="44" t="s">
        <v>310</v>
      </c>
      <c r="L37" s="44"/>
      <c r="M37" s="44" t="s">
        <v>332</v>
      </c>
      <c r="N37" s="44" t="s">
        <v>332</v>
      </c>
      <c r="O37" s="44" t="s">
        <v>332</v>
      </c>
      <c r="P37" s="44"/>
      <c r="Q37" s="44"/>
      <c r="R37" s="44"/>
      <c r="S37" s="44"/>
      <c r="T37" s="113"/>
      <c r="U37" s="145" t="s">
        <v>34</v>
      </c>
      <c r="V37" s="43">
        <v>45903</v>
      </c>
      <c r="W37" s="57"/>
      <c r="X37" s="148"/>
      <c r="Y37" s="174" t="s">
        <v>56</v>
      </c>
      <c r="Z37" s="43">
        <v>45936</v>
      </c>
      <c r="AA37" s="44"/>
      <c r="AB37" s="42"/>
    </row>
  </sheetData>
  <autoFilter ref="B10:AB37">
    <sortState ref="B11:AB29">
      <sortCondition ref="C10"/>
    </sortState>
  </autoFilter>
  <mergeCells count="7">
    <mergeCell ref="Y9:AB9"/>
    <mergeCell ref="J9:L9"/>
    <mergeCell ref="C7:H7"/>
    <mergeCell ref="B9:H9"/>
    <mergeCell ref="M9:O9"/>
    <mergeCell ref="P9:S9"/>
    <mergeCell ref="U9:W9"/>
  </mergeCells>
  <conditionalFormatting sqref="U25:U27">
    <cfRule type="cellIs" dxfId="93" priority="1" operator="equal">
      <formula>"Testes utilizador"</formula>
    </cfRule>
  </conditionalFormatting>
  <conditionalFormatting sqref="U32:U33">
    <cfRule type="cellIs" dxfId="92" priority="6" operator="equal">
      <formula>"Testes utilizador"</formula>
    </cfRule>
  </conditionalFormatting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equal" id="{07285DE3-7E08-4D0C-B77B-6C0DF006EE4F}">
            <xm:f>'C:\Users\e859162\Documents\00. Old\[BS_Especificação_FEI_v0.3.xlsx]Tabelas AUX'!#REF!</xm:f>
            <x14:dxf>
              <font>
                <color rgb="FF00B050"/>
              </font>
            </x14:dxf>
          </x14:cfRule>
          <x14:cfRule type="cellIs" priority="3" operator="equal" id="{B202D917-5D92-4562-A964-12510F76C50A}">
            <xm:f>'C:\Users\e859162\Documents\00. Old\[BS_Especificação_FEI_v0.3.xlsx]Tabelas AUX'!#REF!</xm:f>
            <x14:dxf>
              <font>
                <color rgb="FF7F7F7F"/>
              </font>
            </x14:dxf>
          </x14:cfRule>
          <x14:cfRule type="cellIs" priority="4" operator="equal" id="{F4D4ADD5-CD9D-4026-9D23-0B256A0FC6A8}">
            <xm:f>'C:\Users\e859162\Documents\00. Old\[BS_Especificação_FEI_v0.3.xlsx]Tabelas AUX'!#REF!</xm:f>
            <x14:dxf>
              <font>
                <color theme="5"/>
              </font>
            </x14:dxf>
          </x14:cfRule>
          <x14:cfRule type="cellIs" priority="5" operator="equal" id="{6397FA17-B3E9-49E6-A6A5-60EB1B46F66D}">
            <xm:f>'C:\Users\e859162\Documents\00. Old\[BS_Especificação_FEI_v0.3.xlsx]Tabelas AUX'!#REF!</xm:f>
            <x14:dxf>
              <font>
                <color rgb="FFC00000"/>
              </font>
            </x14:dxf>
          </x14:cfRule>
          <xm:sqref>U25:U27</xm:sqref>
        </x14:conditionalFormatting>
        <x14:conditionalFormatting xmlns:xm="http://schemas.microsoft.com/office/excel/2006/main">
          <x14:cfRule type="cellIs" priority="7" operator="equal" id="{267A5112-BD4A-45FB-B127-38CF516662E4}">
            <xm:f>'C:\Users\e859162\Documents\00. Old\[BS_Especificação_FEI_v0.3.xlsx]Tabelas AUX'!#REF!</xm:f>
            <x14:dxf>
              <font>
                <color rgb="FF00B050"/>
              </font>
            </x14:dxf>
          </x14:cfRule>
          <x14:cfRule type="cellIs" priority="8" operator="equal" id="{BA3EC1AE-359E-4828-8AF5-0B14E7DE7DB7}">
            <xm:f>'C:\Users\e859162\Documents\00. Old\[BS_Especificação_FEI_v0.3.xlsx]Tabelas AUX'!#REF!</xm:f>
            <x14:dxf>
              <font>
                <color rgb="FF7F7F7F"/>
              </font>
            </x14:dxf>
          </x14:cfRule>
          <x14:cfRule type="cellIs" priority="9" operator="equal" id="{B1FAF9D4-DC47-40D2-926C-41DB00E20986}">
            <xm:f>'C:\Users\e859162\Documents\00. Old\[BS_Especificação_FEI_v0.3.xlsx]Tabelas AUX'!#REF!</xm:f>
            <x14:dxf>
              <font>
                <color theme="5"/>
              </font>
            </x14:dxf>
          </x14:cfRule>
          <x14:cfRule type="cellIs" priority="10" operator="equal" id="{3BAE4CC9-4E60-4958-A0D7-133E05EF7D99}">
            <xm:f>'C:\Users\e859162\Documents\00. Old\[BS_Especificação_FEI_v0.3.xlsx]Tabelas AUX'!#REF!</xm:f>
            <x14:dxf>
              <font>
                <color rgb="FFC00000"/>
              </font>
            </x14:dxf>
          </x14:cfRule>
          <xm:sqref>U32:U33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'Tabelas AUX'!$E$2:$E$9</xm:f>
          </x14:formula1>
          <xm:sqref>U34:U37 U11:U24 U28:U31</xm:sqref>
        </x14:dataValidation>
        <x14:dataValidation type="list" allowBlank="1" showInputMessage="1" showErrorMessage="1">
          <x14:formula1>
            <xm:f>'Tabelas AUX'!$G$2:$G$17</xm:f>
          </x14:formula1>
          <xm:sqref>Y11:Y37</xm:sqref>
        </x14:dataValidation>
        <x14:dataValidation type="list" allowBlank="1" showInputMessage="1" showErrorMessage="1">
          <x14:formula1>
            <xm:f>'https://santandernet.sharepoint.com/sites/FEIeBEI/Shared Documents/FEI e BEI/03. Documentos Produzidos/01. Especificação/00. Old/[BS_Especificação_FEI_v0.3.xlsx]Tabelas AUX'!#REF!</xm:f>
          </x14:formula1>
          <xm:sqref>U25:U27 U32:U33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9" tint="0.59999389629810485"/>
    <pageSetUpPr autoPageBreaks="0"/>
  </sheetPr>
  <dimension ref="A1:AB37"/>
  <sheetViews>
    <sheetView showGridLines="0" zoomScale="70" zoomScaleNormal="70" workbookViewId="0"/>
  </sheetViews>
  <sheetFormatPr defaultRowHeight="14.4" outlineLevelRow="1" outlineLevelCol="1" x14ac:dyDescent="0.3"/>
  <cols>
    <col min="1" max="1" width="3.6640625" customWidth="1"/>
    <col min="2" max="2" width="27.6640625" bestFit="1" customWidth="1"/>
    <col min="3" max="3" width="10.109375" bestFit="1" customWidth="1"/>
    <col min="4" max="4" width="37.88671875" bestFit="1" customWidth="1"/>
    <col min="5" max="5" width="28.109375" bestFit="1" customWidth="1"/>
    <col min="6" max="6" width="16.5546875" bestFit="1" customWidth="1"/>
    <col min="7" max="7" width="50" bestFit="1" customWidth="1"/>
    <col min="8" max="8" width="18.33203125" bestFit="1" customWidth="1"/>
    <col min="9" max="9" width="2" customWidth="1"/>
    <col min="10" max="10" width="9.109375" hidden="1" customWidth="1" outlineLevel="1"/>
    <col min="11" max="11" width="20.44140625" hidden="1" customWidth="1" outlineLevel="1"/>
    <col min="12" max="12" width="25.88671875" hidden="1" customWidth="1" outlineLevel="1"/>
    <col min="13" max="13" width="16.33203125" bestFit="1" customWidth="1" collapsed="1"/>
    <col min="14" max="14" width="13.33203125" bestFit="1" customWidth="1"/>
    <col min="15" max="15" width="27.44140625" customWidth="1"/>
    <col min="16" max="16" width="23.109375" hidden="1" customWidth="1" outlineLevel="1"/>
    <col min="17" max="17" width="15.44140625" hidden="1" customWidth="1" outlineLevel="1"/>
    <col min="18" max="18" width="24.5546875" hidden="1" customWidth="1" outlineLevel="1"/>
    <col min="19" max="19" width="28.88671875" hidden="1" customWidth="1" outlineLevel="1"/>
    <col min="20" max="20" width="2.109375" customWidth="1" collapsed="1"/>
    <col min="21" max="21" width="10.44140625" customWidth="1" outlineLevel="1"/>
    <col min="22" max="22" width="17.88671875" bestFit="1" customWidth="1" outlineLevel="1"/>
    <col min="23" max="23" width="6.5546875" bestFit="1" customWidth="1" outlineLevel="1"/>
    <col min="24" max="24" width="2.109375" customWidth="1"/>
    <col min="25" max="25" width="10.44140625" bestFit="1" customWidth="1" outlineLevel="1"/>
    <col min="26" max="26" width="21.44140625" bestFit="1" customWidth="1" outlineLevel="1"/>
    <col min="27" max="27" width="6.5546875" bestFit="1" customWidth="1" outlineLevel="1"/>
    <col min="28" max="28" width="11.88671875" bestFit="1" customWidth="1" outlineLevel="1"/>
  </cols>
  <sheetData>
    <row r="1" spans="1:28" ht="15" customHeight="1" x14ac:dyDescent="0.3">
      <c r="B1" s="22"/>
      <c r="C1" s="22"/>
      <c r="D1" s="22"/>
      <c r="E1" s="22"/>
      <c r="G1" s="22"/>
      <c r="H1" s="22"/>
    </row>
    <row r="2" spans="1:28" ht="34.5" customHeight="1" x14ac:dyDescent="0.3">
      <c r="B2" s="22"/>
      <c r="C2" s="22"/>
      <c r="D2" s="22"/>
      <c r="E2" s="23"/>
      <c r="G2" s="22"/>
      <c r="H2" s="22"/>
    </row>
    <row r="3" spans="1:28" s="49" customFormat="1" ht="2.25" customHeight="1" x14ac:dyDescent="0.3">
      <c r="A3" s="19"/>
      <c r="B3" s="24"/>
      <c r="C3" s="24"/>
      <c r="D3" s="24"/>
      <c r="E3" s="24"/>
      <c r="F3" s="24"/>
      <c r="G3" s="24"/>
      <c r="H3" s="24"/>
    </row>
    <row r="4" spans="1:28" ht="15" customHeight="1" x14ac:dyDescent="0.3">
      <c r="B4" s="22"/>
      <c r="C4" s="22"/>
      <c r="D4" s="22"/>
      <c r="E4" s="22"/>
      <c r="G4" s="22"/>
      <c r="H4" s="22"/>
    </row>
    <row r="5" spans="1:28" ht="15" customHeight="1" x14ac:dyDescent="0.3">
      <c r="B5" s="215" t="s">
        <v>366</v>
      </c>
      <c r="C5" s="215"/>
      <c r="D5" s="215"/>
      <c r="E5" s="22"/>
      <c r="G5" s="22"/>
      <c r="H5" s="22"/>
    </row>
    <row r="6" spans="1:28" ht="15" customHeight="1" x14ac:dyDescent="0.3">
      <c r="B6" s="22"/>
      <c r="C6" s="22"/>
      <c r="D6" s="22"/>
      <c r="E6" s="22"/>
      <c r="G6" s="22"/>
      <c r="H6" s="22"/>
    </row>
    <row r="7" spans="1:28" hidden="1" outlineLevel="1" x14ac:dyDescent="0.3">
      <c r="B7" s="26" t="s">
        <v>9</v>
      </c>
      <c r="C7" s="219" t="s">
        <v>78</v>
      </c>
      <c r="D7" s="219"/>
      <c r="E7" s="220"/>
      <c r="F7" s="220"/>
      <c r="G7" s="220"/>
      <c r="H7" s="220"/>
      <c r="I7" s="27"/>
      <c r="J7" s="27"/>
      <c r="S7" s="27"/>
      <c r="T7" s="27"/>
      <c r="X7" s="27"/>
    </row>
    <row r="8" spans="1:28" ht="15" hidden="1" customHeight="1" outlineLevel="1" x14ac:dyDescent="0.3">
      <c r="B8" s="22"/>
      <c r="C8" s="22"/>
      <c r="D8" s="22"/>
      <c r="E8" s="22"/>
      <c r="G8" s="22"/>
      <c r="H8" s="22"/>
    </row>
    <row r="9" spans="1:28" collapsed="1" x14ac:dyDescent="0.3">
      <c r="B9" s="221" t="s">
        <v>10</v>
      </c>
      <c r="C9" s="222"/>
      <c r="D9" s="222"/>
      <c r="E9" s="222"/>
      <c r="F9" s="222"/>
      <c r="G9" s="222"/>
      <c r="H9" s="223"/>
      <c r="J9" s="224" t="s">
        <v>11</v>
      </c>
      <c r="K9" s="225"/>
      <c r="L9" s="225"/>
      <c r="M9" s="216" t="s">
        <v>12</v>
      </c>
      <c r="N9" s="217"/>
      <c r="O9" s="218"/>
      <c r="P9" s="216" t="s">
        <v>13</v>
      </c>
      <c r="Q9" s="217"/>
      <c r="R9" s="217"/>
      <c r="S9" s="218"/>
      <c r="U9" s="216" t="s">
        <v>14</v>
      </c>
      <c r="V9" s="217"/>
      <c r="W9" s="218"/>
      <c r="Y9" s="216" t="s">
        <v>15</v>
      </c>
      <c r="Z9" s="217"/>
      <c r="AA9" s="217"/>
      <c r="AB9" s="218"/>
    </row>
    <row r="10" spans="1:28" x14ac:dyDescent="0.3">
      <c r="B10" s="35" t="s">
        <v>16</v>
      </c>
      <c r="C10" s="35" t="s">
        <v>17</v>
      </c>
      <c r="D10" s="35" t="s">
        <v>18</v>
      </c>
      <c r="E10" s="35" t="s">
        <v>317</v>
      </c>
      <c r="F10" s="35" t="s">
        <v>19</v>
      </c>
      <c r="G10" s="35" t="s">
        <v>20</v>
      </c>
      <c r="H10" s="35" t="s">
        <v>312</v>
      </c>
      <c r="J10" s="30" t="s">
        <v>64</v>
      </c>
      <c r="K10" s="31" t="s">
        <v>169</v>
      </c>
      <c r="L10" s="31" t="s">
        <v>65</v>
      </c>
      <c r="M10" s="30" t="s">
        <v>22</v>
      </c>
      <c r="N10" s="31" t="s">
        <v>23</v>
      </c>
      <c r="O10" s="32" t="s">
        <v>24</v>
      </c>
      <c r="P10" s="33" t="s">
        <v>145</v>
      </c>
      <c r="Q10" s="34" t="s">
        <v>26</v>
      </c>
      <c r="R10" s="28" t="s">
        <v>27</v>
      </c>
      <c r="S10" s="28" t="s">
        <v>28</v>
      </c>
      <c r="U10" s="36" t="s">
        <v>29</v>
      </c>
      <c r="V10" s="36" t="s">
        <v>30</v>
      </c>
      <c r="W10" s="36" t="s">
        <v>31</v>
      </c>
      <c r="Y10" s="36" t="s">
        <v>29</v>
      </c>
      <c r="Z10" s="36" t="s">
        <v>32</v>
      </c>
      <c r="AA10" s="36" t="s">
        <v>33</v>
      </c>
      <c r="AB10" s="36" t="s">
        <v>31</v>
      </c>
    </row>
    <row r="11" spans="1:28" s="22" customFormat="1" ht="30.9" customHeight="1" x14ac:dyDescent="0.3">
      <c r="B11" s="42" t="s">
        <v>479</v>
      </c>
      <c r="C11" s="150">
        <v>1</v>
      </c>
      <c r="D11" s="44" t="s">
        <v>255</v>
      </c>
      <c r="E11" s="42" t="s">
        <v>170</v>
      </c>
      <c r="F11" s="42" t="s">
        <v>311</v>
      </c>
      <c r="G11" s="44" t="s">
        <v>351</v>
      </c>
      <c r="H11" s="134" t="s">
        <v>327</v>
      </c>
      <c r="J11" s="44" t="s">
        <v>552</v>
      </c>
      <c r="K11" s="42" t="s">
        <v>95</v>
      </c>
      <c r="L11" s="42"/>
      <c r="M11" s="58" t="s">
        <v>353</v>
      </c>
      <c r="N11" s="58" t="s">
        <v>386</v>
      </c>
      <c r="O11" s="42" t="s">
        <v>170</v>
      </c>
      <c r="P11" s="42"/>
      <c r="Q11" s="42"/>
      <c r="R11" s="42"/>
      <c r="S11" s="42"/>
      <c r="U11" s="47" t="s">
        <v>34</v>
      </c>
      <c r="V11" s="43">
        <v>45902</v>
      </c>
      <c r="W11" s="42"/>
      <c r="Y11" s="174" t="s">
        <v>56</v>
      </c>
      <c r="Z11" s="43">
        <v>45936</v>
      </c>
      <c r="AA11" s="42"/>
      <c r="AB11" s="42"/>
    </row>
    <row r="12" spans="1:28" s="22" customFormat="1" ht="28.8" x14ac:dyDescent="0.3">
      <c r="B12" s="42" t="s">
        <v>479</v>
      </c>
      <c r="C12" s="150">
        <v>2</v>
      </c>
      <c r="D12" s="44" t="s">
        <v>102</v>
      </c>
      <c r="E12" s="42" t="s">
        <v>707</v>
      </c>
      <c r="F12" s="42" t="s">
        <v>311</v>
      </c>
      <c r="G12" s="44" t="s">
        <v>358</v>
      </c>
      <c r="H12" s="134"/>
      <c r="J12" s="44" t="s">
        <v>552</v>
      </c>
      <c r="K12" s="42" t="s">
        <v>271</v>
      </c>
      <c r="L12" s="42"/>
      <c r="M12" s="58" t="s">
        <v>353</v>
      </c>
      <c r="N12" s="58" t="s">
        <v>386</v>
      </c>
      <c r="O12" s="42" t="s">
        <v>707</v>
      </c>
      <c r="P12" s="42"/>
      <c r="Q12" s="42"/>
      <c r="R12" s="42"/>
      <c r="S12" s="42"/>
      <c r="U12" s="47" t="s">
        <v>34</v>
      </c>
      <c r="V12" s="43">
        <v>45902</v>
      </c>
      <c r="W12" s="42"/>
      <c r="Y12" s="174" t="s">
        <v>56</v>
      </c>
      <c r="Z12" s="43">
        <v>45936</v>
      </c>
      <c r="AA12" s="42"/>
      <c r="AB12" s="42"/>
    </row>
    <row r="13" spans="1:28" s="22" customFormat="1" ht="28.8" x14ac:dyDescent="0.3">
      <c r="B13" s="42" t="s">
        <v>479</v>
      </c>
      <c r="C13" s="150">
        <v>3</v>
      </c>
      <c r="D13" s="44" t="s">
        <v>540</v>
      </c>
      <c r="E13" s="42" t="s">
        <v>504</v>
      </c>
      <c r="F13" s="42" t="s">
        <v>311</v>
      </c>
      <c r="G13" s="44" t="s">
        <v>506</v>
      </c>
      <c r="H13" s="134"/>
      <c r="J13" s="44" t="s">
        <v>507</v>
      </c>
      <c r="K13" s="42" t="s">
        <v>272</v>
      </c>
      <c r="L13" s="42"/>
      <c r="M13" s="58" t="s">
        <v>353</v>
      </c>
      <c r="N13" s="58" t="s">
        <v>386</v>
      </c>
      <c r="O13" s="42" t="s">
        <v>504</v>
      </c>
      <c r="P13" s="42"/>
      <c r="Q13" s="42"/>
      <c r="R13" s="42"/>
      <c r="S13" s="42"/>
      <c r="U13" s="47" t="s">
        <v>34</v>
      </c>
      <c r="V13" s="43">
        <v>45902</v>
      </c>
      <c r="W13" s="42"/>
      <c r="Y13" s="174" t="s">
        <v>56</v>
      </c>
      <c r="Z13" s="43">
        <v>45936</v>
      </c>
      <c r="AA13" s="42"/>
      <c r="AB13" s="42"/>
    </row>
    <row r="14" spans="1:28" s="22" customFormat="1" ht="28.8" x14ac:dyDescent="0.3">
      <c r="B14" s="42" t="s">
        <v>479</v>
      </c>
      <c r="C14" s="150">
        <v>4</v>
      </c>
      <c r="D14" s="44" t="s">
        <v>541</v>
      </c>
      <c r="E14" s="42" t="s">
        <v>542</v>
      </c>
      <c r="F14" s="42" t="s">
        <v>311</v>
      </c>
      <c r="G14" s="44" t="s">
        <v>512</v>
      </c>
      <c r="H14" s="134"/>
      <c r="J14" s="44" t="s">
        <v>507</v>
      </c>
      <c r="K14" s="42" t="s">
        <v>273</v>
      </c>
      <c r="L14" s="42"/>
      <c r="M14" s="58" t="s">
        <v>353</v>
      </c>
      <c r="N14" s="58" t="s">
        <v>386</v>
      </c>
      <c r="O14" s="42" t="s">
        <v>542</v>
      </c>
      <c r="P14" s="42"/>
      <c r="Q14" s="42"/>
      <c r="R14" s="42"/>
      <c r="S14" s="42"/>
      <c r="U14" s="47" t="s">
        <v>34</v>
      </c>
      <c r="V14" s="43">
        <v>45902</v>
      </c>
      <c r="W14" s="42"/>
      <c r="Y14" s="174" t="s">
        <v>56</v>
      </c>
      <c r="Z14" s="43">
        <v>45936</v>
      </c>
      <c r="AA14" s="42"/>
      <c r="AB14" s="42"/>
    </row>
    <row r="15" spans="1:28" s="22" customFormat="1" ht="28.8" x14ac:dyDescent="0.3">
      <c r="B15" s="42" t="s">
        <v>479</v>
      </c>
      <c r="C15" s="150">
        <v>5</v>
      </c>
      <c r="D15" s="44" t="s">
        <v>69</v>
      </c>
      <c r="E15" s="42" t="s">
        <v>164</v>
      </c>
      <c r="F15" s="42" t="s">
        <v>311</v>
      </c>
      <c r="G15" s="44" t="s">
        <v>359</v>
      </c>
      <c r="H15" s="134"/>
      <c r="J15" s="44" t="s">
        <v>507</v>
      </c>
      <c r="K15" s="42" t="s">
        <v>274</v>
      </c>
      <c r="L15" s="42"/>
      <c r="M15" s="58" t="s">
        <v>353</v>
      </c>
      <c r="N15" s="58" t="s">
        <v>386</v>
      </c>
      <c r="O15" s="42" t="s">
        <v>164</v>
      </c>
      <c r="P15" s="42"/>
      <c r="Q15" s="42"/>
      <c r="R15" s="42"/>
      <c r="S15" s="42"/>
      <c r="U15" s="47" t="s">
        <v>34</v>
      </c>
      <c r="V15" s="43">
        <v>45902</v>
      </c>
      <c r="W15" s="42"/>
      <c r="Y15" s="174" t="s">
        <v>56</v>
      </c>
      <c r="Z15" s="43">
        <v>45936</v>
      </c>
      <c r="AA15" s="42"/>
      <c r="AB15" s="42"/>
    </row>
    <row r="16" spans="1:28" s="22" customFormat="1" ht="28.8" x14ac:dyDescent="0.3">
      <c r="B16" s="42" t="s">
        <v>479</v>
      </c>
      <c r="C16" s="150">
        <v>6</v>
      </c>
      <c r="D16" s="44" t="s">
        <v>510</v>
      </c>
      <c r="E16" s="42" t="s">
        <v>511</v>
      </c>
      <c r="F16" s="42" t="s">
        <v>311</v>
      </c>
      <c r="G16" s="44" t="s">
        <v>513</v>
      </c>
      <c r="H16" s="134"/>
      <c r="J16" s="44" t="s">
        <v>507</v>
      </c>
      <c r="K16" s="42" t="s">
        <v>283</v>
      </c>
      <c r="L16" s="42"/>
      <c r="M16" s="58" t="s">
        <v>353</v>
      </c>
      <c r="N16" s="58" t="s">
        <v>386</v>
      </c>
      <c r="O16" s="42" t="s">
        <v>511</v>
      </c>
      <c r="P16" s="42"/>
      <c r="Q16" s="42"/>
      <c r="R16" s="42"/>
      <c r="S16" s="42"/>
      <c r="U16" s="47" t="s">
        <v>34</v>
      </c>
      <c r="V16" s="43">
        <v>45902</v>
      </c>
      <c r="W16" s="42"/>
      <c r="Y16" s="174" t="s">
        <v>56</v>
      </c>
      <c r="Z16" s="43">
        <v>45936</v>
      </c>
      <c r="AA16" s="42"/>
      <c r="AB16" s="42"/>
    </row>
    <row r="17" spans="2:28" s="22" customFormat="1" ht="28.8" x14ac:dyDescent="0.3">
      <c r="B17" s="42" t="s">
        <v>479</v>
      </c>
      <c r="C17" s="150">
        <v>7</v>
      </c>
      <c r="D17" s="44" t="s">
        <v>514</v>
      </c>
      <c r="E17" s="42" t="s">
        <v>706</v>
      </c>
      <c r="F17" s="42" t="s">
        <v>311</v>
      </c>
      <c r="G17" s="44" t="s">
        <v>522</v>
      </c>
      <c r="H17" s="134"/>
      <c r="J17" s="44" t="s">
        <v>507</v>
      </c>
      <c r="K17" s="42" t="s">
        <v>275</v>
      </c>
      <c r="L17" s="42"/>
      <c r="M17" s="58" t="s">
        <v>353</v>
      </c>
      <c r="N17" s="58" t="s">
        <v>386</v>
      </c>
      <c r="O17" s="42" t="s">
        <v>706</v>
      </c>
      <c r="P17" s="42"/>
      <c r="Q17" s="42"/>
      <c r="R17" s="42"/>
      <c r="S17" s="42"/>
      <c r="U17" s="47" t="s">
        <v>34</v>
      </c>
      <c r="V17" s="43">
        <v>45902</v>
      </c>
      <c r="W17" s="42"/>
      <c r="Y17" s="174" t="s">
        <v>56</v>
      </c>
      <c r="Z17" s="43">
        <v>45936</v>
      </c>
      <c r="AA17" s="42"/>
      <c r="AB17" s="42"/>
    </row>
    <row r="18" spans="2:28" s="148" customFormat="1" ht="28.8" x14ac:dyDescent="0.3">
      <c r="B18" s="42" t="s">
        <v>479</v>
      </c>
      <c r="C18" s="150">
        <v>8</v>
      </c>
      <c r="D18" s="58" t="s">
        <v>515</v>
      </c>
      <c r="E18" s="57" t="s">
        <v>705</v>
      </c>
      <c r="F18" s="42" t="s">
        <v>311</v>
      </c>
      <c r="G18" s="44" t="s">
        <v>523</v>
      </c>
      <c r="H18" s="57"/>
      <c r="J18" s="44" t="s">
        <v>507</v>
      </c>
      <c r="K18" s="57" t="s">
        <v>276</v>
      </c>
      <c r="L18" s="57"/>
      <c r="M18" s="58" t="s">
        <v>353</v>
      </c>
      <c r="N18" s="58" t="s">
        <v>386</v>
      </c>
      <c r="O18" s="57" t="s">
        <v>705</v>
      </c>
      <c r="P18" s="57"/>
      <c r="Q18" s="57"/>
      <c r="R18" s="57"/>
      <c r="S18" s="57"/>
      <c r="U18" s="47" t="s">
        <v>34</v>
      </c>
      <c r="V18" s="43">
        <v>45902</v>
      </c>
      <c r="W18" s="57"/>
      <c r="Y18" s="174" t="s">
        <v>56</v>
      </c>
      <c r="Z18" s="43">
        <v>45936</v>
      </c>
      <c r="AA18" s="57"/>
      <c r="AB18" s="57"/>
    </row>
    <row r="19" spans="2:28" s="22" customFormat="1" ht="28.8" x14ac:dyDescent="0.3">
      <c r="B19" s="42" t="s">
        <v>479</v>
      </c>
      <c r="C19" s="150">
        <v>9</v>
      </c>
      <c r="D19" s="44" t="s">
        <v>71</v>
      </c>
      <c r="E19" s="42" t="s">
        <v>256</v>
      </c>
      <c r="F19" s="42" t="s">
        <v>311</v>
      </c>
      <c r="G19" s="44" t="s">
        <v>360</v>
      </c>
      <c r="H19" s="134"/>
      <c r="J19" s="44" t="s">
        <v>507</v>
      </c>
      <c r="K19" s="42" t="s">
        <v>277</v>
      </c>
      <c r="L19" s="42"/>
      <c r="M19" s="58" t="s">
        <v>353</v>
      </c>
      <c r="N19" s="58" t="s">
        <v>386</v>
      </c>
      <c r="O19" s="42" t="s">
        <v>256</v>
      </c>
      <c r="P19" s="42"/>
      <c r="Q19" s="42"/>
      <c r="R19" s="42"/>
      <c r="S19" s="42"/>
      <c r="U19" s="47" t="s">
        <v>34</v>
      </c>
      <c r="V19" s="43">
        <v>45902</v>
      </c>
      <c r="W19" s="42"/>
      <c r="Y19" s="174" t="s">
        <v>56</v>
      </c>
      <c r="Z19" s="43">
        <v>45936</v>
      </c>
      <c r="AA19" s="42"/>
      <c r="AB19" s="42"/>
    </row>
    <row r="20" spans="2:28" s="22" customFormat="1" ht="28.8" x14ac:dyDescent="0.3">
      <c r="B20" s="42" t="s">
        <v>479</v>
      </c>
      <c r="C20" s="150">
        <v>10</v>
      </c>
      <c r="D20" s="44" t="s">
        <v>517</v>
      </c>
      <c r="E20" s="42" t="s">
        <v>516</v>
      </c>
      <c r="F20" s="42" t="s">
        <v>311</v>
      </c>
      <c r="G20" s="44" t="s">
        <v>518</v>
      </c>
      <c r="H20" s="134"/>
      <c r="J20" s="44" t="s">
        <v>507</v>
      </c>
      <c r="K20" s="42" t="s">
        <v>278</v>
      </c>
      <c r="L20" s="42"/>
      <c r="M20" s="58" t="s">
        <v>353</v>
      </c>
      <c r="N20" s="58" t="s">
        <v>386</v>
      </c>
      <c r="O20" s="42" t="s">
        <v>516</v>
      </c>
      <c r="P20" s="42"/>
      <c r="Q20" s="42"/>
      <c r="R20" s="42"/>
      <c r="S20" s="42"/>
      <c r="U20" s="47" t="s">
        <v>34</v>
      </c>
      <c r="V20" s="43">
        <v>45902</v>
      </c>
      <c r="W20" s="42"/>
      <c r="Y20" s="174" t="s">
        <v>56</v>
      </c>
      <c r="Z20" s="43">
        <v>45936</v>
      </c>
      <c r="AA20" s="42"/>
      <c r="AB20" s="42"/>
    </row>
    <row r="21" spans="2:28" s="22" customFormat="1" ht="28.8" x14ac:dyDescent="0.3">
      <c r="B21" s="42" t="s">
        <v>479</v>
      </c>
      <c r="C21" s="150">
        <v>11</v>
      </c>
      <c r="D21" s="44" t="s">
        <v>257</v>
      </c>
      <c r="E21" s="42" t="s">
        <v>704</v>
      </c>
      <c r="F21" s="42" t="s">
        <v>311</v>
      </c>
      <c r="G21" s="44" t="s">
        <v>524</v>
      </c>
      <c r="H21" s="134"/>
      <c r="J21" s="44" t="s">
        <v>507</v>
      </c>
      <c r="K21" s="42" t="s">
        <v>279</v>
      </c>
      <c r="L21" s="42"/>
      <c r="M21" s="58" t="s">
        <v>353</v>
      </c>
      <c r="N21" s="58" t="s">
        <v>386</v>
      </c>
      <c r="O21" s="42" t="s">
        <v>704</v>
      </c>
      <c r="P21" s="42"/>
      <c r="Q21" s="42"/>
      <c r="R21" s="42"/>
      <c r="S21" s="42"/>
      <c r="U21" s="47" t="s">
        <v>34</v>
      </c>
      <c r="V21" s="43">
        <v>45902</v>
      </c>
      <c r="W21" s="42"/>
      <c r="Y21" s="174" t="s">
        <v>56</v>
      </c>
      <c r="Z21" s="43">
        <v>45936</v>
      </c>
      <c r="AA21" s="42"/>
      <c r="AB21" s="42"/>
    </row>
    <row r="22" spans="2:28" s="22" customFormat="1" ht="28.8" x14ac:dyDescent="0.3">
      <c r="B22" s="42" t="s">
        <v>479</v>
      </c>
      <c r="C22" s="150">
        <v>12</v>
      </c>
      <c r="D22" s="44" t="s">
        <v>259</v>
      </c>
      <c r="E22" s="42" t="s">
        <v>258</v>
      </c>
      <c r="F22" s="42" t="s">
        <v>311</v>
      </c>
      <c r="G22" s="44" t="s">
        <v>525</v>
      </c>
      <c r="H22" s="134"/>
      <c r="J22" s="44" t="s">
        <v>507</v>
      </c>
      <c r="K22" s="57" t="s">
        <v>280</v>
      </c>
      <c r="L22" s="42"/>
      <c r="M22" s="58" t="s">
        <v>353</v>
      </c>
      <c r="N22" s="58" t="s">
        <v>386</v>
      </c>
      <c r="O22" s="42" t="s">
        <v>258</v>
      </c>
      <c r="P22" s="42"/>
      <c r="Q22" s="42"/>
      <c r="R22" s="42"/>
      <c r="S22" s="42"/>
      <c r="U22" s="47" t="s">
        <v>34</v>
      </c>
      <c r="V22" s="43">
        <v>45902</v>
      </c>
      <c r="W22" s="42"/>
      <c r="Y22" s="174" t="s">
        <v>56</v>
      </c>
      <c r="Z22" s="43">
        <v>45936</v>
      </c>
      <c r="AA22" s="42"/>
      <c r="AB22" s="42"/>
    </row>
    <row r="23" spans="2:28" s="148" customFormat="1" ht="43.2" x14ac:dyDescent="0.3">
      <c r="B23" s="42" t="s">
        <v>479</v>
      </c>
      <c r="C23" s="150">
        <v>13</v>
      </c>
      <c r="D23" s="58" t="s">
        <v>260</v>
      </c>
      <c r="E23" s="57" t="s">
        <v>703</v>
      </c>
      <c r="F23" s="57" t="s">
        <v>354</v>
      </c>
      <c r="G23" s="44" t="s">
        <v>355</v>
      </c>
      <c r="H23" s="57"/>
      <c r="J23" s="44" t="s">
        <v>507</v>
      </c>
      <c r="K23" s="42" t="s">
        <v>281</v>
      </c>
      <c r="L23" s="57"/>
      <c r="M23" s="58" t="s">
        <v>353</v>
      </c>
      <c r="N23" s="58" t="s">
        <v>386</v>
      </c>
      <c r="O23" s="57" t="s">
        <v>703</v>
      </c>
      <c r="P23" s="57"/>
      <c r="Q23" s="57"/>
      <c r="R23" s="57"/>
      <c r="S23" s="57"/>
      <c r="U23" s="47" t="s">
        <v>34</v>
      </c>
      <c r="V23" s="43">
        <v>45902</v>
      </c>
      <c r="W23" s="57"/>
      <c r="Y23" s="211" t="s">
        <v>58</v>
      </c>
      <c r="Z23" s="43"/>
      <c r="AA23" s="57"/>
      <c r="AB23" s="57" t="s">
        <v>805</v>
      </c>
    </row>
    <row r="24" spans="2:28" s="22" customFormat="1" ht="28.8" x14ac:dyDescent="0.3">
      <c r="B24" s="42" t="s">
        <v>479</v>
      </c>
      <c r="C24" s="150">
        <v>14</v>
      </c>
      <c r="D24" s="44" t="s">
        <v>261</v>
      </c>
      <c r="E24" s="42" t="s">
        <v>702</v>
      </c>
      <c r="F24" s="42" t="s">
        <v>348</v>
      </c>
      <c r="G24" s="44" t="s">
        <v>526</v>
      </c>
      <c r="H24" s="134"/>
      <c r="J24" s="44" t="s">
        <v>507</v>
      </c>
      <c r="K24" s="42" t="s">
        <v>282</v>
      </c>
      <c r="L24" s="42"/>
      <c r="M24" s="58" t="s">
        <v>353</v>
      </c>
      <c r="N24" s="58" t="s">
        <v>386</v>
      </c>
      <c r="O24" s="42" t="s">
        <v>702</v>
      </c>
      <c r="P24" s="42"/>
      <c r="Q24" s="42"/>
      <c r="R24" s="42"/>
      <c r="S24" s="42"/>
      <c r="U24" s="47" t="s">
        <v>34</v>
      </c>
      <c r="V24" s="43">
        <v>45902</v>
      </c>
      <c r="W24" s="57"/>
      <c r="Y24" s="211" t="s">
        <v>58</v>
      </c>
      <c r="Z24" s="43"/>
      <c r="AA24" s="42"/>
      <c r="AB24" s="57" t="s">
        <v>805</v>
      </c>
    </row>
    <row r="25" spans="2:28" s="22" customFormat="1" ht="28.8" x14ac:dyDescent="0.3">
      <c r="B25" s="42" t="s">
        <v>479</v>
      </c>
      <c r="C25" s="150">
        <v>15</v>
      </c>
      <c r="D25" s="44" t="s">
        <v>262</v>
      </c>
      <c r="E25" s="42" t="s">
        <v>701</v>
      </c>
      <c r="F25" s="42" t="s">
        <v>348</v>
      </c>
      <c r="G25" s="44" t="s">
        <v>527</v>
      </c>
      <c r="H25" s="134"/>
      <c r="J25" s="44" t="s">
        <v>507</v>
      </c>
      <c r="K25" s="42" t="s">
        <v>73</v>
      </c>
      <c r="L25" s="42"/>
      <c r="M25" s="58" t="s">
        <v>353</v>
      </c>
      <c r="N25" s="58" t="s">
        <v>386</v>
      </c>
      <c r="O25" s="42" t="s">
        <v>701</v>
      </c>
      <c r="P25" s="42"/>
      <c r="Q25" s="42"/>
      <c r="R25" s="42"/>
      <c r="S25" s="42"/>
      <c r="U25" s="47" t="s">
        <v>34</v>
      </c>
      <c r="V25" s="43">
        <v>45902</v>
      </c>
      <c r="W25" s="57"/>
      <c r="Y25" s="211" t="s">
        <v>58</v>
      </c>
      <c r="Z25" s="43"/>
      <c r="AA25" s="42"/>
      <c r="AB25" s="57" t="s">
        <v>805</v>
      </c>
    </row>
    <row r="26" spans="2:28" s="22" customFormat="1" ht="28.8" x14ac:dyDescent="0.3">
      <c r="B26" s="42" t="s">
        <v>479</v>
      </c>
      <c r="C26" s="150">
        <v>16</v>
      </c>
      <c r="D26" s="44" t="s">
        <v>264</v>
      </c>
      <c r="E26" s="42" t="s">
        <v>263</v>
      </c>
      <c r="F26" s="42" t="s">
        <v>311</v>
      </c>
      <c r="G26" s="44" t="s">
        <v>528</v>
      </c>
      <c r="H26" s="134"/>
      <c r="J26" s="44" t="s">
        <v>507</v>
      </c>
      <c r="K26" s="57" t="s">
        <v>553</v>
      </c>
      <c r="L26" s="42"/>
      <c r="M26" s="58" t="s">
        <v>353</v>
      </c>
      <c r="N26" s="58" t="s">
        <v>386</v>
      </c>
      <c r="O26" s="42" t="s">
        <v>263</v>
      </c>
      <c r="P26" s="42"/>
      <c r="Q26" s="42"/>
      <c r="R26" s="42"/>
      <c r="S26" s="42"/>
      <c r="U26" s="47" t="s">
        <v>34</v>
      </c>
      <c r="V26" s="43">
        <v>45902</v>
      </c>
      <c r="W26" s="42"/>
      <c r="Y26" s="174" t="s">
        <v>56</v>
      </c>
      <c r="Z26" s="43"/>
      <c r="AA26" s="42"/>
      <c r="AB26" s="42"/>
    </row>
    <row r="27" spans="2:28" s="22" customFormat="1" ht="28.8" x14ac:dyDescent="0.3">
      <c r="B27" s="42" t="s">
        <v>479</v>
      </c>
      <c r="C27" s="150">
        <v>17</v>
      </c>
      <c r="D27" s="44" t="s">
        <v>265</v>
      </c>
      <c r="E27" s="42" t="s">
        <v>603</v>
      </c>
      <c r="F27" s="42" t="s">
        <v>311</v>
      </c>
      <c r="G27" s="44" t="s">
        <v>529</v>
      </c>
      <c r="H27" s="134"/>
      <c r="J27" s="44" t="s">
        <v>507</v>
      </c>
      <c r="K27" s="42" t="s">
        <v>554</v>
      </c>
      <c r="L27" s="42"/>
      <c r="M27" s="58" t="s">
        <v>353</v>
      </c>
      <c r="N27" s="58" t="s">
        <v>386</v>
      </c>
      <c r="O27" s="42" t="s">
        <v>603</v>
      </c>
      <c r="P27" s="42"/>
      <c r="Q27" s="42"/>
      <c r="R27" s="42"/>
      <c r="S27" s="42"/>
      <c r="U27" s="47" t="s">
        <v>34</v>
      </c>
      <c r="V27" s="43">
        <v>45930</v>
      </c>
      <c r="W27" s="57"/>
      <c r="Y27" s="211" t="s">
        <v>58</v>
      </c>
      <c r="Z27" s="43">
        <v>45936</v>
      </c>
      <c r="AA27" s="42"/>
      <c r="AB27" s="57" t="s">
        <v>805</v>
      </c>
    </row>
    <row r="28" spans="2:28" s="22" customFormat="1" ht="28.8" x14ac:dyDescent="0.3">
      <c r="B28" s="42" t="s">
        <v>479</v>
      </c>
      <c r="C28" s="150">
        <v>18</v>
      </c>
      <c r="D28" s="44" t="s">
        <v>267</v>
      </c>
      <c r="E28" s="42" t="s">
        <v>266</v>
      </c>
      <c r="F28" s="42" t="s">
        <v>311</v>
      </c>
      <c r="G28" s="44" t="s">
        <v>543</v>
      </c>
      <c r="H28" s="134"/>
      <c r="J28" s="44" t="s">
        <v>507</v>
      </c>
      <c r="K28" s="42" t="s">
        <v>555</v>
      </c>
      <c r="L28" s="42"/>
      <c r="M28" s="58" t="s">
        <v>353</v>
      </c>
      <c r="N28" s="58" t="s">
        <v>386</v>
      </c>
      <c r="O28" s="42" t="s">
        <v>266</v>
      </c>
      <c r="P28" s="42"/>
      <c r="Q28" s="42"/>
      <c r="R28" s="42"/>
      <c r="S28" s="42"/>
      <c r="U28" s="47" t="s">
        <v>34</v>
      </c>
      <c r="V28" s="43">
        <v>45902</v>
      </c>
      <c r="W28" s="42"/>
      <c r="Y28" s="174" t="s">
        <v>56</v>
      </c>
      <c r="Z28" s="43">
        <v>45936</v>
      </c>
      <c r="AA28" s="42"/>
      <c r="AB28" s="42"/>
    </row>
    <row r="29" spans="2:28" s="22" customFormat="1" ht="28.8" x14ac:dyDescent="0.3">
      <c r="B29" s="42" t="s">
        <v>479</v>
      </c>
      <c r="C29" s="150">
        <v>19</v>
      </c>
      <c r="D29" s="44" t="s">
        <v>519</v>
      </c>
      <c r="E29" s="42" t="s">
        <v>700</v>
      </c>
      <c r="F29" s="42" t="s">
        <v>311</v>
      </c>
      <c r="G29" s="44" t="s">
        <v>530</v>
      </c>
      <c r="H29" s="134"/>
      <c r="J29" s="44" t="s">
        <v>507</v>
      </c>
      <c r="K29" s="42" t="s">
        <v>556</v>
      </c>
      <c r="L29" s="42"/>
      <c r="M29" s="58" t="s">
        <v>353</v>
      </c>
      <c r="N29" s="58" t="s">
        <v>386</v>
      </c>
      <c r="O29" s="42" t="s">
        <v>700</v>
      </c>
      <c r="P29" s="42"/>
      <c r="Q29" s="42"/>
      <c r="R29" s="42"/>
      <c r="S29" s="42"/>
      <c r="U29" s="47" t="s">
        <v>34</v>
      </c>
      <c r="V29" s="43">
        <v>45930</v>
      </c>
      <c r="W29" s="57"/>
      <c r="Y29" s="211" t="s">
        <v>58</v>
      </c>
      <c r="Z29" s="43"/>
      <c r="AA29" s="42"/>
      <c r="AB29" s="57" t="s">
        <v>805</v>
      </c>
    </row>
    <row r="30" spans="2:28" s="22" customFormat="1" ht="28.8" x14ac:dyDescent="0.3">
      <c r="B30" s="42" t="s">
        <v>479</v>
      </c>
      <c r="C30" s="150">
        <v>20</v>
      </c>
      <c r="D30" s="44" t="s">
        <v>520</v>
      </c>
      <c r="E30" s="42" t="s">
        <v>699</v>
      </c>
      <c r="F30" s="42" t="s">
        <v>311</v>
      </c>
      <c r="G30" s="44" t="s">
        <v>521</v>
      </c>
      <c r="H30" s="134"/>
      <c r="J30" s="44" t="s">
        <v>507</v>
      </c>
      <c r="K30" s="57" t="s">
        <v>557</v>
      </c>
      <c r="L30" s="42"/>
      <c r="M30" s="58" t="s">
        <v>353</v>
      </c>
      <c r="N30" s="58" t="s">
        <v>386</v>
      </c>
      <c r="O30" s="42" t="s">
        <v>699</v>
      </c>
      <c r="P30" s="42"/>
      <c r="Q30" s="42"/>
      <c r="R30" s="42"/>
      <c r="S30" s="42"/>
      <c r="U30" s="47" t="s">
        <v>34</v>
      </c>
      <c r="V30" s="43">
        <v>45902</v>
      </c>
      <c r="W30" s="57"/>
      <c r="Y30" s="211" t="s">
        <v>58</v>
      </c>
      <c r="Z30" s="43"/>
      <c r="AA30" s="42"/>
      <c r="AB30" s="57" t="s">
        <v>805</v>
      </c>
    </row>
    <row r="31" spans="2:28" s="22" customFormat="1" ht="28.8" x14ac:dyDescent="0.3">
      <c r="B31" s="42" t="s">
        <v>479</v>
      </c>
      <c r="C31" s="150">
        <v>21</v>
      </c>
      <c r="D31" s="44" t="s">
        <v>750</v>
      </c>
      <c r="E31" s="42" t="s">
        <v>738</v>
      </c>
      <c r="F31" s="42" t="s">
        <v>311</v>
      </c>
      <c r="G31" s="44" t="s">
        <v>727</v>
      </c>
      <c r="H31" s="134"/>
      <c r="J31" s="44"/>
      <c r="K31" s="57"/>
      <c r="L31" s="42"/>
      <c r="M31" s="58" t="s">
        <v>353</v>
      </c>
      <c r="N31" s="58" t="s">
        <v>386</v>
      </c>
      <c r="O31" s="42" t="s">
        <v>738</v>
      </c>
      <c r="P31" s="42"/>
      <c r="Q31" s="42"/>
      <c r="R31" s="42"/>
      <c r="S31" s="42"/>
      <c r="U31" s="47" t="s">
        <v>34</v>
      </c>
      <c r="V31" s="43">
        <v>45930</v>
      </c>
      <c r="W31" s="57"/>
      <c r="Y31" s="211" t="s">
        <v>58</v>
      </c>
      <c r="Z31" s="43"/>
      <c r="AA31" s="42"/>
      <c r="AB31" s="57" t="s">
        <v>805</v>
      </c>
    </row>
    <row r="32" spans="2:28" s="22" customFormat="1" ht="28.8" x14ac:dyDescent="0.3">
      <c r="B32" s="42" t="s">
        <v>479</v>
      </c>
      <c r="C32" s="150">
        <v>22</v>
      </c>
      <c r="D32" s="42" t="s">
        <v>442</v>
      </c>
      <c r="E32" s="42" t="s">
        <v>436</v>
      </c>
      <c r="F32" s="44" t="s">
        <v>311</v>
      </c>
      <c r="G32" s="44" t="s">
        <v>437</v>
      </c>
      <c r="H32" s="167"/>
      <c r="I32" s="113"/>
      <c r="J32" s="44" t="s">
        <v>552</v>
      </c>
      <c r="K32" s="44" t="s">
        <v>252</v>
      </c>
      <c r="L32" s="44"/>
      <c r="M32" s="58" t="s">
        <v>353</v>
      </c>
      <c r="N32" s="58" t="s">
        <v>385</v>
      </c>
      <c r="O32" s="42" t="s">
        <v>436</v>
      </c>
      <c r="P32" s="44"/>
      <c r="Q32" s="44"/>
      <c r="R32" s="44"/>
      <c r="S32" s="44"/>
      <c r="T32" s="113"/>
      <c r="U32" s="47" t="s">
        <v>34</v>
      </c>
      <c r="V32" s="43">
        <v>45902</v>
      </c>
      <c r="W32" s="42"/>
      <c r="Y32" s="174" t="s">
        <v>56</v>
      </c>
      <c r="Z32" s="43">
        <v>45936</v>
      </c>
      <c r="AA32" s="44"/>
      <c r="AB32" s="42"/>
    </row>
    <row r="33" spans="2:28" s="22" customFormat="1" x14ac:dyDescent="0.3">
      <c r="B33" s="42" t="s">
        <v>479</v>
      </c>
      <c r="C33" s="150">
        <v>23</v>
      </c>
      <c r="D33" s="44" t="s">
        <v>307</v>
      </c>
      <c r="E33" s="42" t="s">
        <v>471</v>
      </c>
      <c r="F33" s="42" t="s">
        <v>311</v>
      </c>
      <c r="G33" s="44" t="s">
        <v>463</v>
      </c>
      <c r="H33" s="167"/>
      <c r="I33" s="113"/>
      <c r="J33" s="44" t="s">
        <v>552</v>
      </c>
      <c r="K33" s="44" t="s">
        <v>252</v>
      </c>
      <c r="L33" s="44"/>
      <c r="M33" s="58" t="s">
        <v>353</v>
      </c>
      <c r="N33" s="58" t="s">
        <v>385</v>
      </c>
      <c r="O33" s="42" t="s">
        <v>471</v>
      </c>
      <c r="P33" s="44"/>
      <c r="Q33" s="44"/>
      <c r="R33" s="44"/>
      <c r="S33" s="44"/>
      <c r="T33" s="113"/>
      <c r="U33" s="47" t="s">
        <v>34</v>
      </c>
      <c r="V33" s="43">
        <v>45902</v>
      </c>
      <c r="W33" s="42"/>
      <c r="Y33" s="145" t="s">
        <v>34</v>
      </c>
      <c r="Z33" s="43">
        <v>45936</v>
      </c>
      <c r="AA33" s="44"/>
      <c r="AB33" s="42"/>
    </row>
    <row r="34" spans="2:28" x14ac:dyDescent="0.3">
      <c r="B34" s="42" t="s">
        <v>479</v>
      </c>
      <c r="C34" s="150">
        <v>24</v>
      </c>
      <c r="D34" s="44" t="s">
        <v>427</v>
      </c>
      <c r="E34" s="42" t="s">
        <v>426</v>
      </c>
      <c r="F34" s="44" t="s">
        <v>311</v>
      </c>
      <c r="G34" s="44" t="s">
        <v>430</v>
      </c>
      <c r="H34" s="167"/>
      <c r="I34" s="113"/>
      <c r="J34" s="44" t="s">
        <v>552</v>
      </c>
      <c r="K34" s="44" t="s">
        <v>310</v>
      </c>
      <c r="L34" s="44"/>
      <c r="M34" s="44" t="s">
        <v>332</v>
      </c>
      <c r="N34" s="44" t="s">
        <v>332</v>
      </c>
      <c r="O34" s="44" t="s">
        <v>332</v>
      </c>
      <c r="P34" s="44"/>
      <c r="Q34" s="44"/>
      <c r="R34" s="44"/>
      <c r="S34" s="44"/>
      <c r="T34" s="113"/>
      <c r="U34" s="47" t="s">
        <v>34</v>
      </c>
      <c r="V34" s="43">
        <v>45902</v>
      </c>
      <c r="W34" s="42"/>
      <c r="X34" s="22"/>
      <c r="Y34" s="145" t="s">
        <v>34</v>
      </c>
      <c r="Z34" s="43">
        <v>45936</v>
      </c>
      <c r="AA34" s="44"/>
      <c r="AB34" s="42"/>
    </row>
    <row r="35" spans="2:28" x14ac:dyDescent="0.3">
      <c r="B35" s="42" t="s">
        <v>479</v>
      </c>
      <c r="C35" s="150">
        <v>25</v>
      </c>
      <c r="D35" s="44" t="s">
        <v>329</v>
      </c>
      <c r="E35" s="44" t="s">
        <v>309</v>
      </c>
      <c r="F35" s="44" t="s">
        <v>349</v>
      </c>
      <c r="G35" s="44" t="s">
        <v>331</v>
      </c>
      <c r="H35" s="167"/>
      <c r="I35" s="113"/>
      <c r="J35" s="44" t="s">
        <v>552</v>
      </c>
      <c r="K35" s="44" t="s">
        <v>310</v>
      </c>
      <c r="L35" s="44"/>
      <c r="M35" s="44" t="s">
        <v>332</v>
      </c>
      <c r="N35" s="44" t="s">
        <v>332</v>
      </c>
      <c r="O35" s="44" t="s">
        <v>332</v>
      </c>
      <c r="P35" s="44"/>
      <c r="Q35" s="44"/>
      <c r="R35" s="44"/>
      <c r="S35" s="44"/>
      <c r="T35" s="113"/>
      <c r="U35" s="47" t="s">
        <v>34</v>
      </c>
      <c r="V35" s="43">
        <v>45902</v>
      </c>
      <c r="W35" s="42"/>
      <c r="X35" s="22"/>
      <c r="Y35" s="145" t="s">
        <v>34</v>
      </c>
      <c r="Z35" s="43">
        <v>45936</v>
      </c>
      <c r="AA35" s="44"/>
      <c r="AB35" s="42"/>
    </row>
    <row r="36" spans="2:28" x14ac:dyDescent="0.3">
      <c r="B36" s="42" t="s">
        <v>479</v>
      </c>
      <c r="C36" s="150">
        <v>26</v>
      </c>
      <c r="D36" s="44" t="s">
        <v>328</v>
      </c>
      <c r="E36" s="44" t="s">
        <v>308</v>
      </c>
      <c r="F36" s="44" t="s">
        <v>311</v>
      </c>
      <c r="G36" s="44" t="s">
        <v>330</v>
      </c>
      <c r="H36" s="167" t="s">
        <v>327</v>
      </c>
      <c r="I36" s="113"/>
      <c r="J36" s="44" t="s">
        <v>552</v>
      </c>
      <c r="K36" s="44" t="s">
        <v>310</v>
      </c>
      <c r="L36" s="44"/>
      <c r="M36" s="44" t="s">
        <v>332</v>
      </c>
      <c r="N36" s="44" t="s">
        <v>332</v>
      </c>
      <c r="O36" s="96" t="s">
        <v>332</v>
      </c>
      <c r="P36" s="44"/>
      <c r="Q36" s="44"/>
      <c r="R36" s="44"/>
      <c r="S36" s="44"/>
      <c r="T36" s="113"/>
      <c r="U36" s="47" t="s">
        <v>34</v>
      </c>
      <c r="V36" s="43">
        <v>45902</v>
      </c>
      <c r="W36" s="42"/>
      <c r="X36" s="22"/>
      <c r="Y36" s="145" t="s">
        <v>34</v>
      </c>
      <c r="Z36" s="43">
        <v>45936</v>
      </c>
      <c r="AA36" s="44"/>
      <c r="AB36" s="42"/>
    </row>
    <row r="37" spans="2:28" x14ac:dyDescent="0.3">
      <c r="B37" s="42" t="s">
        <v>479</v>
      </c>
      <c r="C37" s="150">
        <v>27</v>
      </c>
      <c r="D37" s="44" t="s">
        <v>428</v>
      </c>
      <c r="E37" s="44" t="s">
        <v>425</v>
      </c>
      <c r="F37" s="44" t="s">
        <v>354</v>
      </c>
      <c r="G37" s="44" t="s">
        <v>429</v>
      </c>
      <c r="H37" s="167" t="s">
        <v>327</v>
      </c>
      <c r="I37" s="113"/>
      <c r="J37" s="44" t="s">
        <v>552</v>
      </c>
      <c r="K37" s="44" t="s">
        <v>310</v>
      </c>
      <c r="L37" s="44"/>
      <c r="M37" s="44" t="s">
        <v>332</v>
      </c>
      <c r="N37" s="44" t="s">
        <v>332</v>
      </c>
      <c r="O37" s="44" t="s">
        <v>332</v>
      </c>
      <c r="P37" s="44"/>
      <c r="Q37" s="44"/>
      <c r="R37" s="44"/>
      <c r="S37" s="44"/>
      <c r="T37" s="113"/>
      <c r="U37" s="47" t="s">
        <v>34</v>
      </c>
      <c r="V37" s="43">
        <v>45902</v>
      </c>
      <c r="W37" s="57"/>
      <c r="X37" s="148"/>
      <c r="Y37" s="145" t="s">
        <v>34</v>
      </c>
      <c r="Z37" s="43">
        <v>45936</v>
      </c>
      <c r="AA37" s="44"/>
      <c r="AB37" s="42"/>
    </row>
  </sheetData>
  <autoFilter ref="B10:AB10"/>
  <mergeCells count="8">
    <mergeCell ref="B5:D5"/>
    <mergeCell ref="Y9:AB9"/>
    <mergeCell ref="J9:L9"/>
    <mergeCell ref="C7:H7"/>
    <mergeCell ref="B9:H9"/>
    <mergeCell ref="M9:O9"/>
    <mergeCell ref="P9:S9"/>
    <mergeCell ref="U9:W9"/>
  </mergeCells>
  <conditionalFormatting sqref="U11:U37">
    <cfRule type="cellIs" dxfId="83" priority="1" operator="equal">
      <formula>"Testes utilizador"</formula>
    </cfRule>
  </conditionalFormatting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equal" id="{7C7FF8E9-4D84-4282-8118-FC2F931FEBB3}">
            <xm:f>'C:\Users\e859162\Documents\00. Old\[BS_Especificação_FEI_v0.3.xlsx]Tabelas AUX'!#REF!</xm:f>
            <x14:dxf>
              <font>
                <color rgb="FF00B050"/>
              </font>
            </x14:dxf>
          </x14:cfRule>
          <x14:cfRule type="cellIs" priority="3" operator="equal" id="{2C5B907A-F8E9-4D32-BBF1-EB0E84B7878C}">
            <xm:f>'C:\Users\e859162\Documents\00. Old\[BS_Especificação_FEI_v0.3.xlsx]Tabelas AUX'!#REF!</xm:f>
            <x14:dxf>
              <font>
                <color rgb="FF7F7F7F"/>
              </font>
            </x14:dxf>
          </x14:cfRule>
          <x14:cfRule type="cellIs" priority="4" operator="equal" id="{FD2A1507-6674-4BA6-A2D6-7215B9F0053F}">
            <xm:f>'C:\Users\e859162\Documents\00. Old\[BS_Especificação_FEI_v0.3.xlsx]Tabelas AUX'!#REF!</xm:f>
            <x14:dxf>
              <font>
                <color theme="5"/>
              </font>
            </x14:dxf>
          </x14:cfRule>
          <x14:cfRule type="cellIs" priority="5" operator="equal" id="{90CE312F-CCC1-4189-ACE2-3AE5D08C1E04}">
            <xm:f>'C:\Users\e859162\Documents\00. Old\[BS_Especificação_FEI_v0.3.xlsx]Tabelas AUX'!#REF!</xm:f>
            <x14:dxf>
              <font>
                <color rgb="FFC00000"/>
              </font>
            </x14:dxf>
          </x14:cfRule>
          <xm:sqref>U11:U37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'https://santandernet.sharepoint.com/sites/FEIeBEI/Shared Documents/FEI e BEI/03. Documentos Produzidos/01. Especificação/00. Old/[BS_Especificação_FEI_v0.3.xlsx]Tabelas AUX'!#REF!</xm:f>
          </x14:formula1>
          <xm:sqref>U11:U37</xm:sqref>
        </x14:dataValidation>
        <x14:dataValidation type="list" allowBlank="1" showInputMessage="1" showErrorMessage="1">
          <x14:formula1>
            <xm:f>'Tabelas AUX'!$G$2:$G$17</xm:f>
          </x14:formula1>
          <xm:sqref>Y11:Y37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9" tint="0.59999389629810485"/>
    <pageSetUpPr autoPageBreaks="0"/>
  </sheetPr>
  <dimension ref="A1:AB30"/>
  <sheetViews>
    <sheetView showGridLines="0" zoomScale="70" zoomScaleNormal="70" workbookViewId="0">
      <selection activeCell="Y13" sqref="Y13"/>
    </sheetView>
  </sheetViews>
  <sheetFormatPr defaultRowHeight="14.4" outlineLevelRow="1" outlineLevelCol="1" x14ac:dyDescent="0.3"/>
  <cols>
    <col min="1" max="1" width="3.6640625" customWidth="1"/>
    <col min="2" max="2" width="19.21875" customWidth="1"/>
    <col min="3" max="3" width="10.109375" bestFit="1" customWidth="1"/>
    <col min="4" max="4" width="37.88671875" bestFit="1" customWidth="1"/>
    <col min="5" max="5" width="28.109375" bestFit="1" customWidth="1"/>
    <col min="6" max="6" width="17.77734375" bestFit="1" customWidth="1"/>
    <col min="7" max="7" width="50" bestFit="1" customWidth="1"/>
    <col min="8" max="8" width="18.33203125" bestFit="1" customWidth="1"/>
    <col min="9" max="9" width="2" customWidth="1"/>
    <col min="10" max="20" width="2" hidden="1" customWidth="1"/>
    <col min="21" max="21" width="10.44140625" customWidth="1" outlineLevel="1"/>
    <col min="22" max="22" width="17.88671875" bestFit="1" customWidth="1" outlineLevel="1"/>
    <col min="23" max="23" width="6.5546875" bestFit="1" customWidth="1" outlineLevel="1"/>
    <col min="24" max="24" width="2.109375" customWidth="1"/>
    <col min="25" max="25" width="10.44140625" bestFit="1" customWidth="1" outlineLevel="1"/>
    <col min="26" max="26" width="21.44140625" bestFit="1" customWidth="1" outlineLevel="1"/>
    <col min="27" max="28" width="6.5546875" bestFit="1" customWidth="1" outlineLevel="1"/>
  </cols>
  <sheetData>
    <row r="1" spans="1:28" ht="15" customHeight="1" x14ac:dyDescent="0.3">
      <c r="B1" s="22"/>
      <c r="C1" s="22"/>
      <c r="D1" s="22"/>
      <c r="E1" s="22"/>
      <c r="G1" s="22"/>
      <c r="H1" s="22"/>
    </row>
    <row r="2" spans="1:28" ht="34.5" customHeight="1" x14ac:dyDescent="0.3">
      <c r="B2" s="22"/>
      <c r="C2" s="22"/>
      <c r="D2" s="22"/>
      <c r="E2" s="23"/>
      <c r="G2" s="22"/>
      <c r="H2" s="22"/>
    </row>
    <row r="3" spans="1:28" s="49" customFormat="1" ht="2.25" customHeight="1" x14ac:dyDescent="0.3">
      <c r="A3" s="19"/>
      <c r="B3" s="24"/>
      <c r="C3" s="24"/>
      <c r="D3" s="24"/>
      <c r="E3" s="24"/>
      <c r="F3" s="24"/>
      <c r="G3" s="24"/>
      <c r="H3" s="24"/>
    </row>
    <row r="4" spans="1:28" ht="15" customHeight="1" x14ac:dyDescent="0.3">
      <c r="B4" s="22"/>
      <c r="C4" s="22"/>
      <c r="D4" s="22"/>
      <c r="E4" s="22"/>
      <c r="G4" s="22"/>
      <c r="H4" s="22"/>
    </row>
    <row r="5" spans="1:28" ht="15" customHeight="1" x14ac:dyDescent="0.3">
      <c r="B5" s="215" t="s">
        <v>770</v>
      </c>
      <c r="C5" s="215"/>
      <c r="D5" s="215"/>
      <c r="E5" s="22"/>
      <c r="G5" s="22"/>
      <c r="H5" s="22"/>
    </row>
    <row r="6" spans="1:28" ht="15" customHeight="1" x14ac:dyDescent="0.3">
      <c r="B6" s="22"/>
      <c r="C6" s="22"/>
      <c r="D6" s="22"/>
      <c r="E6" s="22"/>
      <c r="G6" s="22"/>
      <c r="H6" s="22"/>
    </row>
    <row r="7" spans="1:28" hidden="1" outlineLevel="1" x14ac:dyDescent="0.3">
      <c r="B7" s="26" t="s">
        <v>9</v>
      </c>
      <c r="C7" s="219" t="s">
        <v>794</v>
      </c>
      <c r="D7" s="219"/>
      <c r="E7" s="220"/>
      <c r="F7" s="220"/>
      <c r="G7" s="220"/>
      <c r="H7" s="220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X7" s="27"/>
    </row>
    <row r="8" spans="1:28" ht="15" hidden="1" customHeight="1" outlineLevel="1" x14ac:dyDescent="0.3">
      <c r="B8" s="22"/>
      <c r="C8" s="22"/>
      <c r="D8" s="22"/>
      <c r="E8" s="22"/>
      <c r="G8" s="22"/>
      <c r="H8" s="22"/>
    </row>
    <row r="9" spans="1:28" collapsed="1" x14ac:dyDescent="0.3">
      <c r="B9" s="221" t="s">
        <v>10</v>
      </c>
      <c r="C9" s="222"/>
      <c r="D9" s="222"/>
      <c r="E9" s="222"/>
      <c r="F9" s="222"/>
      <c r="G9" s="222"/>
      <c r="H9" s="223"/>
      <c r="U9" s="216" t="s">
        <v>14</v>
      </c>
      <c r="V9" s="217"/>
      <c r="W9" s="218"/>
      <c r="Y9" s="216" t="s">
        <v>15</v>
      </c>
      <c r="Z9" s="217"/>
      <c r="AA9" s="217"/>
      <c r="AB9" s="218"/>
    </row>
    <row r="10" spans="1:28" x14ac:dyDescent="0.3">
      <c r="B10" s="35" t="s">
        <v>16</v>
      </c>
      <c r="C10" s="35" t="s">
        <v>17</v>
      </c>
      <c r="D10" s="35" t="s">
        <v>18</v>
      </c>
      <c r="E10" s="35" t="s">
        <v>317</v>
      </c>
      <c r="F10" s="35" t="s">
        <v>19</v>
      </c>
      <c r="G10" s="35" t="s">
        <v>20</v>
      </c>
      <c r="H10" s="35" t="s">
        <v>312</v>
      </c>
      <c r="U10" s="36" t="s">
        <v>29</v>
      </c>
      <c r="V10" s="36" t="s">
        <v>30</v>
      </c>
      <c r="W10" s="36" t="s">
        <v>31</v>
      </c>
      <c r="Y10" s="36" t="s">
        <v>29</v>
      </c>
      <c r="Z10" s="36" t="s">
        <v>32</v>
      </c>
      <c r="AA10" s="36" t="s">
        <v>33</v>
      </c>
      <c r="AB10" s="36" t="s">
        <v>31</v>
      </c>
    </row>
    <row r="11" spans="1:28" s="22" customFormat="1" x14ac:dyDescent="0.3">
      <c r="B11" s="42" t="s">
        <v>766</v>
      </c>
      <c r="C11" s="150">
        <v>1</v>
      </c>
      <c r="D11" s="42" t="s">
        <v>442</v>
      </c>
      <c r="E11" s="44" t="s">
        <v>436</v>
      </c>
      <c r="F11" s="44" t="s">
        <v>311</v>
      </c>
      <c r="G11" s="44" t="s">
        <v>437</v>
      </c>
      <c r="H11" s="134"/>
      <c r="U11" s="47" t="s">
        <v>34</v>
      </c>
      <c r="V11" s="43">
        <v>45930</v>
      </c>
      <c r="W11" s="42"/>
      <c r="Y11" s="138" t="s">
        <v>626</v>
      </c>
      <c r="Z11" s="43"/>
      <c r="AA11" s="42"/>
      <c r="AB11" s="42"/>
    </row>
    <row r="12" spans="1:28" s="22" customFormat="1" x14ac:dyDescent="0.3">
      <c r="B12" s="42" t="s">
        <v>766</v>
      </c>
      <c r="C12" s="150">
        <v>2</v>
      </c>
      <c r="D12" s="44" t="s">
        <v>255</v>
      </c>
      <c r="E12" s="44" t="s">
        <v>170</v>
      </c>
      <c r="F12" s="42" t="s">
        <v>311</v>
      </c>
      <c r="G12" s="44" t="s">
        <v>351</v>
      </c>
      <c r="H12" s="134"/>
      <c r="U12" s="47" t="s">
        <v>34</v>
      </c>
      <c r="V12" s="43">
        <v>45930</v>
      </c>
      <c r="W12" s="42"/>
      <c r="Y12" s="138" t="s">
        <v>626</v>
      </c>
      <c r="Z12" s="43"/>
      <c r="AA12" s="42"/>
      <c r="AB12" s="42"/>
    </row>
    <row r="13" spans="1:28" s="22" customFormat="1" x14ac:dyDescent="0.3">
      <c r="B13" s="42" t="s">
        <v>766</v>
      </c>
      <c r="C13" s="150">
        <v>3</v>
      </c>
      <c r="D13" s="44" t="s">
        <v>102</v>
      </c>
      <c r="E13" s="44" t="s">
        <v>171</v>
      </c>
      <c r="F13" s="42" t="s">
        <v>311</v>
      </c>
      <c r="G13" s="42" t="s">
        <v>357</v>
      </c>
      <c r="H13" s="134"/>
      <c r="U13" s="47" t="s">
        <v>34</v>
      </c>
      <c r="V13" s="43">
        <v>45930</v>
      </c>
      <c r="W13" s="42"/>
      <c r="Y13" s="138" t="s">
        <v>626</v>
      </c>
      <c r="Z13" s="43"/>
      <c r="AA13" s="42"/>
      <c r="AB13" s="42"/>
    </row>
    <row r="14" spans="1:28" s="22" customFormat="1" ht="43.2" x14ac:dyDescent="0.3">
      <c r="B14" s="42" t="s">
        <v>766</v>
      </c>
      <c r="C14" s="150">
        <v>4</v>
      </c>
      <c r="D14" s="42" t="s">
        <v>260</v>
      </c>
      <c r="E14" s="44" t="s">
        <v>703</v>
      </c>
      <c r="F14" s="42" t="s">
        <v>354</v>
      </c>
      <c r="G14" s="44" t="s">
        <v>355</v>
      </c>
      <c r="H14" s="134"/>
      <c r="U14" s="47" t="s">
        <v>34</v>
      </c>
      <c r="V14" s="43">
        <v>45930</v>
      </c>
      <c r="W14" s="42"/>
      <c r="Y14" s="138" t="s">
        <v>626</v>
      </c>
      <c r="Z14" s="43"/>
      <c r="AA14" s="42"/>
      <c r="AB14" s="42"/>
    </row>
    <row r="15" spans="1:28" s="22" customFormat="1" ht="28.8" x14ac:dyDescent="0.3">
      <c r="B15" s="42" t="s">
        <v>766</v>
      </c>
      <c r="C15" s="150">
        <v>5</v>
      </c>
      <c r="D15" s="42" t="s">
        <v>261</v>
      </c>
      <c r="E15" s="44" t="s">
        <v>702</v>
      </c>
      <c r="F15" s="42" t="s">
        <v>410</v>
      </c>
      <c r="G15" s="44" t="s">
        <v>596</v>
      </c>
      <c r="H15" s="134"/>
      <c r="U15" s="47" t="s">
        <v>34</v>
      </c>
      <c r="V15" s="43">
        <v>45930</v>
      </c>
      <c r="W15" s="42"/>
      <c r="Y15" s="138" t="s">
        <v>626</v>
      </c>
      <c r="Z15" s="43"/>
      <c r="AA15" s="42"/>
      <c r="AB15" s="42"/>
    </row>
    <row r="16" spans="1:28" s="22" customFormat="1" x14ac:dyDescent="0.3">
      <c r="B16" s="42" t="s">
        <v>766</v>
      </c>
      <c r="C16" s="150">
        <v>6</v>
      </c>
      <c r="D16" s="42" t="s">
        <v>262</v>
      </c>
      <c r="E16" s="44" t="s">
        <v>701</v>
      </c>
      <c r="F16" s="42" t="s">
        <v>410</v>
      </c>
      <c r="G16" s="44" t="s">
        <v>597</v>
      </c>
      <c r="H16" s="134"/>
      <c r="U16" s="47" t="s">
        <v>34</v>
      </c>
      <c r="V16" s="43">
        <v>45930</v>
      </c>
      <c r="W16" s="42"/>
      <c r="Y16" s="138" t="s">
        <v>626</v>
      </c>
      <c r="Z16" s="43"/>
      <c r="AA16" s="42"/>
      <c r="AB16" s="42"/>
    </row>
    <row r="17" spans="2:28" s="148" customFormat="1" x14ac:dyDescent="0.3">
      <c r="B17" s="42" t="s">
        <v>766</v>
      </c>
      <c r="C17" s="150">
        <v>7</v>
      </c>
      <c r="D17" s="44" t="s">
        <v>265</v>
      </c>
      <c r="E17" s="44" t="s">
        <v>603</v>
      </c>
      <c r="F17" s="42" t="s">
        <v>311</v>
      </c>
      <c r="G17" s="44" t="s">
        <v>529</v>
      </c>
      <c r="H17" s="57"/>
      <c r="U17" s="47" t="s">
        <v>34</v>
      </c>
      <c r="V17" s="43">
        <v>45930</v>
      </c>
      <c r="W17" s="57"/>
      <c r="Y17" s="138" t="s">
        <v>626</v>
      </c>
      <c r="Z17" s="43"/>
      <c r="AA17" s="57"/>
      <c r="AB17" s="57"/>
    </row>
    <row r="18" spans="2:28" s="22" customFormat="1" x14ac:dyDescent="0.3">
      <c r="B18" s="42" t="s">
        <v>766</v>
      </c>
      <c r="C18" s="150">
        <v>8</v>
      </c>
      <c r="D18" s="44" t="s">
        <v>519</v>
      </c>
      <c r="E18" s="44" t="s">
        <v>700</v>
      </c>
      <c r="F18" s="42" t="s">
        <v>311</v>
      </c>
      <c r="G18" s="44" t="s">
        <v>530</v>
      </c>
      <c r="H18" s="134"/>
      <c r="U18" s="47" t="s">
        <v>34</v>
      </c>
      <c r="V18" s="43">
        <v>45930</v>
      </c>
      <c r="W18" s="42"/>
      <c r="Y18" s="138" t="s">
        <v>626</v>
      </c>
      <c r="Z18" s="43"/>
      <c r="AA18" s="42"/>
      <c r="AB18" s="42"/>
    </row>
    <row r="19" spans="2:28" s="22" customFormat="1" x14ac:dyDescent="0.3">
      <c r="B19" s="42" t="s">
        <v>766</v>
      </c>
      <c r="C19" s="150">
        <v>9</v>
      </c>
      <c r="D19" s="44" t="s">
        <v>520</v>
      </c>
      <c r="E19" s="44" t="s">
        <v>699</v>
      </c>
      <c r="F19" s="42" t="s">
        <v>311</v>
      </c>
      <c r="G19" s="44" t="s">
        <v>521</v>
      </c>
      <c r="H19" s="134"/>
      <c r="U19" s="47" t="s">
        <v>34</v>
      </c>
      <c r="V19" s="43">
        <v>45930</v>
      </c>
      <c r="W19" s="42"/>
      <c r="Y19" s="138" t="s">
        <v>626</v>
      </c>
      <c r="Z19" s="43"/>
      <c r="AA19" s="42"/>
      <c r="AB19" s="42"/>
    </row>
    <row r="20" spans="2:28" s="22" customFormat="1" x14ac:dyDescent="0.3">
      <c r="B20" s="42" t="s">
        <v>766</v>
      </c>
      <c r="C20" s="150">
        <v>10</v>
      </c>
      <c r="D20" s="44" t="s">
        <v>750</v>
      </c>
      <c r="E20" s="44" t="s">
        <v>738</v>
      </c>
      <c r="F20" s="42" t="s">
        <v>311</v>
      </c>
      <c r="G20" s="44" t="s">
        <v>727</v>
      </c>
      <c r="H20" s="134"/>
      <c r="U20" s="47" t="s">
        <v>34</v>
      </c>
      <c r="V20" s="43">
        <v>45930</v>
      </c>
      <c r="W20" s="42"/>
      <c r="Y20" s="138" t="s">
        <v>626</v>
      </c>
      <c r="Z20" s="43"/>
      <c r="AA20" s="42"/>
      <c r="AB20" s="42"/>
    </row>
    <row r="21" spans="2:28" s="22" customFormat="1" x14ac:dyDescent="0.3">
      <c r="B21" s="42" t="s">
        <v>766</v>
      </c>
      <c r="C21" s="150">
        <v>11</v>
      </c>
      <c r="D21" s="42" t="s">
        <v>216</v>
      </c>
      <c r="E21" s="44" t="s">
        <v>710</v>
      </c>
      <c r="F21" s="42" t="s">
        <v>311</v>
      </c>
      <c r="G21" s="42" t="s">
        <v>571</v>
      </c>
      <c r="H21" s="134"/>
      <c r="U21" s="47" t="s">
        <v>34</v>
      </c>
      <c r="V21" s="43">
        <v>45930</v>
      </c>
      <c r="W21" s="42"/>
      <c r="Y21" s="138" t="s">
        <v>626</v>
      </c>
      <c r="Z21" s="43"/>
      <c r="AA21" s="42"/>
      <c r="AB21" s="42"/>
    </row>
    <row r="22" spans="2:28" s="148" customFormat="1" ht="28.8" x14ac:dyDescent="0.3">
      <c r="B22" s="42" t="s">
        <v>766</v>
      </c>
      <c r="C22" s="150">
        <v>12</v>
      </c>
      <c r="D22" s="42" t="s">
        <v>568</v>
      </c>
      <c r="E22" s="44" t="s">
        <v>721</v>
      </c>
      <c r="F22" s="42" t="s">
        <v>311</v>
      </c>
      <c r="G22" s="44" t="s">
        <v>582</v>
      </c>
      <c r="H22" s="57"/>
      <c r="U22" s="47" t="s">
        <v>34</v>
      </c>
      <c r="V22" s="43">
        <v>45930</v>
      </c>
      <c r="W22" s="57"/>
      <c r="Y22" s="138" t="s">
        <v>626</v>
      </c>
      <c r="Z22" s="43"/>
      <c r="AA22" s="57"/>
      <c r="AB22" s="57"/>
    </row>
    <row r="23" spans="2:28" s="22" customFormat="1" x14ac:dyDescent="0.3">
      <c r="B23" s="42" t="s">
        <v>766</v>
      </c>
      <c r="C23" s="150">
        <v>13</v>
      </c>
      <c r="D23" s="42" t="s">
        <v>726</v>
      </c>
      <c r="E23" s="44" t="s">
        <v>725</v>
      </c>
      <c r="F23" s="42" t="s">
        <v>311</v>
      </c>
      <c r="G23" s="44" t="s">
        <v>727</v>
      </c>
      <c r="H23" s="134"/>
      <c r="U23" s="47" t="s">
        <v>34</v>
      </c>
      <c r="V23" s="43">
        <v>45930</v>
      </c>
      <c r="W23" s="42"/>
      <c r="Y23" s="138" t="s">
        <v>626</v>
      </c>
      <c r="Z23" s="43"/>
      <c r="AA23" s="42"/>
      <c r="AB23" s="42"/>
    </row>
    <row r="24" spans="2:28" s="22" customFormat="1" ht="28.8" x14ac:dyDescent="0.3">
      <c r="B24" s="42" t="s">
        <v>766</v>
      </c>
      <c r="C24" s="150">
        <v>14</v>
      </c>
      <c r="D24" s="44" t="s">
        <v>752</v>
      </c>
      <c r="E24" s="44" t="s">
        <v>739</v>
      </c>
      <c r="F24" s="42" t="s">
        <v>311</v>
      </c>
      <c r="G24" s="44" t="s">
        <v>758</v>
      </c>
      <c r="H24" s="134"/>
      <c r="U24" s="47" t="s">
        <v>34</v>
      </c>
      <c r="V24" s="43">
        <v>45930</v>
      </c>
      <c r="W24" s="42"/>
      <c r="Y24" s="138" t="s">
        <v>626</v>
      </c>
      <c r="Z24" s="43"/>
      <c r="AA24" s="42"/>
      <c r="AB24" s="42"/>
    </row>
    <row r="25" spans="2:28" s="22" customFormat="1" ht="28.8" x14ac:dyDescent="0.3">
      <c r="B25" s="42" t="s">
        <v>766</v>
      </c>
      <c r="C25" s="150">
        <v>15</v>
      </c>
      <c r="D25" s="44" t="s">
        <v>754</v>
      </c>
      <c r="E25" s="44" t="s">
        <v>740</v>
      </c>
      <c r="F25" s="42" t="s">
        <v>311</v>
      </c>
      <c r="G25" s="44" t="s">
        <v>759</v>
      </c>
      <c r="H25" s="134"/>
      <c r="U25" s="47" t="s">
        <v>34</v>
      </c>
      <c r="V25" s="43">
        <v>45930</v>
      </c>
      <c r="W25" s="42"/>
      <c r="Y25" s="138" t="s">
        <v>626</v>
      </c>
      <c r="Z25" s="43"/>
      <c r="AA25" s="42"/>
      <c r="AB25" s="42"/>
    </row>
    <row r="26" spans="2:28" s="22" customFormat="1" ht="28.8" x14ac:dyDescent="0.3">
      <c r="B26" s="42" t="s">
        <v>766</v>
      </c>
      <c r="C26" s="150">
        <v>16</v>
      </c>
      <c r="D26" s="44" t="s">
        <v>755</v>
      </c>
      <c r="E26" s="44" t="s">
        <v>741</v>
      </c>
      <c r="F26" s="42" t="s">
        <v>311</v>
      </c>
      <c r="G26" s="44" t="s">
        <v>760</v>
      </c>
      <c r="H26" s="134"/>
      <c r="U26" s="47" t="s">
        <v>34</v>
      </c>
      <c r="V26" s="43">
        <v>45930</v>
      </c>
      <c r="W26" s="42"/>
      <c r="Y26" s="138" t="s">
        <v>626</v>
      </c>
      <c r="Z26" s="43"/>
      <c r="AA26" s="42"/>
      <c r="AB26" s="42"/>
    </row>
    <row r="27" spans="2:28" s="22" customFormat="1" ht="28.8" x14ac:dyDescent="0.3">
      <c r="B27" s="42" t="s">
        <v>766</v>
      </c>
      <c r="C27" s="150">
        <v>17</v>
      </c>
      <c r="D27" s="44" t="s">
        <v>753</v>
      </c>
      <c r="E27" s="44" t="s">
        <v>742</v>
      </c>
      <c r="F27" s="42" t="s">
        <v>311</v>
      </c>
      <c r="G27" s="44" t="s">
        <v>761</v>
      </c>
      <c r="H27" s="134"/>
      <c r="U27" s="47" t="s">
        <v>34</v>
      </c>
      <c r="V27" s="43">
        <v>45930</v>
      </c>
      <c r="W27" s="42"/>
      <c r="Y27" s="138" t="s">
        <v>626</v>
      </c>
      <c r="Z27" s="43"/>
      <c r="AA27" s="42"/>
      <c r="AB27" s="42"/>
    </row>
    <row r="28" spans="2:28" s="22" customFormat="1" x14ac:dyDescent="0.3">
      <c r="B28" s="42" t="s">
        <v>766</v>
      </c>
      <c r="C28" s="150">
        <v>18</v>
      </c>
      <c r="D28" s="44" t="s">
        <v>765</v>
      </c>
      <c r="E28" s="44" t="s">
        <v>743</v>
      </c>
      <c r="F28" s="44" t="s">
        <v>311</v>
      </c>
      <c r="G28" s="44" t="s">
        <v>727</v>
      </c>
      <c r="H28" s="134"/>
      <c r="U28" s="47" t="s">
        <v>34</v>
      </c>
      <c r="V28" s="43">
        <v>45930</v>
      </c>
      <c r="W28" s="42"/>
      <c r="Y28" s="138" t="s">
        <v>626</v>
      </c>
      <c r="Z28" s="43"/>
      <c r="AA28" s="42"/>
      <c r="AB28" s="42"/>
    </row>
    <row r="29" spans="2:28" s="22" customFormat="1" ht="15.6" customHeight="1" x14ac:dyDescent="0.3">
      <c r="B29" s="42" t="s">
        <v>766</v>
      </c>
      <c r="C29" s="150">
        <v>19</v>
      </c>
      <c r="D29" s="44" t="s">
        <v>764</v>
      </c>
      <c r="E29" s="44" t="s">
        <v>763</v>
      </c>
      <c r="F29" s="44" t="s">
        <v>349</v>
      </c>
      <c r="G29" s="44" t="s">
        <v>331</v>
      </c>
      <c r="H29" s="167"/>
      <c r="I29" s="113"/>
      <c r="J29" s="44" t="s">
        <v>552</v>
      </c>
      <c r="K29" s="44" t="s">
        <v>310</v>
      </c>
      <c r="L29" s="44"/>
      <c r="M29" s="44" t="s">
        <v>332</v>
      </c>
      <c r="N29" s="44" t="s">
        <v>332</v>
      </c>
      <c r="O29" s="44" t="s">
        <v>332</v>
      </c>
      <c r="U29" s="47" t="s">
        <v>34</v>
      </c>
      <c r="V29" s="43">
        <v>45930</v>
      </c>
      <c r="W29" s="42"/>
      <c r="Y29" s="138" t="s">
        <v>626</v>
      </c>
      <c r="Z29" s="43"/>
      <c r="AA29" s="42"/>
      <c r="AB29" s="42"/>
    </row>
    <row r="30" spans="2:28" s="22" customFormat="1" ht="18.600000000000001" customHeight="1" x14ac:dyDescent="0.3">
      <c r="B30" s="42" t="s">
        <v>766</v>
      </c>
      <c r="C30" s="150">
        <v>20</v>
      </c>
      <c r="D30" s="44" t="s">
        <v>328</v>
      </c>
      <c r="E30" s="44" t="s">
        <v>308</v>
      </c>
      <c r="F30" s="44" t="s">
        <v>311</v>
      </c>
      <c r="G30" s="44" t="s">
        <v>330</v>
      </c>
      <c r="H30" s="167"/>
      <c r="I30" s="113"/>
      <c r="J30" s="44" t="s">
        <v>552</v>
      </c>
      <c r="K30" s="44" t="s">
        <v>310</v>
      </c>
      <c r="L30" s="44"/>
      <c r="M30" s="44" t="s">
        <v>332</v>
      </c>
      <c r="N30" s="44" t="s">
        <v>332</v>
      </c>
      <c r="O30" s="44" t="s">
        <v>332</v>
      </c>
      <c r="U30" s="47" t="s">
        <v>34</v>
      </c>
      <c r="V30" s="43">
        <v>45930</v>
      </c>
      <c r="W30" s="42"/>
      <c r="Y30" s="138" t="s">
        <v>626</v>
      </c>
      <c r="Z30" s="43"/>
      <c r="AA30" s="42"/>
      <c r="AB30" s="42"/>
    </row>
  </sheetData>
  <autoFilter ref="B10:U30"/>
  <mergeCells count="5">
    <mergeCell ref="U9:W9"/>
    <mergeCell ref="Y9:AB9"/>
    <mergeCell ref="B5:D5"/>
    <mergeCell ref="C7:H7"/>
    <mergeCell ref="B9:H9"/>
  </mergeCells>
  <conditionalFormatting sqref="U11:U30">
    <cfRule type="cellIs" dxfId="78" priority="1" operator="equal">
      <formula>"Testes utilizador"</formula>
    </cfRule>
  </conditionalFormatting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equal" id="{66F7A743-D023-452F-A49E-46F1DF44A26E}">
            <xm:f>'C:\Users\e859162\Documents\00. Old\[BS_Especificação_FEI_v0.3.xlsx]Tabelas AUX'!#REF!</xm:f>
            <x14:dxf>
              <font>
                <color rgb="FF00B050"/>
              </font>
            </x14:dxf>
          </x14:cfRule>
          <x14:cfRule type="cellIs" priority="3" operator="equal" id="{CD4521F6-DC43-4B50-8B5B-06B64DB8CF3C}">
            <xm:f>'C:\Users\e859162\Documents\00. Old\[BS_Especificação_FEI_v0.3.xlsx]Tabelas AUX'!#REF!</xm:f>
            <x14:dxf>
              <font>
                <color rgb="FF7F7F7F"/>
              </font>
            </x14:dxf>
          </x14:cfRule>
          <x14:cfRule type="cellIs" priority="4" operator="equal" id="{638861FB-2054-47B1-BA4E-1D29EE6C91AA}">
            <xm:f>'C:\Users\e859162\Documents\00. Old\[BS_Especificação_FEI_v0.3.xlsx]Tabelas AUX'!#REF!</xm:f>
            <x14:dxf>
              <font>
                <color theme="5"/>
              </font>
            </x14:dxf>
          </x14:cfRule>
          <x14:cfRule type="cellIs" priority="5" operator="equal" id="{1A709965-4899-4B86-8A4D-59CC3203E70E}">
            <xm:f>'C:\Users\e859162\Documents\00. Old\[BS_Especificação_FEI_v0.3.xlsx]Tabelas AUX'!#REF!</xm:f>
            <x14:dxf>
              <font>
                <color rgb="FFC00000"/>
              </font>
            </x14:dxf>
          </x14:cfRule>
          <xm:sqref>U11:U30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'https://santandernet.sharepoint.com/sites/FEIeBEI/Shared Documents/FEI e BEI/03. Documentos Produzidos/01. Especificação/00. Old/[BS_Especificação_FEI_v0.3.xlsx]Tabelas AUX'!#REF!</xm:f>
          </x14:formula1>
          <xm:sqref>U11:U30</xm:sqref>
        </x14:dataValidation>
        <x14:dataValidation type="list" allowBlank="1" showInputMessage="1" showErrorMessage="1">
          <x14:formula1>
            <xm:f>'Tabelas AUX'!$G$2:$G$17</xm:f>
          </x14:formula1>
          <xm:sqref>Y11:Y30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  <pageSetUpPr autoPageBreaks="0"/>
  </sheetPr>
  <dimension ref="A1:AB23"/>
  <sheetViews>
    <sheetView showGridLines="0" zoomScale="70" zoomScaleNormal="70" workbookViewId="0"/>
  </sheetViews>
  <sheetFormatPr defaultRowHeight="14.4" outlineLevelRow="1" outlineLevelCol="1" x14ac:dyDescent="0.3"/>
  <cols>
    <col min="1" max="1" width="3.6640625" customWidth="1"/>
    <col min="2" max="2" width="27.6640625" bestFit="1" customWidth="1"/>
    <col min="3" max="3" width="10.109375" bestFit="1" customWidth="1"/>
    <col min="4" max="4" width="37.88671875" bestFit="1" customWidth="1"/>
    <col min="5" max="5" width="28.109375" bestFit="1" customWidth="1"/>
    <col min="6" max="6" width="16.5546875" bestFit="1" customWidth="1"/>
    <col min="7" max="7" width="50" bestFit="1" customWidth="1"/>
    <col min="8" max="8" width="18.33203125" bestFit="1" customWidth="1"/>
    <col min="9" max="9" width="2" customWidth="1"/>
    <col min="10" max="10" width="9.109375" hidden="1" customWidth="1" outlineLevel="1"/>
    <col min="11" max="11" width="20.44140625" hidden="1" customWidth="1" outlineLevel="1"/>
    <col min="12" max="12" width="25.88671875" hidden="1" customWidth="1" outlineLevel="1"/>
    <col min="13" max="13" width="16.33203125" bestFit="1" customWidth="1" collapsed="1"/>
    <col min="14" max="14" width="15.21875" bestFit="1" customWidth="1"/>
    <col min="15" max="15" width="27.44140625" customWidth="1"/>
    <col min="16" max="16" width="23.109375" hidden="1" customWidth="1" outlineLevel="1"/>
    <col min="17" max="17" width="15.44140625" hidden="1" customWidth="1" outlineLevel="1"/>
    <col min="18" max="18" width="24.5546875" hidden="1" customWidth="1" outlineLevel="1"/>
    <col min="19" max="19" width="28.88671875" hidden="1" customWidth="1" outlineLevel="1"/>
    <col min="20" max="20" width="2.109375" customWidth="1" collapsed="1"/>
    <col min="21" max="21" width="10.44140625" customWidth="1" outlineLevel="1"/>
    <col min="22" max="22" width="17.88671875" bestFit="1" customWidth="1" outlineLevel="1"/>
    <col min="23" max="23" width="6.5546875" bestFit="1" customWidth="1" outlineLevel="1"/>
    <col min="24" max="24" width="2.109375" customWidth="1"/>
    <col min="25" max="25" width="10.44140625" bestFit="1" customWidth="1" outlineLevel="1"/>
    <col min="26" max="26" width="21.44140625" bestFit="1" customWidth="1" outlineLevel="1"/>
    <col min="27" max="28" width="6.5546875" bestFit="1" customWidth="1" outlineLevel="1"/>
  </cols>
  <sheetData>
    <row r="1" spans="1:28" ht="15" customHeight="1" x14ac:dyDescent="0.3">
      <c r="B1" s="22"/>
      <c r="C1" s="22"/>
      <c r="D1" s="22"/>
      <c r="E1" s="22"/>
      <c r="G1" s="22"/>
      <c r="H1" s="22"/>
    </row>
    <row r="2" spans="1:28" ht="34.5" customHeight="1" x14ac:dyDescent="0.3">
      <c r="B2" s="22"/>
      <c r="C2" s="22"/>
      <c r="D2" s="22"/>
      <c r="E2" s="23"/>
      <c r="G2" s="22"/>
      <c r="H2" s="22"/>
    </row>
    <row r="3" spans="1:28" s="49" customFormat="1" ht="2.25" customHeight="1" x14ac:dyDescent="0.3">
      <c r="A3" s="19"/>
      <c r="B3" s="24"/>
      <c r="C3" s="24"/>
      <c r="D3" s="24"/>
      <c r="E3" s="24"/>
      <c r="F3" s="24"/>
      <c r="G3" s="24"/>
      <c r="H3" s="24"/>
    </row>
    <row r="4" spans="1:28" ht="15" customHeight="1" x14ac:dyDescent="0.3">
      <c r="B4" s="22"/>
      <c r="C4" s="22"/>
      <c r="D4" s="22"/>
      <c r="E4" s="22"/>
      <c r="G4" s="22"/>
      <c r="H4" s="22"/>
    </row>
    <row r="5" spans="1:28" ht="15" customHeight="1" x14ac:dyDescent="0.3">
      <c r="B5" s="215" t="s">
        <v>366</v>
      </c>
      <c r="C5" s="215"/>
      <c r="D5" s="215"/>
      <c r="E5" s="22"/>
      <c r="G5" s="22"/>
      <c r="H5" s="22"/>
    </row>
    <row r="6" spans="1:28" ht="15" customHeight="1" x14ac:dyDescent="0.3">
      <c r="B6" s="22"/>
      <c r="C6" s="22"/>
      <c r="D6" s="22"/>
      <c r="E6" s="22"/>
      <c r="G6" s="22"/>
      <c r="H6" s="22"/>
    </row>
    <row r="7" spans="1:28" hidden="1" outlineLevel="1" x14ac:dyDescent="0.3">
      <c r="B7" s="26" t="s">
        <v>9</v>
      </c>
      <c r="C7" s="219" t="s">
        <v>78</v>
      </c>
      <c r="D7" s="219"/>
      <c r="E7" s="220"/>
      <c r="F7" s="220"/>
      <c r="G7" s="220"/>
      <c r="H7" s="220"/>
      <c r="I7" s="27"/>
      <c r="J7" s="27"/>
      <c r="S7" s="27"/>
      <c r="T7" s="27"/>
      <c r="X7" s="27"/>
    </row>
    <row r="8" spans="1:28" ht="15" hidden="1" customHeight="1" outlineLevel="1" x14ac:dyDescent="0.3">
      <c r="B8" s="22"/>
      <c r="C8" s="22"/>
      <c r="D8" s="22"/>
      <c r="E8" s="22"/>
      <c r="G8" s="22"/>
      <c r="H8" s="22"/>
    </row>
    <row r="9" spans="1:28" collapsed="1" x14ac:dyDescent="0.3">
      <c r="B9" s="221" t="s">
        <v>10</v>
      </c>
      <c r="C9" s="222"/>
      <c r="D9" s="222"/>
      <c r="E9" s="222"/>
      <c r="F9" s="222"/>
      <c r="G9" s="222"/>
      <c r="H9" s="223"/>
      <c r="J9" s="224" t="s">
        <v>11</v>
      </c>
      <c r="K9" s="225"/>
      <c r="L9" s="225"/>
      <c r="M9" s="216" t="s">
        <v>12</v>
      </c>
      <c r="N9" s="217"/>
      <c r="O9" s="218"/>
      <c r="P9" s="216" t="s">
        <v>13</v>
      </c>
      <c r="Q9" s="217"/>
      <c r="R9" s="217"/>
      <c r="S9" s="218"/>
      <c r="U9" s="216" t="s">
        <v>14</v>
      </c>
      <c r="V9" s="217"/>
      <c r="W9" s="218"/>
      <c r="Y9" s="216" t="s">
        <v>15</v>
      </c>
      <c r="Z9" s="217"/>
      <c r="AA9" s="217"/>
      <c r="AB9" s="218"/>
    </row>
    <row r="10" spans="1:28" x14ac:dyDescent="0.3">
      <c r="B10" s="35" t="s">
        <v>16</v>
      </c>
      <c r="C10" s="35" t="s">
        <v>17</v>
      </c>
      <c r="D10" s="35" t="s">
        <v>18</v>
      </c>
      <c r="E10" s="35" t="s">
        <v>317</v>
      </c>
      <c r="F10" s="35" t="s">
        <v>19</v>
      </c>
      <c r="G10" s="35" t="s">
        <v>20</v>
      </c>
      <c r="H10" s="35" t="s">
        <v>312</v>
      </c>
      <c r="J10" s="30" t="s">
        <v>64</v>
      </c>
      <c r="K10" s="31" t="s">
        <v>169</v>
      </c>
      <c r="L10" s="31" t="s">
        <v>65</v>
      </c>
      <c r="M10" s="30" t="s">
        <v>22</v>
      </c>
      <c r="N10" s="31" t="s">
        <v>23</v>
      </c>
      <c r="O10" s="32" t="s">
        <v>24</v>
      </c>
      <c r="P10" s="33" t="s">
        <v>145</v>
      </c>
      <c r="Q10" s="34" t="s">
        <v>26</v>
      </c>
      <c r="R10" s="28" t="s">
        <v>27</v>
      </c>
      <c r="S10" s="28" t="s">
        <v>28</v>
      </c>
      <c r="U10" s="36" t="s">
        <v>29</v>
      </c>
      <c r="V10" s="36" t="s">
        <v>30</v>
      </c>
      <c r="W10" s="36" t="s">
        <v>31</v>
      </c>
      <c r="Y10" s="36" t="s">
        <v>29</v>
      </c>
      <c r="Z10" s="36" t="s">
        <v>32</v>
      </c>
      <c r="AA10" s="36" t="s">
        <v>33</v>
      </c>
      <c r="AB10" s="36" t="s">
        <v>31</v>
      </c>
    </row>
    <row r="11" spans="1:28" s="22" customFormat="1" ht="30.9" customHeight="1" x14ac:dyDescent="0.3">
      <c r="B11" s="42" t="s">
        <v>479</v>
      </c>
      <c r="C11" s="150">
        <v>1</v>
      </c>
      <c r="D11" s="42" t="s">
        <v>255</v>
      </c>
      <c r="E11" s="42" t="s">
        <v>170</v>
      </c>
      <c r="F11" s="42" t="s">
        <v>311</v>
      </c>
      <c r="G11" s="44" t="s">
        <v>351</v>
      </c>
      <c r="H11" s="134" t="s">
        <v>327</v>
      </c>
      <c r="J11" s="44"/>
      <c r="K11" s="42"/>
      <c r="L11" s="42"/>
      <c r="M11" s="58" t="s">
        <v>353</v>
      </c>
      <c r="N11" s="58" t="s">
        <v>385</v>
      </c>
      <c r="O11" s="42" t="s">
        <v>436</v>
      </c>
      <c r="P11" s="42"/>
      <c r="Q11" s="42"/>
      <c r="R11" s="42"/>
      <c r="S11" s="42"/>
      <c r="U11" s="47" t="s">
        <v>34</v>
      </c>
      <c r="V11" s="43">
        <v>45930</v>
      </c>
      <c r="W11" s="42"/>
      <c r="Y11" s="138" t="s">
        <v>58</v>
      </c>
      <c r="Z11" s="43"/>
      <c r="AA11" s="42"/>
      <c r="AB11" s="42"/>
    </row>
    <row r="12" spans="1:28" s="22" customFormat="1" x14ac:dyDescent="0.3">
      <c r="B12" s="42" t="s">
        <v>479</v>
      </c>
      <c r="C12" s="150">
        <v>2</v>
      </c>
      <c r="D12" s="42" t="s">
        <v>193</v>
      </c>
      <c r="E12" s="42" t="s">
        <v>171</v>
      </c>
      <c r="F12" s="42" t="s">
        <v>311</v>
      </c>
      <c r="G12" s="42" t="s">
        <v>357</v>
      </c>
      <c r="H12" s="134" t="s">
        <v>327</v>
      </c>
      <c r="J12" s="44"/>
      <c r="K12" s="42"/>
      <c r="L12" s="42"/>
      <c r="M12" s="58" t="s">
        <v>353</v>
      </c>
      <c r="N12" s="58" t="s">
        <v>385</v>
      </c>
      <c r="O12" s="42" t="s">
        <v>471</v>
      </c>
      <c r="P12" s="42"/>
      <c r="Q12" s="42"/>
      <c r="R12" s="42"/>
      <c r="S12" s="42"/>
      <c r="U12" s="47" t="s">
        <v>34</v>
      </c>
      <c r="V12" s="43">
        <v>45930</v>
      </c>
      <c r="W12" s="42"/>
      <c r="Y12" s="138" t="s">
        <v>58</v>
      </c>
      <c r="Z12" s="43"/>
      <c r="AA12" s="42"/>
      <c r="AB12" s="42"/>
    </row>
    <row r="13" spans="1:28" s="22" customFormat="1" ht="28.8" x14ac:dyDescent="0.3">
      <c r="B13" s="42" t="s">
        <v>479</v>
      </c>
      <c r="C13" s="150">
        <v>3</v>
      </c>
      <c r="D13" s="44" t="s">
        <v>752</v>
      </c>
      <c r="E13" s="44" t="s">
        <v>739</v>
      </c>
      <c r="F13" s="42" t="s">
        <v>311</v>
      </c>
      <c r="G13" s="44" t="s">
        <v>758</v>
      </c>
      <c r="H13" s="134"/>
      <c r="J13" s="44"/>
      <c r="K13" s="42"/>
      <c r="L13" s="42"/>
      <c r="M13" s="58" t="s">
        <v>353</v>
      </c>
      <c r="N13" s="44" t="s">
        <v>735</v>
      </c>
      <c r="O13" s="44" t="s">
        <v>739</v>
      </c>
      <c r="P13" s="42"/>
      <c r="Q13" s="42"/>
      <c r="R13" s="42"/>
      <c r="S13" s="42"/>
      <c r="U13" s="47" t="s">
        <v>34</v>
      </c>
      <c r="V13" s="43">
        <v>45930</v>
      </c>
      <c r="W13" s="42"/>
      <c r="Y13" s="138" t="s">
        <v>58</v>
      </c>
      <c r="Z13" s="43"/>
      <c r="AA13" s="42"/>
      <c r="AB13" s="42"/>
    </row>
    <row r="14" spans="1:28" s="22" customFormat="1" ht="28.8" x14ac:dyDescent="0.3">
      <c r="B14" s="42" t="s">
        <v>479</v>
      </c>
      <c r="C14" s="150">
        <v>4</v>
      </c>
      <c r="D14" s="44" t="s">
        <v>754</v>
      </c>
      <c r="E14" s="44" t="s">
        <v>740</v>
      </c>
      <c r="F14" s="42" t="s">
        <v>311</v>
      </c>
      <c r="G14" s="44" t="s">
        <v>759</v>
      </c>
      <c r="H14" s="134"/>
      <c r="J14" s="44"/>
      <c r="K14" s="42"/>
      <c r="L14" s="42"/>
      <c r="M14" s="58" t="s">
        <v>353</v>
      </c>
      <c r="N14" s="44" t="s">
        <v>735</v>
      </c>
      <c r="O14" s="44" t="s">
        <v>740</v>
      </c>
      <c r="P14" s="42"/>
      <c r="Q14" s="42"/>
      <c r="R14" s="42"/>
      <c r="S14" s="42"/>
      <c r="U14" s="47" t="s">
        <v>34</v>
      </c>
      <c r="V14" s="43">
        <v>45930</v>
      </c>
      <c r="W14" s="42"/>
      <c r="Y14" s="138" t="s">
        <v>58</v>
      </c>
      <c r="Z14" s="43"/>
      <c r="AA14" s="42"/>
      <c r="AB14" s="42"/>
    </row>
    <row r="15" spans="1:28" s="22" customFormat="1" ht="28.8" x14ac:dyDescent="0.3">
      <c r="B15" s="42" t="s">
        <v>479</v>
      </c>
      <c r="C15" s="150">
        <v>5</v>
      </c>
      <c r="D15" s="44" t="s">
        <v>755</v>
      </c>
      <c r="E15" s="44" t="s">
        <v>741</v>
      </c>
      <c r="F15" s="42" t="s">
        <v>311</v>
      </c>
      <c r="G15" s="44" t="s">
        <v>760</v>
      </c>
      <c r="H15" s="134"/>
      <c r="J15" s="44"/>
      <c r="K15" s="42"/>
      <c r="L15" s="42"/>
      <c r="M15" s="58" t="s">
        <v>353</v>
      </c>
      <c r="N15" s="44" t="s">
        <v>735</v>
      </c>
      <c r="O15" s="44" t="s">
        <v>741</v>
      </c>
      <c r="P15" s="42"/>
      <c r="Q15" s="42"/>
      <c r="R15" s="42"/>
      <c r="S15" s="42"/>
      <c r="U15" s="47" t="s">
        <v>34</v>
      </c>
      <c r="V15" s="43">
        <v>45930</v>
      </c>
      <c r="W15" s="42"/>
      <c r="Y15" s="138" t="s">
        <v>58</v>
      </c>
      <c r="Z15" s="43"/>
      <c r="AA15" s="42"/>
      <c r="AB15" s="42"/>
    </row>
    <row r="16" spans="1:28" s="22" customFormat="1" ht="28.8" x14ac:dyDescent="0.3">
      <c r="B16" s="42" t="s">
        <v>479</v>
      </c>
      <c r="C16" s="150">
        <v>6</v>
      </c>
      <c r="D16" s="44" t="s">
        <v>753</v>
      </c>
      <c r="E16" s="44" t="s">
        <v>742</v>
      </c>
      <c r="F16" s="42" t="s">
        <v>311</v>
      </c>
      <c r="G16" s="44" t="s">
        <v>761</v>
      </c>
      <c r="H16" s="134"/>
      <c r="J16" s="44"/>
      <c r="K16" s="42"/>
      <c r="L16" s="42"/>
      <c r="M16" s="58" t="s">
        <v>353</v>
      </c>
      <c r="N16" s="44" t="s">
        <v>735</v>
      </c>
      <c r="O16" s="44" t="s">
        <v>742</v>
      </c>
      <c r="P16" s="42"/>
      <c r="Q16" s="42"/>
      <c r="R16" s="42"/>
      <c r="S16" s="42"/>
      <c r="U16" s="47" t="s">
        <v>34</v>
      </c>
      <c r="V16" s="43">
        <v>45930</v>
      </c>
      <c r="W16" s="42"/>
      <c r="Y16" s="138" t="s">
        <v>58</v>
      </c>
      <c r="Z16" s="43"/>
      <c r="AA16" s="42"/>
      <c r="AB16" s="42"/>
    </row>
    <row r="17" spans="2:28" s="22" customFormat="1" x14ac:dyDescent="0.3">
      <c r="B17" s="42" t="s">
        <v>479</v>
      </c>
      <c r="C17" s="150">
        <v>7</v>
      </c>
      <c r="D17" s="44" t="s">
        <v>756</v>
      </c>
      <c r="E17" s="44" t="s">
        <v>743</v>
      </c>
      <c r="F17" s="44" t="s">
        <v>311</v>
      </c>
      <c r="G17" s="44" t="s">
        <v>727</v>
      </c>
      <c r="H17" s="134"/>
      <c r="J17" s="44"/>
      <c r="K17" s="42"/>
      <c r="L17" s="42"/>
      <c r="M17" s="58" t="s">
        <v>353</v>
      </c>
      <c r="N17" s="44" t="s">
        <v>735</v>
      </c>
      <c r="O17" s="44" t="s">
        <v>743</v>
      </c>
      <c r="P17" s="42"/>
      <c r="Q17" s="42"/>
      <c r="R17" s="42"/>
      <c r="S17" s="42"/>
      <c r="U17" s="47" t="s">
        <v>34</v>
      </c>
      <c r="V17" s="43">
        <v>45930</v>
      </c>
      <c r="W17" s="42"/>
      <c r="Y17" s="138" t="s">
        <v>58</v>
      </c>
      <c r="Z17" s="43"/>
      <c r="AA17" s="42"/>
      <c r="AB17" s="42"/>
    </row>
    <row r="18" spans="2:28" s="22" customFormat="1" x14ac:dyDescent="0.3">
      <c r="B18" s="42" t="s">
        <v>479</v>
      </c>
      <c r="C18" s="150">
        <v>8</v>
      </c>
      <c r="D18" s="42" t="s">
        <v>442</v>
      </c>
      <c r="E18" s="42" t="s">
        <v>436</v>
      </c>
      <c r="F18" s="44" t="s">
        <v>311</v>
      </c>
      <c r="G18" s="44" t="s">
        <v>437</v>
      </c>
      <c r="H18" s="167"/>
      <c r="I18" s="113"/>
      <c r="J18" s="44"/>
      <c r="K18" s="44" t="s">
        <v>252</v>
      </c>
      <c r="L18" s="44"/>
      <c r="M18" s="58" t="s">
        <v>353</v>
      </c>
      <c r="N18" s="58" t="s">
        <v>385</v>
      </c>
      <c r="O18" s="42" t="s">
        <v>436</v>
      </c>
      <c r="P18" s="44"/>
      <c r="Q18" s="44"/>
      <c r="R18" s="44"/>
      <c r="S18" s="44"/>
      <c r="T18" s="113"/>
      <c r="U18" s="47" t="s">
        <v>34</v>
      </c>
      <c r="V18" s="43">
        <v>45930</v>
      </c>
      <c r="W18" s="57"/>
      <c r="X18" s="148"/>
      <c r="Y18" s="138" t="s">
        <v>58</v>
      </c>
      <c r="Z18" s="43"/>
      <c r="AA18" s="44"/>
      <c r="AB18" s="42"/>
    </row>
    <row r="19" spans="2:28" s="22" customFormat="1" x14ac:dyDescent="0.3">
      <c r="B19" s="42" t="s">
        <v>479</v>
      </c>
      <c r="C19" s="150">
        <v>9</v>
      </c>
      <c r="D19" s="44" t="s">
        <v>307</v>
      </c>
      <c r="E19" s="42" t="s">
        <v>471</v>
      </c>
      <c r="F19" s="42" t="s">
        <v>311</v>
      </c>
      <c r="G19" s="44" t="s">
        <v>463</v>
      </c>
      <c r="H19" s="167"/>
      <c r="I19" s="113"/>
      <c r="J19" s="44"/>
      <c r="K19" s="44" t="s">
        <v>252</v>
      </c>
      <c r="L19" s="44"/>
      <c r="M19" s="58" t="s">
        <v>353</v>
      </c>
      <c r="N19" s="58" t="s">
        <v>385</v>
      </c>
      <c r="O19" s="42" t="s">
        <v>471</v>
      </c>
      <c r="P19" s="44"/>
      <c r="Q19" s="44"/>
      <c r="R19" s="44"/>
      <c r="S19" s="44"/>
      <c r="T19" s="113"/>
      <c r="U19" s="47" t="s">
        <v>34</v>
      </c>
      <c r="V19" s="43">
        <v>45930</v>
      </c>
      <c r="W19" s="42"/>
      <c r="Y19" s="138" t="s">
        <v>58</v>
      </c>
      <c r="Z19" s="43"/>
      <c r="AA19" s="44"/>
      <c r="AB19" s="42"/>
    </row>
    <row r="20" spans="2:28" x14ac:dyDescent="0.3">
      <c r="B20" s="42" t="s">
        <v>479</v>
      </c>
      <c r="C20" s="150">
        <v>10</v>
      </c>
      <c r="D20" s="44" t="s">
        <v>427</v>
      </c>
      <c r="E20" s="42" t="s">
        <v>426</v>
      </c>
      <c r="F20" s="44" t="s">
        <v>311</v>
      </c>
      <c r="G20" s="44" t="s">
        <v>430</v>
      </c>
      <c r="H20" s="167"/>
      <c r="I20" s="113"/>
      <c r="J20" s="44"/>
      <c r="K20" s="44" t="s">
        <v>310</v>
      </c>
      <c r="L20" s="44"/>
      <c r="M20" s="44" t="s">
        <v>332</v>
      </c>
      <c r="N20" s="44" t="s">
        <v>332</v>
      </c>
      <c r="O20" s="44" t="s">
        <v>332</v>
      </c>
      <c r="P20" s="44"/>
      <c r="Q20" s="44"/>
      <c r="R20" s="44"/>
      <c r="S20" s="44"/>
      <c r="T20" s="113"/>
      <c r="U20" s="47" t="s">
        <v>34</v>
      </c>
      <c r="V20" s="43">
        <v>45930</v>
      </c>
      <c r="W20" s="42"/>
      <c r="X20" s="22"/>
      <c r="Y20" s="138" t="s">
        <v>58</v>
      </c>
      <c r="Z20" s="43"/>
      <c r="AA20" s="44"/>
      <c r="AB20" s="42"/>
    </row>
    <row r="21" spans="2:28" x14ac:dyDescent="0.3">
      <c r="B21" s="42" t="s">
        <v>479</v>
      </c>
      <c r="C21" s="150">
        <v>11</v>
      </c>
      <c r="D21" s="44" t="s">
        <v>329</v>
      </c>
      <c r="E21" s="44" t="s">
        <v>309</v>
      </c>
      <c r="F21" s="44" t="s">
        <v>349</v>
      </c>
      <c r="G21" s="44" t="s">
        <v>331</v>
      </c>
      <c r="H21" s="167"/>
      <c r="I21" s="113"/>
      <c r="J21" s="44"/>
      <c r="K21" s="44" t="s">
        <v>310</v>
      </c>
      <c r="L21" s="44"/>
      <c r="M21" s="44" t="s">
        <v>332</v>
      </c>
      <c r="N21" s="44" t="s">
        <v>332</v>
      </c>
      <c r="O21" s="44" t="s">
        <v>332</v>
      </c>
      <c r="P21" s="44"/>
      <c r="Q21" s="44"/>
      <c r="R21" s="44"/>
      <c r="S21" s="44"/>
      <c r="T21" s="113"/>
      <c r="U21" s="47" t="s">
        <v>34</v>
      </c>
      <c r="V21" s="43">
        <v>45930</v>
      </c>
      <c r="W21" s="42"/>
      <c r="X21" s="22"/>
      <c r="Y21" s="138" t="s">
        <v>58</v>
      </c>
      <c r="Z21" s="43"/>
      <c r="AA21" s="44"/>
      <c r="AB21" s="42"/>
    </row>
    <row r="22" spans="2:28" x14ac:dyDescent="0.3">
      <c r="B22" s="42" t="s">
        <v>479</v>
      </c>
      <c r="C22" s="150">
        <v>12</v>
      </c>
      <c r="D22" s="44" t="s">
        <v>328</v>
      </c>
      <c r="E22" s="44" t="s">
        <v>308</v>
      </c>
      <c r="F22" s="44" t="s">
        <v>311</v>
      </c>
      <c r="G22" s="44" t="s">
        <v>330</v>
      </c>
      <c r="H22" s="167" t="s">
        <v>327</v>
      </c>
      <c r="I22" s="113"/>
      <c r="J22" s="44"/>
      <c r="K22" s="44" t="s">
        <v>310</v>
      </c>
      <c r="L22" s="44"/>
      <c r="M22" s="44" t="s">
        <v>332</v>
      </c>
      <c r="N22" s="44" t="s">
        <v>332</v>
      </c>
      <c r="O22" s="96" t="s">
        <v>332</v>
      </c>
      <c r="P22" s="44"/>
      <c r="Q22" s="44"/>
      <c r="R22" s="44"/>
      <c r="S22" s="44"/>
      <c r="T22" s="113"/>
      <c r="U22" s="47" t="s">
        <v>34</v>
      </c>
      <c r="V22" s="43">
        <v>45930</v>
      </c>
      <c r="W22" s="42"/>
      <c r="X22" s="22"/>
      <c r="Y22" s="138" t="s">
        <v>58</v>
      </c>
      <c r="Z22" s="43"/>
      <c r="AA22" s="44"/>
      <c r="AB22" s="42"/>
    </row>
    <row r="23" spans="2:28" x14ac:dyDescent="0.3">
      <c r="B23" s="42" t="s">
        <v>479</v>
      </c>
      <c r="C23" s="150">
        <v>13</v>
      </c>
      <c r="D23" s="44" t="s">
        <v>428</v>
      </c>
      <c r="E23" s="44" t="s">
        <v>425</v>
      </c>
      <c r="F23" s="44" t="s">
        <v>354</v>
      </c>
      <c r="G23" s="44" t="s">
        <v>429</v>
      </c>
      <c r="H23" s="167" t="s">
        <v>327</v>
      </c>
      <c r="I23" s="113"/>
      <c r="J23" s="44"/>
      <c r="K23" s="44" t="s">
        <v>310</v>
      </c>
      <c r="L23" s="44"/>
      <c r="M23" s="44" t="s">
        <v>332</v>
      </c>
      <c r="N23" s="44" t="s">
        <v>332</v>
      </c>
      <c r="O23" s="44" t="s">
        <v>332</v>
      </c>
      <c r="P23" s="44"/>
      <c r="Q23" s="44"/>
      <c r="R23" s="44"/>
      <c r="S23" s="44"/>
      <c r="T23" s="113"/>
      <c r="U23" s="47" t="s">
        <v>34</v>
      </c>
      <c r="V23" s="43">
        <v>45930</v>
      </c>
      <c r="W23" s="57"/>
      <c r="X23" s="148"/>
      <c r="Y23" s="138" t="s">
        <v>58</v>
      </c>
      <c r="Z23" s="43"/>
      <c r="AA23" s="44"/>
      <c r="AB23" s="42"/>
    </row>
  </sheetData>
  <autoFilter ref="B10:U23"/>
  <mergeCells count="8">
    <mergeCell ref="U9:W9"/>
    <mergeCell ref="Y9:AB9"/>
    <mergeCell ref="B5:D5"/>
    <mergeCell ref="C7:H7"/>
    <mergeCell ref="B9:H9"/>
    <mergeCell ref="J9:L9"/>
    <mergeCell ref="M9:O9"/>
    <mergeCell ref="P9:S9"/>
  </mergeCells>
  <conditionalFormatting sqref="U11:U23">
    <cfRule type="cellIs" dxfId="73" priority="1" operator="equal">
      <formula>"Testes utilizador"</formula>
    </cfRule>
  </conditionalFormatting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equal" id="{ADB7394F-FB5B-4E63-871F-368BDDB3C18B}">
            <xm:f>'C:\Users\e859162\Documents\00. Old\[BS_Especificação_FEI_v0.3.xlsx]Tabelas AUX'!#REF!</xm:f>
            <x14:dxf>
              <font>
                <color rgb="FF00B050"/>
              </font>
            </x14:dxf>
          </x14:cfRule>
          <x14:cfRule type="cellIs" priority="3" operator="equal" id="{ADE4CFCC-69F2-4CD0-B726-FFECE2CBAD70}">
            <xm:f>'C:\Users\e859162\Documents\00. Old\[BS_Especificação_FEI_v0.3.xlsx]Tabelas AUX'!#REF!</xm:f>
            <x14:dxf>
              <font>
                <color rgb="FF7F7F7F"/>
              </font>
            </x14:dxf>
          </x14:cfRule>
          <x14:cfRule type="cellIs" priority="4" operator="equal" id="{622A7CEA-9830-4C68-8EA4-0A7DBB514AEC}">
            <xm:f>'C:\Users\e859162\Documents\00. Old\[BS_Especificação_FEI_v0.3.xlsx]Tabelas AUX'!#REF!</xm:f>
            <x14:dxf>
              <font>
                <color theme="5"/>
              </font>
            </x14:dxf>
          </x14:cfRule>
          <x14:cfRule type="cellIs" priority="5" operator="equal" id="{179F9BC1-E041-4045-86C8-036473963B04}">
            <xm:f>'C:\Users\e859162\Documents\00. Old\[BS_Especificação_FEI_v0.3.xlsx]Tabelas AUX'!#REF!</xm:f>
            <x14:dxf>
              <font>
                <color rgb="FFC00000"/>
              </font>
            </x14:dxf>
          </x14:cfRule>
          <xm:sqref>U11:U23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'Tabelas AUX'!$G$2:$G$17</xm:f>
          </x14:formula1>
          <xm:sqref>Y11:Y23</xm:sqref>
        </x14:dataValidation>
        <x14:dataValidation type="list" allowBlank="1" showInputMessage="1" showErrorMessage="1">
          <x14:formula1>
            <xm:f>'https://santandernet.sharepoint.com/sites/FEIeBEI/Shared Documents/FEI e BEI/03. Documentos Produzidos/01. Especificação/00. Old/[BS_Especificação_FEI_v0.3.xlsx]Tabelas AUX'!#REF!</xm:f>
          </x14:formula1>
          <xm:sqref>U11:U23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9" tint="0.59999389629810485"/>
    <pageSetUpPr autoPageBreaks="0"/>
  </sheetPr>
  <dimension ref="A1:AB20"/>
  <sheetViews>
    <sheetView showGridLines="0" zoomScale="70" zoomScaleNormal="70" workbookViewId="0"/>
  </sheetViews>
  <sheetFormatPr defaultRowHeight="14.4" outlineLevelRow="1" outlineLevelCol="1" x14ac:dyDescent="0.3"/>
  <cols>
    <col min="1" max="1" width="3.6640625" customWidth="1"/>
    <col min="2" max="2" width="29.44140625" customWidth="1"/>
    <col min="3" max="3" width="10.88671875" customWidth="1"/>
    <col min="4" max="4" width="32.44140625" bestFit="1" customWidth="1"/>
    <col min="5" max="5" width="19.44140625" bestFit="1" customWidth="1"/>
    <col min="6" max="6" width="17.44140625" bestFit="1" customWidth="1"/>
    <col min="7" max="7" width="50" bestFit="1" customWidth="1"/>
    <col min="8" max="8" width="18.88671875" bestFit="1" customWidth="1"/>
    <col min="9" max="9" width="2" customWidth="1"/>
    <col min="10" max="10" width="9.88671875" hidden="1" customWidth="1" outlineLevel="1"/>
    <col min="11" max="11" width="21.109375" hidden="1" customWidth="1" outlineLevel="1"/>
    <col min="12" max="12" width="26.44140625" hidden="1" customWidth="1" outlineLevel="1"/>
    <col min="13" max="13" width="21.33203125" bestFit="1" customWidth="1" collapsed="1"/>
    <col min="14" max="14" width="16" bestFit="1" customWidth="1"/>
    <col min="15" max="15" width="40.5546875" customWidth="1"/>
    <col min="16" max="16" width="23.88671875" customWidth="1" outlineLevel="1"/>
    <col min="17" max="17" width="42.77734375" customWidth="1" outlineLevel="1"/>
    <col min="18" max="18" width="25.44140625" customWidth="1" outlineLevel="1"/>
    <col min="19" max="19" width="29.44140625" customWidth="1" outlineLevel="1"/>
    <col min="20" max="20" width="2.109375" customWidth="1"/>
    <col min="21" max="21" width="14.109375" customWidth="1" outlineLevel="1"/>
    <col min="22" max="22" width="17.88671875" bestFit="1" customWidth="1" outlineLevel="1"/>
    <col min="23" max="23" width="6.5546875" bestFit="1" customWidth="1" outlineLevel="1"/>
    <col min="24" max="24" width="2.109375" customWidth="1"/>
    <col min="25" max="25" width="16" bestFit="1" customWidth="1" outlineLevel="1"/>
    <col min="26" max="26" width="21.44140625" bestFit="1" customWidth="1" outlineLevel="1"/>
    <col min="27" max="28" width="6.5546875" bestFit="1" customWidth="1" outlineLevel="1"/>
  </cols>
  <sheetData>
    <row r="1" spans="1:28" ht="15" customHeight="1" x14ac:dyDescent="0.3">
      <c r="B1" s="22"/>
      <c r="C1" s="22"/>
      <c r="D1" s="22"/>
      <c r="E1" s="22"/>
      <c r="G1" s="22"/>
      <c r="H1" s="22"/>
    </row>
    <row r="2" spans="1:28" ht="34.5" customHeight="1" x14ac:dyDescent="0.3">
      <c r="B2" s="22"/>
      <c r="C2" s="22"/>
      <c r="D2" s="22"/>
      <c r="E2" s="23"/>
      <c r="G2" s="22"/>
      <c r="H2" s="22"/>
    </row>
    <row r="3" spans="1:28" s="49" customFormat="1" ht="2.25" customHeight="1" x14ac:dyDescent="0.3">
      <c r="A3" s="19"/>
      <c r="B3" s="24"/>
      <c r="C3" s="24"/>
      <c r="D3" s="24"/>
      <c r="E3" s="24"/>
      <c r="F3" s="24"/>
      <c r="G3" s="24"/>
      <c r="H3" s="24"/>
    </row>
    <row r="4" spans="1:28" ht="15" customHeight="1" x14ac:dyDescent="0.3">
      <c r="B4" s="22"/>
      <c r="C4" s="22"/>
      <c r="D4" s="22"/>
      <c r="E4" s="22"/>
      <c r="G4" s="22"/>
      <c r="H4" s="22"/>
    </row>
    <row r="5" spans="1:28" ht="15" customHeight="1" x14ac:dyDescent="0.3">
      <c r="B5" s="25" t="s">
        <v>174</v>
      </c>
      <c r="C5" s="25"/>
      <c r="D5" s="25"/>
      <c r="E5" s="22"/>
      <c r="G5" s="22"/>
      <c r="H5" s="22"/>
    </row>
    <row r="6" spans="1:28" ht="15" customHeight="1" x14ac:dyDescent="0.3">
      <c r="B6" s="22"/>
      <c r="C6" s="22"/>
      <c r="D6" s="22"/>
      <c r="E6" s="22"/>
      <c r="G6" s="22"/>
      <c r="H6" s="22"/>
    </row>
    <row r="7" spans="1:28" hidden="1" outlineLevel="1" x14ac:dyDescent="0.3">
      <c r="B7" s="26" t="s">
        <v>9</v>
      </c>
      <c r="C7" s="219"/>
      <c r="D7" s="219"/>
      <c r="E7" s="220"/>
      <c r="F7" s="220"/>
      <c r="G7" s="220"/>
      <c r="H7" s="220"/>
      <c r="I7" s="27"/>
      <c r="J7" s="27"/>
      <c r="S7" s="27"/>
      <c r="T7" s="27"/>
      <c r="X7" s="27"/>
    </row>
    <row r="8" spans="1:28" ht="15" hidden="1" customHeight="1" outlineLevel="1" x14ac:dyDescent="0.3">
      <c r="B8" s="22"/>
      <c r="C8" s="22"/>
      <c r="D8" s="22"/>
      <c r="E8" s="22"/>
      <c r="G8" s="22"/>
      <c r="H8" s="22"/>
    </row>
    <row r="9" spans="1:28" collapsed="1" x14ac:dyDescent="0.3">
      <c r="B9" s="221" t="s">
        <v>10</v>
      </c>
      <c r="C9" s="222"/>
      <c r="D9" s="222"/>
      <c r="E9" s="222"/>
      <c r="F9" s="222"/>
      <c r="G9" s="222"/>
      <c r="H9" s="223"/>
      <c r="J9" s="224" t="s">
        <v>11</v>
      </c>
      <c r="K9" s="225"/>
      <c r="L9" s="225"/>
      <c r="M9" s="216" t="s">
        <v>12</v>
      </c>
      <c r="N9" s="217"/>
      <c r="O9" s="218"/>
      <c r="P9" s="216" t="s">
        <v>13</v>
      </c>
      <c r="Q9" s="217"/>
      <c r="R9" s="217"/>
      <c r="S9" s="218"/>
      <c r="U9" s="216" t="s">
        <v>14</v>
      </c>
      <c r="V9" s="217"/>
      <c r="W9" s="218"/>
      <c r="Y9" s="216" t="s">
        <v>15</v>
      </c>
      <c r="Z9" s="217"/>
      <c r="AA9" s="217"/>
      <c r="AB9" s="218"/>
    </row>
    <row r="10" spans="1:28" x14ac:dyDescent="0.3">
      <c r="B10" s="35" t="s">
        <v>16</v>
      </c>
      <c r="C10" s="35" t="s">
        <v>17</v>
      </c>
      <c r="D10" s="35"/>
      <c r="E10" s="35" t="s">
        <v>18</v>
      </c>
      <c r="F10" s="35" t="s">
        <v>19</v>
      </c>
      <c r="G10" s="35" t="s">
        <v>20</v>
      </c>
      <c r="H10" s="35" t="s">
        <v>312</v>
      </c>
      <c r="J10" s="30" t="s">
        <v>64</v>
      </c>
      <c r="K10" s="31" t="s">
        <v>169</v>
      </c>
      <c r="L10" s="31" t="s">
        <v>65</v>
      </c>
      <c r="M10" s="30" t="s">
        <v>22</v>
      </c>
      <c r="N10" s="31" t="s">
        <v>23</v>
      </c>
      <c r="O10" s="32" t="s">
        <v>24</v>
      </c>
      <c r="P10" s="33" t="s">
        <v>145</v>
      </c>
      <c r="Q10" s="34" t="s">
        <v>26</v>
      </c>
      <c r="R10" s="28" t="s">
        <v>27</v>
      </c>
      <c r="S10" s="28" t="s">
        <v>28</v>
      </c>
      <c r="U10" s="36" t="s">
        <v>29</v>
      </c>
      <c r="V10" s="36" t="s">
        <v>30</v>
      </c>
      <c r="W10" s="36" t="s">
        <v>31</v>
      </c>
      <c r="Y10" s="36" t="s">
        <v>29</v>
      </c>
      <c r="Z10" s="36" t="s">
        <v>32</v>
      </c>
      <c r="AA10" s="36" t="s">
        <v>33</v>
      </c>
      <c r="AB10" s="36" t="s">
        <v>31</v>
      </c>
    </row>
    <row r="11" spans="1:28" x14ac:dyDescent="0.3">
      <c r="B11" s="42" t="s">
        <v>592</v>
      </c>
      <c r="C11" s="42">
        <v>1</v>
      </c>
      <c r="D11" s="42" t="s">
        <v>255</v>
      </c>
      <c r="E11" s="42" t="s">
        <v>170</v>
      </c>
      <c r="F11" s="42" t="s">
        <v>311</v>
      </c>
      <c r="G11" s="22" t="s">
        <v>351</v>
      </c>
      <c r="H11" s="134" t="s">
        <v>327</v>
      </c>
      <c r="I11" s="22"/>
      <c r="J11" s="44" t="s">
        <v>66</v>
      </c>
      <c r="K11" s="42" t="s">
        <v>95</v>
      </c>
      <c r="L11" s="42"/>
      <c r="M11" s="57" t="s">
        <v>353</v>
      </c>
      <c r="N11" s="58" t="s">
        <v>385</v>
      </c>
      <c r="O11" s="44" t="s">
        <v>170</v>
      </c>
      <c r="P11" s="42"/>
      <c r="Q11" s="42"/>
      <c r="R11" s="42"/>
      <c r="S11" s="42"/>
      <c r="T11" s="22"/>
      <c r="U11" s="47" t="s">
        <v>34</v>
      </c>
      <c r="V11" s="43">
        <v>45789</v>
      </c>
      <c r="W11" s="37"/>
      <c r="Y11" s="138" t="s">
        <v>626</v>
      </c>
      <c r="Z11" s="43"/>
      <c r="AA11" s="37"/>
      <c r="AB11" s="37"/>
    </row>
    <row r="12" spans="1:28" ht="28.8" x14ac:dyDescent="0.3">
      <c r="B12" s="42" t="s">
        <v>592</v>
      </c>
      <c r="C12" s="42">
        <v>2</v>
      </c>
      <c r="D12" s="42" t="s">
        <v>77</v>
      </c>
      <c r="E12" s="42" t="s">
        <v>171</v>
      </c>
      <c r="F12" s="42" t="s">
        <v>311</v>
      </c>
      <c r="G12" s="42" t="s">
        <v>357</v>
      </c>
      <c r="H12" s="134" t="s">
        <v>327</v>
      </c>
      <c r="I12" s="22"/>
      <c r="J12" s="44" t="s">
        <v>66</v>
      </c>
      <c r="K12" s="42" t="s">
        <v>96</v>
      </c>
      <c r="L12" s="42"/>
      <c r="M12" s="57" t="s">
        <v>353</v>
      </c>
      <c r="N12" s="58" t="s">
        <v>385</v>
      </c>
      <c r="O12" s="184" t="s">
        <v>627</v>
      </c>
      <c r="P12" s="42"/>
      <c r="Q12" s="42"/>
      <c r="R12" s="42"/>
      <c r="S12" s="42"/>
      <c r="T12" s="22"/>
      <c r="U12" s="47" t="s">
        <v>34</v>
      </c>
      <c r="V12" s="43">
        <v>45789</v>
      </c>
      <c r="W12" s="37"/>
      <c r="Y12" s="138" t="s">
        <v>626</v>
      </c>
      <c r="Z12" s="43"/>
      <c r="AA12" s="37"/>
      <c r="AB12" s="37"/>
    </row>
    <row r="13" spans="1:28" ht="214.8" customHeight="1" x14ac:dyDescent="0.3">
      <c r="B13" s="42" t="s">
        <v>592</v>
      </c>
      <c r="C13" s="42">
        <v>3</v>
      </c>
      <c r="D13" s="42" t="s">
        <v>98</v>
      </c>
      <c r="E13" s="42" t="s">
        <v>172</v>
      </c>
      <c r="F13" s="42" t="s">
        <v>311</v>
      </c>
      <c r="G13" s="44" t="s">
        <v>800</v>
      </c>
      <c r="H13" s="134"/>
      <c r="I13" s="22"/>
      <c r="J13" s="44" t="s">
        <v>66</v>
      </c>
      <c r="K13" s="42" t="s">
        <v>97</v>
      </c>
      <c r="L13" s="42"/>
      <c r="M13" s="57" t="s">
        <v>353</v>
      </c>
      <c r="N13" s="58" t="s">
        <v>799</v>
      </c>
      <c r="O13" s="44" t="s">
        <v>801</v>
      </c>
      <c r="P13" s="42"/>
      <c r="Q13" s="44" t="s">
        <v>804</v>
      </c>
      <c r="R13" s="42"/>
      <c r="S13" s="42"/>
      <c r="T13" s="22"/>
      <c r="U13" s="47" t="s">
        <v>34</v>
      </c>
      <c r="V13" s="43">
        <v>45789</v>
      </c>
      <c r="W13" s="37"/>
      <c r="Y13" s="138" t="s">
        <v>626</v>
      </c>
      <c r="Z13" s="43"/>
      <c r="AA13" s="37"/>
      <c r="AB13" s="37"/>
    </row>
    <row r="14" spans="1:28" ht="28.8" x14ac:dyDescent="0.3">
      <c r="B14" s="42" t="s">
        <v>592</v>
      </c>
      <c r="C14" s="42">
        <v>4</v>
      </c>
      <c r="D14" s="42" t="s">
        <v>100</v>
      </c>
      <c r="E14" s="42" t="s">
        <v>173</v>
      </c>
      <c r="F14" s="42" t="s">
        <v>311</v>
      </c>
      <c r="G14" s="44" t="s">
        <v>803</v>
      </c>
      <c r="H14" s="134"/>
      <c r="I14" s="22"/>
      <c r="J14" s="44" t="s">
        <v>66</v>
      </c>
      <c r="K14" s="42" t="s">
        <v>99</v>
      </c>
      <c r="L14" s="42"/>
      <c r="M14" s="57" t="s">
        <v>353</v>
      </c>
      <c r="N14" s="58" t="s">
        <v>799</v>
      </c>
      <c r="O14" s="44" t="s">
        <v>802</v>
      </c>
      <c r="P14" s="42"/>
      <c r="Q14" s="42"/>
      <c r="R14" s="42"/>
      <c r="S14" s="42"/>
      <c r="T14" s="22"/>
      <c r="U14" s="47" t="s">
        <v>34</v>
      </c>
      <c r="V14" s="43">
        <v>45789</v>
      </c>
      <c r="W14" s="37"/>
      <c r="Y14" s="138" t="s">
        <v>626</v>
      </c>
      <c r="Z14" s="43"/>
      <c r="AA14" s="37"/>
      <c r="AB14" s="37"/>
    </row>
    <row r="15" spans="1:28" s="22" customFormat="1" x14ac:dyDescent="0.3">
      <c r="B15" s="42" t="s">
        <v>592</v>
      </c>
      <c r="C15" s="42">
        <v>5</v>
      </c>
      <c r="D15" s="42" t="s">
        <v>442</v>
      </c>
      <c r="E15" s="42" t="s">
        <v>436</v>
      </c>
      <c r="F15" s="44" t="s">
        <v>311</v>
      </c>
      <c r="G15" s="44" t="s">
        <v>437</v>
      </c>
      <c r="H15" s="167"/>
      <c r="I15" s="113"/>
      <c r="J15" s="44" t="s">
        <v>552</v>
      </c>
      <c r="K15" s="44" t="s">
        <v>252</v>
      </c>
      <c r="L15" s="44"/>
      <c r="M15" s="58" t="s">
        <v>353</v>
      </c>
      <c r="N15" s="58" t="s">
        <v>385</v>
      </c>
      <c r="O15" s="210" t="s">
        <v>436</v>
      </c>
      <c r="P15" s="44"/>
      <c r="Q15" s="44"/>
      <c r="R15" s="44"/>
      <c r="S15" s="44"/>
      <c r="T15" s="113"/>
      <c r="U15" s="47" t="s">
        <v>34</v>
      </c>
      <c r="V15" s="43">
        <v>45901</v>
      </c>
      <c r="W15" s="42"/>
      <c r="Y15" s="138" t="s">
        <v>626</v>
      </c>
      <c r="Z15" s="43"/>
      <c r="AA15" s="44"/>
      <c r="AB15" s="42"/>
    </row>
    <row r="16" spans="1:28" s="22" customFormat="1" x14ac:dyDescent="0.3">
      <c r="B16" s="42" t="s">
        <v>592</v>
      </c>
      <c r="C16" s="42">
        <v>6</v>
      </c>
      <c r="D16" s="44" t="s">
        <v>307</v>
      </c>
      <c r="E16" s="42" t="s">
        <v>471</v>
      </c>
      <c r="F16" s="42" t="s">
        <v>311</v>
      </c>
      <c r="G16" s="44" t="s">
        <v>463</v>
      </c>
      <c r="H16" s="167"/>
      <c r="I16" s="113"/>
      <c r="J16" s="44" t="s">
        <v>552</v>
      </c>
      <c r="K16" s="44" t="s">
        <v>252</v>
      </c>
      <c r="L16" s="44"/>
      <c r="M16" s="58" t="s">
        <v>353</v>
      </c>
      <c r="N16" s="58" t="s">
        <v>385</v>
      </c>
      <c r="O16" s="44" t="s">
        <v>471</v>
      </c>
      <c r="P16" s="44"/>
      <c r="Q16" s="44"/>
      <c r="R16" s="44"/>
      <c r="S16" s="44"/>
      <c r="T16" s="113"/>
      <c r="U16" s="47" t="s">
        <v>34</v>
      </c>
      <c r="V16" s="43">
        <v>45901</v>
      </c>
      <c r="W16" s="42"/>
      <c r="Y16" s="138" t="s">
        <v>626</v>
      </c>
      <c r="Z16" s="43"/>
      <c r="AA16" s="44"/>
      <c r="AB16" s="42"/>
    </row>
    <row r="17" spans="2:28" x14ac:dyDescent="0.3">
      <c r="B17" s="42" t="s">
        <v>592</v>
      </c>
      <c r="C17" s="42">
        <v>7</v>
      </c>
      <c r="D17" s="44" t="s">
        <v>427</v>
      </c>
      <c r="E17" s="42" t="s">
        <v>426</v>
      </c>
      <c r="F17" s="44" t="s">
        <v>311</v>
      </c>
      <c r="G17" s="44" t="s">
        <v>430</v>
      </c>
      <c r="H17" s="167"/>
      <c r="I17" s="113"/>
      <c r="J17" s="44" t="s">
        <v>552</v>
      </c>
      <c r="K17" s="44" t="s">
        <v>310</v>
      </c>
      <c r="L17" s="44"/>
      <c r="M17" s="44" t="s">
        <v>332</v>
      </c>
      <c r="N17" s="44" t="s">
        <v>332</v>
      </c>
      <c r="O17" s="44" t="s">
        <v>332</v>
      </c>
      <c r="P17" s="44"/>
      <c r="Q17" s="44"/>
      <c r="R17" s="44"/>
      <c r="S17" s="44"/>
      <c r="T17" s="113"/>
      <c r="U17" s="47" t="s">
        <v>34</v>
      </c>
      <c r="V17" s="43">
        <v>45901</v>
      </c>
      <c r="W17" s="42"/>
      <c r="X17" s="22"/>
      <c r="Y17" s="138" t="s">
        <v>626</v>
      </c>
      <c r="Z17" s="43"/>
      <c r="AA17" s="44"/>
      <c r="AB17" s="42"/>
    </row>
    <row r="18" spans="2:28" x14ac:dyDescent="0.3">
      <c r="B18" s="42" t="s">
        <v>592</v>
      </c>
      <c r="C18" s="42">
        <v>8</v>
      </c>
      <c r="D18" s="44" t="s">
        <v>329</v>
      </c>
      <c r="E18" s="44" t="s">
        <v>309</v>
      </c>
      <c r="F18" s="44" t="s">
        <v>349</v>
      </c>
      <c r="G18" s="44" t="s">
        <v>331</v>
      </c>
      <c r="H18" s="167"/>
      <c r="I18" s="113"/>
      <c r="J18" s="44" t="s">
        <v>552</v>
      </c>
      <c r="K18" s="44" t="s">
        <v>310</v>
      </c>
      <c r="L18" s="44"/>
      <c r="M18" s="44" t="s">
        <v>332</v>
      </c>
      <c r="N18" s="44" t="s">
        <v>332</v>
      </c>
      <c r="O18" s="44" t="s">
        <v>332</v>
      </c>
      <c r="P18" s="44"/>
      <c r="Q18" s="44"/>
      <c r="R18" s="44"/>
      <c r="S18" s="44"/>
      <c r="T18" s="113"/>
      <c r="U18" s="47" t="s">
        <v>34</v>
      </c>
      <c r="V18" s="43">
        <v>45901</v>
      </c>
      <c r="W18" s="42"/>
      <c r="X18" s="22"/>
      <c r="Y18" s="138" t="s">
        <v>626</v>
      </c>
      <c r="Z18" s="43"/>
      <c r="AA18" s="44"/>
      <c r="AB18" s="42"/>
    </row>
    <row r="19" spans="2:28" x14ac:dyDescent="0.3">
      <c r="B19" s="42" t="s">
        <v>592</v>
      </c>
      <c r="C19" s="42">
        <v>9</v>
      </c>
      <c r="D19" s="44" t="s">
        <v>328</v>
      </c>
      <c r="E19" s="44" t="s">
        <v>308</v>
      </c>
      <c r="F19" s="44" t="s">
        <v>311</v>
      </c>
      <c r="G19" s="44" t="s">
        <v>330</v>
      </c>
      <c r="H19" s="167" t="s">
        <v>327</v>
      </c>
      <c r="I19" s="113"/>
      <c r="J19" s="44" t="s">
        <v>552</v>
      </c>
      <c r="K19" s="44" t="s">
        <v>310</v>
      </c>
      <c r="L19" s="44"/>
      <c r="M19" s="44" t="s">
        <v>332</v>
      </c>
      <c r="N19" s="44" t="s">
        <v>332</v>
      </c>
      <c r="O19" s="96" t="s">
        <v>332</v>
      </c>
      <c r="P19" s="44"/>
      <c r="Q19" s="44"/>
      <c r="R19" s="44"/>
      <c r="S19" s="44"/>
      <c r="T19" s="113"/>
      <c r="U19" s="47" t="s">
        <v>34</v>
      </c>
      <c r="V19" s="43">
        <v>45901</v>
      </c>
      <c r="W19" s="42"/>
      <c r="X19" s="22"/>
      <c r="Y19" s="138" t="s">
        <v>626</v>
      </c>
      <c r="Z19" s="43"/>
      <c r="AA19" s="44"/>
      <c r="AB19" s="42"/>
    </row>
    <row r="20" spans="2:28" x14ac:dyDescent="0.3">
      <c r="B20" s="42" t="s">
        <v>592</v>
      </c>
      <c r="C20" s="42">
        <v>10</v>
      </c>
      <c r="D20" s="44" t="s">
        <v>428</v>
      </c>
      <c r="E20" s="44" t="s">
        <v>425</v>
      </c>
      <c r="F20" s="44" t="s">
        <v>354</v>
      </c>
      <c r="G20" s="44" t="s">
        <v>429</v>
      </c>
      <c r="H20" s="167" t="s">
        <v>327</v>
      </c>
      <c r="I20" s="113"/>
      <c r="J20" s="44" t="s">
        <v>552</v>
      </c>
      <c r="K20" s="44" t="s">
        <v>310</v>
      </c>
      <c r="L20" s="44"/>
      <c r="M20" s="44" t="s">
        <v>332</v>
      </c>
      <c r="N20" s="44" t="s">
        <v>332</v>
      </c>
      <c r="O20" s="44" t="s">
        <v>332</v>
      </c>
      <c r="P20" s="44"/>
      <c r="Q20" s="44"/>
      <c r="R20" s="44"/>
      <c r="S20" s="44"/>
      <c r="T20" s="113"/>
      <c r="U20" s="47" t="s">
        <v>34</v>
      </c>
      <c r="V20" s="43">
        <v>45901</v>
      </c>
      <c r="W20" s="57"/>
      <c r="X20" s="148"/>
      <c r="Y20" s="138" t="s">
        <v>626</v>
      </c>
      <c r="Z20" s="43"/>
      <c r="AA20" s="44"/>
      <c r="AB20" s="42"/>
    </row>
  </sheetData>
  <autoFilter ref="B10:U10"/>
  <mergeCells count="7">
    <mergeCell ref="Y9:AB9"/>
    <mergeCell ref="J9:L9"/>
    <mergeCell ref="C7:H7"/>
    <mergeCell ref="B9:H9"/>
    <mergeCell ref="M9:O9"/>
    <mergeCell ref="P9:S9"/>
    <mergeCell ref="U9:W9"/>
  </mergeCells>
  <conditionalFormatting sqref="U11:U14">
    <cfRule type="cellIs" dxfId="68" priority="1" operator="equal">
      <formula>"Testes utilizador"</formula>
    </cfRule>
  </conditionalFormatting>
  <conditionalFormatting sqref="U15:U20">
    <cfRule type="cellIs" dxfId="67" priority="11" operator="equal">
      <formula>"Testes utilizador"</formula>
    </cfRule>
  </conditionalFormatting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equal" id="{EA83DE17-B435-410F-A9A5-59C097DF6A93}">
            <xm:f>'C:\Users\e859162\Documents\00. Old\[BS_Especificação_FEI_v0.3.xlsx]Tabelas AUX'!#REF!</xm:f>
            <x14:dxf>
              <font>
                <color rgb="FF00B050"/>
              </font>
            </x14:dxf>
          </x14:cfRule>
          <x14:cfRule type="cellIs" priority="3" operator="equal" id="{3938AB1C-C4A1-46CF-B3F9-D17E9D21F220}">
            <xm:f>'C:\Users\e859162\Documents\00. Old\[BS_Especificação_FEI_v0.3.xlsx]Tabelas AUX'!#REF!</xm:f>
            <x14:dxf>
              <font>
                <color rgb="FF7F7F7F"/>
              </font>
            </x14:dxf>
          </x14:cfRule>
          <x14:cfRule type="cellIs" priority="4" operator="equal" id="{DB17BD52-19F1-4181-86D6-50F8BCBE9F90}">
            <xm:f>'C:\Users\e859162\Documents\00. Old\[BS_Especificação_FEI_v0.3.xlsx]Tabelas AUX'!#REF!</xm:f>
            <x14:dxf>
              <font>
                <color theme="5"/>
              </font>
            </x14:dxf>
          </x14:cfRule>
          <x14:cfRule type="cellIs" priority="5" operator="equal" id="{E91360BF-F294-4028-B34E-DE84F5C00C3B}">
            <xm:f>'C:\Users\e859162\Documents\00. Old\[BS_Especificação_FEI_v0.3.xlsx]Tabelas AUX'!#REF!</xm:f>
            <x14:dxf>
              <font>
                <color rgb="FFC00000"/>
              </font>
            </x14:dxf>
          </x14:cfRule>
          <xm:sqref>U11:U14</xm:sqref>
        </x14:conditionalFormatting>
        <x14:conditionalFormatting xmlns:xm="http://schemas.microsoft.com/office/excel/2006/main">
          <x14:cfRule type="cellIs" priority="12" operator="equal" id="{ACAC165B-EC5E-43F9-A92D-1C7AA7094694}">
            <xm:f>'C:\Users\e859162\Documents\00. Old\[BS_Especificação_FEI_v0.3.xlsx]Tabelas AUX'!#REF!</xm:f>
            <x14:dxf>
              <font>
                <color rgb="FF00B050"/>
              </font>
            </x14:dxf>
          </x14:cfRule>
          <x14:cfRule type="cellIs" priority="13" operator="equal" id="{5551DBE7-2BC0-4967-A2AB-50C9D0886494}">
            <xm:f>'C:\Users\e859162\Documents\00. Old\[BS_Especificação_FEI_v0.3.xlsx]Tabelas AUX'!#REF!</xm:f>
            <x14:dxf>
              <font>
                <color rgb="FF7F7F7F"/>
              </font>
            </x14:dxf>
          </x14:cfRule>
          <x14:cfRule type="cellIs" priority="14" operator="equal" id="{CE4400D8-010B-4274-8413-B5940B90EA17}">
            <xm:f>'C:\Users\e859162\Documents\00. Old\[BS_Especificação_FEI_v0.3.xlsx]Tabelas AUX'!#REF!</xm:f>
            <x14:dxf>
              <font>
                <color theme="5"/>
              </font>
            </x14:dxf>
          </x14:cfRule>
          <x14:cfRule type="cellIs" priority="15" operator="equal" id="{5E526A38-CFC9-46E1-A679-541FD342AA4E}">
            <xm:f>'C:\Users\e859162\Documents\00. Old\[BS_Especificação_FEI_v0.3.xlsx]Tabelas AUX'!#REF!</xm:f>
            <x14:dxf>
              <font>
                <color rgb="FFC00000"/>
              </font>
            </x14:dxf>
          </x14:cfRule>
          <xm:sqref>U15:U20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'Tabelas AUX'!$G$2:$G$17</xm:f>
          </x14:formula1>
          <xm:sqref>Y11:Y20</xm:sqref>
        </x14:dataValidation>
        <x14:dataValidation type="list" allowBlank="1" showInputMessage="1" showErrorMessage="1">
          <x14:formula1>
            <xm:f>'https://santandernet.sharepoint.com/sites/FEIeBEI/Shared Documents/FEI e BEI/03. Documentos Produzidos/01. Especificação/00. Old/[BS_Especificação_FEI_v0.3.xlsx]Tabelas AUX'!#REF!</xm:f>
          </x14:formula1>
          <xm:sqref>U11:U20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1"/>
  </sheetPr>
  <dimension ref="A1:H17"/>
  <sheetViews>
    <sheetView topLeftCell="B1" workbookViewId="0">
      <selection activeCell="H13" sqref="H13"/>
    </sheetView>
  </sheetViews>
  <sheetFormatPr defaultRowHeight="14.4" x14ac:dyDescent="0.3"/>
  <cols>
    <col min="1" max="1" width="22.44140625" bestFit="1" customWidth="1"/>
    <col min="3" max="3" width="21.5546875" bestFit="1" customWidth="1"/>
    <col min="5" max="5" width="24" bestFit="1" customWidth="1"/>
    <col min="7" max="7" width="22.44140625" bestFit="1" customWidth="1"/>
    <col min="8" max="8" width="92.109375" bestFit="1" customWidth="1"/>
    <col min="9" max="9" width="21.5546875" bestFit="1" customWidth="1"/>
  </cols>
  <sheetData>
    <row r="1" spans="1:8" x14ac:dyDescent="0.3">
      <c r="A1" s="76" t="s">
        <v>106</v>
      </c>
      <c r="B1" s="77"/>
      <c r="C1" s="78" t="s">
        <v>107</v>
      </c>
      <c r="E1" s="29" t="s">
        <v>106</v>
      </c>
      <c r="G1" s="86" t="s">
        <v>108</v>
      </c>
    </row>
    <row r="2" spans="1:8" x14ac:dyDescent="0.3">
      <c r="A2" s="79" t="s">
        <v>49</v>
      </c>
      <c r="B2" s="77"/>
      <c r="C2" s="80" t="s">
        <v>109</v>
      </c>
      <c r="E2" s="38" t="s">
        <v>49</v>
      </c>
      <c r="G2" s="87" t="s">
        <v>49</v>
      </c>
      <c r="H2" t="s">
        <v>110</v>
      </c>
    </row>
    <row r="3" spans="1:8" x14ac:dyDescent="0.3">
      <c r="A3" s="81" t="s">
        <v>111</v>
      </c>
      <c r="B3" s="77"/>
      <c r="C3" s="82" t="s">
        <v>112</v>
      </c>
      <c r="E3" s="39" t="s">
        <v>47</v>
      </c>
      <c r="G3" s="88" t="s">
        <v>47</v>
      </c>
      <c r="H3" t="s">
        <v>113</v>
      </c>
    </row>
    <row r="4" spans="1:8" x14ac:dyDescent="0.3">
      <c r="A4" s="83" t="s">
        <v>114</v>
      </c>
      <c r="B4" s="77"/>
      <c r="C4" s="80" t="s">
        <v>115</v>
      </c>
      <c r="E4" s="40" t="s">
        <v>48</v>
      </c>
      <c r="G4" s="87" t="s">
        <v>48</v>
      </c>
      <c r="H4" t="s">
        <v>116</v>
      </c>
    </row>
    <row r="5" spans="1:8" x14ac:dyDescent="0.3">
      <c r="A5" s="84" t="s">
        <v>34</v>
      </c>
      <c r="B5" s="77"/>
      <c r="C5" s="82" t="s">
        <v>117</v>
      </c>
      <c r="E5" s="41" t="s">
        <v>34</v>
      </c>
      <c r="G5" s="89" t="s">
        <v>34</v>
      </c>
      <c r="H5" t="s">
        <v>118</v>
      </c>
    </row>
    <row r="6" spans="1:8" x14ac:dyDescent="0.3">
      <c r="A6" s="77" t="s">
        <v>119</v>
      </c>
      <c r="B6" s="77"/>
      <c r="C6" s="80" t="s">
        <v>120</v>
      </c>
      <c r="E6" s="94" t="s">
        <v>50</v>
      </c>
      <c r="G6" s="87" t="s">
        <v>59</v>
      </c>
      <c r="H6" t="s">
        <v>121</v>
      </c>
    </row>
    <row r="7" spans="1:8" x14ac:dyDescent="0.3">
      <c r="A7" s="77" t="s">
        <v>122</v>
      </c>
      <c r="B7" s="77"/>
      <c r="C7" s="82" t="s">
        <v>123</v>
      </c>
      <c r="E7" s="71" t="s">
        <v>334</v>
      </c>
      <c r="G7" s="90" t="s">
        <v>124</v>
      </c>
      <c r="H7" t="s">
        <v>125</v>
      </c>
    </row>
    <row r="8" spans="1:8" x14ac:dyDescent="0.3">
      <c r="A8" s="77" t="s">
        <v>126</v>
      </c>
      <c r="B8" s="77"/>
      <c r="C8" s="80" t="s">
        <v>127</v>
      </c>
      <c r="E8" s="72"/>
      <c r="G8" s="91" t="s">
        <v>56</v>
      </c>
      <c r="H8" t="s">
        <v>128</v>
      </c>
    </row>
    <row r="9" spans="1:8" x14ac:dyDescent="0.3">
      <c r="A9" s="77" t="s">
        <v>59</v>
      </c>
      <c r="B9" s="77"/>
      <c r="C9" s="82" t="s">
        <v>129</v>
      </c>
      <c r="E9" s="38"/>
      <c r="G9" s="92" t="s">
        <v>57</v>
      </c>
      <c r="H9" t="s">
        <v>130</v>
      </c>
    </row>
    <row r="10" spans="1:8" x14ac:dyDescent="0.3">
      <c r="A10" s="77" t="s">
        <v>112</v>
      </c>
      <c r="E10" s="29"/>
      <c r="G10" s="93" t="s">
        <v>131</v>
      </c>
      <c r="H10" t="s">
        <v>132</v>
      </c>
    </row>
    <row r="11" spans="1:8" x14ac:dyDescent="0.3">
      <c r="E11" s="71"/>
      <c r="G11" s="92" t="s">
        <v>58</v>
      </c>
      <c r="H11" t="s">
        <v>133</v>
      </c>
    </row>
    <row r="12" spans="1:8" x14ac:dyDescent="0.3">
      <c r="G12" s="92" t="s">
        <v>806</v>
      </c>
      <c r="H12" t="s">
        <v>807</v>
      </c>
    </row>
    <row r="13" spans="1:8" x14ac:dyDescent="0.3">
      <c r="G13" s="91" t="s">
        <v>63</v>
      </c>
      <c r="H13" t="s">
        <v>134</v>
      </c>
    </row>
    <row r="14" spans="1:8" x14ac:dyDescent="0.3">
      <c r="G14" s="87" t="s">
        <v>60</v>
      </c>
      <c r="H14" t="s">
        <v>135</v>
      </c>
    </row>
    <row r="15" spans="1:8" x14ac:dyDescent="0.3">
      <c r="G15" s="87" t="s">
        <v>61</v>
      </c>
      <c r="H15" t="s">
        <v>136</v>
      </c>
    </row>
    <row r="16" spans="1:8" x14ac:dyDescent="0.3">
      <c r="G16" s="87" t="s">
        <v>62</v>
      </c>
      <c r="H16" t="s">
        <v>137</v>
      </c>
    </row>
    <row r="17" spans="7:8" x14ac:dyDescent="0.3">
      <c r="G17" s="95" t="s">
        <v>35</v>
      </c>
      <c r="H17" t="s">
        <v>138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2">
    <tablePart r:id="rId2"/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pageSetUpPr autoPageBreaks="0"/>
  </sheetPr>
  <dimension ref="A1:AE100"/>
  <sheetViews>
    <sheetView showGridLines="0" zoomScale="70" zoomScaleNormal="70" workbookViewId="0">
      <selection activeCell="M36" sqref="M36"/>
    </sheetView>
  </sheetViews>
  <sheetFormatPr defaultColWidth="9.109375" defaultRowHeight="14.4" outlineLevelRow="1" outlineLevelCol="1" x14ac:dyDescent="0.3"/>
  <cols>
    <col min="1" max="1" width="3.6640625" customWidth="1"/>
    <col min="2" max="2" width="27.109375" style="21" customWidth="1"/>
    <col min="3" max="3" width="9.44140625" style="21" bestFit="1" customWidth="1"/>
    <col min="4" max="4" width="30.44140625" style="21" customWidth="1"/>
    <col min="5" max="5" width="17" style="21" bestFit="1" customWidth="1"/>
    <col min="6" max="6" width="44.33203125" style="21" bestFit="1" customWidth="1"/>
    <col min="7" max="7" width="19" style="21" bestFit="1" customWidth="1"/>
    <col min="8" max="8" width="2" style="21" customWidth="1"/>
    <col min="9" max="9" width="27.88671875" style="21" customWidth="1" outlineLevel="1"/>
    <col min="10" max="10" width="26.88671875" style="21" customWidth="1" outlineLevel="1"/>
    <col min="11" max="11" width="21" style="21" customWidth="1" outlineLevel="1"/>
    <col min="12" max="12" width="29.33203125" style="21" bestFit="1" customWidth="1"/>
    <col min="13" max="13" width="28.88671875" style="21" customWidth="1"/>
    <col min="14" max="14" width="25.5546875" style="21" customWidth="1"/>
    <col min="15" max="15" width="20.33203125" style="21" customWidth="1" outlineLevel="1"/>
    <col min="16" max="17" width="42.44140625" style="21" customWidth="1" outlineLevel="1"/>
    <col min="18" max="18" width="30.5546875" style="21" customWidth="1" outlineLevel="1"/>
    <col min="19" max="19" width="2.109375" style="21" customWidth="1"/>
    <col min="20" max="20" width="14.109375" style="21" customWidth="1" outlineLevel="1"/>
    <col min="21" max="21" width="15.44140625" style="21" customWidth="1" outlineLevel="1"/>
    <col min="22" max="22" width="42.6640625" style="21" customWidth="1" outlineLevel="1"/>
    <col min="23" max="16384" width="9.109375" style="21"/>
  </cols>
  <sheetData>
    <row r="1" spans="1:22" customFormat="1" ht="15" customHeight="1" x14ac:dyDescent="0.3">
      <c r="B1" s="22"/>
      <c r="C1" s="22"/>
      <c r="D1" s="22"/>
      <c r="F1" s="22"/>
      <c r="G1" s="22"/>
    </row>
    <row r="2" spans="1:22" customFormat="1" ht="34.5" customHeight="1" x14ac:dyDescent="0.3">
      <c r="B2" s="22"/>
      <c r="C2" s="22"/>
      <c r="D2" s="23"/>
      <c r="F2" s="22"/>
      <c r="G2" s="22"/>
    </row>
    <row r="3" spans="1:22" customFormat="1" ht="2.25" customHeight="1" x14ac:dyDescent="0.3">
      <c r="A3" s="19"/>
      <c r="B3" s="24"/>
      <c r="C3" s="24"/>
      <c r="D3" s="24"/>
      <c r="E3" s="24"/>
      <c r="F3" s="24"/>
      <c r="G3" s="24"/>
    </row>
    <row r="4" spans="1:22" customFormat="1" ht="15" customHeight="1" x14ac:dyDescent="0.3">
      <c r="B4" s="22"/>
      <c r="C4" s="22"/>
      <c r="D4" s="22"/>
      <c r="F4" s="22"/>
      <c r="G4" s="22"/>
    </row>
    <row r="5" spans="1:22" customFormat="1" ht="15" customHeight="1" x14ac:dyDescent="0.3">
      <c r="B5" s="25" t="s">
        <v>104</v>
      </c>
      <c r="C5" s="25"/>
      <c r="D5" s="22"/>
      <c r="F5" s="22"/>
      <c r="G5" s="22"/>
    </row>
    <row r="6" spans="1:22" customFormat="1" ht="15" customHeight="1" x14ac:dyDescent="0.3">
      <c r="B6" s="22"/>
      <c r="C6" s="22"/>
      <c r="D6" s="22"/>
      <c r="F6" s="22"/>
      <c r="G6" s="22"/>
    </row>
    <row r="7" spans="1:22" customFormat="1" ht="144" customHeight="1" outlineLevel="1" x14ac:dyDescent="0.3">
      <c r="B7" s="26" t="s">
        <v>9</v>
      </c>
      <c r="C7" s="236" t="s">
        <v>105</v>
      </c>
      <c r="D7" s="236"/>
      <c r="E7" s="236"/>
      <c r="F7" s="236"/>
      <c r="G7" s="236"/>
      <c r="H7" s="27"/>
      <c r="I7" s="27"/>
      <c r="S7" s="27"/>
    </row>
    <row r="8" spans="1:22" customFormat="1" ht="15" customHeight="1" outlineLevel="1" x14ac:dyDescent="0.3">
      <c r="B8" s="22"/>
      <c r="C8" s="22"/>
      <c r="D8" s="22"/>
      <c r="F8" s="22"/>
      <c r="G8" s="22"/>
    </row>
    <row r="9" spans="1:22" customFormat="1" ht="15" customHeight="1" outlineLevel="1" x14ac:dyDescent="0.3">
      <c r="B9" s="22"/>
      <c r="C9" s="22"/>
      <c r="D9" s="22"/>
      <c r="F9" s="22"/>
      <c r="G9" s="22"/>
    </row>
    <row r="10" spans="1:22" customFormat="1" ht="15" customHeight="1" outlineLevel="1" x14ac:dyDescent="0.3">
      <c r="B10" s="22"/>
      <c r="C10" s="22"/>
      <c r="D10" s="22"/>
      <c r="F10" s="22"/>
      <c r="G10" s="22"/>
    </row>
    <row r="11" spans="1:22" customFormat="1" x14ac:dyDescent="0.3">
      <c r="B11" s="221" t="s">
        <v>10</v>
      </c>
      <c r="C11" s="222"/>
      <c r="D11" s="222"/>
      <c r="E11" s="222"/>
      <c r="F11" s="222"/>
      <c r="G11" s="223"/>
      <c r="I11" s="224" t="s">
        <v>11</v>
      </c>
      <c r="J11" s="225"/>
      <c r="K11" s="237"/>
      <c r="L11" s="216" t="s">
        <v>12</v>
      </c>
      <c r="M11" s="217"/>
      <c r="N11" s="218"/>
      <c r="O11" s="216" t="s">
        <v>13</v>
      </c>
      <c r="P11" s="217"/>
      <c r="Q11" s="217"/>
      <c r="R11" s="218"/>
      <c r="T11" s="216" t="s">
        <v>14</v>
      </c>
      <c r="U11" s="217"/>
      <c r="V11" s="218"/>
    </row>
    <row r="12" spans="1:22" customFormat="1" x14ac:dyDescent="0.3">
      <c r="B12" s="35" t="s">
        <v>16</v>
      </c>
      <c r="C12" s="35" t="s">
        <v>17</v>
      </c>
      <c r="D12" s="35" t="s">
        <v>18</v>
      </c>
      <c r="E12" s="35" t="s">
        <v>19</v>
      </c>
      <c r="F12" s="35" t="s">
        <v>20</v>
      </c>
      <c r="G12" s="35" t="s">
        <v>21</v>
      </c>
      <c r="I12" s="30" t="s">
        <v>22</v>
      </c>
      <c r="J12" s="31" t="s">
        <v>23</v>
      </c>
      <c r="K12" s="32" t="s">
        <v>24</v>
      </c>
      <c r="L12" s="30" t="s">
        <v>22</v>
      </c>
      <c r="M12" s="31" t="s">
        <v>23</v>
      </c>
      <c r="N12" s="32" t="s">
        <v>24</v>
      </c>
      <c r="O12" s="33" t="s">
        <v>25</v>
      </c>
      <c r="P12" s="34" t="s">
        <v>26</v>
      </c>
      <c r="Q12" s="28" t="s">
        <v>27</v>
      </c>
      <c r="R12" s="28" t="s">
        <v>28</v>
      </c>
      <c r="T12" s="36" t="s">
        <v>29</v>
      </c>
      <c r="U12" s="36" t="s">
        <v>30</v>
      </c>
      <c r="V12" s="36" t="s">
        <v>31</v>
      </c>
    </row>
    <row r="13" spans="1:22" x14ac:dyDescent="0.3">
      <c r="B13" s="96"/>
      <c r="C13" s="96"/>
      <c r="D13" s="96"/>
      <c r="E13" s="96"/>
      <c r="F13" s="96"/>
      <c r="G13" s="103"/>
      <c r="H13" s="97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7"/>
      <c r="T13" s="100"/>
      <c r="U13" s="101"/>
      <c r="V13" s="102"/>
    </row>
    <row r="14" spans="1:22" x14ac:dyDescent="0.3">
      <c r="B14" s="96"/>
      <c r="C14" s="96"/>
      <c r="D14" s="96"/>
      <c r="E14" s="96"/>
      <c r="F14" s="96"/>
      <c r="G14" s="103"/>
      <c r="H14" s="97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7"/>
      <c r="T14" s="100"/>
      <c r="U14" s="101"/>
      <c r="V14" s="102"/>
    </row>
    <row r="15" spans="1:22" x14ac:dyDescent="0.3">
      <c r="B15" s="96"/>
      <c r="C15" s="96"/>
      <c r="D15" s="96"/>
      <c r="E15" s="96"/>
      <c r="F15" s="96"/>
      <c r="G15" s="103"/>
      <c r="H15" s="97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7"/>
      <c r="T15" s="100"/>
      <c r="U15" s="101"/>
      <c r="V15" s="102"/>
    </row>
    <row r="16" spans="1:22" x14ac:dyDescent="0.3">
      <c r="B16" s="96"/>
      <c r="C16" s="96"/>
      <c r="D16" s="96"/>
      <c r="E16" s="96"/>
      <c r="F16" s="96"/>
      <c r="G16" s="103"/>
      <c r="H16" s="97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7"/>
      <c r="T16" s="100"/>
      <c r="U16" s="101"/>
      <c r="V16" s="102"/>
    </row>
    <row r="17" spans="2:23" x14ac:dyDescent="0.3">
      <c r="B17" s="96"/>
      <c r="C17" s="96"/>
      <c r="D17" s="96"/>
      <c r="E17" s="105"/>
      <c r="F17" s="96"/>
      <c r="G17" s="96"/>
      <c r="H17" s="97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7"/>
      <c r="T17" s="100"/>
      <c r="U17" s="101"/>
      <c r="V17" s="102"/>
    </row>
    <row r="18" spans="2:23" x14ac:dyDescent="0.3">
      <c r="B18" s="96"/>
      <c r="C18" s="96"/>
      <c r="D18" s="96"/>
      <c r="E18" s="96"/>
      <c r="F18" s="96"/>
      <c r="G18" s="96"/>
      <c r="H18" s="97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7"/>
      <c r="T18" s="100"/>
      <c r="U18" s="106"/>
      <c r="V18" s="107"/>
    </row>
    <row r="19" spans="2:23" x14ac:dyDescent="0.3">
      <c r="B19" s="96"/>
      <c r="C19" s="96"/>
      <c r="D19" s="96"/>
      <c r="E19" s="96"/>
      <c r="F19" s="96"/>
      <c r="G19" s="96"/>
      <c r="H19" s="97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7"/>
      <c r="T19" s="100"/>
      <c r="U19" s="106"/>
      <c r="V19" s="107"/>
    </row>
    <row r="20" spans="2:23" ht="14.25" customHeight="1" x14ac:dyDescent="0.3">
      <c r="B20" s="96"/>
      <c r="C20" s="96"/>
      <c r="D20" s="96"/>
      <c r="E20" s="96"/>
      <c r="F20" s="96"/>
      <c r="G20" s="96"/>
      <c r="H20" s="97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7"/>
      <c r="T20" s="100"/>
      <c r="U20" s="106"/>
      <c r="V20" s="107"/>
    </row>
    <row r="21" spans="2:23" x14ac:dyDescent="0.3">
      <c r="B21" s="96"/>
      <c r="C21" s="96"/>
      <c r="D21" s="96"/>
      <c r="E21" s="96"/>
      <c r="F21" s="96"/>
      <c r="G21" s="96"/>
      <c r="H21" s="97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7"/>
      <c r="T21" s="100"/>
      <c r="U21" s="106"/>
      <c r="V21" s="107"/>
    </row>
    <row r="22" spans="2:23" x14ac:dyDescent="0.3">
      <c r="B22" s="96"/>
      <c r="C22" s="96"/>
      <c r="D22" s="96"/>
      <c r="E22" s="96"/>
      <c r="F22" s="96"/>
      <c r="G22" s="96"/>
      <c r="H22" s="97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7"/>
      <c r="T22" s="100"/>
      <c r="U22" s="106"/>
      <c r="V22" s="107"/>
    </row>
    <row r="23" spans="2:23" x14ac:dyDescent="0.3">
      <c r="B23" s="96"/>
      <c r="C23" s="96"/>
      <c r="D23" s="96"/>
      <c r="E23" s="96"/>
      <c r="F23" s="96"/>
      <c r="G23" s="96"/>
      <c r="H23" s="97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7"/>
      <c r="T23" s="100"/>
      <c r="U23" s="106"/>
      <c r="V23" s="107"/>
    </row>
    <row r="24" spans="2:23" x14ac:dyDescent="0.3">
      <c r="B24" s="96"/>
      <c r="C24" s="96"/>
      <c r="D24" s="96"/>
      <c r="E24" s="96"/>
      <c r="F24" s="96"/>
      <c r="G24" s="96"/>
      <c r="H24" s="97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7"/>
      <c r="T24" s="100"/>
      <c r="U24" s="106"/>
      <c r="V24" s="107"/>
    </row>
    <row r="25" spans="2:23" x14ac:dyDescent="0.3">
      <c r="B25" s="96"/>
      <c r="C25" s="96"/>
      <c r="D25" s="96"/>
      <c r="E25" s="96"/>
      <c r="F25" s="96"/>
      <c r="G25" s="96"/>
      <c r="H25" s="97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7"/>
      <c r="T25" s="100"/>
      <c r="U25" s="106"/>
      <c r="V25" s="107"/>
    </row>
    <row r="26" spans="2:23" x14ac:dyDescent="0.3">
      <c r="B26" s="96"/>
      <c r="C26" s="96"/>
      <c r="D26" s="96"/>
      <c r="E26" s="96"/>
      <c r="F26" s="96"/>
      <c r="G26" s="96"/>
      <c r="H26" s="97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7"/>
      <c r="T26" s="100"/>
      <c r="U26" s="106"/>
      <c r="V26" s="108"/>
    </row>
    <row r="27" spans="2:23" x14ac:dyDescent="0.3">
      <c r="B27" s="96"/>
      <c r="C27" s="96"/>
      <c r="D27" s="96"/>
      <c r="E27" s="105"/>
      <c r="F27" s="105"/>
      <c r="G27" s="105"/>
      <c r="H27" s="97"/>
      <c r="I27" s="105"/>
      <c r="J27" s="105"/>
      <c r="K27" s="105"/>
      <c r="L27" s="96"/>
      <c r="M27" s="96"/>
      <c r="N27" s="105"/>
      <c r="O27" s="105"/>
      <c r="P27" s="105"/>
      <c r="Q27" s="96"/>
      <c r="R27" s="96"/>
      <c r="S27" s="97"/>
      <c r="T27" s="100"/>
      <c r="U27" s="101"/>
      <c r="V27" s="102"/>
    </row>
    <row r="28" spans="2:23" x14ac:dyDescent="0.3">
      <c r="B28" s="96"/>
      <c r="C28" s="96"/>
      <c r="D28" s="96"/>
      <c r="E28" s="105"/>
      <c r="F28" s="105"/>
      <c r="G28" s="105"/>
      <c r="H28" s="97"/>
      <c r="I28" s="105"/>
      <c r="J28" s="105"/>
      <c r="K28" s="105"/>
      <c r="L28" s="96"/>
      <c r="M28" s="96"/>
      <c r="N28" s="105"/>
      <c r="O28" s="105"/>
      <c r="P28" s="105"/>
      <c r="Q28" s="96"/>
      <c r="R28" s="96"/>
      <c r="S28" s="97"/>
      <c r="T28" s="100"/>
      <c r="U28" s="101"/>
      <c r="V28" s="102"/>
    </row>
    <row r="29" spans="2:23" x14ac:dyDescent="0.3">
      <c r="B29" s="96"/>
      <c r="C29" s="96"/>
      <c r="D29" s="96"/>
      <c r="E29" s="96"/>
      <c r="F29" s="96"/>
      <c r="G29" s="96"/>
      <c r="H29" s="97"/>
      <c r="I29" s="96"/>
      <c r="J29" s="96"/>
      <c r="K29" s="96"/>
      <c r="L29" s="96"/>
      <c r="M29" s="96"/>
      <c r="N29" s="96"/>
      <c r="O29" s="96"/>
      <c r="P29" s="96"/>
      <c r="Q29" s="96"/>
      <c r="R29" s="109"/>
      <c r="S29" s="97"/>
      <c r="T29" s="100"/>
      <c r="U29" s="101"/>
      <c r="V29" s="102"/>
      <c r="W29" s="97"/>
    </row>
    <row r="30" spans="2:23" x14ac:dyDescent="0.3">
      <c r="B30" s="96"/>
      <c r="C30" s="110"/>
      <c r="D30" s="110"/>
      <c r="E30" s="110"/>
      <c r="F30" s="110"/>
      <c r="G30" s="96"/>
      <c r="H30" s="97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7"/>
      <c r="T30" s="100"/>
      <c r="U30" s="102"/>
      <c r="V30" s="102"/>
    </row>
    <row r="31" spans="2:23" ht="14.25" customHeight="1" x14ac:dyDescent="0.3">
      <c r="B31" s="96"/>
      <c r="C31" s="110"/>
      <c r="D31" s="110"/>
      <c r="E31" s="110"/>
      <c r="F31" s="110"/>
      <c r="G31" s="96"/>
      <c r="H31" s="97"/>
      <c r="I31" s="96"/>
      <c r="J31" s="96"/>
      <c r="K31" s="96"/>
      <c r="L31" s="105"/>
      <c r="M31" s="105"/>
      <c r="N31" s="96"/>
      <c r="O31" s="96"/>
      <c r="P31" s="96"/>
      <c r="Q31" s="96"/>
      <c r="R31" s="96"/>
      <c r="S31" s="97"/>
      <c r="T31" s="100"/>
      <c r="U31" s="102"/>
      <c r="V31" s="102"/>
    </row>
    <row r="32" spans="2:23" ht="14.25" customHeight="1" x14ac:dyDescent="0.3">
      <c r="B32" s="96"/>
      <c r="C32" s="96"/>
      <c r="D32" s="105"/>
      <c r="E32" s="105"/>
      <c r="F32" s="105"/>
      <c r="G32" s="96"/>
      <c r="H32" s="97"/>
      <c r="I32" s="96"/>
      <c r="J32" s="96"/>
      <c r="K32" s="96"/>
      <c r="L32" s="105"/>
      <c r="M32" s="105"/>
      <c r="N32" s="96"/>
      <c r="O32" s="96"/>
      <c r="P32" s="96"/>
      <c r="Q32" s="96"/>
      <c r="R32" s="96"/>
      <c r="S32" s="97"/>
      <c r="T32" s="100"/>
      <c r="U32" s="101"/>
      <c r="V32" s="102"/>
    </row>
    <row r="33" spans="2:31" x14ac:dyDescent="0.3">
      <c r="B33" s="96"/>
      <c r="C33" s="96"/>
      <c r="D33" s="105"/>
      <c r="E33" s="105"/>
      <c r="F33" s="105"/>
      <c r="G33" s="96"/>
      <c r="H33" s="97"/>
      <c r="I33" s="96"/>
      <c r="J33" s="96"/>
      <c r="K33" s="96"/>
      <c r="L33" s="105"/>
      <c r="M33" s="105"/>
      <c r="N33" s="96"/>
      <c r="O33" s="96"/>
      <c r="P33" s="96"/>
      <c r="Q33" s="96"/>
      <c r="R33" s="96"/>
      <c r="S33" s="97"/>
      <c r="T33" s="100"/>
      <c r="U33" s="101"/>
      <c r="V33" s="102"/>
    </row>
    <row r="34" spans="2:31" x14ac:dyDescent="0.3">
      <c r="B34" s="96"/>
      <c r="C34" s="96"/>
      <c r="D34" s="105"/>
      <c r="E34" s="105"/>
      <c r="F34" s="105"/>
      <c r="G34" s="96"/>
      <c r="H34" s="97"/>
      <c r="I34" s="96"/>
      <c r="J34" s="96"/>
      <c r="K34" s="96"/>
      <c r="L34" s="105"/>
      <c r="M34" s="105"/>
      <c r="N34" s="96"/>
      <c r="O34" s="96"/>
      <c r="P34" s="96"/>
      <c r="Q34" s="96"/>
      <c r="R34" s="96"/>
      <c r="S34" s="97"/>
      <c r="T34" s="100"/>
      <c r="U34" s="101"/>
      <c r="V34" s="102"/>
    </row>
    <row r="35" spans="2:31" x14ac:dyDescent="0.3">
      <c r="B35" s="96"/>
      <c r="C35" s="96"/>
      <c r="D35" s="105"/>
      <c r="E35" s="105"/>
      <c r="F35" s="105"/>
      <c r="G35" s="96"/>
      <c r="H35" s="97"/>
      <c r="I35" s="96"/>
      <c r="J35" s="96"/>
      <c r="K35" s="96"/>
      <c r="L35" s="105"/>
      <c r="M35" s="105"/>
      <c r="N35" s="96"/>
      <c r="O35" s="96"/>
      <c r="P35" s="96"/>
      <c r="Q35" s="96"/>
      <c r="R35" s="96"/>
      <c r="S35" s="97"/>
      <c r="T35" s="100"/>
      <c r="U35" s="101"/>
      <c r="V35" s="102"/>
    </row>
    <row r="36" spans="2:31" x14ac:dyDescent="0.3">
      <c r="B36" s="96"/>
      <c r="C36" s="96"/>
      <c r="D36" s="105"/>
      <c r="E36" s="105"/>
      <c r="F36" s="105"/>
      <c r="G36" s="96"/>
      <c r="H36" s="97"/>
      <c r="I36" s="96"/>
      <c r="J36" s="96"/>
      <c r="K36" s="96"/>
      <c r="L36" s="105"/>
      <c r="M36" s="105"/>
      <c r="N36" s="96"/>
      <c r="O36" s="96"/>
      <c r="P36" s="96"/>
      <c r="Q36" s="96"/>
      <c r="R36" s="96"/>
      <c r="S36" s="97"/>
      <c r="T36" s="100"/>
      <c r="U36" s="101"/>
      <c r="V36" s="102"/>
    </row>
    <row r="37" spans="2:31" x14ac:dyDescent="0.3">
      <c r="B37" s="96"/>
      <c r="C37" s="96"/>
      <c r="D37" s="99"/>
      <c r="E37" s="105"/>
      <c r="F37" s="105"/>
      <c r="G37" s="105"/>
      <c r="H37" s="97"/>
      <c r="I37" s="105"/>
      <c r="J37" s="105"/>
      <c r="K37" s="105"/>
      <c r="L37" s="96"/>
      <c r="M37" s="96"/>
      <c r="N37" s="105"/>
      <c r="O37" s="105"/>
      <c r="P37" s="105"/>
      <c r="Q37" s="96"/>
      <c r="R37" s="96"/>
      <c r="S37" s="97"/>
      <c r="T37" s="100"/>
      <c r="U37" s="101"/>
      <c r="V37" s="102"/>
      <c r="W37" s="97"/>
    </row>
    <row r="38" spans="2:31" x14ac:dyDescent="0.3">
      <c r="B38" s="96"/>
      <c r="C38" s="110"/>
      <c r="D38" s="110"/>
      <c r="E38" s="110"/>
      <c r="F38" s="110"/>
      <c r="G38" s="103"/>
      <c r="H38" s="97"/>
      <c r="I38" s="105"/>
      <c r="J38" s="105"/>
      <c r="K38" s="105"/>
      <c r="L38" s="105"/>
      <c r="M38" s="105"/>
      <c r="N38" s="110"/>
      <c r="O38" s="105"/>
      <c r="P38" s="105"/>
      <c r="Q38" s="96"/>
      <c r="R38" s="96"/>
      <c r="S38" s="97"/>
      <c r="T38" s="100"/>
      <c r="U38" s="101"/>
      <c r="V38" s="102"/>
      <c r="X38" s="103"/>
      <c r="Y38" s="101"/>
      <c r="Z38" s="111"/>
      <c r="AB38" s="106"/>
      <c r="AC38" s="111"/>
      <c r="AD38" s="111"/>
      <c r="AE38" s="111"/>
    </row>
    <row r="39" spans="2:31" x14ac:dyDescent="0.3">
      <c r="B39" s="96"/>
      <c r="C39" s="110"/>
      <c r="D39" s="110"/>
      <c r="E39" s="110"/>
      <c r="F39" s="110"/>
      <c r="G39" s="103"/>
      <c r="H39" s="97"/>
      <c r="I39" s="105"/>
      <c r="J39" s="105"/>
      <c r="K39" s="105"/>
      <c r="L39" s="105"/>
      <c r="M39" s="105"/>
      <c r="N39" s="105"/>
      <c r="O39" s="105"/>
      <c r="P39" s="96"/>
      <c r="Q39" s="109"/>
      <c r="R39" s="96"/>
      <c r="S39" s="97"/>
      <c r="T39" s="100"/>
      <c r="U39" s="101"/>
      <c r="V39" s="102"/>
      <c r="X39" s="103"/>
      <c r="Y39" s="101"/>
      <c r="Z39" s="111"/>
      <c r="AB39" s="106"/>
      <c r="AC39" s="111"/>
      <c r="AD39" s="111"/>
      <c r="AE39" s="111"/>
    </row>
    <row r="40" spans="2:31" x14ac:dyDescent="0.3">
      <c r="B40" s="96"/>
      <c r="C40" s="110"/>
      <c r="D40" s="110"/>
      <c r="E40" s="110"/>
      <c r="F40" s="110"/>
      <c r="G40" s="103"/>
      <c r="H40" s="97"/>
      <c r="I40" s="105"/>
      <c r="J40" s="105"/>
      <c r="K40" s="105"/>
      <c r="L40" s="105"/>
      <c r="M40" s="105"/>
      <c r="N40" s="96"/>
      <c r="O40" s="105"/>
      <c r="P40" s="105"/>
      <c r="Q40" s="96"/>
      <c r="R40" s="96"/>
      <c r="S40" s="97"/>
      <c r="T40" s="100"/>
      <c r="U40" s="101"/>
      <c r="V40" s="102"/>
      <c r="X40" s="103"/>
      <c r="Y40" s="101"/>
      <c r="Z40" s="111"/>
      <c r="AB40" s="106"/>
      <c r="AC40" s="111"/>
      <c r="AD40" s="111"/>
      <c r="AE40" s="111"/>
    </row>
    <row r="41" spans="2:31" x14ac:dyDescent="0.3">
      <c r="B41" s="96"/>
      <c r="C41" s="96"/>
      <c r="D41" s="105"/>
      <c r="E41" s="105"/>
      <c r="F41" s="105"/>
      <c r="G41" s="96"/>
      <c r="H41" s="97"/>
      <c r="I41" s="105"/>
      <c r="J41" s="105"/>
      <c r="K41" s="105"/>
      <c r="L41" s="105"/>
      <c r="M41" s="105"/>
      <c r="N41" s="105"/>
      <c r="O41" s="105"/>
      <c r="P41" s="105"/>
      <c r="Q41" s="96"/>
      <c r="R41" s="96"/>
      <c r="S41" s="97"/>
      <c r="T41" s="100"/>
      <c r="U41" s="101"/>
      <c r="V41" s="96"/>
      <c r="W41" s="97"/>
      <c r="X41" s="103"/>
      <c r="Y41" s="112"/>
      <c r="Z41" s="96"/>
      <c r="AA41" s="97"/>
      <c r="AB41" s="96"/>
      <c r="AC41" s="96"/>
      <c r="AD41" s="96"/>
      <c r="AE41" s="96"/>
    </row>
    <row r="42" spans="2:31" x14ac:dyDescent="0.3">
      <c r="B42" s="96"/>
      <c r="C42" s="96"/>
      <c r="D42" s="96"/>
      <c r="E42" s="96"/>
      <c r="F42" s="96"/>
      <c r="G42" s="96"/>
      <c r="H42" s="97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7"/>
      <c r="T42" s="100"/>
      <c r="U42" s="101"/>
      <c r="V42" s="102"/>
      <c r="W42" s="97"/>
      <c r="X42" s="103"/>
      <c r="Y42" s="104"/>
      <c r="Z42" s="101"/>
      <c r="AA42" s="97"/>
      <c r="AB42" s="101"/>
      <c r="AC42" s="101"/>
      <c r="AD42" s="101"/>
      <c r="AE42" s="102"/>
    </row>
    <row r="43" spans="2:31" ht="14.25" customHeight="1" x14ac:dyDescent="0.3">
      <c r="B43" s="96"/>
      <c r="C43" s="96"/>
      <c r="D43" s="96"/>
      <c r="E43" s="96"/>
      <c r="F43" s="96"/>
      <c r="G43" s="96"/>
      <c r="H43" s="97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7"/>
      <c r="T43" s="103"/>
      <c r="U43" s="101"/>
      <c r="V43" s="102"/>
    </row>
    <row r="44" spans="2:31" ht="14.25" customHeight="1" x14ac:dyDescent="0.3">
      <c r="B44" s="96"/>
      <c r="C44" s="96"/>
      <c r="D44" s="96"/>
      <c r="E44" s="96"/>
      <c r="F44" s="96"/>
      <c r="G44" s="96"/>
      <c r="H44" s="97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7"/>
      <c r="T44" s="103"/>
      <c r="U44" s="101"/>
      <c r="V44" s="102"/>
    </row>
    <row r="45" spans="2:31" ht="14.25" customHeight="1" x14ac:dyDescent="0.3">
      <c r="B45" s="96"/>
      <c r="C45" s="96"/>
      <c r="D45" s="96"/>
      <c r="E45" s="96"/>
      <c r="F45" s="96"/>
      <c r="G45" s="96"/>
      <c r="H45" s="97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7"/>
      <c r="T45" s="103"/>
      <c r="U45" s="101"/>
      <c r="V45" s="102"/>
    </row>
    <row r="46" spans="2:31" ht="14.25" customHeight="1" x14ac:dyDescent="0.3">
      <c r="B46" s="96"/>
      <c r="C46" s="96"/>
      <c r="D46" s="96"/>
      <c r="E46" s="96"/>
      <c r="F46" s="96"/>
      <c r="G46" s="96"/>
      <c r="H46" s="97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7"/>
      <c r="T46" s="103"/>
      <c r="U46" s="101"/>
      <c r="V46" s="102"/>
    </row>
    <row r="47" spans="2:31" x14ac:dyDescent="0.3">
      <c r="B47" s="96"/>
      <c r="C47" s="96"/>
      <c r="D47" s="96"/>
      <c r="E47" s="96"/>
      <c r="F47" s="96"/>
      <c r="G47" s="96"/>
      <c r="H47" s="97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7"/>
      <c r="T47" s="103"/>
      <c r="U47" s="101"/>
      <c r="V47" s="102"/>
    </row>
    <row r="48" spans="2:31" x14ac:dyDescent="0.3">
      <c r="B48" s="96"/>
      <c r="C48" s="96"/>
      <c r="D48" s="96"/>
      <c r="E48" s="96"/>
      <c r="F48" s="96"/>
      <c r="G48" s="96"/>
      <c r="H48" s="97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7"/>
      <c r="T48" s="103"/>
      <c r="U48" s="101"/>
      <c r="V48" s="102"/>
    </row>
    <row r="49" spans="2:22" x14ac:dyDescent="0.3">
      <c r="B49" s="96"/>
      <c r="C49" s="96"/>
      <c r="D49" s="96"/>
      <c r="E49" s="96"/>
      <c r="F49" s="96"/>
      <c r="G49" s="96"/>
      <c r="H49" s="97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7"/>
      <c r="T49" s="103"/>
      <c r="U49" s="101"/>
      <c r="V49" s="102"/>
    </row>
    <row r="50" spans="2:22" x14ac:dyDescent="0.3">
      <c r="B50" s="96"/>
      <c r="C50" s="96"/>
      <c r="D50" s="96"/>
      <c r="E50" s="96"/>
      <c r="F50" s="96"/>
      <c r="G50" s="96"/>
      <c r="H50" s="97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7"/>
      <c r="T50" s="103"/>
      <c r="U50" s="101"/>
      <c r="V50" s="102"/>
    </row>
    <row r="51" spans="2:22" x14ac:dyDescent="0.3">
      <c r="B51" s="96"/>
      <c r="C51" s="96"/>
      <c r="D51" s="96"/>
      <c r="E51" s="96"/>
      <c r="F51" s="96"/>
      <c r="G51" s="96"/>
      <c r="H51" s="97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7"/>
      <c r="T51" s="103"/>
      <c r="U51" s="101"/>
      <c r="V51" s="102"/>
    </row>
    <row r="52" spans="2:22" x14ac:dyDescent="0.3">
      <c r="B52" s="96"/>
      <c r="C52" s="96"/>
      <c r="D52" s="96"/>
      <c r="E52" s="96"/>
      <c r="F52" s="96"/>
      <c r="G52" s="96"/>
      <c r="H52" s="97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7"/>
      <c r="T52" s="100"/>
      <c r="U52" s="101"/>
      <c r="V52" s="102"/>
    </row>
    <row r="53" spans="2:22" x14ac:dyDescent="0.3">
      <c r="B53" s="96"/>
      <c r="C53" s="96"/>
      <c r="D53" s="96"/>
      <c r="E53" s="96"/>
      <c r="F53" s="96"/>
      <c r="G53" s="96"/>
      <c r="H53" s="97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7"/>
      <c r="T53" s="100"/>
      <c r="U53" s="101"/>
      <c r="V53" s="102"/>
    </row>
    <row r="54" spans="2:22" x14ac:dyDescent="0.3">
      <c r="B54" s="96"/>
      <c r="C54" s="96"/>
      <c r="D54" s="96"/>
      <c r="E54" s="96"/>
      <c r="F54" s="96"/>
      <c r="G54" s="96"/>
      <c r="H54" s="97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7"/>
      <c r="T54" s="100"/>
      <c r="U54" s="101"/>
      <c r="V54" s="102"/>
    </row>
    <row r="55" spans="2:22" x14ac:dyDescent="0.3">
      <c r="B55" s="96"/>
      <c r="C55" s="96"/>
      <c r="D55" s="96"/>
      <c r="E55" s="96"/>
      <c r="F55" s="96"/>
      <c r="G55" s="96"/>
      <c r="H55" s="97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7"/>
      <c r="T55" s="100"/>
      <c r="U55" s="101"/>
      <c r="V55" s="102"/>
    </row>
    <row r="56" spans="2:22" x14ac:dyDescent="0.3">
      <c r="B56" s="96"/>
      <c r="C56" s="96"/>
      <c r="D56" s="96"/>
      <c r="E56" s="96"/>
      <c r="F56" s="96"/>
      <c r="G56" s="96"/>
      <c r="H56" s="97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7"/>
      <c r="T56" s="103"/>
      <c r="U56" s="101"/>
      <c r="V56" s="102"/>
    </row>
    <row r="57" spans="2:22" x14ac:dyDescent="0.3">
      <c r="B57" s="96"/>
      <c r="C57" s="96"/>
      <c r="D57" s="96"/>
      <c r="E57" s="96"/>
      <c r="F57" s="96"/>
      <c r="G57" s="96"/>
      <c r="H57" s="97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7"/>
      <c r="T57" s="103"/>
      <c r="U57" s="101"/>
      <c r="V57" s="102"/>
    </row>
    <row r="58" spans="2:22" x14ac:dyDescent="0.3">
      <c r="B58" s="96"/>
      <c r="C58" s="96"/>
      <c r="D58" s="96"/>
      <c r="E58" s="96"/>
      <c r="F58" s="96"/>
      <c r="G58" s="96"/>
      <c r="H58" s="97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7"/>
      <c r="T58" s="100"/>
      <c r="U58" s="101"/>
      <c r="V58" s="102"/>
    </row>
    <row r="59" spans="2:22" x14ac:dyDescent="0.3">
      <c r="B59" s="96"/>
      <c r="C59" s="96"/>
      <c r="D59" s="96"/>
      <c r="E59" s="96"/>
      <c r="F59" s="96"/>
      <c r="G59" s="96"/>
      <c r="H59" s="97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7"/>
      <c r="T59" s="100"/>
      <c r="U59" s="101"/>
      <c r="V59" s="102"/>
    </row>
    <row r="60" spans="2:22" x14ac:dyDescent="0.3">
      <c r="B60" s="96"/>
      <c r="C60" s="96"/>
      <c r="D60" s="96"/>
      <c r="E60" s="96"/>
      <c r="F60" s="96"/>
      <c r="G60" s="96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7"/>
      <c r="T60" s="100"/>
      <c r="U60" s="101"/>
      <c r="V60" s="102"/>
    </row>
    <row r="61" spans="2:22" x14ac:dyDescent="0.3">
      <c r="B61" s="96"/>
      <c r="C61" s="96"/>
      <c r="D61" s="96"/>
      <c r="E61" s="96"/>
      <c r="F61" s="96"/>
      <c r="G61" s="96"/>
      <c r="H61" s="97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7"/>
      <c r="T61" s="100"/>
      <c r="U61" s="101"/>
      <c r="V61" s="102"/>
    </row>
    <row r="62" spans="2:22" x14ac:dyDescent="0.3">
      <c r="B62" s="96"/>
      <c r="C62" s="96"/>
      <c r="D62" s="96"/>
      <c r="E62" s="96"/>
      <c r="F62" s="96"/>
      <c r="G62" s="96"/>
      <c r="H62" s="97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7"/>
      <c r="T62" s="100"/>
      <c r="U62" s="101"/>
      <c r="V62" s="102"/>
    </row>
    <row r="63" spans="2:22" ht="14.25" customHeight="1" x14ac:dyDescent="0.3">
      <c r="B63" s="96"/>
      <c r="C63" s="96"/>
      <c r="D63" s="105"/>
      <c r="E63" s="105"/>
      <c r="F63" s="105"/>
      <c r="G63" s="105"/>
      <c r="H63" s="97"/>
      <c r="I63" s="105"/>
      <c r="J63" s="105"/>
      <c r="K63" s="105"/>
      <c r="L63" s="105"/>
      <c r="M63" s="105"/>
      <c r="N63" s="105"/>
      <c r="O63" s="105"/>
      <c r="P63" s="105"/>
      <c r="Q63" s="96"/>
      <c r="R63" s="96"/>
      <c r="S63" s="97"/>
      <c r="T63" s="100"/>
      <c r="U63" s="101"/>
      <c r="V63" s="102"/>
    </row>
    <row r="64" spans="2:22" ht="14.25" customHeight="1" x14ac:dyDescent="0.3">
      <c r="B64" s="96"/>
      <c r="C64" s="96"/>
      <c r="D64" s="99"/>
      <c r="E64" s="105"/>
      <c r="F64" s="105"/>
      <c r="G64" s="105"/>
      <c r="H64" s="97"/>
      <c r="I64" s="105"/>
      <c r="J64" s="105"/>
      <c r="K64" s="105"/>
      <c r="L64" s="96"/>
      <c r="M64" s="96"/>
      <c r="N64" s="105"/>
      <c r="O64" s="105"/>
      <c r="P64" s="105"/>
      <c r="Q64" s="96"/>
      <c r="R64" s="96"/>
      <c r="S64" s="97"/>
      <c r="T64" s="100"/>
      <c r="U64" s="101"/>
      <c r="V64" s="102"/>
    </row>
    <row r="65" spans="2:22" ht="14.25" customHeight="1" x14ac:dyDescent="0.3">
      <c r="B65" s="96"/>
      <c r="C65" s="96"/>
      <c r="D65" s="99"/>
      <c r="E65" s="105"/>
      <c r="F65" s="105"/>
      <c r="G65" s="105"/>
      <c r="H65" s="97"/>
      <c r="I65" s="105"/>
      <c r="J65" s="105"/>
      <c r="K65" s="105"/>
      <c r="L65" s="96"/>
      <c r="M65" s="96"/>
      <c r="N65" s="105"/>
      <c r="O65" s="105"/>
      <c r="P65" s="105"/>
      <c r="Q65" s="96"/>
      <c r="R65" s="96"/>
      <c r="S65" s="97"/>
      <c r="T65" s="100"/>
      <c r="U65" s="101"/>
      <c r="V65" s="102"/>
    </row>
    <row r="66" spans="2:22" ht="14.25" customHeight="1" x14ac:dyDescent="0.3">
      <c r="B66" s="96"/>
      <c r="C66" s="96"/>
      <c r="D66" s="99"/>
      <c r="E66" s="105"/>
      <c r="F66" s="105"/>
      <c r="G66" s="105"/>
      <c r="H66" s="97"/>
      <c r="I66" s="105"/>
      <c r="J66" s="105"/>
      <c r="K66" s="105"/>
      <c r="L66" s="96"/>
      <c r="M66" s="96"/>
      <c r="N66" s="105"/>
      <c r="O66" s="105"/>
      <c r="P66" s="105"/>
      <c r="Q66" s="96"/>
      <c r="R66" s="96"/>
      <c r="S66" s="97"/>
      <c r="T66" s="100"/>
      <c r="U66" s="101"/>
      <c r="V66" s="102"/>
    </row>
    <row r="67" spans="2:22" ht="14.25" customHeight="1" x14ac:dyDescent="0.3">
      <c r="B67" s="96"/>
      <c r="C67" s="96"/>
      <c r="D67" s="99"/>
      <c r="E67" s="105"/>
      <c r="F67" s="105"/>
      <c r="G67" s="105"/>
      <c r="H67" s="97"/>
      <c r="I67" s="105"/>
      <c r="J67" s="105"/>
      <c r="K67" s="105"/>
      <c r="L67" s="96"/>
      <c r="M67" s="96"/>
      <c r="N67" s="105"/>
      <c r="O67" s="105"/>
      <c r="P67" s="105"/>
      <c r="Q67" s="96"/>
      <c r="R67" s="96"/>
      <c r="S67" s="97"/>
      <c r="T67" s="100"/>
      <c r="U67" s="101"/>
      <c r="V67" s="102"/>
    </row>
    <row r="68" spans="2:22" ht="36" customHeight="1" x14ac:dyDescent="0.3">
      <c r="B68" s="96"/>
      <c r="C68" s="96"/>
      <c r="D68" s="99"/>
      <c r="E68" s="105"/>
      <c r="F68" s="105"/>
      <c r="G68" s="105"/>
      <c r="H68" s="97"/>
      <c r="I68" s="105"/>
      <c r="J68" s="105"/>
      <c r="K68" s="105"/>
      <c r="L68" s="96"/>
      <c r="M68" s="96"/>
      <c r="N68" s="105"/>
      <c r="O68" s="105"/>
      <c r="P68" s="105"/>
      <c r="Q68" s="96"/>
      <c r="R68" s="96"/>
      <c r="S68" s="97"/>
      <c r="T68" s="100"/>
      <c r="U68" s="101"/>
      <c r="V68" s="102"/>
    </row>
    <row r="69" spans="2:22" ht="14.25" customHeight="1" x14ac:dyDescent="0.3">
      <c r="B69" s="96"/>
      <c r="C69" s="96"/>
      <c r="D69" s="99"/>
      <c r="E69" s="105"/>
      <c r="F69" s="105"/>
      <c r="G69" s="105"/>
      <c r="H69" s="97"/>
      <c r="I69" s="105"/>
      <c r="J69" s="105"/>
      <c r="K69" s="105"/>
      <c r="L69" s="96"/>
      <c r="M69" s="96"/>
      <c r="N69" s="105"/>
      <c r="O69" s="105"/>
      <c r="P69" s="105"/>
      <c r="Q69" s="96"/>
      <c r="R69" s="96"/>
      <c r="S69" s="97"/>
      <c r="T69" s="100"/>
      <c r="U69" s="101"/>
      <c r="V69" s="102"/>
    </row>
    <row r="70" spans="2:22" ht="14.25" customHeight="1" x14ac:dyDescent="0.3">
      <c r="B70" s="96"/>
      <c r="C70" s="96"/>
      <c r="D70" s="99"/>
      <c r="E70" s="105"/>
      <c r="F70" s="105"/>
      <c r="G70" s="105"/>
      <c r="H70" s="97"/>
      <c r="I70" s="105"/>
      <c r="J70" s="105"/>
      <c r="K70" s="105"/>
      <c r="L70" s="96"/>
      <c r="M70" s="96"/>
      <c r="N70" s="105"/>
      <c r="O70" s="105"/>
      <c r="P70" s="105"/>
      <c r="Q70" s="96"/>
      <c r="R70" s="96"/>
      <c r="S70" s="97"/>
      <c r="T70" s="100"/>
      <c r="U70" s="101"/>
      <c r="V70" s="102"/>
    </row>
    <row r="71" spans="2:22" ht="14.25" customHeight="1" x14ac:dyDescent="0.3">
      <c r="B71" s="96"/>
      <c r="C71" s="96"/>
      <c r="D71" s="99"/>
      <c r="E71" s="105"/>
      <c r="F71" s="105"/>
      <c r="G71" s="105"/>
      <c r="H71" s="97"/>
      <c r="I71" s="105"/>
      <c r="J71" s="105"/>
      <c r="K71" s="105"/>
      <c r="L71" s="96"/>
      <c r="M71" s="96"/>
      <c r="N71" s="105"/>
      <c r="O71" s="105"/>
      <c r="P71" s="105"/>
      <c r="Q71" s="96"/>
      <c r="R71" s="96"/>
      <c r="S71" s="97"/>
      <c r="T71" s="100"/>
      <c r="U71" s="101"/>
      <c r="V71" s="102"/>
    </row>
    <row r="72" spans="2:22" ht="14.25" customHeight="1" x14ac:dyDescent="0.3">
      <c r="B72" s="96"/>
      <c r="C72" s="96"/>
      <c r="D72" s="99"/>
      <c r="E72" s="105"/>
      <c r="F72" s="105"/>
      <c r="G72" s="105"/>
      <c r="H72" s="97"/>
      <c r="I72" s="105"/>
      <c r="J72" s="105"/>
      <c r="K72" s="105"/>
      <c r="L72" s="96"/>
      <c r="M72" s="96"/>
      <c r="N72" s="105"/>
      <c r="O72" s="105"/>
      <c r="P72" s="105"/>
      <c r="Q72" s="96"/>
      <c r="R72" s="96"/>
      <c r="S72" s="97"/>
      <c r="T72" s="100"/>
      <c r="U72" s="101"/>
      <c r="V72" s="102"/>
    </row>
    <row r="73" spans="2:22" ht="14.25" customHeight="1" x14ac:dyDescent="0.3">
      <c r="B73" s="96"/>
      <c r="C73" s="96"/>
      <c r="D73" s="99"/>
      <c r="E73" s="105"/>
      <c r="F73" s="105"/>
      <c r="G73" s="105"/>
      <c r="H73" s="97"/>
      <c r="I73" s="105"/>
      <c r="J73" s="105"/>
      <c r="K73" s="105"/>
      <c r="L73" s="96"/>
      <c r="M73" s="96"/>
      <c r="N73" s="105"/>
      <c r="O73" s="105"/>
      <c r="P73" s="105"/>
      <c r="Q73" s="96"/>
      <c r="R73" s="96"/>
      <c r="S73" s="97"/>
      <c r="T73" s="100"/>
      <c r="U73" s="101"/>
      <c r="V73" s="102"/>
    </row>
    <row r="74" spans="2:22" ht="14.25" customHeight="1" x14ac:dyDescent="0.3">
      <c r="B74" s="96"/>
      <c r="C74" s="96"/>
      <c r="D74" s="99"/>
      <c r="E74" s="105"/>
      <c r="F74" s="105"/>
      <c r="G74" s="105"/>
      <c r="H74" s="97"/>
      <c r="I74" s="105"/>
      <c r="J74" s="105"/>
      <c r="K74" s="105"/>
      <c r="L74" s="96"/>
      <c r="M74" s="96"/>
      <c r="N74" s="105"/>
      <c r="O74" s="105"/>
      <c r="P74" s="105"/>
      <c r="Q74" s="96"/>
      <c r="R74" s="96"/>
      <c r="S74" s="97"/>
      <c r="T74" s="100"/>
      <c r="U74" s="101"/>
      <c r="V74" s="102"/>
    </row>
    <row r="75" spans="2:22" ht="14.25" customHeight="1" x14ac:dyDescent="0.3">
      <c r="B75" s="96"/>
      <c r="C75" s="96"/>
      <c r="D75" s="99"/>
      <c r="E75" s="105"/>
      <c r="F75" s="105"/>
      <c r="G75" s="105"/>
      <c r="H75" s="97"/>
      <c r="I75" s="105"/>
      <c r="J75" s="105"/>
      <c r="K75" s="105"/>
      <c r="L75" s="96"/>
      <c r="M75" s="96"/>
      <c r="N75" s="105"/>
      <c r="O75" s="105"/>
      <c r="P75" s="105"/>
      <c r="Q75" s="96"/>
      <c r="R75" s="96"/>
      <c r="S75" s="97"/>
      <c r="T75" s="100"/>
      <c r="U75" s="101"/>
      <c r="V75" s="102"/>
    </row>
    <row r="76" spans="2:22" ht="14.25" customHeight="1" x14ac:dyDescent="0.3">
      <c r="B76" s="96"/>
      <c r="C76" s="96"/>
      <c r="D76" s="99"/>
      <c r="E76" s="105"/>
      <c r="F76" s="105"/>
      <c r="G76" s="105"/>
      <c r="H76" s="97"/>
      <c r="I76" s="105"/>
      <c r="J76" s="105"/>
      <c r="K76" s="105"/>
      <c r="L76" s="96"/>
      <c r="M76" s="96"/>
      <c r="N76" s="105"/>
      <c r="O76" s="105"/>
      <c r="P76" s="105"/>
      <c r="Q76" s="96"/>
      <c r="R76" s="96"/>
      <c r="S76" s="97"/>
      <c r="T76" s="100"/>
      <c r="U76" s="101"/>
      <c r="V76" s="102"/>
    </row>
    <row r="77" spans="2:22" ht="14.25" customHeight="1" x14ac:dyDescent="0.3">
      <c r="B77" s="96"/>
      <c r="C77" s="96"/>
      <c r="D77" s="98"/>
      <c r="E77" s="105"/>
      <c r="F77" s="105"/>
      <c r="G77" s="105"/>
      <c r="H77" s="97"/>
      <c r="I77" s="105"/>
      <c r="J77" s="105"/>
      <c r="K77" s="105"/>
      <c r="L77" s="105"/>
      <c r="M77" s="105"/>
      <c r="N77" s="105"/>
      <c r="O77" s="105"/>
      <c r="P77" s="105"/>
      <c r="Q77" s="96"/>
      <c r="R77" s="96"/>
      <c r="S77" s="97"/>
      <c r="T77" s="100"/>
      <c r="U77" s="101"/>
      <c r="V77" s="102"/>
    </row>
    <row r="78" spans="2:22" x14ac:dyDescent="0.3">
      <c r="B78" s="96"/>
      <c r="C78" s="96"/>
      <c r="D78" s="98"/>
      <c r="E78" s="105"/>
      <c r="F78" s="105"/>
      <c r="G78" s="105"/>
      <c r="H78" s="97"/>
      <c r="I78" s="105"/>
      <c r="J78" s="105"/>
      <c r="K78" s="105"/>
      <c r="L78" s="105"/>
      <c r="M78" s="105"/>
      <c r="N78" s="96"/>
      <c r="O78" s="105"/>
      <c r="P78" s="105"/>
      <c r="Q78" s="96"/>
      <c r="R78" s="96"/>
      <c r="S78" s="97"/>
      <c r="T78" s="100"/>
      <c r="U78" s="101"/>
      <c r="V78" s="102"/>
    </row>
    <row r="79" spans="2:22" ht="14.25" customHeight="1" x14ac:dyDescent="0.3">
      <c r="B79" s="96"/>
      <c r="C79" s="96"/>
      <c r="D79" s="98"/>
      <c r="E79" s="105"/>
      <c r="F79" s="105"/>
      <c r="G79" s="105"/>
      <c r="H79" s="97"/>
      <c r="I79" s="105"/>
      <c r="J79" s="105"/>
      <c r="K79" s="105"/>
      <c r="L79" s="105"/>
      <c r="M79" s="105"/>
      <c r="N79" s="105"/>
      <c r="O79" s="105"/>
      <c r="P79" s="105"/>
      <c r="Q79" s="96"/>
      <c r="R79" s="96"/>
      <c r="S79" s="97"/>
      <c r="T79" s="100"/>
      <c r="U79" s="101"/>
      <c r="V79" s="102"/>
    </row>
    <row r="80" spans="2:22" ht="14.25" customHeight="1" x14ac:dyDescent="0.3">
      <c r="B80" s="96"/>
      <c r="C80" s="96"/>
      <c r="D80" s="98"/>
      <c r="E80" s="105"/>
      <c r="F80" s="105"/>
      <c r="G80" s="105"/>
      <c r="H80" s="97"/>
      <c r="I80" s="105"/>
      <c r="J80" s="105"/>
      <c r="K80" s="105"/>
      <c r="L80" s="105"/>
      <c r="M80" s="105"/>
      <c r="N80" s="105"/>
      <c r="O80" s="105"/>
      <c r="P80" s="105"/>
      <c r="Q80" s="96"/>
      <c r="R80" s="96"/>
      <c r="S80" s="97"/>
      <c r="T80" s="100"/>
      <c r="U80" s="101"/>
      <c r="V80" s="102"/>
    </row>
    <row r="81" spans="2:22" ht="14.25" customHeight="1" x14ac:dyDescent="0.3">
      <c r="B81" s="96"/>
      <c r="C81" s="96"/>
      <c r="D81" s="98"/>
      <c r="E81" s="105"/>
      <c r="F81" s="105"/>
      <c r="G81" s="105"/>
      <c r="H81" s="97"/>
      <c r="I81" s="105"/>
      <c r="J81" s="105"/>
      <c r="K81" s="105"/>
      <c r="L81" s="105"/>
      <c r="M81" s="105"/>
      <c r="N81" s="105"/>
      <c r="O81" s="105"/>
      <c r="P81" s="105"/>
      <c r="Q81" s="96"/>
      <c r="R81" s="96"/>
      <c r="S81" s="97"/>
      <c r="T81" s="100"/>
      <c r="U81" s="101"/>
      <c r="V81" s="102"/>
    </row>
    <row r="82" spans="2:22" ht="14.25" customHeight="1" x14ac:dyDescent="0.3">
      <c r="B82" s="96"/>
      <c r="C82" s="96"/>
      <c r="D82" s="98"/>
      <c r="E82" s="105"/>
      <c r="F82" s="105"/>
      <c r="G82" s="105"/>
      <c r="H82" s="97"/>
      <c r="I82" s="105"/>
      <c r="J82" s="105"/>
      <c r="K82" s="105"/>
      <c r="L82" s="105"/>
      <c r="M82" s="105"/>
      <c r="N82" s="105"/>
      <c r="O82" s="105"/>
      <c r="P82" s="105"/>
      <c r="Q82" s="96"/>
      <c r="R82" s="96"/>
      <c r="S82" s="97"/>
      <c r="T82" s="100"/>
      <c r="U82" s="101"/>
      <c r="V82" s="102"/>
    </row>
    <row r="83" spans="2:22" ht="14.25" customHeight="1" x14ac:dyDescent="0.3">
      <c r="B83" s="96"/>
      <c r="C83" s="96"/>
      <c r="D83" s="98"/>
      <c r="E83" s="105"/>
      <c r="F83" s="105"/>
      <c r="G83" s="105"/>
      <c r="H83" s="97"/>
      <c r="I83" s="105"/>
      <c r="J83" s="105"/>
      <c r="K83" s="105"/>
      <c r="L83" s="105"/>
      <c r="M83" s="105"/>
      <c r="N83" s="105"/>
      <c r="O83" s="105"/>
      <c r="P83" s="105"/>
      <c r="Q83" s="96"/>
      <c r="R83" s="96"/>
      <c r="S83" s="97"/>
      <c r="T83" s="100"/>
      <c r="U83" s="101"/>
      <c r="V83" s="102"/>
    </row>
    <row r="84" spans="2:22" x14ac:dyDescent="0.3">
      <c r="B84" s="96"/>
      <c r="C84" s="96"/>
      <c r="D84" s="98"/>
      <c r="E84" s="105"/>
      <c r="F84" s="105"/>
      <c r="G84" s="105"/>
      <c r="H84" s="97"/>
      <c r="I84" s="105"/>
      <c r="J84" s="105"/>
      <c r="K84" s="105"/>
      <c r="L84" s="105"/>
      <c r="M84" s="105"/>
      <c r="N84" s="96"/>
      <c r="O84" s="105"/>
      <c r="P84" s="105"/>
      <c r="Q84" s="96"/>
      <c r="R84" s="96"/>
      <c r="S84" s="97"/>
      <c r="T84" s="100"/>
      <c r="U84" s="101"/>
      <c r="V84" s="102"/>
    </row>
    <row r="85" spans="2:22" ht="14.25" customHeight="1" x14ac:dyDescent="0.3">
      <c r="B85" s="96"/>
      <c r="C85" s="96"/>
      <c r="D85" s="98"/>
      <c r="E85" s="105"/>
      <c r="F85" s="105"/>
      <c r="G85" s="105"/>
      <c r="H85" s="97"/>
      <c r="I85" s="105"/>
      <c r="J85" s="105"/>
      <c r="K85" s="105"/>
      <c r="L85" s="105"/>
      <c r="M85" s="105"/>
      <c r="N85" s="105"/>
      <c r="O85" s="105"/>
      <c r="P85" s="105"/>
      <c r="Q85" s="96"/>
      <c r="R85" s="96"/>
      <c r="S85" s="97"/>
      <c r="T85" s="100"/>
      <c r="U85" s="101"/>
      <c r="V85" s="102"/>
    </row>
    <row r="86" spans="2:22" ht="14.25" customHeight="1" x14ac:dyDescent="0.3">
      <c r="B86" s="96"/>
      <c r="C86" s="96"/>
      <c r="D86" s="98"/>
      <c r="E86" s="105"/>
      <c r="F86" s="105"/>
      <c r="G86" s="105"/>
      <c r="H86" s="97"/>
      <c r="I86" s="105"/>
      <c r="J86" s="105"/>
      <c r="K86" s="105"/>
      <c r="L86" s="105"/>
      <c r="M86" s="105"/>
      <c r="N86" s="105"/>
      <c r="O86" s="105"/>
      <c r="P86" s="105"/>
      <c r="Q86" s="96"/>
      <c r="R86" s="96"/>
      <c r="S86" s="97"/>
      <c r="T86" s="100"/>
      <c r="U86" s="101"/>
      <c r="V86" s="102"/>
    </row>
    <row r="87" spans="2:22" ht="14.25" customHeight="1" x14ac:dyDescent="0.3">
      <c r="B87" s="96"/>
      <c r="C87" s="96"/>
      <c r="D87" s="98"/>
      <c r="E87" s="105"/>
      <c r="F87" s="105"/>
      <c r="G87" s="105"/>
      <c r="H87" s="97"/>
      <c r="I87" s="105"/>
      <c r="J87" s="105"/>
      <c r="K87" s="105"/>
      <c r="L87" s="105"/>
      <c r="M87" s="105"/>
      <c r="N87" s="105"/>
      <c r="O87" s="105"/>
      <c r="P87" s="105"/>
      <c r="Q87" s="96"/>
      <c r="R87" s="96"/>
      <c r="S87" s="97"/>
      <c r="T87" s="100"/>
      <c r="U87" s="101"/>
      <c r="V87" s="102"/>
    </row>
    <row r="88" spans="2:22" ht="14.25" customHeight="1" x14ac:dyDescent="0.3">
      <c r="B88" s="96"/>
      <c r="C88" s="96"/>
      <c r="D88" s="98"/>
      <c r="E88" s="105"/>
      <c r="F88" s="105"/>
      <c r="G88" s="105"/>
      <c r="H88" s="97"/>
      <c r="I88" s="105"/>
      <c r="J88" s="105"/>
      <c r="K88" s="105"/>
      <c r="L88" s="105"/>
      <c r="M88" s="105"/>
      <c r="N88" s="105"/>
      <c r="O88" s="105"/>
      <c r="P88" s="105"/>
      <c r="Q88" s="96"/>
      <c r="R88" s="96"/>
      <c r="S88" s="97"/>
      <c r="T88" s="100"/>
      <c r="U88" s="101"/>
      <c r="V88" s="102"/>
    </row>
    <row r="89" spans="2:22" ht="14.25" customHeight="1" x14ac:dyDescent="0.3">
      <c r="B89" s="96"/>
      <c r="C89" s="96"/>
      <c r="D89" s="98"/>
      <c r="E89" s="105"/>
      <c r="F89" s="105"/>
      <c r="G89" s="105"/>
      <c r="H89" s="97"/>
      <c r="I89" s="105"/>
      <c r="J89" s="105"/>
      <c r="K89" s="105"/>
      <c r="L89" s="105"/>
      <c r="M89" s="105"/>
      <c r="N89" s="105"/>
      <c r="O89" s="105"/>
      <c r="P89" s="105"/>
      <c r="Q89" s="96"/>
      <c r="R89" s="96"/>
      <c r="S89" s="97"/>
      <c r="T89" s="100"/>
      <c r="U89" s="101"/>
      <c r="V89" s="102"/>
    </row>
    <row r="90" spans="2:22" ht="14.25" customHeight="1" x14ac:dyDescent="0.3">
      <c r="B90" s="96"/>
      <c r="C90" s="96"/>
      <c r="D90" s="98"/>
      <c r="E90" s="105"/>
      <c r="F90" s="105"/>
      <c r="G90" s="105"/>
      <c r="H90" s="97"/>
      <c r="I90" s="105"/>
      <c r="J90" s="105"/>
      <c r="K90" s="105"/>
      <c r="L90" s="105"/>
      <c r="M90" s="105"/>
      <c r="N90" s="105"/>
      <c r="O90" s="105"/>
      <c r="P90" s="105"/>
      <c r="Q90" s="96"/>
      <c r="R90" s="96"/>
      <c r="S90" s="97"/>
      <c r="T90" s="100"/>
      <c r="U90" s="101"/>
      <c r="V90" s="102"/>
    </row>
    <row r="91" spans="2:22" ht="14.25" customHeight="1" x14ac:dyDescent="0.3">
      <c r="B91" s="96"/>
      <c r="C91" s="96"/>
      <c r="D91" s="98"/>
      <c r="E91" s="105"/>
      <c r="F91" s="105"/>
      <c r="G91" s="105"/>
      <c r="H91" s="97"/>
      <c r="I91" s="105"/>
      <c r="J91" s="105"/>
      <c r="K91" s="105"/>
      <c r="L91" s="105"/>
      <c r="M91" s="105"/>
      <c r="N91" s="105"/>
      <c r="O91" s="105"/>
      <c r="P91" s="105"/>
      <c r="Q91" s="96"/>
      <c r="R91" s="96"/>
      <c r="S91" s="97"/>
      <c r="T91" s="100"/>
      <c r="U91" s="101"/>
      <c r="V91" s="102"/>
    </row>
    <row r="92" spans="2:22" ht="14.25" customHeight="1" x14ac:dyDescent="0.3">
      <c r="B92" s="96"/>
      <c r="C92" s="96"/>
      <c r="D92" s="98"/>
      <c r="E92" s="105"/>
      <c r="F92" s="105"/>
      <c r="G92" s="105"/>
      <c r="H92" s="97"/>
      <c r="I92" s="105"/>
      <c r="J92" s="105"/>
      <c r="K92" s="105"/>
      <c r="L92" s="105"/>
      <c r="M92" s="105"/>
      <c r="N92" s="105"/>
      <c r="O92" s="105"/>
      <c r="P92" s="105"/>
      <c r="Q92" s="96"/>
      <c r="R92" s="96"/>
      <c r="S92" s="97"/>
      <c r="T92" s="100"/>
      <c r="U92" s="101"/>
      <c r="V92" s="102"/>
    </row>
    <row r="93" spans="2:22" x14ac:dyDescent="0.3">
      <c r="B93" s="96"/>
      <c r="C93" s="96"/>
      <c r="D93" s="98"/>
      <c r="E93" s="105"/>
      <c r="F93" s="105"/>
      <c r="G93" s="105"/>
      <c r="H93" s="97"/>
      <c r="I93" s="105"/>
      <c r="J93" s="105"/>
      <c r="K93" s="105"/>
      <c r="L93" s="105"/>
      <c r="M93" s="105"/>
      <c r="N93" s="96"/>
      <c r="O93" s="105"/>
      <c r="P93" s="105"/>
      <c r="Q93" s="96"/>
      <c r="R93" s="96"/>
      <c r="S93" s="97"/>
      <c r="T93" s="103"/>
      <c r="U93" s="101"/>
      <c r="V93" s="102"/>
    </row>
    <row r="94" spans="2:22" x14ac:dyDescent="0.3">
      <c r="B94" s="96"/>
      <c r="C94" s="96"/>
      <c r="D94" s="98"/>
      <c r="E94" s="105"/>
      <c r="F94" s="105"/>
      <c r="G94" s="105"/>
      <c r="H94" s="97"/>
      <c r="I94" s="105"/>
      <c r="J94" s="105"/>
      <c r="K94" s="105"/>
      <c r="L94" s="105"/>
      <c r="M94" s="105"/>
      <c r="N94" s="105"/>
      <c r="O94" s="105"/>
      <c r="P94" s="105"/>
      <c r="Q94" s="96"/>
      <c r="R94" s="96"/>
      <c r="S94" s="97"/>
      <c r="T94" s="103"/>
      <c r="U94" s="101"/>
      <c r="V94" s="102"/>
    </row>
    <row r="95" spans="2:22" ht="14.25" customHeight="1" x14ac:dyDescent="0.3">
      <c r="B95" s="105"/>
      <c r="C95" s="105"/>
      <c r="D95" s="105"/>
      <c r="E95" s="105"/>
      <c r="F95" s="105"/>
      <c r="G95" s="105"/>
      <c r="H95" s="97"/>
      <c r="I95" s="105"/>
      <c r="J95" s="105"/>
      <c r="K95" s="105"/>
      <c r="L95" s="105"/>
      <c r="M95" s="105"/>
      <c r="N95" s="105"/>
      <c r="O95" s="105"/>
      <c r="P95" s="105"/>
      <c r="Q95" s="96"/>
      <c r="R95" s="96"/>
      <c r="S95" s="97"/>
      <c r="T95" s="100"/>
      <c r="U95" s="101"/>
      <c r="V95" s="102"/>
    </row>
    <row r="96" spans="2:22" ht="14.25" customHeight="1" x14ac:dyDescent="0.3">
      <c r="B96" s="105"/>
      <c r="C96" s="105"/>
      <c r="D96" s="105"/>
      <c r="E96" s="105"/>
      <c r="F96" s="105"/>
      <c r="G96" s="105"/>
      <c r="H96" s="97"/>
      <c r="I96" s="105"/>
      <c r="J96" s="105"/>
      <c r="K96" s="105"/>
      <c r="L96" s="105"/>
      <c r="M96" s="105"/>
      <c r="N96" s="105"/>
      <c r="O96" s="105"/>
      <c r="P96" s="105"/>
      <c r="Q96" s="96"/>
      <c r="R96" s="96"/>
      <c r="S96" s="97"/>
      <c r="T96" s="100"/>
      <c r="U96" s="101"/>
      <c r="V96" s="102"/>
    </row>
    <row r="97" spans="2:22" ht="14.25" customHeight="1" x14ac:dyDescent="0.3">
      <c r="B97" s="105"/>
      <c r="C97" s="105"/>
      <c r="D97" s="105"/>
      <c r="E97" s="105"/>
      <c r="F97" s="105"/>
      <c r="G97" s="105"/>
      <c r="H97" s="97"/>
      <c r="I97" s="105"/>
      <c r="J97" s="105"/>
      <c r="K97" s="105"/>
      <c r="L97" s="105"/>
      <c r="M97" s="105"/>
      <c r="N97" s="105"/>
      <c r="O97" s="105"/>
      <c r="P97" s="105"/>
      <c r="Q97" s="96"/>
      <c r="R97" s="96"/>
      <c r="S97" s="97"/>
      <c r="T97" s="100"/>
      <c r="U97" s="101"/>
      <c r="V97" s="102"/>
    </row>
    <row r="98" spans="2:22" ht="14.25" customHeight="1" x14ac:dyDescent="0.3">
      <c r="B98" s="105"/>
      <c r="C98" s="105"/>
      <c r="D98" s="105"/>
      <c r="E98" s="105"/>
      <c r="F98" s="105"/>
      <c r="G98" s="105"/>
      <c r="H98" s="97"/>
      <c r="I98" s="105"/>
      <c r="J98" s="105"/>
      <c r="K98" s="105"/>
      <c r="L98" s="105"/>
      <c r="M98" s="105"/>
      <c r="N98" s="105"/>
      <c r="O98" s="105"/>
      <c r="P98" s="105"/>
      <c r="Q98" s="96"/>
      <c r="R98" s="96"/>
      <c r="S98" s="97"/>
      <c r="T98" s="105"/>
      <c r="U98" s="101"/>
      <c r="V98" s="102"/>
    </row>
    <row r="99" spans="2:22" ht="14.25" customHeight="1" x14ac:dyDescent="0.3">
      <c r="B99" s="105"/>
      <c r="C99" s="105"/>
      <c r="D99" s="105"/>
      <c r="E99" s="105"/>
      <c r="F99" s="105"/>
      <c r="G99" s="105"/>
      <c r="H99" s="97"/>
      <c r="I99" s="105"/>
      <c r="J99" s="105"/>
      <c r="K99" s="105"/>
      <c r="L99" s="105"/>
      <c r="M99" s="105"/>
      <c r="N99" s="105"/>
      <c r="O99" s="105"/>
      <c r="P99" s="105"/>
      <c r="Q99" s="96"/>
      <c r="R99" s="96"/>
      <c r="S99" s="97"/>
      <c r="T99" s="105"/>
      <c r="U99" s="101"/>
      <c r="V99" s="102"/>
    </row>
    <row r="100" spans="2:22" ht="14.25" customHeight="1" x14ac:dyDescent="0.3">
      <c r="B100" s="105"/>
      <c r="C100" s="105"/>
      <c r="D100" s="105"/>
      <c r="E100" s="105"/>
      <c r="F100" s="105"/>
      <c r="G100" s="105"/>
      <c r="H100" s="97"/>
      <c r="I100" s="105"/>
      <c r="J100" s="105"/>
      <c r="K100" s="105"/>
      <c r="L100" s="105"/>
      <c r="M100" s="105"/>
      <c r="N100" s="105"/>
      <c r="O100" s="105"/>
      <c r="P100" s="105"/>
      <c r="Q100" s="96"/>
      <c r="R100" s="96"/>
      <c r="S100" s="97"/>
      <c r="T100" s="105"/>
      <c r="U100" s="101"/>
      <c r="V100" s="102"/>
    </row>
  </sheetData>
  <autoFilter ref="B12:V41"/>
  <mergeCells count="6">
    <mergeCell ref="T11:V11"/>
    <mergeCell ref="C7:G7"/>
    <mergeCell ref="B11:G11"/>
    <mergeCell ref="I11:K11"/>
    <mergeCell ref="L11:N11"/>
    <mergeCell ref="O11:R11"/>
  </mergeCells>
  <conditionalFormatting sqref="T37:T42">
    <cfRule type="cellIs" dxfId="54" priority="1" operator="equal">
      <formula>"Testes utilizador"</formula>
    </cfRule>
  </conditionalFormatting>
  <conditionalFormatting sqref="X41">
    <cfRule type="cellIs" dxfId="53" priority="24" operator="equal">
      <formula>"Testes utilizador"</formula>
    </cfRule>
  </conditionalFormatting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70" operator="equal" id="{177A5776-BF30-42EF-A985-BB8A570EF5AB}">
            <xm:f>'Tabelas AUX'!$E$5</xm:f>
            <x14:dxf>
              <font>
                <color rgb="FF00B050"/>
              </font>
            </x14:dxf>
          </x14:cfRule>
          <x14:cfRule type="cellIs" priority="71" operator="equal" id="{4EF92552-6654-4E3F-8755-3F2EC6C66597}">
            <xm:f>OR('Tabelas AUX'!$E$4,'Tabelas AUX'!$E$6)</xm:f>
            <x14:dxf>
              <font>
                <color rgb="FF7F7F7F"/>
              </font>
            </x14:dxf>
          </x14:cfRule>
          <x14:cfRule type="cellIs" priority="72" operator="equal" id="{D9A1C9A0-1CB2-4B00-80FA-B7576AEA7A38}">
            <xm:f>'Tabelas AUX'!$E$3</xm:f>
            <x14:dxf>
              <font>
                <color theme="5"/>
              </font>
            </x14:dxf>
          </x14:cfRule>
          <x14:cfRule type="cellIs" priority="73" operator="equal" id="{4071081B-20EF-4977-8B31-8823F3F505DE}">
            <xm:f>'Tabelas AUX'!$E$2</xm:f>
            <x14:dxf>
              <font>
                <color rgb="FFC00000"/>
              </font>
            </x14:dxf>
          </x14:cfRule>
          <xm:sqref>T13:T31</xm:sqref>
        </x14:conditionalFormatting>
        <x14:conditionalFormatting xmlns:xm="http://schemas.microsoft.com/office/excel/2006/main">
          <x14:cfRule type="cellIs" priority="68" operator="equal" id="{43213ED4-0E0E-4D99-9A49-6A14ECAAA099}">
            <xm:f>'Tabelas AUX'!$E$8</xm:f>
            <x14:dxf>
              <font>
                <color theme="8"/>
              </font>
            </x14:dxf>
          </x14:cfRule>
          <x14:cfRule type="cellIs" priority="69" operator="equal" id="{B7E69A06-6B3B-4141-A67A-E140469FFB71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m:sqref>T13:T36 T43:T100</xm:sqref>
        </x14:conditionalFormatting>
        <x14:conditionalFormatting xmlns:xm="http://schemas.microsoft.com/office/excel/2006/main">
          <x14:cfRule type="cellIs" priority="165" operator="equal" id="{9E76D15E-0656-46C1-9621-75DF50EFCDB3}">
            <xm:f>OR('Tabelas AUX'!$E$4,'Tabelas AUX'!$E$6)</xm:f>
            <x14:dxf>
              <font>
                <color rgb="FF7F7F7F"/>
              </font>
            </x14:dxf>
          </x14:cfRule>
          <x14:cfRule type="cellIs" priority="166" operator="equal" id="{819E4D8A-9816-488B-B1D5-6A45F943697A}">
            <xm:f>'Tabelas AUX'!$E$3</xm:f>
            <x14:dxf>
              <font>
                <color theme="5"/>
              </font>
            </x14:dxf>
          </x14:cfRule>
          <x14:cfRule type="cellIs" priority="167" operator="equal" id="{4ED09379-AA86-4E8F-AF71-F74CEDFEC426}">
            <xm:f>'Tabelas AUX'!$E$2</xm:f>
            <x14:dxf>
              <font>
                <color rgb="FFC00000"/>
              </font>
            </x14:dxf>
          </x14:cfRule>
          <xm:sqref>T32:T36 T43:T58 T72:T79 T82:T100</xm:sqref>
        </x14:conditionalFormatting>
        <x14:conditionalFormatting xmlns:xm="http://schemas.microsoft.com/office/excel/2006/main">
          <x14:cfRule type="cellIs" priority="65" operator="equal" id="{568A2085-CE1E-4418-9142-E6838573D63B}">
            <xm:f>OR('Tabelas AUX'!$E$4,'Tabelas AUX'!$E$6)</xm:f>
            <x14:dxf>
              <font>
                <color rgb="FF7F7F7F"/>
              </font>
            </x14:dxf>
          </x14:cfRule>
          <x14:cfRule type="cellIs" priority="66" operator="equal" id="{0C055AAC-1F3A-4435-BBD5-D70257F91BBA}">
            <xm:f>'Tabelas AUX'!$E$3</xm:f>
            <x14:dxf>
              <font>
                <color theme="5"/>
              </font>
            </x14:dxf>
          </x14:cfRule>
          <x14:cfRule type="cellIs" priority="67" operator="equal" id="{7DD3F177-CD97-4D1B-B7F8-D732E118F114}">
            <xm:f>'Tabelas AUX'!$E$2</xm:f>
            <x14:dxf>
              <font>
                <color rgb="FFC00000"/>
              </font>
            </x14:dxf>
          </x14:cfRule>
          <xm:sqref>T32:T36</xm:sqref>
        </x14:conditionalFormatting>
        <x14:conditionalFormatting xmlns:xm="http://schemas.microsoft.com/office/excel/2006/main">
          <x14:cfRule type="cellIs" priority="2" operator="equal" id="{0C1317BE-22EE-4751-BD9F-F20A4939473E}">
            <xm:f>'Tabelas AUX'!$E$5</xm:f>
            <x14:dxf>
              <font>
                <color rgb="FF00B050"/>
              </font>
            </x14:dxf>
          </x14:cfRule>
          <xm:sqref>T32:T42</xm:sqref>
        </x14:conditionalFormatting>
        <x14:conditionalFormatting xmlns:xm="http://schemas.microsoft.com/office/excel/2006/main">
          <x14:cfRule type="cellIs" priority="152" operator="equal" id="{236B0F8A-C717-4577-A8B9-05BD6A0827F0}">
            <xm:f>'Tabelas AUX'!$E$5</xm:f>
            <x14:dxf>
              <font>
                <color rgb="FF00B050"/>
              </font>
            </x14:dxf>
          </x14:cfRule>
          <x14:cfRule type="cellIs" priority="153" operator="equal" id="{0AD4B35A-A61F-45FB-B7FA-582057BACE18}">
            <xm:f>'Tabelas AUX'!$E$4</xm:f>
            <x14:dxf>
              <font>
                <color rgb="FF7F7F7F"/>
              </font>
            </x14:dxf>
          </x14:cfRule>
          <x14:cfRule type="cellIs" priority="154" operator="equal" id="{BBDB2C1C-038D-497D-9C40-37E81954D4F6}">
            <xm:f>'Tabelas AUX'!$E$3</xm:f>
            <x14:dxf>
              <font>
                <color theme="5"/>
              </font>
            </x14:dxf>
          </x14:cfRule>
          <x14:cfRule type="cellIs" priority="155" operator="equal" id="{FD4EFEAD-CA08-451F-B540-5A733F2A2862}">
            <xm:f>'Tabelas AUX'!$E$2</xm:f>
            <x14:dxf>
              <font>
                <color rgb="FFC00000"/>
              </font>
            </x14:dxf>
          </x14:cfRule>
          <xm:sqref>T35:T36</xm:sqref>
        </x14:conditionalFormatting>
        <x14:conditionalFormatting xmlns:xm="http://schemas.microsoft.com/office/excel/2006/main">
          <x14:cfRule type="cellIs" priority="3" operator="equal" id="{BC8C8205-76EB-4D25-B953-6A8FF88DA600}">
            <xm:f>'Tabelas AUX'!$E$4</xm:f>
            <x14:dxf>
              <font>
                <color rgb="FF7F7F7F"/>
              </font>
            </x14:dxf>
          </x14:cfRule>
          <x14:cfRule type="cellIs" priority="4" operator="equal" id="{9C20DB01-ED2C-4137-B947-1DC45D12C22E}">
            <xm:f>'Tabelas AUX'!$E$3</xm:f>
            <x14:dxf>
              <font>
                <color theme="5"/>
              </font>
            </x14:dxf>
          </x14:cfRule>
          <x14:cfRule type="cellIs" priority="5" operator="equal" id="{7E6CD132-B7F3-49C9-A94C-0BD8AA966DE9}">
            <xm:f>'Tabelas AUX'!$E$2</xm:f>
            <x14:dxf>
              <font>
                <color rgb="FFC00000"/>
              </font>
            </x14:dxf>
          </x14:cfRule>
          <xm:sqref>T37:T42</xm:sqref>
        </x14:conditionalFormatting>
        <x14:conditionalFormatting xmlns:xm="http://schemas.microsoft.com/office/excel/2006/main">
          <x14:cfRule type="cellIs" priority="164" operator="equal" id="{329BE438-655E-43A5-BE4D-5719749E6CEB}">
            <xm:f>'Tabelas AUX'!$E$5</xm:f>
            <x14:dxf>
              <font>
                <color rgb="FF00B050"/>
              </font>
            </x14:dxf>
          </x14:cfRule>
          <xm:sqref>T43:T100 T32:T36</xm:sqref>
        </x14:conditionalFormatting>
        <x14:conditionalFormatting xmlns:xm="http://schemas.microsoft.com/office/excel/2006/main">
          <x14:cfRule type="cellIs" priority="148" operator="equal" id="{B4E26C96-FC8C-4CCF-A6CE-CA7EED197321}">
            <xm:f>'Tabelas AUX'!$E$5</xm:f>
            <x14:dxf>
              <font>
                <color rgb="FF00B050"/>
              </font>
            </x14:dxf>
          </x14:cfRule>
          <x14:cfRule type="cellIs" priority="149" operator="equal" id="{56323983-21EC-4002-A11A-1D878FDEF177}">
            <xm:f>'Tabelas AUX'!$E$4</xm:f>
            <x14:dxf>
              <font>
                <color rgb="FF7F7F7F"/>
              </font>
            </x14:dxf>
          </x14:cfRule>
          <x14:cfRule type="cellIs" priority="150" operator="equal" id="{D7A0E055-F366-4A08-8282-45FE9E16C531}">
            <xm:f>'Tabelas AUX'!$E$3</xm:f>
            <x14:dxf>
              <font>
                <color theme="5"/>
              </font>
            </x14:dxf>
          </x14:cfRule>
          <x14:cfRule type="cellIs" priority="151" operator="equal" id="{499263C8-CC62-4067-8EEB-32A6CAE0F5B0}">
            <xm:f>'Tabelas AUX'!$E$2</xm:f>
            <x14:dxf>
              <font>
                <color rgb="FFC00000"/>
              </font>
            </x14:dxf>
          </x14:cfRule>
          <xm:sqref>T59:T71</xm:sqref>
        </x14:conditionalFormatting>
        <x14:conditionalFormatting xmlns:xm="http://schemas.microsoft.com/office/excel/2006/main">
          <x14:cfRule type="cellIs" priority="156" operator="equal" id="{86EAC014-3E29-4913-A42C-86CE7A070C8A}">
            <xm:f>'Tabelas AUX'!$E$5</xm:f>
            <x14:dxf>
              <font>
                <color rgb="FF00B050"/>
              </font>
            </x14:dxf>
          </x14:cfRule>
          <x14:cfRule type="cellIs" priority="157" operator="equal" id="{25E6CC61-651F-40C4-B98D-5743F76D821E}">
            <xm:f>'Tabelas AUX'!$E$4</xm:f>
            <x14:dxf>
              <font>
                <color rgb="FF7F7F7F"/>
              </font>
            </x14:dxf>
          </x14:cfRule>
          <x14:cfRule type="cellIs" priority="158" operator="equal" id="{F428163D-AFD3-49CD-921F-BBF21E85CA92}">
            <xm:f>'Tabelas AUX'!$E$3</xm:f>
            <x14:dxf>
              <font>
                <color theme="5"/>
              </font>
            </x14:dxf>
          </x14:cfRule>
          <x14:cfRule type="cellIs" priority="159" operator="equal" id="{78B28EBA-AEBF-459D-BF1A-3BF225B6C65D}">
            <xm:f>'Tabelas AUX'!$E$2</xm:f>
            <x14:dxf>
              <font>
                <color rgb="FFC00000"/>
              </font>
            </x14:dxf>
          </x14:cfRule>
          <xm:sqref>T80:T81</xm:sqref>
        </x14:conditionalFormatting>
        <x14:conditionalFormatting xmlns:xm="http://schemas.microsoft.com/office/excel/2006/main">
          <x14:cfRule type="cellIs" priority="121" operator="equal" id="{A878085C-9EC4-411F-98E5-2FBD52D7E892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126" operator="equal" id="{DF0A4568-D0E9-4A61-8576-1FE38852492A}">
            <xm:f>'Tabelas AUX'!$E$5</xm:f>
            <x14:dxf>
              <font>
                <color rgb="FF00B050"/>
              </font>
            </x14:dxf>
          </x14:cfRule>
          <xm:sqref>U27:U28</xm:sqref>
        </x14:conditionalFormatting>
        <x14:conditionalFormatting xmlns:xm="http://schemas.microsoft.com/office/excel/2006/main">
          <x14:cfRule type="cellIs" priority="62" operator="equal" id="{E9EAEDFF-5476-4DE1-AB2B-A8BEE94F73F7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63" operator="equal" id="{B8774A5B-CCC0-40D3-A63E-9AA4597BA4DB}">
            <xm:f>'Tabelas AUX'!$E$5</xm:f>
            <x14:dxf>
              <font>
                <color rgb="FF00B050"/>
              </font>
            </x14:dxf>
          </x14:cfRule>
          <xm:sqref>U37</xm:sqref>
        </x14:conditionalFormatting>
        <x14:conditionalFormatting xmlns:xm="http://schemas.microsoft.com/office/excel/2006/main">
          <x14:cfRule type="cellIs" priority="102" operator="equal" id="{9303628F-7D88-4705-BC10-7F0E1B7D2BAE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107" operator="equal" id="{D9734E28-CE36-4BC4-BC0B-C346962268D2}">
            <xm:f>'Tabelas AUX'!$E$5</xm:f>
            <x14:dxf>
              <font>
                <color rgb="FF00B050"/>
              </font>
            </x14:dxf>
          </x14:cfRule>
          <xm:sqref>U29:V29</xm:sqref>
        </x14:conditionalFormatting>
        <x14:conditionalFormatting xmlns:xm="http://schemas.microsoft.com/office/excel/2006/main">
          <x14:cfRule type="cellIs" priority="17" operator="equal" id="{F274D99C-7464-4F1F-A993-1A9C0070A699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18" operator="equal" id="{EA47AE08-41F4-4E6B-AAB7-1EEE032675C2}">
            <xm:f>'Tabelas AUX'!$E$5</xm:f>
            <x14:dxf>
              <font>
                <color rgb="FF00B050"/>
              </font>
            </x14:dxf>
          </x14:cfRule>
          <xm:sqref>U42:V42</xm:sqref>
        </x14:conditionalFormatting>
        <x14:conditionalFormatting xmlns:xm="http://schemas.microsoft.com/office/excel/2006/main">
          <x14:cfRule type="cellIs" priority="44" operator="equal" id="{21193D45-2FFA-4637-8D37-8A3588150652}">
            <xm:f>'Tabelas AUX'!$E$8</xm:f>
            <x14:dxf>
              <font>
                <color theme="8"/>
              </font>
            </x14:dxf>
          </x14:cfRule>
          <x14:cfRule type="cellIs" priority="45" operator="equal" id="{085A8032-9E42-4F04-BD22-FB452A141B22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46" operator="equal" id="{F35D10B2-E488-45DE-924F-DDBB6B4300CD}">
            <xm:f>'Tabelas AUX'!$E$5</xm:f>
            <x14:dxf>
              <font>
                <color rgb="FF00B050"/>
              </font>
            </x14:dxf>
          </x14:cfRule>
          <x14:cfRule type="cellIs" priority="47" operator="equal" id="{8C4BDE11-B259-454E-BD80-700828196667}">
            <xm:f>'Tabelas AUX'!$E$4</xm:f>
            <x14:dxf>
              <font>
                <color rgb="FF7F7F7F"/>
              </font>
            </x14:dxf>
          </x14:cfRule>
          <x14:cfRule type="cellIs" priority="48" operator="equal" id="{2BB5D56F-768F-4A6E-99B6-128FF5B7B9F2}">
            <xm:f>'Tabelas AUX'!$E$3</xm:f>
            <x14:dxf>
              <font>
                <color theme="5"/>
              </font>
            </x14:dxf>
          </x14:cfRule>
          <x14:cfRule type="cellIs" priority="49" operator="equal" id="{C98AA2AB-6D0D-4FCB-8D05-6773C523BE94}">
            <xm:f>'Tabelas AUX'!$E$2</xm:f>
            <x14:dxf>
              <font>
                <color rgb="FFC00000"/>
              </font>
            </x14:dxf>
          </x14:cfRule>
          <xm:sqref>X38:X40</xm:sqref>
        </x14:conditionalFormatting>
        <x14:conditionalFormatting xmlns:xm="http://schemas.microsoft.com/office/excel/2006/main">
          <x14:cfRule type="cellIs" priority="25" operator="equal" id="{46FE323E-AD18-4B6E-8361-E4BF9CC5502C}">
            <xm:f>'Tabelas AUX'!$E$5</xm:f>
            <x14:dxf>
              <font>
                <color rgb="FF00B050"/>
              </font>
            </x14:dxf>
          </x14:cfRule>
          <x14:cfRule type="cellIs" priority="26" operator="equal" id="{0E66445D-17C0-4A44-AC84-9422D0EDBCF4}">
            <xm:f>'Tabelas AUX'!$E$4</xm:f>
            <x14:dxf>
              <font>
                <color rgb="FF7F7F7F"/>
              </font>
            </x14:dxf>
          </x14:cfRule>
          <x14:cfRule type="cellIs" priority="27" operator="equal" id="{046BCEC3-B54A-49F1-9A4D-D480EBA7939A}">
            <xm:f>'Tabelas AUX'!$E$3</xm:f>
            <x14:dxf>
              <font>
                <color theme="5"/>
              </font>
            </x14:dxf>
          </x14:cfRule>
          <x14:cfRule type="cellIs" priority="28" operator="equal" id="{13342788-9F25-4DB7-9561-853F0F979E27}">
            <xm:f>'Tabelas AUX'!$E$2</xm:f>
            <x14:dxf>
              <font>
                <color rgb="FFC00000"/>
              </font>
            </x14:dxf>
          </x14:cfRule>
          <xm:sqref>X41</xm:sqref>
        </x14:conditionalFormatting>
        <x14:conditionalFormatting xmlns:xm="http://schemas.microsoft.com/office/excel/2006/main">
          <x14:cfRule type="cellIs" priority="6" operator="equal" id="{A19EF2D5-C5B6-480D-B3A7-9AE85EE88A5D}">
            <xm:f>'Tabelas AUX'!$E$8</xm:f>
            <x14:dxf>
              <font>
                <color theme="8"/>
              </font>
            </x14:dxf>
          </x14:cfRule>
          <x14:cfRule type="cellIs" priority="7" operator="equal" id="{7259DA0E-4264-4487-BD20-5F6830E21E8C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8" operator="equal" id="{EC255FD2-B999-4844-B28E-F0FFFDA49BDA}">
            <xm:f>'Tabelas AUX'!$E$5</xm:f>
            <x14:dxf>
              <font>
                <color rgb="FF00B050"/>
              </font>
            </x14:dxf>
          </x14:cfRule>
          <x14:cfRule type="cellIs" priority="9" operator="equal" id="{4D39A360-4DC2-4700-9ADE-FB44B2EF3D65}">
            <xm:f>'Tabelas AUX'!$E$4</xm:f>
            <x14:dxf>
              <font>
                <color rgb="FF7F7F7F"/>
              </font>
            </x14:dxf>
          </x14:cfRule>
          <x14:cfRule type="cellIs" priority="10" operator="equal" id="{23C2F33F-C543-45CC-AF7F-F00ABC955637}">
            <xm:f>'Tabelas AUX'!$E$3</xm:f>
            <x14:dxf>
              <font>
                <color theme="5"/>
              </font>
            </x14:dxf>
          </x14:cfRule>
          <x14:cfRule type="cellIs" priority="11" operator="equal" id="{B5666437-63BF-4DAB-B075-C695D791029B}">
            <xm:f>'Tabelas AUX'!$E$2</xm:f>
            <x14:dxf>
              <font>
                <color rgb="FFC00000"/>
              </font>
            </x14:dxf>
          </x14:cfRule>
          <xm:sqref>X42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'Tabelas AUX'!$E$2:$E$9</xm:f>
          </x14:formula1>
          <xm:sqref>T13:T36 T43:T100</xm:sqref>
        </x14:dataValidation>
        <x14:dataValidation type="list" allowBlank="1" showInputMessage="1" showErrorMessage="1">
          <x14:formula1>
            <xm:f>'Tabelas AUX'!$G$2:$G$16</xm:f>
          </x14:formula1>
          <xm:sqref>T37:T42 X38:X40 X42</xm:sqref>
        </x14:dataValidation>
        <x14:dataValidation type="list" allowBlank="1" showInputMessage="1" showErrorMessage="1">
          <x14:formula1>
            <xm:f>'Tabelas AUX'!$G$2:$G$13</xm:f>
          </x14:formula1>
          <xm:sqref>X41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3:F13"/>
  <sheetViews>
    <sheetView workbookViewId="0">
      <selection activeCell="L10" sqref="L10"/>
    </sheetView>
  </sheetViews>
  <sheetFormatPr defaultRowHeight="14.4" x14ac:dyDescent="0.3"/>
  <cols>
    <col min="1" max="1" width="19.5546875" customWidth="1"/>
    <col min="2" max="2" width="16.33203125" customWidth="1"/>
    <col min="3" max="3" width="27.109375" customWidth="1"/>
    <col min="4" max="4" width="4.5546875" customWidth="1"/>
    <col min="5" max="5" width="11.6640625" customWidth="1"/>
    <col min="6" max="6" width="11.33203125" customWidth="1"/>
    <col min="7" max="7" width="11.33203125" bestFit="1" customWidth="1"/>
  </cols>
  <sheetData>
    <row r="3" spans="1:6" x14ac:dyDescent="0.3">
      <c r="A3" s="115" t="s">
        <v>141</v>
      </c>
      <c r="B3" s="115" t="s">
        <v>151</v>
      </c>
    </row>
    <row r="4" spans="1:6" x14ac:dyDescent="0.3">
      <c r="A4" s="115" t="s">
        <v>139</v>
      </c>
      <c r="B4" t="s">
        <v>147</v>
      </c>
      <c r="C4" t="s">
        <v>150</v>
      </c>
      <c r="D4" t="s">
        <v>88</v>
      </c>
      <c r="E4" t="s">
        <v>146</v>
      </c>
      <c r="F4" t="s">
        <v>140</v>
      </c>
    </row>
    <row r="5" spans="1:6" x14ac:dyDescent="0.3">
      <c r="A5" s="116" t="s">
        <v>101</v>
      </c>
      <c r="B5">
        <v>74</v>
      </c>
      <c r="E5">
        <v>43</v>
      </c>
      <c r="F5">
        <v>117</v>
      </c>
    </row>
    <row r="6" spans="1:6" x14ac:dyDescent="0.3">
      <c r="A6" s="116" t="s">
        <v>103</v>
      </c>
      <c r="B6">
        <v>2</v>
      </c>
      <c r="E6">
        <v>19</v>
      </c>
      <c r="F6">
        <v>21</v>
      </c>
    </row>
    <row r="7" spans="1:6" x14ac:dyDescent="0.3">
      <c r="A7" s="116" t="s">
        <v>67</v>
      </c>
      <c r="B7">
        <v>2</v>
      </c>
      <c r="D7">
        <v>2</v>
      </c>
      <c r="E7">
        <v>12</v>
      </c>
      <c r="F7">
        <v>16</v>
      </c>
    </row>
    <row r="8" spans="1:6" x14ac:dyDescent="0.3">
      <c r="A8" s="116" t="s">
        <v>76</v>
      </c>
      <c r="B8">
        <v>9</v>
      </c>
      <c r="D8">
        <v>2</v>
      </c>
      <c r="E8">
        <v>14</v>
      </c>
      <c r="F8">
        <v>25</v>
      </c>
    </row>
    <row r="9" spans="1:6" x14ac:dyDescent="0.3">
      <c r="A9" s="116" t="s">
        <v>83</v>
      </c>
      <c r="B9">
        <v>14</v>
      </c>
      <c r="C9">
        <v>1</v>
      </c>
      <c r="E9">
        <v>2</v>
      </c>
      <c r="F9">
        <v>17</v>
      </c>
    </row>
    <row r="10" spans="1:6" x14ac:dyDescent="0.3">
      <c r="A10" s="116" t="s">
        <v>91</v>
      </c>
      <c r="B10">
        <v>6</v>
      </c>
      <c r="E10">
        <v>3</v>
      </c>
      <c r="F10">
        <v>9</v>
      </c>
    </row>
    <row r="11" spans="1:6" x14ac:dyDescent="0.3">
      <c r="A11" s="116" t="s">
        <v>93</v>
      </c>
      <c r="B11">
        <v>1</v>
      </c>
      <c r="E11">
        <v>2</v>
      </c>
      <c r="F11">
        <v>3</v>
      </c>
    </row>
    <row r="12" spans="1:6" x14ac:dyDescent="0.3">
      <c r="A12" s="116" t="s">
        <v>94</v>
      </c>
      <c r="B12">
        <v>2</v>
      </c>
      <c r="E12">
        <v>2</v>
      </c>
      <c r="F12">
        <v>4</v>
      </c>
    </row>
    <row r="13" spans="1:6" x14ac:dyDescent="0.3">
      <c r="A13" s="116" t="s">
        <v>140</v>
      </c>
      <c r="B13">
        <v>110</v>
      </c>
      <c r="C13">
        <v>1</v>
      </c>
      <c r="D13">
        <v>4</v>
      </c>
      <c r="E13">
        <v>97</v>
      </c>
      <c r="F13">
        <v>212</v>
      </c>
    </row>
  </sheetData>
  <pageMargins left="0.7" right="0.7" top="0.75" bottom="0.75" header="0.3" footer="0.3"/>
  <pageSetup paperSize="9" orientation="portrait" r:id="rId2"/>
  <headerFooter>
    <oddHeader>&amp;L&amp;"Calibri"&amp;10&amp;K000000Confidential&amp;1#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5" ma:contentTypeDescription="Criar um novo documento." ma:contentTypeScope="" ma:versionID="12974c26ef0d64578dd506f9046136a5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targetNamespace="http://schemas.microsoft.com/office/2006/metadata/properties" ma:root="true" ma:fieldsID="4ea32a624e32bea693a90c1fc04fdfbd" ns1:_="" ns2:_="">
    <xsd:import namespace="http://schemas.microsoft.com/sharepoint/v3"/>
    <xsd:import namespace="7e9fc0bb-f42e-43f2-a091-cd3934e0c1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37F19BD-9C33-45FB-8F28-B673F4442EBB}"/>
</file>

<file path=customXml/itemProps2.xml><?xml version="1.0" encoding="utf-8"?>
<ds:datastoreItem xmlns:ds="http://schemas.openxmlformats.org/officeDocument/2006/customXml" ds:itemID="{2B2465C2-8D17-4DB0-889A-2A8D236A48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265E40-37F9-4C63-9845-46234D6D7D7D}">
  <ds:schemaRefs>
    <ds:schemaRef ds:uri="4f1bad57-467d-42c5-ae1a-effcaa213500"/>
    <ds:schemaRef ds:uri="http://purl.org/dc/elements/1.1/"/>
    <ds:schemaRef ds:uri="http://purl.org/dc/dcmitype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sharepoint/v3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Capa</vt:lpstr>
      <vt:lpstr>Indice</vt:lpstr>
      <vt:lpstr>Resumo</vt:lpstr>
      <vt:lpstr>out_contracts</vt:lpstr>
      <vt:lpstr>out_fei_included_transactions</vt:lpstr>
      <vt:lpstr>out_fei_payment_demand</vt:lpstr>
      <vt:lpstr>out_fei_repaid_transactions</vt:lpstr>
      <vt:lpstr>out_fei_new_transactions</vt:lpstr>
      <vt:lpstr>out_clients</vt:lpstr>
      <vt:lpstr>out_fei_new_recipients</vt:lpstr>
      <vt:lpstr>inp_fei_ieu_new_transactions</vt:lpstr>
      <vt:lpstr>out_fei_sustainability</vt:lpstr>
      <vt:lpstr>out_fei_transations_modificatio</vt:lpstr>
      <vt:lpstr>Tabelas AUX</vt:lpstr>
      <vt:lpstr>Lista campos desconsiderados</vt:lpstr>
      <vt:lpstr>Sheet2</vt:lpstr>
    </vt:vector>
  </TitlesOfParts>
  <Manager/>
  <Company>Grupo Santander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Inês Caldeira Santos</dc:creator>
  <cp:keywords/>
  <dc:description/>
  <cp:lastModifiedBy>Maria Inês Caldeira Santos</cp:lastModifiedBy>
  <cp:revision/>
  <dcterms:created xsi:type="dcterms:W3CDTF">2022-10-10T11:19:56Z</dcterms:created>
  <dcterms:modified xsi:type="dcterms:W3CDTF">2025-10-17T10:52:20Z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MSIP_Label_3c41c091-3cbc-4dba-8b59-ce62f19500db_Enabled">
    <vt:lpwstr>true</vt:lpwstr>
  </property>
  <property fmtid="{D5CDD505-2E9C-101B-9397-08002B2CF9AE}" pid="5" name="MSIP_Label_3c41c091-3cbc-4dba-8b59-ce62f19500db_SetDate">
    <vt:lpwstr>2025-10-17T10:52:20Z</vt:lpwstr>
  </property>
  <property fmtid="{D5CDD505-2E9C-101B-9397-08002B2CF9AE}" pid="6" name="MSIP_Label_3c41c091-3cbc-4dba-8b59-ce62f19500db_Method">
    <vt:lpwstr>Privileged</vt:lpwstr>
  </property>
  <property fmtid="{D5CDD505-2E9C-101B-9397-08002B2CF9AE}" pid="7" name="MSIP_Label_3c41c091-3cbc-4dba-8b59-ce62f19500db_Name">
    <vt:lpwstr>Confidential_0_1</vt:lpwstr>
  </property>
  <property fmtid="{D5CDD505-2E9C-101B-9397-08002B2CF9AE}" pid="8" name="MSIP_Label_3c41c091-3cbc-4dba-8b59-ce62f19500db_SiteId">
    <vt:lpwstr>35595a02-4d6d-44ac-99e1-f9ab4cd872db</vt:lpwstr>
  </property>
  <property fmtid="{D5CDD505-2E9C-101B-9397-08002B2CF9AE}" pid="9" name="MSIP_Label_3c41c091-3cbc-4dba-8b59-ce62f19500db_ActionId">
    <vt:lpwstr>b9f798b2-fb72-4201-85ac-da7fd9e9eef6</vt:lpwstr>
  </property>
  <property fmtid="{D5CDD505-2E9C-101B-9397-08002B2CF9AE}" pid="10" name="MSIP_Label_3c41c091-3cbc-4dba-8b59-ce62f19500db_ContentBits">
    <vt:lpwstr>1</vt:lpwstr>
  </property>
  <property fmtid="{D5CDD505-2E9C-101B-9397-08002B2CF9AE}" pid="11" name="Estado">
    <vt:lpwstr>9;#Active|5fac735a-6c3d-4db3-a5ea-62b32a9e77ff</vt:lpwstr>
  </property>
</Properties>
</file>