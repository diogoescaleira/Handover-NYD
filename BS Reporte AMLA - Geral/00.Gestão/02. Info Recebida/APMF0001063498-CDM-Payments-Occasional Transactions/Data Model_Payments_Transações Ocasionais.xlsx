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namedSheetViews/namedSheetView2.xml" ContentType="application/vnd.ms-excel.namedsheetviews+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63498-CDM-Payments-Occasional Transactions/"/>
    </mc:Choice>
  </mc:AlternateContent>
  <xr:revisionPtr revIDLastSave="280" documentId="13_ncr:1_{DE894DA1-F7A0-4D12-8CAF-73E193478EBA}" xr6:coauthVersionLast="47" xr6:coauthVersionMax="47" xr10:uidLastSave="{9275AA4E-1BA9-4977-A987-A2688BC5EE1F}"/>
  <bookViews>
    <workbookView xWindow="-120" yWindow="-120" windowWidth="29040" windowHeight="15720" tabRatio="636" firstSheet="3"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OneOFF" sheetId="45" r:id="rId6"/>
    <sheet name="Regras de Cruzamento OneOFF" sheetId="46" r:id="rId7"/>
    <sheet name="Datas OneoFF" sheetId="47" r:id="rId8"/>
  </sheets>
  <externalReferences>
    <externalReference r:id="rId9"/>
    <externalReference r:id="rId10"/>
    <externalReference r:id="rId11"/>
    <externalReference r:id="rId12"/>
    <externalReference r:id="rId13"/>
  </externalReferences>
  <definedNames>
    <definedName name="___INDEX_SHEET___ASAP_Utilities" localSheetId="5">#REF!</definedName>
    <definedName name="___INDEX_SHEET___ASAP_Utilities" localSheetId="2">#REF!</definedName>
    <definedName name="___INDEX_SHEET___ASAP_Utilities">#REF!</definedName>
    <definedName name="__123Graph_A" localSheetId="5" hidden="1">'[1]NJ-CA-MA-CT_jun06'!#REF!</definedName>
    <definedName name="__123Graph_A" localSheetId="2" hidden="1">'[1]NJ-CA-MA-CT_jun06'!#REF!</definedName>
    <definedName name="__123Graph_A" hidden="1">'[1]NJ-CA-MA-CT_jun06'!#REF!</definedName>
    <definedName name="__123Graph_B" localSheetId="5" hidden="1">'[1]NJ-CA-MA-CT_jun06'!#REF!</definedName>
    <definedName name="__123Graph_B" localSheetId="2" hidden="1">'[1]NJ-CA-MA-CT_jun06'!#REF!</definedName>
    <definedName name="__123Graph_B" hidden="1">'[1]NJ-CA-MA-CT_jun06'!#REF!</definedName>
    <definedName name="__123Graph_X" localSheetId="5" hidden="1">'[1]NJ-CA-MA-CT_jun06'!#REF!</definedName>
    <definedName name="__123Graph_X" localSheetId="2" hidden="1">'[1]NJ-CA-MA-CT_jun06'!#REF!</definedName>
    <definedName name="__123Graph_X" hidden="1">'[1]NJ-CA-MA-CT_jun06'!#REF!</definedName>
    <definedName name="_xlnm._FilterDatabase" localSheetId="5" hidden="1">Tabelas!$B$3:$X$4</definedName>
    <definedName name="_xlnm._FilterDatabase" localSheetId="2" hidden="1">Tabelas!$B$3:$X$4</definedName>
    <definedName name="a" localSheetId="1" hidden="1">'[1]NJ-CA-MA-CT_jun06'!#REF!</definedName>
    <definedName name="a" localSheetId="5"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5" hidden="1">#REF!</definedName>
    <definedName name="AS2TickmarkLS" localSheetId="2" hidden="1">#REF!</definedName>
    <definedName name="AS2TickmarkLS" hidden="1">#REF!</definedName>
    <definedName name="AS2VersionLS" hidden="1">300</definedName>
    <definedName name="b" localSheetId="5" hidden="1">'[1]NJ-CA-MA-CT_jun06'!#REF!</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5"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5"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5">#REF!</definedName>
    <definedName name="Tipo_controlo" localSheetId="2">#REF!</definedName>
    <definedName name="Tipo_controlo">#REF!</definedName>
    <definedName name="Tipocontrolo" localSheetId="5">#REF!</definedName>
    <definedName name="Tipocontrolo" localSheetId="2">#REF!</definedName>
    <definedName name="Tipocontrolo">#REF!</definedName>
    <definedName name="XREF_COLUMN_1" localSheetId="1" hidden="1">'[4]Carteira 20'!#REF!</definedName>
    <definedName name="XREF_COLUMN_1" localSheetId="5"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5"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5"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5"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5"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5"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5"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5"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5" hidden="1">'[3]Carteira 21'!#REF!</definedName>
    <definedName name="XRefCopy11" localSheetId="2" hidden="1">'[3]Carteira 21'!#REF!</definedName>
    <definedName name="XRefCopy11" hidden="1">'[3]Carteira 21'!#REF!</definedName>
    <definedName name="XRefCopy11Row" localSheetId="1" hidden="1">#REF!</definedName>
    <definedName name="XRefCopy11Row" localSheetId="5" hidden="1">#REF!</definedName>
    <definedName name="XRefCopy11Row" localSheetId="2" hidden="1">#REF!</definedName>
    <definedName name="XRefCopy11Row" hidden="1">#REF!</definedName>
    <definedName name="XRefCopy12" localSheetId="1" hidden="1">'[3]Carteira 21'!#REF!</definedName>
    <definedName name="XRefCopy12" localSheetId="5" hidden="1">'[3]Carteira 21'!#REF!</definedName>
    <definedName name="XRefCopy12" localSheetId="2" hidden="1">'[3]Carteira 21'!#REF!</definedName>
    <definedName name="XRefCopy12" hidden="1">'[3]Carteira 21'!#REF!</definedName>
    <definedName name="XRefCopy12Row" localSheetId="1" hidden="1">#REF!</definedName>
    <definedName name="XRefCopy12Row" localSheetId="5" hidden="1">#REF!</definedName>
    <definedName name="XRefCopy12Row" localSheetId="2" hidden="1">#REF!</definedName>
    <definedName name="XRefCopy12Row" hidden="1">#REF!</definedName>
    <definedName name="XRefCopy13" localSheetId="1" hidden="1">'[3]Carteira 21'!#REF!</definedName>
    <definedName name="XRefCopy13" localSheetId="5"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5" hidden="1">[5]XREF!#REF!</definedName>
    <definedName name="XRefCopy13Row" localSheetId="2" hidden="1">[5]XREF!#REF!</definedName>
    <definedName name="XRefCopy13Row" hidden="1">[5]XREF!#REF!</definedName>
    <definedName name="XRefCopy14" localSheetId="1" hidden="1">'[4]Carteira 20'!#REF!</definedName>
    <definedName name="XRefCopy14" localSheetId="5" hidden="1">'[4]Carteira 20'!#REF!</definedName>
    <definedName name="XRefCopy14" localSheetId="2" hidden="1">'[4]Carteira 20'!#REF!</definedName>
    <definedName name="XRefCopy14" hidden="1">'[4]Carteira 20'!#REF!</definedName>
    <definedName name="XRefCopy14Row" localSheetId="1" hidden="1">#REF!</definedName>
    <definedName name="XRefCopy14Row" localSheetId="5" hidden="1">#REF!</definedName>
    <definedName name="XRefCopy14Row" localSheetId="2" hidden="1">#REF!</definedName>
    <definedName name="XRefCopy14Row" hidden="1">#REF!</definedName>
    <definedName name="XRefCopy15" localSheetId="1" hidden="1">'[3]Carteira 21'!#REF!</definedName>
    <definedName name="XRefCopy15" localSheetId="5" hidden="1">'[3]Carteira 21'!#REF!</definedName>
    <definedName name="XRefCopy15" localSheetId="2" hidden="1">'[3]Carteira 21'!#REF!</definedName>
    <definedName name="XRefCopy15" hidden="1">'[3]Carteira 21'!#REF!</definedName>
    <definedName name="XRefCopy15Row" localSheetId="1" hidden="1">#REF!</definedName>
    <definedName name="XRefCopy15Row" localSheetId="5" hidden="1">#REF!</definedName>
    <definedName name="XRefCopy15Row" localSheetId="2" hidden="1">#REF!</definedName>
    <definedName name="XRefCopy15Row" hidden="1">#REF!</definedName>
    <definedName name="XRefCopy17Row" localSheetId="1" hidden="1">[5]XREF!#REF!</definedName>
    <definedName name="XRefCopy17Row" localSheetId="5" hidden="1">[5]XREF!#REF!</definedName>
    <definedName name="XRefCopy17Row" localSheetId="2" hidden="1">[5]XREF!#REF!</definedName>
    <definedName name="XRefCopy17Row" hidden="1">[5]XREF!#REF!</definedName>
    <definedName name="XRefCopy18Row" localSheetId="1" hidden="1">[5]XREF!#REF!</definedName>
    <definedName name="XRefCopy18Row" localSheetId="5" hidden="1">[5]XREF!#REF!</definedName>
    <definedName name="XRefCopy18Row" localSheetId="2" hidden="1">[5]XREF!#REF!</definedName>
    <definedName name="XRefCopy18Row" hidden="1">[5]XREF!#REF!</definedName>
    <definedName name="XRefCopy19Row" localSheetId="1" hidden="1">[5]XREF!#REF!</definedName>
    <definedName name="XRefCopy19Row" localSheetId="5" hidden="1">[5]XREF!#REF!</definedName>
    <definedName name="XRefCopy19Row" localSheetId="2" hidden="1">[5]XREF!#REF!</definedName>
    <definedName name="XRefCopy19Row" hidden="1">[5]XREF!#REF!</definedName>
    <definedName name="XRefCopy1Row" localSheetId="1" hidden="1">#REF!</definedName>
    <definedName name="XRefCopy1Row" localSheetId="5" hidden="1">#REF!</definedName>
    <definedName name="XRefCopy1Row" localSheetId="2" hidden="1">#REF!</definedName>
    <definedName name="XRefCopy1Row" hidden="1">#REF!</definedName>
    <definedName name="XRefCopy2" localSheetId="1" hidden="1">'[4]Carteira 20'!#REF!</definedName>
    <definedName name="XRefCopy2" localSheetId="5"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5" hidden="1">[2]XREF!#REF!</definedName>
    <definedName name="XRefCopy20Row" localSheetId="2" hidden="1">[2]XREF!#REF!</definedName>
    <definedName name="XRefCopy20Row" hidden="1">[2]XREF!#REF!</definedName>
    <definedName name="XRefCopy24" localSheetId="1" hidden="1">'[2]Carteira de Títulos'!#REF!</definedName>
    <definedName name="XRefCopy24" localSheetId="5"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5" hidden="1">[2]XREF!#REF!</definedName>
    <definedName name="XRefCopy24Row" localSheetId="2" hidden="1">[2]XREF!#REF!</definedName>
    <definedName name="XRefCopy24Row" hidden="1">[2]XREF!#REF!</definedName>
    <definedName name="XRefCopy25" localSheetId="1" hidden="1">'[2]Carteira de Títulos'!#REF!</definedName>
    <definedName name="XRefCopy25" localSheetId="5"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5" hidden="1">[2]XREF!#REF!</definedName>
    <definedName name="XRefCopy25Row" localSheetId="2" hidden="1">[2]XREF!#REF!</definedName>
    <definedName name="XRefCopy25Row" hidden="1">[2]XREF!#REF!</definedName>
    <definedName name="XRefCopy3" localSheetId="1" hidden="1">'[3]Carteira 21'!#REF!</definedName>
    <definedName name="XRefCopy3" localSheetId="5" hidden="1">'[3]Carteira 21'!#REF!</definedName>
    <definedName name="XRefCopy3" localSheetId="2" hidden="1">'[3]Carteira 21'!#REF!</definedName>
    <definedName name="XRefCopy3" hidden="1">'[3]Carteira 21'!#REF!</definedName>
    <definedName name="XRefCopy3Row" localSheetId="1" hidden="1">#REF!</definedName>
    <definedName name="XRefCopy3Row" localSheetId="5" hidden="1">#REF!</definedName>
    <definedName name="XRefCopy3Row" localSheetId="2" hidden="1">#REF!</definedName>
    <definedName name="XRefCopy3Row" hidden="1">#REF!</definedName>
    <definedName name="XRefCopy4" localSheetId="1" hidden="1">'[3]Carteira 21'!#REF!</definedName>
    <definedName name="XRefCopy4" localSheetId="5" hidden="1">'[3]Carteira 21'!#REF!</definedName>
    <definedName name="XRefCopy4" localSheetId="2" hidden="1">'[3]Carteira 21'!#REF!</definedName>
    <definedName name="XRefCopy4" hidden="1">'[3]Carteira 21'!#REF!</definedName>
    <definedName name="XRefCopy7" localSheetId="5" hidden="1">'[4]Carteira 20'!#REF!</definedName>
    <definedName name="XRefCopy7" localSheetId="2" hidden="1">'[4]Carteira 20'!#REF!</definedName>
    <definedName name="XRefCopy7" hidden="1">'[4]Carteira 20'!#REF!</definedName>
    <definedName name="XRefCopy7Row" localSheetId="1" hidden="1">#REF!</definedName>
    <definedName name="XRefCopy7Row" localSheetId="5" hidden="1">#REF!</definedName>
    <definedName name="XRefCopy7Row" localSheetId="2" hidden="1">#REF!</definedName>
    <definedName name="XRefCopy7Row" hidden="1">#REF!</definedName>
    <definedName name="XRefCopy8" localSheetId="1" hidden="1">'[4]Carteira 20'!#REF!</definedName>
    <definedName name="XRefCopy8" localSheetId="5" hidden="1">'[4]Carteira 20'!#REF!</definedName>
    <definedName name="XRefCopy8" localSheetId="2" hidden="1">'[4]Carteira 20'!#REF!</definedName>
    <definedName name="XRefCopy8" hidden="1">'[4]Carteira 20'!#REF!</definedName>
    <definedName name="XRefCopy8Row" localSheetId="1" hidden="1">#REF!</definedName>
    <definedName name="XRefCopy8Row" localSheetId="5" hidden="1">#REF!</definedName>
    <definedName name="XRefCopy8Row" localSheetId="2" hidden="1">#REF!</definedName>
    <definedName name="XRefCopy8Row" hidden="1">#REF!</definedName>
    <definedName name="XRefCopy9" localSheetId="1" hidden="1">'[3]Carteira 21'!#REF!</definedName>
    <definedName name="XRefCopy9" localSheetId="5"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5" hidden="1">'[3]Carteira 21'!#REF!</definedName>
    <definedName name="XRefCopy99" localSheetId="2" hidden="1">'[3]Carteira 21'!#REF!</definedName>
    <definedName name="XRefCopy99" hidden="1">'[3]Carteira 21'!#REF!</definedName>
    <definedName name="XRefCopyRangeCount" hidden="1">10</definedName>
    <definedName name="XRefPaste10" localSheetId="5" hidden="1">'[3]Carteira 21'!#REF!</definedName>
    <definedName name="XRefPaste10" localSheetId="2" hidden="1">'[3]Carteira 21'!#REF!</definedName>
    <definedName name="XRefPaste10" hidden="1">'[3]Carteira 21'!#REF!</definedName>
    <definedName name="XRefPaste10Row" localSheetId="1" hidden="1">#REF!</definedName>
    <definedName name="XRefPaste10Row" localSheetId="5" hidden="1">#REF!</definedName>
    <definedName name="XRefPaste10Row" localSheetId="2" hidden="1">#REF!</definedName>
    <definedName name="XRefPaste10Row" hidden="1">#REF!</definedName>
    <definedName name="XRefPaste11" localSheetId="1" hidden="1">'[4]Carteira 20'!#REF!</definedName>
    <definedName name="XRefPaste11" localSheetId="5"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5" hidden="1">#REF!</definedName>
    <definedName name="XRefPaste11Row" localSheetId="2" hidden="1">#REF!</definedName>
    <definedName name="XRefPaste11Row" hidden="1">#REF!</definedName>
    <definedName name="XRefPaste12" localSheetId="1" hidden="1">'[4]Carteira 20'!#REF!</definedName>
    <definedName name="XRefPaste12" localSheetId="5"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5" hidden="1">#REF!</definedName>
    <definedName name="XRefPaste12Row" localSheetId="2" hidden="1">#REF!</definedName>
    <definedName name="XRefPaste12Row" hidden="1">#REF!</definedName>
    <definedName name="XRefPaste13" localSheetId="1" hidden="1">'[3]Carteira 21'!#REF!</definedName>
    <definedName name="XRefPaste13" localSheetId="5"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5" hidden="1">#REF!</definedName>
    <definedName name="XRefPaste13Row" localSheetId="2" hidden="1">#REF!</definedName>
    <definedName name="XRefPaste13Row" hidden="1">#REF!</definedName>
    <definedName name="XRefPaste2" localSheetId="1" hidden="1">'[3]Carteira 21'!#REF!</definedName>
    <definedName name="XRefPaste2" localSheetId="5" hidden="1">'[3]Carteira 21'!#REF!</definedName>
    <definedName name="XRefPaste2" localSheetId="2" hidden="1">'[3]Carteira 21'!#REF!</definedName>
    <definedName name="XRefPaste2" hidden="1">'[3]Carteira 21'!#REF!</definedName>
    <definedName name="XRefPaste2Row" localSheetId="1" hidden="1">#REF!</definedName>
    <definedName name="XRefPaste2Row" localSheetId="5" hidden="1">#REF!</definedName>
    <definedName name="XRefPaste2Row" localSheetId="2" hidden="1">#REF!</definedName>
    <definedName name="XRefPaste2Row" hidden="1">#REF!</definedName>
    <definedName name="XRefPaste3" localSheetId="1" hidden="1">'[3]Carteira 21'!#REF!</definedName>
    <definedName name="XRefPaste3" localSheetId="5" hidden="1">'[3]Carteira 21'!#REF!</definedName>
    <definedName name="XRefPaste3" localSheetId="2" hidden="1">'[3]Carteira 21'!#REF!</definedName>
    <definedName name="XRefPaste3" hidden="1">'[3]Carteira 21'!#REF!</definedName>
    <definedName name="XRefPaste3Row" localSheetId="1" hidden="1">#REF!</definedName>
    <definedName name="XRefPaste3Row" localSheetId="5" hidden="1">#REF!</definedName>
    <definedName name="XRefPaste3Row" localSheetId="2" hidden="1">#REF!</definedName>
    <definedName name="XRefPaste3Row" hidden="1">#REF!</definedName>
    <definedName name="XRefPaste4" localSheetId="1" hidden="1">'[4]Carteira 20'!#REF!</definedName>
    <definedName name="XRefPaste4" localSheetId="5" hidden="1">'[4]Carteira 20'!#REF!</definedName>
    <definedName name="XRefPaste4" localSheetId="2" hidden="1">'[4]Carteira 20'!#REF!</definedName>
    <definedName name="XRefPaste4" hidden="1">'[4]Carteira 20'!#REF!</definedName>
    <definedName name="XRefPaste5Row" localSheetId="1" hidden="1">#REF!</definedName>
    <definedName name="XRefPaste5Row" localSheetId="5" hidden="1">#REF!</definedName>
    <definedName name="XRefPaste5Row" localSheetId="2" hidden="1">#REF!</definedName>
    <definedName name="XRefPaste5Row" hidden="1">#REF!</definedName>
    <definedName name="XRefPaste8Row" localSheetId="1" hidden="1">#REF!</definedName>
    <definedName name="XRefPaste8Row" localSheetId="5" hidden="1">#REF!</definedName>
    <definedName name="XRefPaste8Row" localSheetId="2" hidden="1">#REF!</definedName>
    <definedName name="XRefPaste8Row" hidden="1">#REF!</definedName>
    <definedName name="XRefPaste9" localSheetId="1" hidden="1">'[4]Carteira 20'!#REF!</definedName>
    <definedName name="XRefPaste9" localSheetId="5" hidden="1">'[4]Carteira 20'!#REF!</definedName>
    <definedName name="XRefPaste9" localSheetId="2" hidden="1">'[4]Carteira 20'!#REF!</definedName>
    <definedName name="XRefPaste9" hidden="1">'[4]Carteira 20'!#REF!</definedName>
    <definedName name="XRefPaste9Row" localSheetId="1" hidden="1">#REF!</definedName>
    <definedName name="XRefPaste9Row" localSheetId="5"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4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2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<sst xmlns="http://schemas.openxmlformats.org/spreadsheetml/2006/main" count="1055" uniqueCount="333">
  <si>
    <t>Modelo Comum de Dados - Payments - Occasional Transactions</t>
  </si>
  <si>
    <t>SCHEMA</t>
  </si>
  <si>
    <t>TABELA</t>
  </si>
  <si>
    <t>DESCRIÇÃO</t>
  </si>
  <si>
    <t>common_payments_occasionaltransactions</t>
  </si>
  <si>
    <t>occasional_transaction</t>
  </si>
  <si>
    <t>Contains the information of occasional transactions, namely deposits, withdrawals, change and reverse change, purchase and sale of foreign currency and partial settlement.</t>
  </si>
  <si>
    <t>operations_common_referencedata_core</t>
  </si>
  <si>
    <t>occasional_transaction_stock</t>
  </si>
  <si>
    <t>Contains the universe of current account transactions originated by occasional transactions.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</si>
  <si>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</si>
  <si>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</si>
  <si>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</si>
  <si>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</si>
  <si>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</si>
  <si>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</si>
  <si>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</si>
  <si>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</si>
  <si>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</si>
  <si>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</si>
  <si>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</si>
  <si>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</si>
  <si>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</si>
  <si>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</si>
  <si>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</si>
  <si>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</si>
  <si>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</si>
  <si>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</si>
  <si>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</si>
  <si>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</si>
  <si>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</si>
  <si>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</si>
  <si>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</si>
  <si>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</si>
  <si>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</si>
  <si>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</si>
  <si>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</si>
  <si>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</si>
  <si>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FÍISICO CAMPO FONTE</t>
  </si>
  <si>
    <t>VALOR MANUAL FONTE</t>
  </si>
  <si>
    <t>Occasional Transaction Stock</t>
  </si>
  <si>
    <t>Transaction ID</t>
  </si>
  <si>
    <t>transaction_id</t>
  </si>
  <si>
    <t>STRING</t>
  </si>
  <si>
    <t>Transaction unique identifier.</t>
  </si>
  <si>
    <t>Identificador único da transação.</t>
  </si>
  <si>
    <t>CURATED_INTERNAL_BANKTELLER</t>
  </si>
  <si>
    <t>CR_LOG</t>
  </si>
  <si>
    <t>ID</t>
  </si>
  <si>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CR_LOG.EVENT_TYPE_ID IN ('713', '715')</t>
    </r>
  </si>
  <si>
    <t>BKT - Transações Ocasionais</t>
  </si>
  <si>
    <t>N\A</t>
  </si>
  <si>
    <t>Internal Reference ID</t>
  </si>
  <si>
    <t>internal_reference_id</t>
  </si>
  <si>
    <t>Internal reference that allows to establish a link between a given transaction (transfer / occasional transaction) and the respective transactions under the associated contract.</t>
  </si>
  <si>
    <t>Referência interna que permite ligar a transação (transferência / operação ocasional) e o(s) respetivo(s) movimento(s) do contrato associado.</t>
  </si>
  <si>
    <t>CURATED_INTERNAL_MAINFRAME_CONTAS</t>
  </si>
  <si>
    <t>MOVIMENTOS_CONSOLIDADOS</t>
  </si>
  <si>
    <t>DCYR9750_CKBALCAO, DCYR9750_CKNUMCTA, DCYR9750_NODGO_IDEMPR, DCYR9750_NODGO_IDCENT, DCYR9750_NODGO_PTOFIS, DCYR9750_NODGO_NUMOPE, DCYR9750_DPROC, DCYR9750_CTERM, DCYR9750_ZJOURNAL</t>
  </si>
  <si>
    <r>
      <rPr>
        <b/>
        <sz val="11"/>
        <color rgb="FF000000"/>
        <rFont val="Calibri"/>
      </rPr>
      <t xml:space="preserve">SELECT </t>
    </r>
    <r>
      <rPr>
        <sz val="11"/>
        <color rgb="FF000000"/>
        <rFont val="Calibri"/>
      </rPr>
      <t xml:space="preserve">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CONCAT (
    MOVIMENTOS_CONSOLIDADOS.DCYR9750_CKBALCAO,
    MOVIMENTOS_CONSOLIDADOS.DCYR9750_CKNUMCTA,
    REPLACE ( MOVIMENTOS_CONSOLIDADOS.DCYR9750_DPROC, '-', '' ),
    MOVIMENTOS_CONSOLIDADOS.DCYR9750_CTERM,
    LPAD ( MOVIMENTOS_CONSOLIDADOS.DCYR9750_ZJOURNAL, 8, '0' )
)
</t>
    </r>
    <r>
      <rPr>
        <b/>
        <sz val="11"/>
        <color rgb="FF000000"/>
        <rFont val="Calibri"/>
      </rPr>
      <t xml:space="preserve">WHERE </t>
    </r>
    <r>
      <rPr>
        <sz val="11"/>
        <color rgb="FF000000"/>
        <rFont val="Calibri"/>
      </rPr>
      <t>CR_LOG.EVENT_TYPE_ID IN ('713', '715')</t>
    </r>
  </si>
  <si>
    <t>DC - Contas a Vista
DC - Contas a Vista
DC - Contas a Vista
DC - Contas a Vista
DC - Contas a Vista</t>
  </si>
  <si>
    <t>MOVIMENTOS_CONSOLIDADOS
MOVIMENTOS_CONSOLIDADOS
MOVIMENTOS_CONSOLIDADOS
MOVIMENTOS_CONSOLIDADOS
MOVIMENTOS_CONSOLIDADOS</t>
  </si>
  <si>
    <t>CONCAT ( DCYR9750_CKBALCAO, DCYR9750_CKNUMCTA, DCYR9750_NODGO_IDEMPR, DCYR9750_NODGO_IDCENT, DCYR9750_NODGO_PTOFIS, DCYR9750_NODGO_NUMOPE )
CONCAT ( DCYR9750_CKBALCAO, DCYR9750_CKNUMCTA, DCYR9750_NODGO_IDEMPR, DCYR9750_NODGO_IDCENT, DCYR9750_NODGO_PTOFIS, DCYR9750_NODGO_NUMOPE )
CONCAT ( DCYR9750_CKBALCAO, DCYR9750_CKNUMCTA, DCYR9750_NODGO_IDEMPR, DCYR9750_NODGO_IDCENT, DCYR9750_NODGO_PTOFIS, DCYR9750_NODGO_NUMOPE )
N\A
CONCAT ( DCYR9750_CKBALCAO, DCYR9750_CKNUMCTA, DCYR9750_DPROC, DCYR9750_CTERM, DCYR9750_ZJOURNAL )</t>
  </si>
  <si>
    <t>Transaction Detail Code</t>
  </si>
  <si>
    <t>transaction_detail_code</t>
  </si>
  <si>
    <t>Ext Inf - Trans Cal Inf - Date</t>
  </si>
  <si>
    <t>Code with the detail of the operation.</t>
  </si>
  <si>
    <t>Código com o detalhe da operação.</t>
  </si>
  <si>
    <t>Transaction Detail Code:
N\A;
N\A;
COMMON_REFERNCE_DATA_CORE.REFERENCE_DATA_TABLE - DATA_TABLE_CODE 001019</t>
  </si>
  <si>
    <t>COMMON_REFERENCEDATA_CORE</t>
  </si>
  <si>
    <t>PARAM_GENERAL_CODE_CONVERTER</t>
  </si>
  <si>
    <t>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</si>
  <si>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'transaction_detail_code'
    AND PARAM_GENERAL_CODE_CONVERTER.SOURCE_CODE = 'BKT'
    AND PARAM_GENERAL_CODE_CONVERTER.SOURCE_VALUE = CR_LOG.EVENT_TYPE_ID
    AND PARAM_GENERAL_CODE_CONVERTER.OPTION_NUMBER = 1 
    AND CR_LOG.EVENT_TYPE_ID = '700'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'transaction_detail_code'
    AND PARAM_GENERAL_CODE_CONVERTER.SOURCE_CODE = 'BKT'
    AND PARAM_GENERAL_CODE_CONVERTER.SOURCE_VALUE = CR_LOG.EVENT_TYPE_ID
    AND PARAM_GENERAL_CODE_CONVERTER.OPTION_NUMBER = 1 
    AND CR_LOG.EVENT_TYPE_ID = '703'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'transaction_detail_code'
    AND PARAM_GENERAL_CODE_CONVERTER.SOURCE_CODE = 'BKT'
    AND PARAM_GENERAL_CODE_CONVERTER.SOURCE_VALUE = CR_LOG.EVENT_TYPE_ID
    AND PARAM_GENERAL_CODE_CONVERTER.OPTION_NUMBER = 1 
    AND CR_LOG.EVENT_TYPE_ID = '706'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'transaction_detail_code'
    AND PARAM_GENERAL_CODE_CONVERTER.SOURCE_CODE = 'BKT'
    AND PARAM_GENERAL_CODE_CONVERTER.SOURCE_VALUE = CR_LOG.EVENT_TYPE_ID
    AND PARAM_GENERAL_CODE_CONVERTER.OPTION_NUMBER = 1 
    AND CR_LOG.EVENT_TYPE_ID = '708'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'transaction_detail_code'
    AND PARAM_GENERAL_CODE_CONVERTER.SOURCE_CODE = 'BKT'
    AND PARAM_GENERAL_CODE_CONVERTER.SOURCE_VALUE = CR_LOG.EVENT_TYPE_ID
    AND PARAM_GENERAL_CODE_CONVERTER.OPTION_NUMBER = 1 
    AND CR_LOG.EVENT_TYPE_ID = '709'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PARAM_GENERAL_CODE_CONVERTER.TARGET_FIELD = 'transaction_detail_code'
    AND PARAM_GENERAL_CODE_CONVERTER.SOURCE_CODE = 'BKT'
    AND PARAM_GENERAL_CODE_CONVERTER.SOURCE_VALUE = CR_LOG.EVENT_TYPE_ID
    AND PARAM_GENERAL_CODE_CONVERTER.OPTION_NUMBER = 1 
    AND CR_LOG.EVENT_TYPE_ID IN ('713', '715')</t>
    </r>
  </si>
  <si>
    <t>EVENT_TYPE_ID</t>
  </si>
  <si>
    <t>Bank ID</t>
  </si>
  <si>
    <t>bank_id</t>
  </si>
  <si>
    <t>Key - ID</t>
  </si>
  <si>
    <t>Internal Santander's bank identifier (previously known as CEMPRESA).</t>
  </si>
  <si>
    <t>Código identificador do banco interno do Santander (CEMPRESA).</t>
  </si>
  <si>
    <t>X</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</si>
  <si>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PARAM_GENERAL_CODE_CONVERTER.SOURCE_CODE = 'DC'
    AND PARAM_GENERAL_CODE_CONVERTER.TARGET_FIELD = 'bank_id'
    AND PARAM_GENERAL_CODE_CONVERTER.SOURCE_VALUE =  ''
    AND PARAM_GENERAL_CODE_CONVERTER.OPTION_NUMBER = 1
    AND CR_LOG.EVENT_TYPE_ID = '700'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PARAM_GENERAL_CODE_CONVERTER.SOURCE_CODE = 'DC'
    AND PARAM_GENERAL_CODE_CONVERTER.TARGET_FIELD = 'bank_id'
    AND PARAM_GENERAL_CODE_CONVERTER.SOURCE_VALUE =  ''
    AND PARAM_GENERAL_CODE_CONVERTER.OPTION_NUMBER = 1
    AND CR_LOG.EVENT_TYPE_ID = '703'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PARAM_GENERAL_CODE_CONVERTER.SOURCE_CODE = 'DC'
    AND PARAM_GENERAL_CODE_CONVERTER.TARGET_FIELD = 'bank_id'
    AND PARAM_GENERAL_CODE_CONVERTER.SOURCE_VALUE =  ''
    AND PARAM_GENERAL_CODE_CONVERTER.OPTION_NUMBER = 1
    AND CR_LOG.EVENT_TYPE_ID = '706'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PARAM_GENERAL_CODE_CONVERTER.SOURCE_CODE = 'DC'
    AND PARAM_GENERAL_CODE_CONVERTER.TARGET_FIELD = 'bank_id'
    AND PARAM_GENERAL_CODE_CONVERTER.SOURCE_VALUE =  ''
    AND PARAM_GENERAL_CODE_CONVERTER.OPTION_NUMBER = 1
    AND CR_LOG.EVENT_TYPE_ID = '708'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'DC'
    AND PARAM_GENERAL_CODE_CONVERTER.TARGET_FIELD = 'bank_id'
    AND PARAM_GENERAL_CODE_CONVERTER.SOURCE_VALUE =  ''
    AND PARAM_GENERAL_CODE_CONVERTER.OPTION_NUMBER = 1
    AND CR_LOG.EVENT_TYPE_ID IN ('713', '715')</t>
    </r>
  </si>
  <si>
    <t>"31"</t>
  </si>
  <si>
    <t>Contract ID</t>
  </si>
  <si>
    <t>contract_id</t>
  </si>
  <si>
    <t>Identifier of the contract associated with the transaction.</t>
  </si>
  <si>
    <t>Identificador do contrato associado à transação.</t>
  </si>
  <si>
    <t>DCYR9750_CKBALCAO, DCYR9750_CKNUMCTA</t>
  </si>
  <si>
    <r>
      <rPr>
        <b/>
        <sz val="11"/>
        <color rgb="FF000000"/>
        <rFont val="Calibri"/>
        <family val="2"/>
      </rPr>
      <t xml:space="preserve">SELECT </t>
    </r>
    <r>
      <rPr>
        <sz val="11"/>
        <color rgb="FF000000"/>
        <rFont val="Calibri"/>
        <family val="2"/>
      </rPr>
      <t xml:space="preserve">CONCAT (MOVIMENTOS_CONSOLIDADOS.DCYR9750_CKBALCAO, MOVIMENTOS_CONSOLIDADOS.DCYR9750_CKNUMCTA, '000000000000000')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CONCAT (MOVIMENTOS_CONSOLIDADOS.DCYR9750_CKBALCAO, MOVIMENTOS_CONSOLIDADOS.DCYR9750_CKNUMCTA, '000000000000000')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CONCAT (MOVIMENTOS_CONSOLIDADOS.DCYR9750_CKBALCAO, MOVIMENTOS_CONSOLIDADOS.DCYR9750_CKNUMCTA, '000000000000000')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CONCAT (MOVIMENTOS_CONSOLIDADOS.DCYR9750_CKBALCAO, MOVIMENTOS_CONSOLIDADOS.DCYR9750_CKNUMCTA, '000000000000000')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CONCAT (MOVIMENTOS_CONSOLIDADOS.DCYR9750_CKBALCAO, MOVIMENTOS_CONSOLIDADOS.DCYR9750_CKNUMCTA, '000000000000000')
</t>
    </r>
    <r>
      <rPr>
        <b/>
        <sz val="11"/>
        <color rgb="FF000000"/>
        <rFont val="Calibri"/>
        <family val="2"/>
      </rPr>
      <t xml:space="preserve">WHERE </t>
    </r>
    <r>
      <rPr>
        <sz val="11"/>
        <color rgb="FF000000"/>
        <rFont val="Calibri"/>
        <family val="2"/>
      </rPr>
      <t>CR_LOG.EVENT_TYPE_ID IN ('713', '715')</t>
    </r>
  </si>
  <si>
    <t>DC - Contas a Vista</t>
  </si>
  <si>
    <t>CONTACT (DCYR9750_CKBALCAO, DCYR9750_CKNUMCTA)</t>
  </si>
  <si>
    <t xml:space="preserve">ZDeposit </t>
  </si>
  <si>
    <t>zdeposit</t>
  </si>
  <si>
    <t>Contract's legacy identifier ZDEPOSIT.</t>
  </si>
  <si>
    <r>
      <rPr>
        <b/>
        <sz val="11"/>
        <color rgb="FF000000"/>
        <rFont val="Calibri"/>
        <family val="2"/>
      </rPr>
      <t xml:space="preserve">SELECT </t>
    </r>
    <r>
      <rPr>
        <sz val="11"/>
        <color rgb="FF000000"/>
        <rFont val="Calibri"/>
        <family val="2"/>
      </rPr>
      <t xml:space="preserve">'000000000000000'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'000000000000000'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'000000000000000'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'000000000000000'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'000000000000000'
</t>
    </r>
    <r>
      <rPr>
        <b/>
        <sz val="11"/>
        <color rgb="FF000000"/>
        <rFont val="Calibri"/>
        <family val="2"/>
      </rPr>
      <t xml:space="preserve">WHERE  </t>
    </r>
    <r>
      <rPr>
        <sz val="11"/>
        <color rgb="FF000000"/>
        <rFont val="Calibri"/>
        <family val="2"/>
      </rPr>
      <t>CR_LOG.EVENT_TYPE_ID IN ('713', '715')</t>
    </r>
  </si>
  <si>
    <t>Order Number</t>
  </si>
  <si>
    <t>order_number</t>
  </si>
  <si>
    <t>Int Inf - Trans Op Inf - Value</t>
  </si>
  <si>
    <t>BIGINT</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</si>
  <si>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</si>
  <si>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</si>
  <si>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 xml:space="preserve">DCYR9750_ZMOVCTA </t>
  </si>
  <si>
    <r>
      <rPr>
        <b/>
        <sz val="11"/>
        <color rgb="FF000000"/>
        <rFont val="Calibri"/>
        <family val="2"/>
      </rPr>
      <t xml:space="preserve">SELECT </t>
    </r>
    <r>
      <rPr>
        <sz val="11"/>
        <color rgb="FF000000"/>
        <rFont val="Calibri"/>
        <family val="2"/>
      </rPr>
      <t xml:space="preserve">CAST ( MOVIMENTOS_CONSOLIDADOS.DCYR9750_ZMOVCTA AS BIGINT )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CAST ( MOVIMENTOS_CONSOLIDADOS.DCYR9750_ZMOVCTA AS BIGINT )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CAST ( MOVIMENTOS_CONSOLIDADOS.DCYR9750_ZMOVCTA AS BIGINT )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CAST ( MOVIMENTOS_CONSOLIDADOS.DCYR9750_ZMOVCTA AS BIGINT )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CAST ( MOVIMENTOS_CONSOLIDADOS.DCYR9750_ZMOVCTA AS BIGINT )
</t>
    </r>
    <r>
      <rPr>
        <b/>
        <sz val="11"/>
        <color rgb="FF000000"/>
        <rFont val="Calibri"/>
        <family val="2"/>
      </rPr>
      <t xml:space="preserve">WHERE </t>
    </r>
    <r>
      <rPr>
        <sz val="11"/>
        <color rgb="FF000000"/>
        <rFont val="Calibri"/>
        <family val="2"/>
      </rPr>
      <t>CR_LOG.EVENT_TYPE_ID IN ('713', '715')</t>
    </r>
  </si>
  <si>
    <t>Order Number Stage</t>
  </si>
  <si>
    <t>order_number_stage</t>
  </si>
  <si>
    <t>Represents the sequencial stage order inside of the transaction.</t>
  </si>
  <si>
    <t>Representa o nº da etapa dentro de uma transação.</t>
  </si>
  <si>
    <r>
      <rPr>
        <b/>
        <sz val="11"/>
        <color rgb="FF000000"/>
        <rFont val="Calibri"/>
        <family val="2"/>
      </rPr>
      <t xml:space="preserve">SELECT </t>
    </r>
    <r>
      <rPr>
        <sz val="11"/>
        <color rgb="FF000000"/>
        <rFont val="Calibri"/>
        <family val="2"/>
      </rPr>
      <t xml:space="preserve">CAST ( PARAM_GENERAL_CODE_CONVERTER.TARGET_VALUE AS BIGINT )
</t>
    </r>
    <r>
      <rPr>
        <b/>
        <sz val="11"/>
        <color rgb="FF000000"/>
        <rFont val="Calibri"/>
        <family val="2"/>
      </rPr>
      <t xml:space="preserve">WHERE </t>
    </r>
    <r>
      <rPr>
        <sz val="11"/>
        <color rgb="FF000000"/>
        <rFont val="Calibri"/>
        <family val="2"/>
      </rPr>
      <t xml:space="preserve">PARAM_GENERAL_CODE_CONVERTER.SOURCE_CODE = 'DC'
    AND PARAM_GENERAL_CODE_CONVERTER.TARGET_FIELD = 'order_number_stage'
    AND PARAM_GENERAL_CODE_CONVERTER.SOURCE_VALUE =  ''
    AND PARAM_GENERAL_CODE_CONVERTER.OPTION_NUMBER = 1
    AND CR_LOG.EVENT_TYPE_ID = '700'
</t>
    </r>
    <r>
      <rPr>
        <b/>
        <sz val="11"/>
        <color rgb="FF000000"/>
        <rFont val="Calibri"/>
        <family val="2"/>
      </rPr>
      <t xml:space="preserve">SELECT </t>
    </r>
    <r>
      <rPr>
        <sz val="11"/>
        <color rgb="FF000000"/>
        <rFont val="Calibri"/>
        <family val="2"/>
      </rPr>
      <t xml:space="preserve">CAST ( PARAM_GENERAL_CODE_CONVERTER.TARGET_VALUE AS BIGINT )
</t>
    </r>
    <r>
      <rPr>
        <b/>
        <sz val="11"/>
        <color rgb="FF000000"/>
        <rFont val="Calibri"/>
        <family val="2"/>
      </rPr>
      <t xml:space="preserve">WHERE </t>
    </r>
    <r>
      <rPr>
        <sz val="11"/>
        <color rgb="FF000000"/>
        <rFont val="Calibri"/>
        <family val="2"/>
      </rPr>
      <t xml:space="preserve">PARAM_GENERAL_CODE_CONVERTER.SOURCE_CODE = 'DC'
    AND PARAM_GENERAL_CODE_CONVERTER.TARGET_FIELD = 'order_number_stage'
    AND PARAM_GENERAL_CODE_CONVERTER.SOURCE_VALUE =  ''
    AND PARAM_GENERAL_CODE_CONVERTER.OPTION_NUMBER = 1
    AND CR_LOG.EVENT_TYPE_ID = '703'
</t>
    </r>
    <r>
      <rPr>
        <b/>
        <sz val="11"/>
        <color rgb="FF000000"/>
        <rFont val="Calibri"/>
        <family val="2"/>
      </rPr>
      <t xml:space="preserve">SELECT </t>
    </r>
    <r>
      <rPr>
        <sz val="11"/>
        <color rgb="FF000000"/>
        <rFont val="Calibri"/>
        <family val="2"/>
      </rPr>
      <t xml:space="preserve">CAST ( PARAM_GENERAL_CODE_CONVERTER.TARGET_VALUE AS BIGINT )
</t>
    </r>
    <r>
      <rPr>
        <b/>
        <sz val="11"/>
        <color rgb="FF000000"/>
        <rFont val="Calibri"/>
        <family val="2"/>
      </rPr>
      <t xml:space="preserve">WHERE </t>
    </r>
    <r>
      <rPr>
        <sz val="11"/>
        <color rgb="FF000000"/>
        <rFont val="Calibri"/>
        <family val="2"/>
      </rPr>
      <t xml:space="preserve">PARAM_GENERAL_CODE_CONVERTER.SOURCE_CODE = 'DC'
    AND PARAM_GENERAL_CODE_CONVERTER.TARGET_FIELD = 'order_number_stage'
    AND PARAM_GENERAL_CODE_CONVERTER.SOURCE_VALUE =  ''
    AND PARAM_GENERAL_CODE_CONVERTER.OPTION_NUMBER = 1
    AND CR_LOG.EVENT_TYPE_ID = '706'
</t>
    </r>
    <r>
      <rPr>
        <b/>
        <sz val="11"/>
        <color rgb="FF000000"/>
        <rFont val="Calibri"/>
        <family val="2"/>
      </rPr>
      <t xml:space="preserve">SELECT </t>
    </r>
    <r>
      <rPr>
        <sz val="11"/>
        <color rgb="FF000000"/>
        <rFont val="Calibri"/>
        <family val="2"/>
      </rPr>
      <t xml:space="preserve">CAST ( PARAM_GENERAL_CODE_CONVERTER.TARGET_VALUE AS BIGINT )
</t>
    </r>
    <r>
      <rPr>
        <b/>
        <sz val="11"/>
        <color rgb="FF000000"/>
        <rFont val="Calibri"/>
        <family val="2"/>
      </rPr>
      <t xml:space="preserve">WHERE </t>
    </r>
    <r>
      <rPr>
        <sz val="11"/>
        <color rgb="FF000000"/>
        <rFont val="Calibri"/>
        <family val="2"/>
      </rPr>
      <t xml:space="preserve">PARAM_GENERAL_CODE_CONVERTER.SOURCE_CODE = 'DC'
    AND PARAM_GENERAL_CODE_CONVERTER.TARGET_FIELD = 'order_number_stage'
    AND PARAM_GENERAL_CODE_CONVERTER.SOURCE_VALUE =  ''
    AND PARAM_GENERAL_CODE_CONVERTER.OPTION_NUMBER = 1
    AND CR_LOG.EVENT_TYPE_ID =  '708'
</t>
    </r>
    <r>
      <rPr>
        <b/>
        <sz val="11"/>
        <color rgb="FF000000"/>
        <rFont val="Calibri"/>
        <family val="2"/>
      </rPr>
      <t>SELECT</t>
    </r>
    <r>
      <rPr>
        <sz val="11"/>
        <color rgb="FF000000"/>
        <rFont val="Calibri"/>
        <family val="2"/>
      </rPr>
      <t xml:space="preserve"> CAST ( PARAM_GENERAL_CODE_CONVERTER.TARGET_VALUE AS BIGINT )
</t>
    </r>
    <r>
      <rPr>
        <b/>
        <sz val="11"/>
        <color rgb="FF000000"/>
        <rFont val="Calibri"/>
        <family val="2"/>
      </rPr>
      <t xml:space="preserve">WHERE </t>
    </r>
    <r>
      <rPr>
        <sz val="11"/>
        <color rgb="FF000000"/>
        <rFont val="Calibri"/>
        <family val="2"/>
      </rPr>
      <t>PARAM_GENERAL_CODE_CONVERTER.SOURCE_CODE = 'DC'
    AND PARAM_GENERAL_CODE_CONVERTER.TARGET_FIELD = 'order_number_stage'
    AND PARAM_GENERAL_CODE_CONVERTER.SOURCE_VALUE =  ''
    AND PARAM_GENERAL_CODE_CONVERTER.OPTION_NUMBER = 1
    AND CR_LOG.EVENT_TYPE_ID IN ('713', '715')</t>
    </r>
  </si>
  <si>
    <t>Sender Order Number Stage</t>
  </si>
  <si>
    <t>sender_order_number_stage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</si>
  <si>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</si>
  <si>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</si>
  <si>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 xml:space="preserve">DCYR9750_NUMMOVIM_OPER </t>
  </si>
  <si>
    <r>
      <rPr>
        <b/>
        <sz val="11"/>
        <color rgb="FF000000"/>
        <rFont val="Calibri"/>
        <family val="2"/>
      </rPr>
      <t xml:space="preserve">SELECT </t>
    </r>
    <r>
      <rPr>
        <sz val="11"/>
        <color rgb="FF000000"/>
        <rFont val="Calibri"/>
        <family val="2"/>
      </rPr>
      <t xml:space="preserve">IF ( CAST ( MOVIMENTOS_CONSOLIDADOS.DCYR9750_NUMMOVIM_OPER AS STRING ) = '', NULL, CAST ( MOVIMENTOS_CONSOLIDADOS.DCYR9750_NUMMOVIM_OPER AS STRING ) )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IF ( CAST ( MOVIMENTOS_CONSOLIDADOS.DCYR9750_NUMMOVIM_OPER AS STRING ) = '', NULL, CAST ( MOVIMENTOS_CONSOLIDADOS.DCYR9750_NUMMOVIM_OPER AS STRING ) )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IF ( CAST ( MOVIMENTOS_CONSOLIDADOS.DCYR9750_NUMMOVIM_OPER AS STRING ) = '', NULL, CAST ( MOVIMENTOS_CONSOLIDADOS.DCYR9750_NUMMOVIM_OPER AS STRING ) )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IF ( CAST ( MOVIMENTOS_CONSOLIDADOS.DCYR9750_NUMMOVIM_OPER AS STRING ) = '', NULL, CAST ( MOVIMENTOS_CONSOLIDADOS.DCYR9750_NUMMOVIM_OPER AS STRING ) )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IF ( CAST ( MOVIMENTOS_CONSOLIDADOS.DCYR9750_NUMMOVIM_OPER AS STRING ) = '', NULL, CAST ( MOVIMENTOS_CONSOLIDADOS.DCYR9750_NUMMOVIM_OPER AS STRING ) )
</t>
    </r>
    <r>
      <rPr>
        <b/>
        <sz val="11"/>
        <color rgb="FF000000"/>
        <rFont val="Calibri"/>
        <family val="2"/>
      </rPr>
      <t xml:space="preserve">WHERE </t>
    </r>
    <r>
      <rPr>
        <sz val="11"/>
        <color rgb="FF000000"/>
        <rFont val="Calibri"/>
        <family val="2"/>
      </rPr>
      <t>CR_LOG.EVENT_TYPE_ID IN ('713', '715')</t>
    </r>
  </si>
  <si>
    <t>Transfer Reference</t>
  </si>
  <si>
    <t>transfer_reference</t>
  </si>
  <si>
    <t>If the movement is a payment or a transfer it contains its reference.</t>
  </si>
  <si>
    <t>Se aplicável, identifica a transferência que gerou ou está associada à transação.</t>
  </si>
  <si>
    <t>DCYR9750_GREFMOV</t>
  </si>
  <si>
    <r>
      <rPr>
        <b/>
        <sz val="11"/>
        <color rgb="FF000000"/>
        <rFont val="Calibri"/>
        <family val="2"/>
      </rPr>
      <t xml:space="preserve">SELECT </t>
    </r>
    <r>
      <rPr>
        <sz val="11"/>
        <color rgb="FF000000"/>
        <rFont val="Calibri"/>
        <family val="2"/>
      </rPr>
      <t xml:space="preserve">MOVIMENTOS_CONSOLIDADOS.DCYR9750_GREFMOV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MOVIMENTOS_CONSOLIDADOS.DCYR9750_GREFMOV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MOVIMENTOS_CONSOLIDADOS.DCYR9750_GREFMOV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MOVIMENTOS_CONSOLIDADOS.DCYR9750_GREFMOV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MOVIMENTOS_CONSOLIDADOS.DCYR9750_GREFMOV
</t>
    </r>
    <r>
      <rPr>
        <b/>
        <sz val="11"/>
        <color rgb="FF000000"/>
        <rFont val="Calibri"/>
        <family val="2"/>
      </rPr>
      <t xml:space="preserve">WHERE </t>
    </r>
    <r>
      <rPr>
        <sz val="11"/>
        <color rgb="FF000000"/>
        <rFont val="Calibri"/>
        <family val="2"/>
      </rPr>
      <t>CR_LOG.EVENT_TYPE_ID IN ( '713', '715' )</t>
    </r>
  </si>
  <si>
    <t>Description</t>
  </si>
  <si>
    <t>description</t>
  </si>
  <si>
    <t>Short description of the transaction. It can include payment details, transfer reference, etc.</t>
  </si>
  <si>
    <t>Pequena descrição da transação. Pode incluir detalhes do pagamento, referência da transferência, etc.</t>
  </si>
  <si>
    <t>DCYR9750_GDESMOV</t>
  </si>
  <si>
    <r>
      <rPr>
        <b/>
        <sz val="11"/>
        <color rgb="FF000000"/>
        <rFont val="Calibri"/>
        <family val="2"/>
      </rPr>
      <t xml:space="preserve">SELECT </t>
    </r>
    <r>
      <rPr>
        <sz val="11"/>
        <color rgb="FF000000"/>
        <rFont val="Calibri"/>
        <family val="2"/>
      </rPr>
      <t xml:space="preserve">MOVIMENTOS_CONSOLIDADOS.DCYR9750_GDESMOV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MOVIMENTOS_CONSOLIDADOS.DCYR9750_GDESMOV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MOVIMENTOS_CONSOLIDADOS.DCYR9750_GDESMOV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MOVIMENTOS_CONSOLIDADOS.DCYR9750_GDESMOV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MOVIMENTOS_CONSOLIDADOS.DCYR9750_GDESMOV
</t>
    </r>
    <r>
      <rPr>
        <b/>
        <sz val="11"/>
        <color rgb="FF000000"/>
        <rFont val="Calibri"/>
        <family val="2"/>
      </rPr>
      <t xml:space="preserve">WHERE </t>
    </r>
    <r>
      <rPr>
        <sz val="11"/>
        <color rgb="FF000000"/>
        <rFont val="Calibri"/>
        <family val="2"/>
      </rPr>
      <t xml:space="preserve">CR_LOG.EVENT_TYPE_ID = '709'
</t>
    </r>
    <r>
      <rPr>
        <b/>
        <sz val="11"/>
        <color rgb="FF000000"/>
        <rFont val="Calibri"/>
        <family val="2"/>
      </rPr>
      <t xml:space="preserve">SELECT </t>
    </r>
    <r>
      <rPr>
        <sz val="11"/>
        <color rgb="FF000000"/>
        <rFont val="Calibri"/>
        <family val="2"/>
      </rPr>
      <t xml:space="preserve">MOVIMENTOS_CONSOLIDADOS.DCYR9750_GDESMOV
</t>
    </r>
    <r>
      <rPr>
        <b/>
        <sz val="11"/>
        <color rgb="FF000000"/>
        <rFont val="Calibri"/>
        <family val="2"/>
      </rPr>
      <t xml:space="preserve">WHERE </t>
    </r>
    <r>
      <rPr>
        <sz val="11"/>
        <color rgb="FF000000"/>
        <rFont val="Calibri"/>
        <family val="2"/>
      </rPr>
      <t>CR_LOG.EVENT_TYPE_ID IN ( '713', '715' )</t>
    </r>
  </si>
  <si>
    <t>Data Date Part</t>
  </si>
  <si>
    <t>data_date_part</t>
  </si>
  <si>
    <t>Key - Date</t>
  </si>
  <si>
    <t>Information reference date.</t>
  </si>
  <si>
    <t>Data de referência dos dados</t>
  </si>
  <si>
    <t>DATA_DATE_PART</t>
  </si>
  <si>
    <r>
      <rPr>
        <b/>
        <sz val="11"/>
        <color rgb="FF000000"/>
        <rFont val="Calibri"/>
        <family val="2"/>
      </rPr>
      <t xml:space="preserve">SELECT </t>
    </r>
    <r>
      <rPr>
        <sz val="11"/>
        <color rgb="FF000000"/>
        <rFont val="Calibri"/>
        <family val="2"/>
      </rPr>
      <t xml:space="preserve">MOVIMENTOS_CONSOLIDADOS.DATA_DATE_PART
</t>
    </r>
    <r>
      <rPr>
        <b/>
        <sz val="11"/>
        <color rgb="FF000000"/>
        <rFont val="Calibri"/>
        <family val="2"/>
      </rPr>
      <t xml:space="preserve">SELECT </t>
    </r>
    <r>
      <rPr>
        <sz val="11"/>
        <color rgb="FF000000"/>
        <rFont val="Calibri"/>
        <family val="2"/>
      </rPr>
      <t xml:space="preserve">MOVIMENTOS_CONSOLIDADOS.DATA_DATE_PART
</t>
    </r>
    <r>
      <rPr>
        <b/>
        <sz val="11"/>
        <color rgb="FF000000"/>
        <rFont val="Calibri"/>
        <family val="2"/>
      </rPr>
      <t xml:space="preserve">SELECT </t>
    </r>
    <r>
      <rPr>
        <sz val="11"/>
        <color rgb="FF000000"/>
        <rFont val="Calibri"/>
        <family val="2"/>
      </rPr>
      <t xml:space="preserve">MOVIMENTOS_CONSOLIDADOS.DATA_DATE_PART
</t>
    </r>
    <r>
      <rPr>
        <b/>
        <sz val="11"/>
        <color rgb="FF000000"/>
        <rFont val="Calibri"/>
        <family val="2"/>
      </rPr>
      <t xml:space="preserve">SELECT </t>
    </r>
    <r>
      <rPr>
        <sz val="11"/>
        <color rgb="FF000000"/>
        <rFont val="Calibri"/>
        <family val="2"/>
      </rPr>
      <t xml:space="preserve">MOVIMENTOS_CONSOLIDADOS.DATA_DATE_PART
</t>
    </r>
    <r>
      <rPr>
        <b/>
        <sz val="11"/>
        <color rgb="FF000000"/>
        <rFont val="Calibri"/>
        <family val="2"/>
      </rPr>
      <t xml:space="preserve">SELECT </t>
    </r>
    <r>
      <rPr>
        <sz val="11"/>
        <color rgb="FF000000"/>
        <rFont val="Calibri"/>
        <family val="2"/>
      </rPr>
      <t>MOVIMENTOS_CONSOLIDADOS.DATA_DATE_PART</t>
    </r>
  </si>
  <si>
    <t>Data Timestamp Part</t>
  </si>
  <si>
    <t>data_timestamp_part</t>
  </si>
  <si>
    <t>Tec - Date</t>
  </si>
  <si>
    <t>TIMESTAMP</t>
  </si>
  <si>
    <t>Record's load timestamp in common layer.</t>
  </si>
  <si>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</si>
  <si>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NOW()</t>
    </r>
  </si>
  <si>
    <t>Occasional Transaction</t>
  </si>
  <si>
    <r>
      <rPr>
        <b/>
        <sz val="11"/>
        <color rgb="FF000000"/>
        <rFont val="Calibri"/>
      </rPr>
      <t xml:space="preserve">SELECT </t>
    </r>
    <r>
      <rPr>
        <sz val="11"/>
        <color rgb="FF000000"/>
        <rFont val="Calibri"/>
      </rPr>
      <t xml:space="preserve"> IF ( TRIM ( CR_LOG.ID ) = '', NULL, CAST ( CAST (TRIM ( CR_LOG.ID ) AS INT ) AS STRING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CR_LOG.ID ) = '', NULL, CAST ( CAST (TRIM ( CR_LOG.ID ) AS INT ) AS STRING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 TRIM ( CR_LOG.ID ) = '', NULL, CAST ( CAST (TRIM ( CR_LOG.ID ) AS INT ) AS STRING ) )
</t>
    </r>
    <r>
      <rPr>
        <b/>
        <sz val="11"/>
        <color rgb="FF000000"/>
        <rFont val="Calibri"/>
      </rPr>
      <t xml:space="preserve">WHERE </t>
    </r>
    <r>
      <rPr>
        <sz val="11"/>
        <color rgb="FF000000"/>
        <rFont val="Calibri"/>
      </rPr>
      <t xml:space="preserve">CR_LOG.EVENT_TYPE_ID = '704'
</t>
    </r>
    <r>
      <rPr>
        <b/>
        <sz val="11"/>
        <color rgb="FF000000"/>
        <rFont val="Calibri"/>
      </rPr>
      <t xml:space="preserve">SELECT </t>
    </r>
    <r>
      <rPr>
        <sz val="11"/>
        <color rgb="FF000000"/>
        <rFont val="Calibri"/>
      </rPr>
      <t xml:space="preserve">IF ( TRIM ( CR_LOG.ID ) = '', NULL, CAST ( CAST (TRIM ( CR_LOG.ID ) AS INT ) AS STRING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CR_LOG.ID ) = '', NULL, CAST ( CAST (TRIM ( CR_LOG.ID ) AS INT ) AS STRING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CR_LOG.ID ) = '', NULL, CAST ( CAST (TRIM ( CR_LOG.ID ) AS INT ) AS STRING )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IF ( TRIM ( CR_LOG.ID ) = '', NULL, CAST ( CAST (TRIM ( CR_LOG.ID ) AS INT ) AS STRING ) )
</t>
    </r>
    <r>
      <rPr>
        <b/>
        <sz val="11"/>
        <color rgb="FF000000"/>
        <rFont val="Calibri"/>
      </rPr>
      <t xml:space="preserve">WHERE </t>
    </r>
    <r>
      <rPr>
        <sz val="11"/>
        <color rgb="FF000000"/>
        <rFont val="Calibri"/>
      </rPr>
      <t xml:space="preserve">CR_LOG.EVENT_TYPE_ID IN ( '713', '715')
</t>
    </r>
    <r>
      <rPr>
        <b/>
        <sz val="11"/>
        <color rgb="FF000000"/>
        <rFont val="Calibri"/>
      </rPr>
      <t xml:space="preserve">SELECT </t>
    </r>
    <r>
      <rPr>
        <sz val="11"/>
        <color rgb="FF000000"/>
        <rFont val="Calibri"/>
      </rPr>
      <t xml:space="preserve">IF ( TRIM ( CR_LOG.ID ) = '', NULL, CAST ( CAST (TRIM ( CR_LOG.ID ) AS INT ) AS STRING ) )
</t>
    </r>
    <r>
      <rPr>
        <b/>
        <sz val="11"/>
        <color rgb="FF000000"/>
        <rFont val="Calibri"/>
      </rPr>
      <t xml:space="preserve">WHERE </t>
    </r>
    <r>
      <rPr>
        <sz val="11"/>
        <color rgb="FF000000"/>
        <rFont val="Calibri"/>
      </rPr>
      <t>CR_LOG.EVENT_TYPE_ID IS NULL OR CR_LOG.EVENT_TYPE_ID NOT IN ('700', '703', '704', '706', '708', '709', '713', '715')</t>
    </r>
  </si>
  <si>
    <t>Associated Bank ID</t>
  </si>
  <si>
    <t>associated_bank_id</t>
  </si>
  <si>
    <t>Santander's internal bank identifier code for the contract associated with the performed transaction. Previously known as CEMPRESA.</t>
  </si>
  <si>
    <t>Código interno do Santander que identifica o banco do contrato associado à transação realizada. Conceito previamente conhecido como CEMPRESA.</t>
  </si>
  <si>
    <t>COMMON_REFERENCEDATA_CORE
CURATED_INTERNAL_BANKTELLER</t>
  </si>
  <si>
    <t>PARAM_GENERAL_CODE_CONVERTER
CR_LOG</t>
  </si>
  <si>
    <t>TARGET_VALUE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</si>
  <si>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'BKT'
    AND PARAM_GENERAL_CODE_CONVERTER.TARGET_FIELD = 'associated_bank_id'
    AND PARAM_GENERAL_CODE_CONVERTER.SOURCE_VALUE =  ''
    AND PARAM_GENERAL_CODE_CONVERTER.OPTION_NUMBER = 1
    AND CR_LOG.EVENT_TYPE_ID = '700'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'BKT'
    AND PARAM_GENERAL_CODE_CONVERTER.TARGET_FIELD = 'associated_bank_id'
    AND PARAM_GENERAL_CODE_CONVERTER.SOURCE_VALUE =  ''
    AND PARAM_GENERAL_CODE_CONVERTER.OPTION_NUMBER = 1
    AND CR_LOG.EVENT_TYPE_ID = '703'
</t>
    </r>
    <r>
      <rPr>
        <b/>
        <sz val="11"/>
        <color rgb="FF000000"/>
        <rFont val="Calibri"/>
      </rPr>
      <t xml:space="preserve">
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'BKT'
    AND PARAM_GENERAL_CODE_CONVERTER.TARGET_FIELD = 'associated_bank_id'
    AND PARAM_GENERAL_CODE_CONVERTER.SOURCE_VALUE =  ''
    AND PARAM_GENERAL_CODE_CONVERTER.OPTION_NUMBER = 1
</t>
    </r>
    <r>
      <rPr>
        <b/>
        <sz val="11"/>
        <color rgb="FF000000"/>
        <rFont val="Calibri"/>
      </rPr>
      <t xml:space="preserve">    AND </t>
    </r>
    <r>
      <rPr>
        <sz val="11"/>
        <color rgb="FF000000"/>
        <rFont val="Calibri"/>
      </rPr>
      <t xml:space="preserve">CR_LOG.EVENT_TYPE_ID = '704'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'BKT'
    AND PARAM_GENERAL_CODE_CONVERTER.TARGET_FIELD = 'associated_bank_id'
    AND PARAM_GENERAL_CODE_CONVERTER.SOURCE_VALUE =  ''
    AND PARAM_GENERAL_CODE_CONVERTER.OPTION_NUMBER = 1
    AND CR_LOG.EVENT_TYPE_ID = '706'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'BKT'
    AND PARAM_GENERAL_CODE_CONVERTER.TARGET_FIELD = 'associated_bank_id'
    AND PARAM_GENERAL_CODE_CONVERTER.SOURCE_VALUE =  ''
    AND PARAM_GENERAL_CODE_CONVERTER.OPTION_NUMBER = 1
    AND CR_LOG.EVENT_TYPE_ID = '708'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'BKT'
    AND PARAM_GENERAL_CODE_CONVERTER.TARGET_FIELD = 'associated_bank_id'
    AND PARAM_GENERAL_CODE_CONVERTER.SOURCE_VALUE =  ''
    AND PARAM_GENERAL_CODE_CONVERTER.OPTION_NUMBER = 1
    AND CR_LOG.EVENT_TYPE_ID = '709'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'BKT'
    AND PARAM_GENERAL_CODE_CONVERTER.TARGET_FIELD = 'associated_bank_id'
    AND PARAM_GENERAL_CODE_CONVERTER.SOURCE_VALUE =  ''
    AND PARAM_GENERAL_CODE_CONVERTER.OPTION_NUMBER = 1
    AND CR_LOG.EVENT_TYPE_ID IN ('713', '715')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'BKT'
    AND PARAM_GENERAL_CODE_CONVERTER.TARGET_FIELD = 'associated_bank_id'
    AND PARAM_GENERAL_CODE_CONVERTER.SOURCE_VALUE =  ''
    AND PARAM_GENERAL_CODE_CONVERTER.OPTION_NUMBER = 1
    AND CR_LOG.EVENT_TYPE_ID IS NULL OR CR_LOG.EVENT_TYPE_ID NOT IN ('700', '703', '704', '706', '708', '709', '713', '715')</t>
    </r>
  </si>
  <si>
    <t>Associated Contract ID</t>
  </si>
  <si>
    <t>associated_contract_id</t>
  </si>
  <si>
    <r>
      <rPr>
        <b/>
        <sz val="11"/>
        <color rgb="FF000000"/>
        <rFont val="Calibri"/>
      </rPr>
      <t xml:space="preserve">SELECT </t>
    </r>
    <r>
      <rPr>
        <sz val="11"/>
        <color rgb="FF000000"/>
        <rFont val="Calibri"/>
      </rPr>
      <t xml:space="preserve">CASE
    WHEN CONCAT ( TRIM ( CR_LOG.ACCOUNT_NUMBER ) , '000000000000000' ) = '' THEN PARAM_GENERAL_CODE_CONVERTER.TARGET_VALUE
    ELSE CONCAT ( TRIM ( CR_LOG.ACCOUNT_NUMBER ) , '000000000000000' )
</t>
    </r>
    <r>
      <rPr>
        <b/>
        <sz val="11"/>
        <color rgb="FF000000"/>
        <rFont val="Calibri"/>
      </rPr>
      <t xml:space="preserve">WHERE </t>
    </r>
    <r>
      <rPr>
        <sz val="11"/>
        <color rgb="FF000000"/>
        <rFont val="Calibri"/>
      </rPr>
      <t xml:space="preserve">PARAM_GENERAL_CODE_CONVERTER.TARGET_FIELD = 'associated_contract_id'
    AND PARAM_GENERAL_CODE_CONVERTER.SOURCE_CODE = 'BKT'
    AND PARAM_GENERAL_CODE_CONVERTER.SOURCE_VALUE = CONCAT ( TRIM ( CR_LOG.ACCOUNT_NUMBER ) , '000000000000000' )
    AND PARAM_GENERAL_CODE_CONVERTER.OPTION_NUMBER = 1 
    AND CR_LOG.EVENT_TYPE_ID = '700'
</t>
    </r>
    <r>
      <rPr>
        <b/>
        <sz val="11"/>
        <color rgb="FF000000"/>
        <rFont val="Calibri"/>
      </rPr>
      <t xml:space="preserve">SELECT </t>
    </r>
    <r>
      <rPr>
        <sz val="11"/>
        <color rgb="FF000000"/>
        <rFont val="Calibri"/>
      </rPr>
      <t xml:space="preserve">CASE
    WHEN CONCAT ( TRIM ( CR_LOG.ACCOUNT_NUMBER ) , '000000000000000' ) = '' THEN PARAM_GENERAL_CODE_CONVERTER.TARGET_VALUE
    ELSE CONCAT ( TRIM ( CR_LOG.ACCOUNT_NUMBER ) , '000000000000000' )
</t>
    </r>
    <r>
      <rPr>
        <b/>
        <sz val="11"/>
        <color rgb="FF000000"/>
        <rFont val="Calibri"/>
      </rPr>
      <t xml:space="preserve">WHERE </t>
    </r>
    <r>
      <rPr>
        <sz val="11"/>
        <color rgb="FF000000"/>
        <rFont val="Calibri"/>
      </rPr>
      <t xml:space="preserve">PARAM_GENERAL_CODE_CONVERTER.TARGET_FIELD = 'associated_contract_id'
    AND PARAM_GENERAL_CODE_CONVERTER.SOURCE_CODE = 'BKT'
    AND PARAM_GENERAL_CODE_CONVERTER.SOURCE_VALUE = CONCAT ( TRIM ( CR_LOG.ACCOUNT_NUMBER ) , '000000000000000' )
    AND PARAM_GENERAL_CODE_CONVERTER.OPTION_NUMBER = 1 
    AND CR_LOG.EVENT_TYPE_ID = '703'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'associated_contract_id'
    AND PARAM_GENERAL_CODE_CONVERTER.SOURCE_CODE = 'BKT'
    AND PARAM_GENERAL_CODE_CONVERTER.SOURCE_VALUE = ''
    AND PARAM_GENERAL_CODE_CONVERTER.OPTION_NUMBER = 1 
    AND CR_LOG.EVENT_TYPE_ID = '704'
</t>
    </r>
    <r>
      <rPr>
        <b/>
        <sz val="11"/>
        <color rgb="FF000000"/>
        <rFont val="Calibri"/>
      </rPr>
      <t xml:space="preserve">SELECT </t>
    </r>
    <r>
      <rPr>
        <sz val="11"/>
        <color rgb="FF000000"/>
        <rFont val="Calibri"/>
      </rPr>
      <t xml:space="preserve">CASE
    WHEN CONCAT ( TRIM ( CR_LOG.ACCOUNT_NUMBER ) , '000000000000000' ) = '' THEN PARAM_GENERAL_CODE_CONVERTER.TARGET_VALUE
    ELSE CONCAT ( TRIM ( CR_LOG.ACCOUNT_NUMBER ) , '000000000000000' )
</t>
    </r>
    <r>
      <rPr>
        <b/>
        <sz val="11"/>
        <color rgb="FF000000"/>
        <rFont val="Calibri"/>
      </rPr>
      <t xml:space="preserve">WHERE </t>
    </r>
    <r>
      <rPr>
        <sz val="11"/>
        <color rgb="FF000000"/>
        <rFont val="Calibri"/>
      </rPr>
      <t xml:space="preserve">PARAM_GENERAL_CODE_CONVERTER.TARGET_FIELD = 'associated_contract_id'
    AND PARAM_GENERAL_CODE_CONVERTER.SOURCE_CODE = 'BKT'
    AND PARAM_GENERAL_CODE_CONVERTER.SOURCE_VALUE = CONCAT ( TRIM ( CR_LOG.ACCOUNT_NUMBER ) , '000000000000000' )
    AND PARAM_GENERAL_CODE_CONVERTER.OPTION_NUMBER = 1 
    AND CR_LOG.EVENT_TYPE_ID = '706'
</t>
    </r>
    <r>
      <rPr>
        <b/>
        <sz val="11"/>
        <color rgb="FF000000"/>
        <rFont val="Calibri"/>
      </rPr>
      <t xml:space="preserve">SELECT </t>
    </r>
    <r>
      <rPr>
        <sz val="11"/>
        <color rgb="FF000000"/>
        <rFont val="Calibri"/>
      </rPr>
      <t xml:space="preserve">CASE
    WHEN CONCAT ( TRIM ( CR_LOG.ACCOUNT_NUMBER ) , '000000000000000' ) = '' THEN PARAM_GENERAL_CODE_CONVERTER.TARGET_VALUE
    ELSE CONCAT ( TRIM ( CR_LOG.ACCOUNT_NUMBER ) , '000000000000000' )
</t>
    </r>
    <r>
      <rPr>
        <b/>
        <sz val="11"/>
        <color rgb="FF000000"/>
        <rFont val="Calibri"/>
      </rPr>
      <t xml:space="preserve">WHERE </t>
    </r>
    <r>
      <rPr>
        <sz val="11"/>
        <color rgb="FF000000"/>
        <rFont val="Calibri"/>
      </rPr>
      <t xml:space="preserve">PARAM_GENERAL_CODE_CONVERTER.TARGET_FIELD = 'associated_contract_id'
    AND PARAM_GENERAL_CODE_CONVERTER.SOURCE_CODE = 'BKT'
    AND PARAM_GENERAL_CODE_CONVERTER.SOURCE_VALUE = CONCAT ( TRIM ( CR_LOG.ACCOUNT_NUMBER ) , '000000000000000' )
    AND PARAM_GENERAL_CODE_CONVERTER.OPTION_NUMBER = 1 
    AND CR_LOG.EVENT_TYPE_ID = '708'
</t>
    </r>
    <r>
      <rPr>
        <b/>
        <sz val="11"/>
        <color rgb="FF000000"/>
        <rFont val="Calibri"/>
      </rPr>
      <t xml:space="preserve">SELECT </t>
    </r>
    <r>
      <rPr>
        <sz val="11"/>
        <color rgb="FF000000"/>
        <rFont val="Calibri"/>
      </rPr>
      <t xml:space="preserve">CASE
    WHEN CONCAT ( CR_LOG.ACCOUNT_NUMBER , '000000000000000' ) = '' THEN PARAM_GENERAL_CODE_CONVERTER.TARGET_VALUE
    ELSE CONCAT ( CR_LOG.ACCOUNT_NUMBER , '000000000000000' )
</t>
    </r>
    <r>
      <rPr>
        <b/>
        <sz val="11"/>
        <color rgb="FF000000"/>
        <rFont val="Calibri"/>
      </rPr>
      <t xml:space="preserve">WHERE </t>
    </r>
    <r>
      <rPr>
        <sz val="11"/>
        <color rgb="FF000000"/>
        <rFont val="Calibri"/>
      </rPr>
      <t xml:space="preserve">PARAM_GENERAL_CODE_CONVERTER.TARGET_FIELD = 'associated_contract_id'
    AND PARAM_GENERAL_CODE_CONVERTER.SOURCE_CODE = 'BKT'
    AND PARAM_GENERAL_CODE_CONVERTER.SOURCE_VALUE = CONCAT ( CR_LOG.ACCOUNT_NUMBER , '000000000000000' )
    AND PARAM_GENERAL_CODE_CONVERTER.OPTION_NUMBER = 1 
    AND CR_LOG.EVENT_TYPE_ID = '709'
</t>
    </r>
    <r>
      <rPr>
        <b/>
        <sz val="11"/>
        <color rgb="FF000000"/>
        <rFont val="Calibri"/>
      </rPr>
      <t>SELECT</t>
    </r>
    <r>
      <rPr>
        <sz val="11"/>
        <color rgb="FF000000"/>
        <rFont val="Calibri"/>
      </rPr>
      <t xml:space="preserve"> CASE
    WHEN CONCAT ( CR_LOG.ACCOUNT_NUMBER , '000000000000000' ) = '' THEN PARAM_GENERAL_CODE_CONVERTER.TARGET_VALUE
    ELSE CONCAT ( CR_LOG.ACCOUNT_NUMBER , '000000000000000' )
</t>
    </r>
    <r>
      <rPr>
        <b/>
        <sz val="11"/>
        <color rgb="FF000000"/>
        <rFont val="Calibri"/>
      </rPr>
      <t xml:space="preserve">WHERE </t>
    </r>
    <r>
      <rPr>
        <sz val="11"/>
        <color rgb="FF000000"/>
        <rFont val="Calibri"/>
      </rPr>
      <t xml:space="preserve">PARAM_GENERAL_CODE_CONVERTER.TARGET_FIELD = 'associated_contract_id'
    AND PARAM_GENERAL_CODE_CONVERTER.SOURCE_CODE = 'BKT'
    AND PARAM_GENERAL_CODE_CONVERTER.SOURCE_VALUE = CONCAT ( CR_LOG.ACCOUNT_NUMBER , '000000000000000' )
    AND PARAM_GENERAL_CODE_CONVERTER.OPTION_NUMBER = 1 
    AND CR_LOG.EVENT_TYPE_ID IN ('713', '715')
</t>
    </r>
    <r>
      <rPr>
        <b/>
        <sz val="11"/>
        <color rgb="FF000000"/>
        <rFont val="Calibri"/>
      </rPr>
      <t xml:space="preserve">SELECT </t>
    </r>
    <r>
      <rPr>
        <sz val="11"/>
        <color rgb="FF000000"/>
        <rFont val="Calibri"/>
      </rPr>
      <t xml:space="preserve">CASE
    WHEN CONCAT ( CR_LOG.ACCOUNT_NUMBER, '000000000000000' ) = '' THEN PARAM_GENERAL_CODE_CONVERTER.TARGET_VALUE
    ELSE CONCAT ( CR_LOG.ACCOUNT_NUMBER, '000000000000000' )
</t>
    </r>
    <r>
      <rPr>
        <b/>
        <sz val="11"/>
        <color rgb="FF000000"/>
        <rFont val="Calibri"/>
      </rPr>
      <t xml:space="preserve">WHERE </t>
    </r>
    <r>
      <rPr>
        <sz val="11"/>
        <color rgb="FF000000"/>
        <rFont val="Calibri"/>
      </rPr>
      <t>PARAM_GENERAL_CODE_CONVERTER.TARGET_FIELD = 'associated_contract_id'
    AND PARAM_GENERAL_CODE_CONVERTER.SOURCE_CODE = 'BKT'
    AND PARAM_GENERAL_CODE_CONVERTER.SOURCE_VALUE = CONCAT ( CR_LOG.ACCOUNT_NUMBER, '000000000000000' )
    AND PARAM_GENERAL_CODE_CONVERTER.OPTION_NUMBER = 1 
    AND CR_LOG.EVENT_TYPE_ID IS NULL OR CR_LOG.EVENT_TYPE_ID NOT IN ('700', '703', '704', '706', '708', '709', '713', '715')</t>
    </r>
  </si>
  <si>
    <t>ACCOUNT_NUMBER</t>
  </si>
  <si>
    <r>
      <rPr>
        <b/>
        <sz val="11"/>
        <color rgb="FF000000"/>
        <rFont val="Calibri"/>
      </rPr>
      <t xml:space="preserve">SELECT </t>
    </r>
    <r>
      <rPr>
        <sz val="11"/>
        <color rgb="FF000000"/>
        <rFont val="Calibri"/>
      </rPr>
      <t xml:space="preserve">CASE
    WHEN CONCAT (
    TRIM ( CR_LOG.ACCOUNT_NUMBER ),
    CR_LOG.DATALOG:IDEMPR,
    CR_LOG.UNIT_BUSINESS,
    CR_LOG.DATALOG:TERMBTO,
    LPAD ( CR_LOG.DATALOG:NUMDGO, 8, '0' )
) = '' THEN PARAM_GENERAL_CODE_CONVERTER.TARGET_VALUE
    ELSE CONCAT (
    TRIM (CR_LOG.ACCOUNT_NUMBER),
    CR_LOG.DATALOG:IDEMPR,
    CR_LOG.UNIT_BUSINESS,
    CR_LOG.DATALOG:TERMBTO,
    LPAD ( CR_LOG.DATALOG:NUMDGO, 8, '0' ) )
</t>
    </r>
    <r>
      <rPr>
        <b/>
        <sz val="11"/>
        <color rgb="FF000000"/>
        <rFont val="Calibri"/>
      </rPr>
      <t xml:space="preserve">WHERE </t>
    </r>
    <r>
      <rPr>
        <sz val="11"/>
        <color rgb="FF000000"/>
        <rFont val="Calibri"/>
      </rPr>
      <t xml:space="preserve">PARAM_GENERAL_CODE_CONVERTER.TARGET_FIELD = 'internal_reference_id'
    AND PARAM_GENERAL_CODE_CONVERTER.SOURCE_CODE = 'BKT'
    AND PARAM_GENERAL_CODE_CONVERTER.SOURCE_VALUE = ( CONCAT (
    TRIM (CR_LOG.ACCOUNT_NUMBER),
    CR_LOG.DATALOG:IDEMPR,
    CR_LOG.UNIT_BUSINESS,
    CR_LOG.DATALOG:TERMBTO,
    LPAD ( CR_LOG.DATALOG:NUMDGO, 8, '0' ) )
    AND PARAM_GENERAL_CODE_CONVERTER.OPTION_NUMBER = 1 
    AND CR_LOG.EVENT_TYPE_ID = '700'
</t>
    </r>
    <r>
      <rPr>
        <b/>
        <sz val="11"/>
        <color rgb="FF000000"/>
        <rFont val="Calibri"/>
      </rPr>
      <t xml:space="preserve">SELECT </t>
    </r>
    <r>
      <rPr>
        <sz val="11"/>
        <color rgb="FF000000"/>
        <rFont val="Calibri"/>
      </rPr>
      <t xml:space="preserve">CASE
    WHEN CONCAT (
    TRIM ( CR_LOG.ACCOUNT_NUMBER ),
    CR_LOG.COMPANY,
    CR_LOG.UNIT_BUSINESS,
    CR_LOG.DATALOG:TRX_OUTPUT:HLPA2OUTPUT:TERMBTO,
    LPAD ( CR_LOG.DATALOG:NUMDGO , 8, '0' ) )= '' THEN PARAM_GENERAL_CODE_CONVERTER.TARGET_VALUE
    ELSE CONCAT (
    TRIM ( CR_LOG.ACCOUNT_NUMBER ),
    CR_LOG.COMPANY,
    CR_LOG.UNIT_BUSINESS,
    CR_LOG.DATALOG:TRX_OUTPUT:HLPA2OUTPUT:TERMBTO,
    LPAD ( CR_LOG.DATALOG:NUMDGO , 8, '0' ) )
</t>
    </r>
    <r>
      <rPr>
        <b/>
        <sz val="11"/>
        <color rgb="FF000000"/>
        <rFont val="Calibri"/>
      </rPr>
      <t xml:space="preserve">WHERE </t>
    </r>
    <r>
      <rPr>
        <sz val="11"/>
        <color rgb="FF000000"/>
        <rFont val="Calibri"/>
      </rPr>
      <t xml:space="preserve">PARAM_GENERAL_CODE_CONVERTER.TARGET_FIELD = 'internal_reference_id'
    AND PARAM_GENERAL_CODE_CONVERTER.SOURCE_CODE = 'BKT'
    AND PARAM_GENERAL_CODE_CONVERTER.SOURCE_VALUE = CONCAT (
    TRIM ( CR_LOG.ACCOUNT_NUMBER ),
    CR_LOG.COMPANY,
    CR_LOG.UNIT_BUSINESS,
    CR_LOG.DATALOG:TRX_OUTPUT:HLPA2OUTPUT:TERMBTO,
    LPAD ( CR_LOG.DATALOG:NUMDGO ), 8, '0' )
    AND PARAM_GENERAL_CODE_CONVERTER.OPTION_NUMBER = 1
    AND CR_LOG.EVENT_TYPE_ID = '703'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'internal_reference_id'
    AND PARAM_GENERAL_CODE_CONVERTER.SOURCE_CODE = 'BKT'
    AND PARAM_GENERAL_CODE_CONVERTER.SOURCE_VALUE = ''
    AND PARAM_GENERAL_CODE_CONVERTER.OPTION_NUMBER = 1 
    AND CR_LOG.EVENT_TYPE_ID = '704'
</t>
    </r>
    <r>
      <rPr>
        <b/>
        <sz val="11"/>
        <color rgb="FF000000"/>
        <rFont val="Calibri"/>
      </rPr>
      <t xml:space="preserve">SELECT </t>
    </r>
    <r>
      <rPr>
        <sz val="11"/>
        <color rgb="FF000000"/>
        <rFont val="Calibri"/>
      </rPr>
      <t xml:space="preserve">CASE
    WHEN CONCAT (
      TRIM ( CR_LOG:ACCOUNT_NUMBER ),
      CR_LOG.COMPANY,
      CR_LOG.UNIT_BUSINESS,
      CR_LOG.DATALOG:TRX_OUTPUT:HLPM3ROOTOUTPUT:TERMBTO,
      LPAD ( CR_LOG.DATALOG:NUMDGO , 8, '0' ) = '' THEN PARAM_GENERAL_CODE_CONVERTER.TARGET_VALUE
    ELSE CONCAT (
      TRIM ( CR_LOG:ACCOUNT_NUMBER ),
      CR_LOG.COMPANY,
      CR_LOG.UNIT_BUSINESS,
      CR_LOG.DATALOG:TRX_OUTPUT:HLPM3ROOTOUTPUT:TERMBTO,
      LPAD ( CR_LOG.DATALOG:NUMDGO , 8, '0' )
</t>
    </r>
    <r>
      <rPr>
        <b/>
        <sz val="11"/>
        <color rgb="FF000000"/>
        <rFont val="Calibri"/>
      </rPr>
      <t xml:space="preserve">WHERE </t>
    </r>
    <r>
      <rPr>
        <sz val="11"/>
        <color rgb="FF000000"/>
        <rFont val="Calibri"/>
      </rPr>
      <t xml:space="preserve">PARAM_GENERAL_CODE_CONVERTER.TARGET_FIELD = 'internal_reference_id'
    AND PARAM_GENERAL_CODE_CONVERTER.SOURCE_CODE = 'BKT'
    AND PARAM_GENERAL_CODE_CONVERTER.SOURCE_VALUE = CONCAT (
      TRIM ( CR_LOG.ACCOUNT_NUMBER ),
      CR_LOG.COMPANY,
      CR_LOG.UNIT_BUSINESS,
      CR_LOG.DATALOG:TRX_OUTPUT:HLPM3ROOTOUTPUT:TERMBTO,
      LPAD ( CR_LOG.DATALOG:NUMDGO ), 8, '0' )
    AND PARAM_GENERAL_CODE_CONVERTER.OPTION_NUMBER = 1
    AND CR_LOG.EVENT_TYPE_ID = '706'
</t>
    </r>
    <r>
      <rPr>
        <b/>
        <sz val="11"/>
        <color rgb="FF000000"/>
        <rFont val="Calibri"/>
      </rPr>
      <t xml:space="preserve">SELECT </t>
    </r>
    <r>
      <rPr>
        <sz val="11"/>
        <color rgb="FF000000"/>
        <rFont val="Calibri"/>
      </rPr>
      <t xml:space="preserve">CASE
    WHEN CONCAT (
    TRIM ( CR_LOG.ACCOUNT_NUMBER ),
    CR_LOG.COMPANY,
    CR_LOG.UNIT_BUSINESS,
    CR_LOG.DATALOG:TRX_OUTPUT:HLIM3ROOTOUTPUT:TERMBTO,
    LPAD ( CR_LOG.DATALOG:NUMDGO , 8, '0' ) = '' THEN PARAM_GENERAL_CODE_CONVERTER.TARGET_VALUE
    ELSE CONCAT (
    TRIM ( CR_LOG.ACCOUNT_NUMBER ),
    CR_LOG.COMPANY,
    CR_LOG.UNIT_BUSINESS,
    CR_LOG.DATALOG:TRX_OUTPUT:HLIM3ROOTOUTPUT:TERMBTO,
    LPAD ( CR_LOG.DATALOG:NUMDGO , 8, '0' )
</t>
    </r>
    <r>
      <rPr>
        <b/>
        <sz val="11"/>
        <color rgb="FF000000"/>
        <rFont val="Calibri"/>
      </rPr>
      <t xml:space="preserve">WHERE </t>
    </r>
    <r>
      <rPr>
        <sz val="11"/>
        <color rgb="FF000000"/>
        <rFont val="Calibri"/>
      </rPr>
      <t xml:space="preserve">PARAM_GENERAL_CODE_CONVERTER.TARGET_FIELD = 'internal_reference_id'
    AND PARAM_GENERAL_CODE_CONVERTER.SOURCE_CODE = 'BKT'
    AND PARAM_GENERAL_CODE_CONVERTER.SOURCE_VALUE = CONCAT (
    TRIM ( CR_LOG.ACCOUNT_NUMBER ),
    CR_LOG.COMPANY,
    CR_LOG.UNIT_BUSINESS,
    CR_LOG.DATALOG:TRX_OUTPUT:HLIM3ROOTOUTPUT:TERMBTO,
    LPAD ( CR_LOG.DATALOG:NUMDGO ), 8, '0' )
    AND PARAM_GENERAL_CODE_CONVERTER.OPTION_NUMBER = 1
    AND CR_LOG.EVENT_TYPE_ID = '708'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CASE
    WHEN CONCAT (
    CR_LOG.ACCOUNT_NUMBER,
    SUBSTRING ( CR_LOG.TRANSACTION_ID, 1, 8 ),
    SUBSTRING ( CR_LOG.TRANSACTION_ID, 9, 4 ),
    LPAD ( SUBSTRING ( CR_LOG.TRANSACTION_ID, 13, 6 ), 8, '0' ) ) = '' THEN PARAM_GENERAL_CODE_CONVERTER.TARGET_VALUE
    ELSE CONCAT (
    CR_LOG.ACCOUNT_NUMBER,
    SUBSTRING ( CR_LOG.TRANSACTION_ID, 1, 8 ),
    SUBSTRING ( CR_LOG.TRANSACTION_ID, 9, 4 ),
    LPAD ( SUBSTRING ( CR_LOG.TRANSACTION_ID, 13, 6 ), 8, '0' ) )
</t>
    </r>
    <r>
      <rPr>
        <b/>
        <sz val="11"/>
        <color rgb="FF000000"/>
        <rFont val="Calibri"/>
      </rPr>
      <t xml:space="preserve">WHERE </t>
    </r>
    <r>
      <rPr>
        <sz val="11"/>
        <color rgb="FF000000"/>
        <rFont val="Calibri"/>
      </rPr>
      <t xml:space="preserve">PARAM_GENERAL_CODE_CONVERTER.TARGET_FIELD = 'internal_reference_id'
    AND PARAM_GENERAL_CODE_CONVERTER.SOURCE_CODE = 'BKT'
    AND PARAM_GENERAL_CODE_CONVERTER.SOURCE_VALUE = CONCAT (
    CR_LOG.ACCOUNT_NUMBER,
    SUBSTRING ( CR_LOG.TRANSACTION_ID, 1, 8 ),
    SUBSTRING ( CR_LOG.TRANSACTION_ID, 9, 4 ),
    LPAD ( SUBSTRING ( CR_LOG.TRANSACTION_ID, 13, 6 ), 8, '0' ) )
    AND PARAM_GENERAL_CODE_CONVERTER.OPTION_NUMBER = 1
    AND CR_LOG.EVENT_TYPE_ID IN ('713', '715')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CR_LOG.EVENT_TYPE_ID IS NULL OR CR_LOG.EVENT_TYPE_ID NOT IN ('700', '703', '704', '706', '708', '709', '713', '715')</t>
    </r>
  </si>
  <si>
    <t>CONCAT ( ACCOUNT_NUMBER, IDEMPR, UNIT_BUSINESS, TERMBTO, NUMDGO ) 
CONCAT ( ACCOUNT_NUMBER, COMPANY, UNIT_BUSINESS, TERMBTO, NUMDGO ) 
N\A 
CONCAT ( ACCOUNT_NUMBER, COMPANY, UNIT_BUSINESS, TERMBTO, NUMDGO ) 
CONCAT ( ACCOUNT_NUMBER, COMPANY, UNIT_BUSINESS, TERMBTO, NUMDGO ) 
N\A 
CONCAT ( ACCOUNT_NUMBER, TRANSACTION_ID )
N\A</t>
  </si>
  <si>
    <t>N\A
N\A
"#N/A"
N\A
N\A
NULL
N\A
NULL</t>
  </si>
  <si>
    <t>Party ID</t>
  </si>
  <si>
    <t>party_id</t>
  </si>
  <si>
    <t>Unique identifier of the party. When the transaction is performed by a non client, this field takes "#N/A".</t>
  </si>
  <si>
    <t>Identificador único do cliente. Quando a transação é realizada por um não cliente o campo toma o valor "#N/A".</t>
  </si>
  <si>
    <r>
      <rPr>
        <b/>
        <sz val="11"/>
        <color rgb="FF000000"/>
        <rFont val="Calibri"/>
      </rPr>
      <t xml:space="preserve">SELECT </t>
    </r>
    <r>
      <rPr>
        <sz val="11"/>
        <color rgb="FF000000"/>
        <rFont val="Calibri"/>
      </rPr>
      <t xml:space="preserve">CASE
    WHEN ( CASE 
    WHEN TRIM ( CR_LOG.CLIENT_ID ) = '' THEN CAST ( NULL AS STRING )
    WHEN LEN ( CR_LOG.CLIENT_ID ) &lt;= 10 THEN LPAD ( CR_LOG.CLIENT_ID, 10, '0' )
    ELSE ''
END ) = '' THEN PARAM_GENERAL_CODE_CONVERTER.TARGET_VALUE
    ELSE ( CASE 
    WHEN TRIM ( CR_LOG.CLIENT_ID ) = '' THEN CAST ( NULL AS STRING )
    WHEN LEN ( CR_LOG.CLIENT_ID ) &lt;= 10 THEN LPAD ( CR_LOG.CLIENT_ID, 10, '0' )
    ELSE ''
END )
</t>
    </r>
    <r>
      <rPr>
        <b/>
        <sz val="11"/>
        <color rgb="FF000000"/>
        <rFont val="Calibri"/>
      </rPr>
      <t xml:space="preserve">WHERE </t>
    </r>
    <r>
      <rPr>
        <sz val="11"/>
        <color rgb="FF000000"/>
        <rFont val="Calibri"/>
      </rPr>
      <t xml:space="preserve">PARAM_GENERAL_CODE_CONVERTER.TARGET_FIELD = 'party_id'
    AND PARAM_GENERAL_CODE_CONVERTER.SOURCE_CODE = 'BKT'
    AND PARAM_GENERAL_CODE_CONVERTER.SOURCE_VALUE = ( CASE 
    WHEN TRIM ( CR_LOG.CLIENT_ID ) = '' THEN CAST ( NULL AS STRING )
    WHEN LEN ( CR_LOG.CLIENT_ID ) &lt;= 10 THEN LPAD ( client_id, 10, '0' )
    ELSE ''
END )
    AND PARAM_GENERAL_CODE_CONVERTER.OPTION_NUMBER = 1
    AND CR_LOG.EVENT_TYPE_ID = '700'
</t>
    </r>
    <r>
      <rPr>
        <b/>
        <sz val="11"/>
        <color rgb="FF000000"/>
        <rFont val="Calibri"/>
      </rPr>
      <t xml:space="preserve">SELECT </t>
    </r>
    <r>
      <rPr>
        <sz val="11"/>
        <color rgb="FF000000"/>
        <rFont val="Calibri"/>
      </rPr>
      <t xml:space="preserve">CASE
    WHEN ( CASE 
    WHEN TRIM ( CR_LOG.CLIENT_ID ) = '' THEN CAST ( NULL AS STRING )
    WHEN LEN ( CR_LOG.CLIENT_ID ) &lt;= 10 THEN LPAD ( CR_LOG.CLIENT_ID, 10, '0' )
    ELSE ''
END ) = '' THEN PARAM_GENERAL_CODE_CONVERTER.TARGET_VALUE
    ELSE ( CASE 
    WHEN TRIM ( CR_LOG.CLIENT_ID ) = '' THEN CAST ( NULL AS STRING )
    WHEN LEN ( CR_LOG.CLIENT_ID ) &lt;= 10 THEN LPAD ( CR_LOG.CLIENT_ID, 10, '0' )
    ELSE ''
END )
</t>
    </r>
    <r>
      <rPr>
        <b/>
        <sz val="11"/>
        <color rgb="FF000000"/>
        <rFont val="Calibri"/>
      </rPr>
      <t xml:space="preserve">WHERE </t>
    </r>
    <r>
      <rPr>
        <sz val="11"/>
        <color rgb="FF000000"/>
        <rFont val="Calibri"/>
      </rPr>
      <t xml:space="preserve">PARAM_GENERAL_CODE_CONVERTER.TARGET_FIELD = 'party_id'
    AND PARAM_GENERAL_CODE_CONVERTER.SOURCE_CODE = 'BKT'
    AND PARAM_GENERAL_CODE_CONVERTER.SOURCE_VALUE = ( CASE 
    WHEN TRIM ( CR_LOG.CLIENT_ID ) = '' THEN CAST ( NULL AS STRING )
    WHEN LEN ( CR_LOG.CLIENT_ID ) &lt;= 10 THEN LPAD ( client_id, 10, '0' )
    ELSE ''
END )
    AND PARAM_GENERAL_CODE_CONVERTER.OPTION_NUMBER = 1
    AND CR_LOG.EVENT_TYPE_ID = '703'
</t>
    </r>
    <r>
      <rPr>
        <b/>
        <sz val="11"/>
        <color rgb="FF000000"/>
        <rFont val="Calibri"/>
      </rPr>
      <t xml:space="preserve">SELECT </t>
    </r>
    <r>
      <rPr>
        <sz val="11"/>
        <color rgb="FF000000"/>
        <rFont val="Calibri"/>
      </rPr>
      <t xml:space="preserve">CASE
   WHEN (CASE
    WHEN TRIM ( CR_LOG.BENEFICIARY_SINTRA_CODE ) = '' THEN CAST ( NULL AS STRING )
    WHEN LEN ( CR_LOG.BENEFICIARY_SINTRA_CODE ) &lt;= 10 THEN LPAD ( CR_LOG.BENEFICIARY_SINTRA_CODE, 10, '0' )
    ELSE ''
END ) = '' THEN PARAM_GENERAL_CODE_CONVERTER.TARGET_VALUE
    ELSE ( CASE
    WHEN TRIM ( CR_LOG.BENEFICIARY_SINTRA_CODE ) = '' THEN CAST ( NULL AS STRING )
    WHEN LEN ( CR_LOG.BENEFICIARY_SINTRA_CODE ) &lt;= 10 THEN LPAD ( CR_LOG.BENEFICIARY_SINTRA_CODE, 10, '0' )
    ELSE ''
END )
</t>
    </r>
    <r>
      <rPr>
        <b/>
        <sz val="11"/>
        <color rgb="FF000000"/>
        <rFont val="Calibri"/>
      </rPr>
      <t xml:space="preserve">WHERE </t>
    </r>
    <r>
      <rPr>
        <sz val="11"/>
        <color rgb="FF000000"/>
        <rFont val="Calibri"/>
      </rPr>
      <t xml:space="preserve">PARAM_GENERAL_CODE_CONVERTER.TARGET_FIELD = 'party_id'
    AND PARAM_GENERAL_CODE_CONVERTER.SOURCE_CODE = 'BKT'
    AND PARAM_GENERAL_CODE_CONVERTER.SOURCE_VALUE = ( CASE
    WHEN TRIM ( CR_LOG.BENEFICIARY_SINTRA_CODE ) = '' THEN CAST ( NULL AS STRING )
    WHEN LEN ( CR_LOG.BENEFICIARY_SINTRA_CODE ) &lt;= 10 THEN LPAD ( CR_LOG.BENEFICIARY_SINTRA_CODE, 10, '0' )
    ELSE ''
END )
    AND PARAM_GENERAL_CODE_CONVERTER.OPTION_NUMBER = 1
    AND CR_LOG.EVENT_TYPE_ID = '704'
</t>
    </r>
    <r>
      <rPr>
        <b/>
        <sz val="11"/>
        <color rgb="FF000000"/>
        <rFont val="Calibri"/>
      </rPr>
      <t xml:space="preserve">SELECT </t>
    </r>
    <r>
      <rPr>
        <sz val="11"/>
        <color rgb="FF000000"/>
        <rFont val="Calibri"/>
      </rPr>
      <t xml:space="preserve">CASE
    WHEN ( CASE 
    WHEN TRIM ( CR_LOG.CLIENT_ID ) = '' THEN CAST ( NULL AS STRING )
    WHEN LEN ( CR_LOG.CLIENT_ID ) &lt;= 10 THEN LPAD ( CR_LOG.CLIENT_ID, 10, '0' )
    ELSE ''
END ) = '' THEN PARAM_GENERAL_CODE_CONVERTER.TARGET_VALUE
    ELSE ( CASE 
    WHEN TRIM ( CR_LOG.CLIENT_ID ) = '' THEN CAST ( NULL AS STRING )
    WHEN LEN ( CR_LOG.CLIENT_ID ) &lt;= 10 THEN LPAD ( CR_LOG.CLIENT_ID, 10, '0' )
    ELSE ''
END )
</t>
    </r>
    <r>
      <rPr>
        <b/>
        <sz val="11"/>
        <color rgb="FF000000"/>
        <rFont val="Calibri"/>
      </rPr>
      <t xml:space="preserve">WHERE </t>
    </r>
    <r>
      <rPr>
        <sz val="11"/>
        <color rgb="FF000000"/>
        <rFont val="Calibri"/>
      </rPr>
      <t xml:space="preserve">PARAM_GENERAL_CODE_CONVERTER.TARGET_FIELD = 'party_id'
    AND PARAM_GENERAL_CODE_CONVERTER.SOURCE_CODE = 'BKT'
    AND PARAM_GENERAL_CODE_CONVERTER.SOURCE_VALUE = ( CASE 
    WHEN TRIM ( CR_LOG.CLIENT_ID ) = '' THEN CAST ( NULL AS STRING )
    WHEN LEN ( CR_LOG.CLIENT_ID ) &lt;= 10 THEN LPAD ( client_id, 10, '0' )
    ELSE ''
END )
    AND PARAM_GENERAL_CODE_CONVERTER.OPTION_NUMBER = 1
    AND CR_LOG.EVENT_TYPE_ID = '706'
</t>
    </r>
    <r>
      <rPr>
        <b/>
        <sz val="11"/>
        <color rgb="FF000000"/>
        <rFont val="Calibri"/>
      </rPr>
      <t xml:space="preserve">SELECT </t>
    </r>
    <r>
      <rPr>
        <sz val="11"/>
        <color rgb="FF000000"/>
        <rFont val="Calibri"/>
      </rPr>
      <t xml:space="preserve">CASE
    WHEN ( CASE 
    WHEN TRIM ( CR_LOG.CLIENT_ID ) = '' THEN CAST ( NULL AS STRING )
    WHEN LEN ( CR_LOG.CLIENT_ID ) &lt;= 10 THEN LPAD ( CR_LOG.CLIENT_ID, 10, '0' )
    ELSE ''
END ) = '' THEN PARAM_GENERAL_CODE_CONVERTER.TARGET_VALUE
    ELSE ( CASE 
    WHEN TRIM ( CR_LOG.CLIENT_ID ) = '' THEN CAST ( NULL AS STRING )
    WHEN LEN ( CR_LOG.CLIENT_ID ) &lt;= 10 THEN LPAD ( CR_LOG.CLIENT_ID, 10, '0' )
    ELSE ''
END )
</t>
    </r>
    <r>
      <rPr>
        <b/>
        <sz val="11"/>
        <color rgb="FF000000"/>
        <rFont val="Calibri"/>
      </rPr>
      <t xml:space="preserve">WHERE </t>
    </r>
    <r>
      <rPr>
        <sz val="11"/>
        <color rgb="FF000000"/>
        <rFont val="Calibri"/>
      </rPr>
      <t xml:space="preserve">PARAM_GENERAL_CODE_CONVERTER.TARGET_FIELD = 'party_id'
    AND PARAM_GENERAL_CODE_CONVERTER.SOURCE_CODE = 'BKT'
    AND PARAM_GENERAL_CODE_CONVERTER.SOURCE_VALUE = ( CASE 
    WHEN TRIM ( CR_LOG.CLIENT_ID ) = '' THEN CAST ( NULL AS STRING )
    WHEN LEN ( CR_LOG.CLIENT_ID ) &lt;= 10 THEN LPAD ( client_id, 10, '0' )
    ELSE ''
END )
    AND PARAM_GENERAL_CODE_CONVERTER.OPTION_NUMBER = 1
    AND CR_LOG.EVENT_TYPE_ID = '708'
</t>
    </r>
    <r>
      <rPr>
        <b/>
        <sz val="11"/>
        <color rgb="FF000000"/>
        <rFont val="Calibri"/>
      </rPr>
      <t xml:space="preserve">SELECT </t>
    </r>
    <r>
      <rPr>
        <sz val="11"/>
        <color rgb="FF000000"/>
        <rFont val="Calibri"/>
      </rPr>
      <t xml:space="preserve">CASE
    WHEN ( CASE 
    WHEN TRIM ( CR_LOG.CLIENT_ID ) = '' THEN CAST ( NULL AS STRING )
    WHEN LEN ( CR_LOG.CLIENT_ID ) &lt;= 10 THEN LPAD ( CR_LOG.CLIENT_ID, 10, '0' )
    ELSE ''
END ) = '' THEN PARAM_GENERAL_CODE_CONVERTER.TARGET_VALUE
    ELSE ( CASE 
    WHEN TRIM ( CR_LOG.CLIENT_ID ) = '' THEN CAST ( NULL AS STRING )
    WHEN LEN ( CR_LOG.CLIENT_ID ) &lt;= 10 THEN LPAD ( CR_LOG.CLIENT_ID, 10, '0' )
    ELSE ''
END )
</t>
    </r>
    <r>
      <rPr>
        <b/>
        <sz val="11"/>
        <color rgb="FF000000"/>
        <rFont val="Calibri"/>
      </rPr>
      <t xml:space="preserve">WHERE </t>
    </r>
    <r>
      <rPr>
        <sz val="11"/>
        <color rgb="FF000000"/>
        <rFont val="Calibri"/>
      </rPr>
      <t xml:space="preserve">PARAM_GENERAL_CODE_CONVERTER.TARGET_FIELD = 'party_id'
    AND PARAM_GENERAL_CODE_CONVERTER.SOURCE_CODE = 'BKT'
    AND PARAM_GENERAL_CODE_CONVERTER.SOURCE_VALUE = ( CASE 
    WHEN TRIM ( CR_LOG.CLIENT_ID ) = '' THEN CAST ( NULL AS STRING )
    WHEN LEN ( CR_LOG.CLIENT_ID ) &lt;= 10 THEN LPAD ( client_id, 10, '0' )
    ELSE ''
END )
    AND PARAM_GENERAL_CODE_CONVERTER.OPTION_NUMBER = 1
    AND CR_LOG.EVENT_TYPE_ID = '709'
</t>
    </r>
    <r>
      <rPr>
        <b/>
        <sz val="11"/>
        <color rgb="FF000000"/>
        <rFont val="Calibri"/>
      </rPr>
      <t xml:space="preserve">SELECT </t>
    </r>
    <r>
      <rPr>
        <sz val="11"/>
        <color rgb="FF000000"/>
        <rFont val="Calibri"/>
      </rPr>
      <t xml:space="preserve">CASE
    WHEN ( CASE 
    WHEN TRIM ( CR_LOG.CLIENT_ID ) = '' THEN CAST ( NULL AS STRING )
    WHEN LEN ( CR_LOG.CLIENT_ID ) &lt;= 10 THEN LPAD ( CR_LOG.CLIENT_ID, 10, '0' )
    ELSE ''
END ) = '' THEN PARAM_GENERAL_CODE_CONVERTER.TARGET_VALUE
    ELSE ( CASE 
    WHEN TRIM ( CR_LOG.CLIENT_ID ) = '' THEN CAST ( NULL AS STRING )
    WHEN LEN ( CR_LOG.CLIENT_ID ) &lt;= 10 THEN LPAD ( CR_LOG.CLIENT_ID, 10, '0' )
    ELSE ''
END )
</t>
    </r>
    <r>
      <rPr>
        <b/>
        <sz val="11"/>
        <color rgb="FF000000"/>
        <rFont val="Calibri"/>
      </rPr>
      <t xml:space="preserve">WHERE </t>
    </r>
    <r>
      <rPr>
        <sz val="11"/>
        <color rgb="FF000000"/>
        <rFont val="Calibri"/>
      </rPr>
      <t xml:space="preserve">PARAM_GENERAL_CODE_CONVERTER.TARGET_FIELD = 'party_id'
    AND PARAM_GENERAL_CODE_CONVERTER.SOURCE_CODE = 'BKT'
    AND PARAM_GENERAL_CODE_CONVERTER.SOURCE_VALUE = ( CASE 
    WHEN TRIM ( CR_LOG.CLIENT_ID ) = '' THEN CAST ( NULL AS STRING )
    WHEN LEN ( CR_LOG.CLIENT_ID ) &lt;= 10 THEN LPAD ( client_id, 10, '0' )
    ELSE ''
END )
    AND PARAM_GENERAL_CODE_CONVERTER.OPTION_NUMBER = 1
    AND CR_LOG.EVENT_TYPE_ID IN ('713', '715')
</t>
    </r>
    <r>
      <rPr>
        <b/>
        <sz val="11"/>
        <color rgb="FF000000"/>
        <rFont val="Calibri"/>
      </rPr>
      <t xml:space="preserve">SELECT </t>
    </r>
    <r>
      <rPr>
        <sz val="11"/>
        <color rgb="FF000000"/>
        <rFont val="Calibri"/>
      </rPr>
      <t xml:space="preserve">CASE
    WHEN ( CASE 
    WHEN TRIM ( CR_LOG.CLIENT_ID ) = '' THEN CAST ( NULL AS STRING )
    WHEN LEN ( CR_LOG.CLIENT_ID ) &lt;= 10 THEN LPAD ( CR_LOG.CLIENT_ID, 10, '0' )
    ELSE ''
END ) = '' THEN PARAM_GENERAL_CODE_CONVERTER.TARGET_VALUE
    ELSE ( CASE 
    WHEN TRIM ( CR_LOG.CLIENT_ID ) = '' THEN CAST ( NULL AS STRING )
    WHEN LEN ( CR_LOG.CLIENT_ID ) &lt;= 10 THEN LPAD ( CR_LOG.CLIENT_ID, 10, '0' )
    ELSE ''
END )
</t>
    </r>
    <r>
      <rPr>
        <b/>
        <sz val="11"/>
        <color rgb="FF000000"/>
        <rFont val="Calibri"/>
      </rPr>
      <t xml:space="preserve">WHERE </t>
    </r>
    <r>
      <rPr>
        <sz val="11"/>
        <color rgb="FF000000"/>
        <rFont val="Calibri"/>
      </rPr>
      <t>PARAM_GENERAL_CODE_CONVERTER.TARGET_FIELD = 'party_id'
    AND PARAM_GENERAL_CODE_CONVERTER.SOURCE_CODE = 'BKT'
    AND PARAM_GENERAL_CODE_CONVERTER.SOURCE_VALUE = ( CASE 
    WHEN TRIM ( CR_LOG.CLIENT_ID ) = '' THEN CAST ( NULL AS STRING )
    WHEN LEN ( CR_LOG.CLIENT_ID ) &lt;= 10 THEN LPAD ( client_id, 10, '0' )
    ELSE ''
END )
    AND PARAM_GENERAL_CODE_CONVERTER.OPTION_NUMBER = 1
    AND CR_LOG.EVENT_TYPE_ID IS NULL OR CR_LOG.EVENT_TYPE_ID NOT IN ('700', '703', '704', '706', '708', '709', '713', '715')</t>
    </r>
  </si>
  <si>
    <t>CLIENT_ID | BENEFICIARY_SINTRA_CODE</t>
  </si>
  <si>
    <t>Full Name</t>
  </si>
  <si>
    <t>full_name</t>
  </si>
  <si>
    <t>Full name of the individual or entity that performs the transaction. This field may contain incorrect information or not be consistent with the Parties information, as it is consumed directly from the BankTeller source application.</t>
  </si>
  <si>
    <t>Nome completo da pessoa ou entidade que realiza a transação. Este campo pode conter informações incorretas ou não estar consistente com a informação presente em Parties, pois é consumido diretamente da aplicação fonte BankTeller.</t>
  </si>
  <si>
    <t xml:space="preserve">CLIENT_NAME, BENEFICIARY_NAME </t>
  </si>
  <si>
    <r>
      <rPr>
        <b/>
        <sz val="11"/>
        <color rgb="FF000000"/>
        <rFont val="Calibri"/>
      </rPr>
      <t xml:space="preserve">SELECT </t>
    </r>
    <r>
      <rPr>
        <sz val="11"/>
        <color rgb="FF000000"/>
        <rFont val="Calibri"/>
      </rPr>
      <t xml:space="preserve">IF ( TRIM ( CR_LOG.CLIENT_NAME ) = '', NULL, UPPER ( TRIM ( CR_LOG.CLIENT_NAME )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CR_LOG.CLIENT_NAME ) = '', NULL, UPPER ( TRIM ( CR_LOG.CLIENT_NAME )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IF( TRIM ( CR_LOG.BENEFICIARY_NAME ) = '', NULL, UPPER ( TRIM ( CR_LOG.BENEFICIARY_NAME ) ) )
</t>
    </r>
    <r>
      <rPr>
        <b/>
        <sz val="11"/>
        <color rgb="FF000000"/>
        <rFont val="Calibri"/>
      </rPr>
      <t xml:space="preserve">WHERE </t>
    </r>
    <r>
      <rPr>
        <sz val="11"/>
        <color rgb="FF000000"/>
        <rFont val="Calibri"/>
      </rPr>
      <t xml:space="preserve">CR_LOG.EVENT_TYPE_ID = '704'
</t>
    </r>
    <r>
      <rPr>
        <b/>
        <sz val="11"/>
        <color rgb="FF000000"/>
        <rFont val="Calibri"/>
      </rPr>
      <t>SELECT</t>
    </r>
    <r>
      <rPr>
        <sz val="11"/>
        <color rgb="FF000000"/>
        <rFont val="Calibri"/>
      </rPr>
      <t xml:space="preserve"> IF ( TRIM ( CR_LOG.CLIENT_NAME ) = '', NULL, UPPER ( TRIM ( CR_LOG.CLIENT_NAME )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CR_LOG.CLIENT_NAME ) = '', NULL, UPPER ( TRIM ( CR_LOG.CLIENT_NAME )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CR_LOG.CLIENT_NAME ) = '', NULL, UPPER ( TRIM ( CR_LOG.CLIENT_NAME ) ) )
</t>
    </r>
    <r>
      <rPr>
        <b/>
        <sz val="11"/>
        <color rgb="FF000000"/>
        <rFont val="Calibri"/>
      </rPr>
      <t xml:space="preserve">WHERE </t>
    </r>
    <r>
      <rPr>
        <sz val="11"/>
        <color rgb="FF000000"/>
        <rFont val="Calibri"/>
      </rPr>
      <t xml:space="preserve">CR_LOG.EVENT_TYPE_ID = '709'
SELECT IF ( TRIM ( CR_LOG.CLIENT_NAME ) = '', NULL, UPPER ( TRIM ( CR_LOG.CLIENT_NAME ) ) )
WHERE CR_LOG.EVENT_TYPE_ID IN ('713', '715')
</t>
    </r>
    <r>
      <rPr>
        <b/>
        <sz val="11"/>
        <color rgb="FF000000"/>
        <rFont val="Calibri"/>
      </rPr>
      <t xml:space="preserve">SELECT </t>
    </r>
    <r>
      <rPr>
        <sz val="11"/>
        <color rgb="FF000000"/>
        <rFont val="Calibri"/>
      </rPr>
      <t xml:space="preserve">IF ( TRIM ( CR_LOG.CLIENT_NAME ) = '', NULL, UPPER ( TRIM ( CR_LOG.CLIENT_NAME ) ) )
</t>
    </r>
    <r>
      <rPr>
        <b/>
        <sz val="11"/>
        <color rgb="FF000000"/>
        <rFont val="Calibri"/>
      </rPr>
      <t xml:space="preserve">WHERE </t>
    </r>
    <r>
      <rPr>
        <sz val="11"/>
        <color rgb="FF000000"/>
        <rFont val="Calibri"/>
      </rPr>
      <t>CR_LOG.EVENT_TYPE_ID IS NULL OR CR_LOG.EVENT_TYPE_ID NOT IN ('700', '703', '704', '706', '708', '709', '713', '715')</t>
    </r>
  </si>
  <si>
    <t xml:space="preserve">CLIENT_NAME | BENEFICIARY_NAME </t>
  </si>
  <si>
    <t>Document Type Code</t>
  </si>
  <si>
    <t>document_type_code</t>
  </si>
  <si>
    <t>Code for type of the identification document provided or used for authentication. This field may contain incorrect information or not be consistent with the Parties information, as it is consumed directly from the BankTeller source application.</t>
  </si>
  <si>
    <t>Código do tipo de documento de identificação fornecido ou utilizado para autenticação. Este campo pode conter informações incorretas ou não estar consistente com a informação presente em Parties, pois é consumido diretamente da aplicação fonte BankTeller.</t>
  </si>
  <si>
    <t>Identification Document Type:
TAT91_TABELAS - CTABELA 151;
CURATED_INTERNAL_MAINFRAME_ESTRUTURAIS.TAT91_TABELAS - TAYD91C0_CTABELA 151; COMMON_REFERENCEDATA_CORE.REFERENCE_DATA_TABLE - DATA_TABLE_CODE 000151;</t>
  </si>
  <si>
    <t>DOCUMENT_CODE</t>
  </si>
  <si>
    <r>
      <rPr>
        <b/>
        <sz val="11"/>
        <color rgb="FF000000"/>
        <rFont val="Calibri"/>
        <family val="2"/>
      </rPr>
      <t xml:space="preserve">SELECT </t>
    </r>
    <r>
      <rPr>
        <sz val="11"/>
        <color rgb="FF000000"/>
        <rFont val="Calibri"/>
        <family val="2"/>
      </rPr>
      <t xml:space="preserve">IF ( TRIM ( CR_LOG.DOCUMENT_CODE) = '', NULL, TRIM ( CR_LOG.DOCUMENT_CODE ) )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IF ( TRIM ( CR_LOG.DOCUMENT_CODE) = '', NULL, TRIM ( CR_LOG.DOCUMENT_CODE ) )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IF ( TRIM ( CR_LOG.DOCUMENT_CODE) = '', NULL, TRIM ( CR_LOG.DOCUMENT_CODE ) )
</t>
    </r>
    <r>
      <rPr>
        <b/>
        <sz val="11"/>
        <color rgb="FF000000"/>
        <rFont val="Calibri"/>
        <family val="2"/>
      </rPr>
      <t xml:space="preserve">WHERE </t>
    </r>
    <r>
      <rPr>
        <sz val="11"/>
        <color rgb="FF000000"/>
        <rFont val="Calibri"/>
        <family val="2"/>
      </rPr>
      <t xml:space="preserve">CR_LOG.EVENT_TYPE_ID = '704'
</t>
    </r>
    <r>
      <rPr>
        <b/>
        <sz val="11"/>
        <color rgb="FF000000"/>
        <rFont val="Calibri"/>
        <family val="2"/>
      </rPr>
      <t>SELECT</t>
    </r>
    <r>
      <rPr>
        <sz val="11"/>
        <color rgb="FF000000"/>
        <rFont val="Calibri"/>
        <family val="2"/>
      </rPr>
      <t xml:space="preserve"> IF ( TRIM ( CR_LOG.DOCUMENT_CODE) = '', NULL, TRIM ( CR_LOG.DOCUMENT_CODE ) )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IF ( TRIM ( CR_LOG.DOCUMENT_CODE) = '', NULL, TRIM ( CR_LOG.DOCUMENT_CODE ) )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IF ( TRIM ( CR_LOG.DOCUMENT_CODE) = '', NULL, TRIM ( CR_LOG.DOCUMENT_CODE ) )
</t>
    </r>
    <r>
      <rPr>
        <b/>
        <sz val="11"/>
        <color rgb="FF000000"/>
        <rFont val="Calibri"/>
        <family val="2"/>
      </rPr>
      <t xml:space="preserve">WHERE </t>
    </r>
    <r>
      <rPr>
        <sz val="11"/>
        <color rgb="FF000000"/>
        <rFont val="Calibri"/>
        <family val="2"/>
      </rPr>
      <t xml:space="preserve">CR_LOG.EVENT_TYPE_ID = '709'
</t>
    </r>
    <r>
      <rPr>
        <b/>
        <sz val="11"/>
        <color rgb="FF000000"/>
        <rFont val="Calibri"/>
        <family val="2"/>
      </rPr>
      <t xml:space="preserve">SELECT </t>
    </r>
    <r>
      <rPr>
        <sz val="11"/>
        <color rgb="FF000000"/>
        <rFont val="Calibri"/>
        <family val="2"/>
      </rPr>
      <t xml:space="preserve">IF ( TRIM ( CR_LOG.DOCUMENT_CODE) = '', NULL, TRIM ( CR_LOG.DOCUMENT_CODE ) )
</t>
    </r>
    <r>
      <rPr>
        <b/>
        <sz val="11"/>
        <color rgb="FF000000"/>
        <rFont val="Calibri"/>
        <family val="2"/>
      </rPr>
      <t xml:space="preserve">WHERE </t>
    </r>
    <r>
      <rPr>
        <sz val="11"/>
        <color rgb="FF000000"/>
        <rFont val="Calibri"/>
        <family val="2"/>
      </rPr>
      <t xml:space="preserve">CR_LOG.EVENT_TYPE_ID IN ('713', '715')
</t>
    </r>
    <r>
      <rPr>
        <b/>
        <sz val="11"/>
        <color rgb="FF000000"/>
        <rFont val="Calibri"/>
        <family val="2"/>
      </rPr>
      <t xml:space="preserve">SELECT </t>
    </r>
    <r>
      <rPr>
        <sz val="11"/>
        <color rgb="FF000000"/>
        <rFont val="Calibri"/>
        <family val="2"/>
      </rPr>
      <t xml:space="preserve">IF ( TRIM ( CR_LOG.DOCUMENT_CODE) = '', NULL, TRIM ( CR_LOG.DOCUMENT_CODE ) )
</t>
    </r>
    <r>
      <rPr>
        <b/>
        <sz val="11"/>
        <color rgb="FF000000"/>
        <rFont val="Calibri"/>
        <family val="2"/>
      </rPr>
      <t xml:space="preserve">WHERE </t>
    </r>
    <r>
      <rPr>
        <sz val="11"/>
        <color rgb="FF000000"/>
        <rFont val="Calibri"/>
        <family val="2"/>
      </rPr>
      <t>CR_LOG.EVENT_TYPE_ID IS NULL OR CR_LOG.EVENT_TYPE_ID NOT IN ('700', '703', '704', '706', '708', '709', '713', '715')</t>
    </r>
  </si>
  <si>
    <t>Document Country Code</t>
  </si>
  <si>
    <t>document_country_code</t>
  </si>
  <si>
    <t>Identifies the country that issued the identification document provided or used for authentication. This field may contain incorrect information or not be consistent with the Parties information, as it is consumed directly from the BankTeller source application.</t>
  </si>
  <si>
    <t>Identifica o país que emitiu o documento de identificação fornecido ou utilizado para autenticação. Este campo pode conter informações incorretas ou não estar consistente com a informação presente em Parties, pois é consumido diretamente da aplicação fonte BankTeller.</t>
  </si>
  <si>
    <t>Country:
TAT91_TABELAS - CTABELA 015;
CURATED_INTERNAL_MAINFRAME_ESTRUTURAIS.TAT91_TABELAS - TAYD91C0_CTABELA 015;
COMMON_REFERENCEDATA_CORE.REFERENCE_DATA_TABLE - DATA_TABLE_CODE 000015;</t>
  </si>
  <si>
    <t>DOCUMENT_COUNTRY</t>
  </si>
  <si>
    <r>
      <rPr>
        <b/>
        <sz val="11"/>
        <color rgb="FF000000"/>
        <rFont val="Calibri"/>
        <family val="2"/>
      </rPr>
      <t xml:space="preserve">SELECT </t>
    </r>
    <r>
      <rPr>
        <sz val="11"/>
        <color rgb="FF000000"/>
        <rFont val="Calibri"/>
        <family val="2"/>
      </rPr>
      <t xml:space="preserve">IF ( TRIM ( CR_LOG.DOCUMENT_COUNTRY) = '', NULL, TRIM ( CR_LOG.DOCUMENT_COUNTRY ) )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IF ( TRIM ( CR_LOG.DOCUMENT_COUNTRY) = '', NULL, TRIM ( CR_LOG.DOCUMENT_COUNTRY ) )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IF ( TRIM ( CR_LOG.DOCUMENT_COUNTRY) = '', NULL, TRIM ( CR_LOG.DOCUMENT_COUNTRY ) )
</t>
    </r>
    <r>
      <rPr>
        <b/>
        <sz val="11"/>
        <color rgb="FF000000"/>
        <rFont val="Calibri"/>
        <family val="2"/>
      </rPr>
      <t xml:space="preserve">WHERE </t>
    </r>
    <r>
      <rPr>
        <sz val="11"/>
        <color rgb="FF000000"/>
        <rFont val="Calibri"/>
        <family val="2"/>
      </rPr>
      <t xml:space="preserve">CR_LOG.EVENT_TYPE_ID = '704'
</t>
    </r>
    <r>
      <rPr>
        <b/>
        <sz val="11"/>
        <color rgb="FF000000"/>
        <rFont val="Calibri"/>
        <family val="2"/>
      </rPr>
      <t>SELECT</t>
    </r>
    <r>
      <rPr>
        <sz val="11"/>
        <color rgb="FF000000"/>
        <rFont val="Calibri"/>
        <family val="2"/>
      </rPr>
      <t xml:space="preserve"> IF ( TRIM ( CR_LOG.DOCUMENT_COUNTRY) = '', NULL, TRIM ( CR_LOG.DOCUMENT_COUNTRY ) )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IF ( TRIM ( CR_LOG.DOCUMENT_COUNTRY) = '', NULL, TRIM ( CR_LOG.DOCUMENT_COUNTRY ) )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IF ( TRIM ( CR_LOG.DOCUMENT_COUNTRY) = '', NULL, TRIM ( CR_LOG.DOCUMENT_COUNTRY ) )
</t>
    </r>
    <r>
      <rPr>
        <b/>
        <sz val="11"/>
        <color rgb="FF000000"/>
        <rFont val="Calibri"/>
        <family val="2"/>
      </rPr>
      <t xml:space="preserve">WHERE </t>
    </r>
    <r>
      <rPr>
        <sz val="11"/>
        <color rgb="FF000000"/>
        <rFont val="Calibri"/>
        <family val="2"/>
      </rPr>
      <t xml:space="preserve">CR_LOG.EVENT_TYPE_ID = '709'
</t>
    </r>
    <r>
      <rPr>
        <b/>
        <sz val="11"/>
        <color rgb="FF000000"/>
        <rFont val="Calibri"/>
        <family val="2"/>
      </rPr>
      <t xml:space="preserve">SELECT </t>
    </r>
    <r>
      <rPr>
        <sz val="11"/>
        <color rgb="FF000000"/>
        <rFont val="Calibri"/>
        <family val="2"/>
      </rPr>
      <t xml:space="preserve">IF ( TRIM ( CR_LOG.DOCUMENT_COUNTRY) = '', NULL, TRIM ( CR_LOG.DOCUMENT_COUNTRY ) )
</t>
    </r>
    <r>
      <rPr>
        <b/>
        <sz val="11"/>
        <color rgb="FF000000"/>
        <rFont val="Calibri"/>
        <family val="2"/>
      </rPr>
      <t xml:space="preserve">WHERE </t>
    </r>
    <r>
      <rPr>
        <sz val="11"/>
        <color rgb="FF000000"/>
        <rFont val="Calibri"/>
        <family val="2"/>
      </rPr>
      <t xml:space="preserve">CR_LOG.EVENT_TYPE_ID IN ('713', '715')
</t>
    </r>
    <r>
      <rPr>
        <b/>
        <sz val="11"/>
        <color rgb="FF000000"/>
        <rFont val="Calibri"/>
        <family val="2"/>
      </rPr>
      <t xml:space="preserve">SELECT </t>
    </r>
    <r>
      <rPr>
        <sz val="11"/>
        <color rgb="FF000000"/>
        <rFont val="Calibri"/>
        <family val="2"/>
      </rPr>
      <t xml:space="preserve">IF ( TRIM ( CR_LOG.DOCUMENT_COUNTRY) = '', NULL, TRIM ( CR_LOG.DOCUMENT_COUNTRY ) )
</t>
    </r>
    <r>
      <rPr>
        <b/>
        <sz val="11"/>
        <color rgb="FF000000"/>
        <rFont val="Calibri"/>
        <family val="2"/>
      </rPr>
      <t xml:space="preserve">WHERE </t>
    </r>
    <r>
      <rPr>
        <sz val="11"/>
        <color rgb="FF000000"/>
        <rFont val="Calibri"/>
        <family val="2"/>
      </rPr>
      <t>CR_LOG.EVENT_TYPE_ID IS NULL OR CR_LOG.EVENT_TYPE_ID NOT IN ('700', '703', '704', '706', '708', '709', '713', '715')</t>
    </r>
  </si>
  <si>
    <t>Document Number</t>
  </si>
  <si>
    <t>document_number</t>
  </si>
  <si>
    <t>Number of the identification document provided or used for authentication. This field may contain incorrect information or not be consistent with the Parties information, as it is consumed directly from the BankTeller source application.</t>
  </si>
  <si>
    <t>Número do documento de identificação fornecido ou utilizado para autenticação. Este campo pode conter informações incorretas ou não estar consistente com a informação presente em Parties, pois é consumido diretamente da aplicação fonte BankTeller.</t>
  </si>
  <si>
    <t>DOCUMENT_NUMBER</t>
  </si>
  <si>
    <r>
      <rPr>
        <b/>
        <sz val="11"/>
        <color rgb="FF000000"/>
        <rFont val="Calibri"/>
        <family val="2"/>
      </rPr>
      <t xml:space="preserve">SELECT </t>
    </r>
    <r>
      <rPr>
        <sz val="11"/>
        <color rgb="FF000000"/>
        <rFont val="Calibri"/>
        <family val="2"/>
      </rPr>
      <t xml:space="preserve">IF ( TRIM ( CR_LOG.DOCUMENT_NUMBER) = '', NULL, TRIM ( CR_LOG.DOCUMENT_NUMBER) )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IF ( TRIM ( CR_LOG.DOCUMENT_NUMBER) = '', NULL, TRIM ( CR_LOG.DOCUMENT_NUMBER) )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IF ( TRIM ( CR_LOG.DOCUMENT_NUMBER) = '', NULL, TRIM ( CR_LOG.DOCUMENT_NUMBER) )
</t>
    </r>
    <r>
      <rPr>
        <b/>
        <sz val="11"/>
        <color rgb="FF000000"/>
        <rFont val="Calibri"/>
        <family val="2"/>
      </rPr>
      <t xml:space="preserve">WHERE </t>
    </r>
    <r>
      <rPr>
        <sz val="11"/>
        <color rgb="FF000000"/>
        <rFont val="Calibri"/>
        <family val="2"/>
      </rPr>
      <t xml:space="preserve">CR_LOG.EVENT_TYPE_ID = '704'
</t>
    </r>
    <r>
      <rPr>
        <b/>
        <sz val="11"/>
        <color rgb="FF000000"/>
        <rFont val="Calibri"/>
        <family val="2"/>
      </rPr>
      <t>SELECT</t>
    </r>
    <r>
      <rPr>
        <sz val="11"/>
        <color rgb="FF000000"/>
        <rFont val="Calibri"/>
        <family val="2"/>
      </rPr>
      <t xml:space="preserve"> IF ( TRIM ( CR_LOG.DOCUMENT_NUMBER) = '', NULL, TRIM ( CR_LOG.DOCUMENT_NUMBER) )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IF ( TRIM ( CR_LOG.DOCUMENT_NUMBER) = '', NULL, TRIM ( CR_LOG.DOCUMENT_NUMBER) )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IF ( TRIM ( CR_LOG.DOCUMENT_NUMBER) = '', NULL, TRIM ( CR_LOG.DOCUMENT_NUMBER) )
</t>
    </r>
    <r>
      <rPr>
        <b/>
        <sz val="11"/>
        <color rgb="FF000000"/>
        <rFont val="Calibri"/>
        <family val="2"/>
      </rPr>
      <t xml:space="preserve">WHERE </t>
    </r>
    <r>
      <rPr>
        <sz val="11"/>
        <color rgb="FF000000"/>
        <rFont val="Calibri"/>
        <family val="2"/>
      </rPr>
      <t xml:space="preserve">CR_LOG.EVENT_TYPE_ID = '709'
</t>
    </r>
    <r>
      <rPr>
        <b/>
        <sz val="11"/>
        <color rgb="FF000000"/>
        <rFont val="Calibri"/>
        <family val="2"/>
      </rPr>
      <t xml:space="preserve">SELECT </t>
    </r>
    <r>
      <rPr>
        <sz val="11"/>
        <color rgb="FF000000"/>
        <rFont val="Calibri"/>
        <family val="2"/>
      </rPr>
      <t xml:space="preserve">IF ( TRIM ( CR_LOG.DOCUMENT_NUMBER) = '', NULL, TRIM ( CR_LOG.DOCUMENT_NUMBER) )
</t>
    </r>
    <r>
      <rPr>
        <b/>
        <sz val="11"/>
        <color rgb="FF000000"/>
        <rFont val="Calibri"/>
        <family val="2"/>
      </rPr>
      <t xml:space="preserve">WHERE </t>
    </r>
    <r>
      <rPr>
        <sz val="11"/>
        <color rgb="FF000000"/>
        <rFont val="Calibri"/>
        <family val="2"/>
      </rPr>
      <t xml:space="preserve">CR_LOG.EVENT_TYPE_ID IN ('713', '715')
</t>
    </r>
    <r>
      <rPr>
        <b/>
        <sz val="11"/>
        <color rgb="FF000000"/>
        <rFont val="Calibri"/>
        <family val="2"/>
      </rPr>
      <t xml:space="preserve">SELECT </t>
    </r>
    <r>
      <rPr>
        <sz val="11"/>
        <color rgb="FF000000"/>
        <rFont val="Calibri"/>
        <family val="2"/>
      </rPr>
      <t xml:space="preserve">IF ( TRIM ( CR_LOG.DOCUMENT_NUMBER) = '', NULL, TRIM ( CR_LOG.DOCUMENT_NUMBER) )
</t>
    </r>
    <r>
      <rPr>
        <b/>
        <sz val="11"/>
        <color rgb="FF000000"/>
        <rFont val="Calibri"/>
        <family val="2"/>
      </rPr>
      <t xml:space="preserve">WHERE </t>
    </r>
    <r>
      <rPr>
        <sz val="11"/>
        <color rgb="FF000000"/>
        <rFont val="Calibri"/>
        <family val="2"/>
      </rPr>
      <t>CR_LOG.EVENT_TYPE_ID IS NULL OR CR_LOG.EVENT_TYPE_ID NOT IN ('700', '703', '704', '706', '708', '709', '713', '715')</t>
    </r>
  </si>
  <si>
    <t>Document Issue Entity</t>
  </si>
  <si>
    <t>document_issue_entity</t>
  </si>
  <si>
    <t>Identifies the entity responsible for issuing the identification document provided or used for authentication. This field may contain incorrect information or not be consistent with the Parties information, as it is consumed directly from the BankTeller source application.</t>
  </si>
  <si>
    <t>Identifica a entidade responsável pela emissão do documento de identificação fornecido ou utilizado para autenticação. Este campo pode conter informações incorretas ou não estar consistente com a informação presente em Parties, pois é consumido diretamente da aplicação fonte BankTeller.</t>
  </si>
  <si>
    <t>Issuing Entity:
TAT91_TABELAS - CTABELA 408;
CURATED_INTERNAL_MAINFRAME_ESTRUTURAIS.TAT91_TABELAS - TAYD91C0_CTABELA 408;
COMMON_REFERENCEDATA_CORE.REFERENCE_DATA_TABLE - DATA_TABLE_CODE 000408;</t>
  </si>
  <si>
    <t>ISSUING_ENTITY</t>
  </si>
  <si>
    <r>
      <rPr>
        <b/>
        <sz val="11"/>
        <color rgb="FF000000"/>
        <rFont val="Calibri"/>
        <family val="2"/>
      </rPr>
      <t xml:space="preserve">SELECT </t>
    </r>
    <r>
      <rPr>
        <sz val="11"/>
        <color rgb="FF000000"/>
        <rFont val="Calibri"/>
        <family val="2"/>
      </rPr>
      <t xml:space="preserve">IF ( TRIM ( CR_LOG.ISSUING_ENTITY) = '', NULL, TRIM ( CR_LOG.ISSUING_ENTITY) )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IF ( TRIM ( CR_LOG.ISSUING_ENTITY) = '', NULL, TRIM ( CR_LOG.ISSUING_ENTITY) )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IF ( TRIM ( CR_LOG.ISSUING_ENTITY) = '', NULL, TRIM ( CR_LOG.ISSUING_ENTITY) )
</t>
    </r>
    <r>
      <rPr>
        <b/>
        <sz val="11"/>
        <color rgb="FF000000"/>
        <rFont val="Calibri"/>
        <family val="2"/>
      </rPr>
      <t xml:space="preserve">WHERE </t>
    </r>
    <r>
      <rPr>
        <sz val="11"/>
        <color rgb="FF000000"/>
        <rFont val="Calibri"/>
        <family val="2"/>
      </rPr>
      <t xml:space="preserve">CR_LOG.EVENT_TYPE_ID = '704'
</t>
    </r>
    <r>
      <rPr>
        <b/>
        <sz val="11"/>
        <color rgb="FF000000"/>
        <rFont val="Calibri"/>
        <family val="2"/>
      </rPr>
      <t xml:space="preserve">SELECT </t>
    </r>
    <r>
      <rPr>
        <sz val="11"/>
        <color rgb="FF000000"/>
        <rFont val="Calibri"/>
        <family val="2"/>
      </rPr>
      <t xml:space="preserve">IF ( TRIM ( CR_LOG.ISSUING_ENTITY) = '', NULL, TRIM ( CR_LOG.ISSUING_ENTITY) )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IF ( TRIM ( CR_LOG.ISSUING_ENTITY) = '', NULL, TRIM ( CR_LOG.ISSUING_ENTITY) )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IF ( TRIM ( CR_LOG.ISSUING_ENTITY) = '', NULL, TRIM ( CR_LOG.ISSUING_ENTITY) )
</t>
    </r>
    <r>
      <rPr>
        <b/>
        <sz val="11"/>
        <color rgb="FF000000"/>
        <rFont val="Calibri"/>
        <family val="2"/>
      </rPr>
      <t xml:space="preserve">WHERE </t>
    </r>
    <r>
      <rPr>
        <sz val="11"/>
        <color rgb="FF000000"/>
        <rFont val="Calibri"/>
        <family val="2"/>
      </rPr>
      <t xml:space="preserve">CR_LOG.EVENT_TYPE_ID = '709'
</t>
    </r>
    <r>
      <rPr>
        <b/>
        <sz val="11"/>
        <color rgb="FF000000"/>
        <rFont val="Calibri"/>
        <family val="2"/>
      </rPr>
      <t xml:space="preserve">SELECT </t>
    </r>
    <r>
      <rPr>
        <sz val="11"/>
        <color rgb="FF000000"/>
        <rFont val="Calibri"/>
        <family val="2"/>
      </rPr>
      <t xml:space="preserve">IF ( TRIM ( CR_LOG.ISSUING_ENTITY) = '', NULL, TRIM ( CR_LOG.ISSUING_ENTITY) )
</t>
    </r>
    <r>
      <rPr>
        <b/>
        <sz val="11"/>
        <color rgb="FF000000"/>
        <rFont val="Calibri"/>
        <family val="2"/>
      </rPr>
      <t xml:space="preserve">WHERE </t>
    </r>
    <r>
      <rPr>
        <sz val="11"/>
        <color rgb="FF000000"/>
        <rFont val="Calibri"/>
        <family val="2"/>
      </rPr>
      <t xml:space="preserve">CR_LOG.EVENT_TYPE_ID IN ('713', '715')
</t>
    </r>
    <r>
      <rPr>
        <b/>
        <sz val="11"/>
        <color rgb="FF000000"/>
        <rFont val="Calibri"/>
        <family val="2"/>
      </rPr>
      <t xml:space="preserve">SELECT </t>
    </r>
    <r>
      <rPr>
        <sz val="11"/>
        <color rgb="FF000000"/>
        <rFont val="Calibri"/>
        <family val="2"/>
      </rPr>
      <t xml:space="preserve">IF ( TRIM ( CR_LOG.ISSUING_ENTITY) = '', NULL, TRIM ( CR_LOG.ISSUING_ENTITY) )
</t>
    </r>
    <r>
      <rPr>
        <b/>
        <sz val="11"/>
        <color rgb="FF000000"/>
        <rFont val="Calibri"/>
        <family val="2"/>
      </rPr>
      <t xml:space="preserve">WHERE </t>
    </r>
    <r>
      <rPr>
        <sz val="11"/>
        <color rgb="FF000000"/>
        <rFont val="Calibri"/>
        <family val="2"/>
      </rPr>
      <t>CR_LOG.EVENT_TYPE_ID IS NULL OR CR_LOG.EVENT_TYPE_ID NOT IN ('700', '703', '704', '706', '708', '709', '713', '715')</t>
    </r>
  </si>
  <si>
    <t>Document Expiration Date</t>
  </si>
  <si>
    <t>document_expiration_date</t>
  </si>
  <si>
    <t>Date in which the provided identification document expires. This field may contain incorrect information or not be consistent with the Parties information, as it is consumed directly from the BankTeller source application.</t>
  </si>
  <si>
    <t>Data de validade do documento de identificação fornecido ou utilizado para autenticação. Este campo pode conter informações incorretas ou não estar consistente com a informação presente em Parties, pois é consumido diretamente da aplicação fonte BankTeller.</t>
  </si>
  <si>
    <t>DOCUMENT_VALIDITY</t>
  </si>
  <si>
    <r>
      <rPr>
        <b/>
        <sz val="11"/>
        <color rgb="FF000000"/>
        <rFont val="Calibri"/>
        <family val="2"/>
      </rPr>
      <t>SELECT</t>
    </r>
    <r>
      <rPr>
        <sz val="11"/>
        <color rgb="FF000000"/>
        <rFont val="Calibri"/>
        <family val="2"/>
      </rPr>
      <t xml:space="preserve"> IF ( TRIM ( DOCUMENT_VALIDITY ) = '', NULL, CONCAT ( SUBSTRING ( DOCUMENT_VALIDITY, 1, 4 ), '-' , SUBSTRING ( DOCUMENT_VALIDITY, 6, 2 ), '-' , SUBSTRING ( DOCUMENT_VALIDITY, 9, 2 ) ) )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IF ( TRIM ( DOCUMENT_VALIDITY ) = '', NULL, CONCAT ( SUBSTRING ( DOCUMENT_VALIDITY, 1, 4 ), '-' , SUBSTRING ( DOCUMENT_VALIDITY, 6, 2 ), '-' , SUBSTRING ( DOCUMENT_VALIDITY, 9, 2 ) ) )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SELECT</t>
    </r>
    <r>
      <rPr>
        <sz val="11"/>
        <color rgb="FF000000"/>
        <rFont val="Calibri"/>
        <family val="2"/>
      </rPr>
      <t xml:space="preserve"> IF ( TRIM ( DOCUMENT_VALIDITY ) = '', NULL, CONCAT ( SUBSTRING ( DOCUMENT_VALIDITY, 1, 4 ), '-' , SUBSTRING ( DOCUMENT_VALIDITY, 6, 2 ), '-' , SUBSTRING ( DOCUMENT_VALIDITY, 9, 2 ) ) )
</t>
    </r>
    <r>
      <rPr>
        <b/>
        <sz val="11"/>
        <color rgb="FF000000"/>
        <rFont val="Calibri"/>
        <family val="2"/>
      </rPr>
      <t xml:space="preserve">WHERE </t>
    </r>
    <r>
      <rPr>
        <sz val="11"/>
        <color rgb="FF000000"/>
        <rFont val="Calibri"/>
        <family val="2"/>
      </rPr>
      <t xml:space="preserve">CR_LOG.EVENT_TYPE_ID = '704'
</t>
    </r>
    <r>
      <rPr>
        <b/>
        <sz val="11"/>
        <color rgb="FF000000"/>
        <rFont val="Calibri"/>
        <family val="2"/>
      </rPr>
      <t>SELECT</t>
    </r>
    <r>
      <rPr>
        <sz val="11"/>
        <color rgb="FF000000"/>
        <rFont val="Calibri"/>
        <family val="2"/>
      </rPr>
      <t xml:space="preserve"> IF ( TRIM ( DOCUMENT_VALIDITY ) = '', NULL, CONCAT ( SUBSTRING ( DOCUMENT_VALIDITY, 1, 4 ), '-' , SUBSTRING ( DOCUMENT_VALIDITY, 6, 2 ), '-' , SUBSTRING ( DOCUMENT_VALIDITY, 9, 2 ) ) )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IF ( TRIM ( DOCUMENT_VALIDITY ) = '', NULL, CONCAT ( SUBSTRING ( DOCUMENT_VALIDITY, 1, 4 ), '-' , SUBSTRING ( DOCUMENT_VALIDITY, 6, 2 ), '-' , SUBSTRING ( DOCUMENT_VALIDITY, 9, 2 ) ) )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IF ( TRIM ( DOCUMENT_VALIDITY ) = '', NULL, CONCAT ( SUBSTRING ( DOCUMENT_VALIDITY, 1, 4 ), '-' , SUBSTRING ( DOCUMENT_VALIDITY, 6, 2 ), '-' , SUBSTRING ( DOCUMENT_VALIDITY, 9, 2 ) ) )
</t>
    </r>
    <r>
      <rPr>
        <b/>
        <sz val="11"/>
        <color rgb="FF000000"/>
        <rFont val="Calibri"/>
        <family val="2"/>
      </rPr>
      <t xml:space="preserve">WHERE </t>
    </r>
    <r>
      <rPr>
        <sz val="11"/>
        <color rgb="FF000000"/>
        <rFont val="Calibri"/>
        <family val="2"/>
      </rPr>
      <t xml:space="preserve">CR_LOG.EVENT_TYPE_ID = '709'
</t>
    </r>
    <r>
      <rPr>
        <b/>
        <sz val="11"/>
        <color rgb="FF000000"/>
        <rFont val="Calibri"/>
        <family val="2"/>
      </rPr>
      <t xml:space="preserve">SELECT </t>
    </r>
    <r>
      <rPr>
        <sz val="11"/>
        <color rgb="FF000000"/>
        <rFont val="Calibri"/>
        <family val="2"/>
      </rPr>
      <t xml:space="preserve">IF ( TRIM ( DOCUMENT_VALIDITY ) = '', NULL, CONCAT ( SUBSTRING ( DOCUMENT_VALIDITY, 1, 4 ), '-' , SUBSTRING ( DOCUMENT_VALIDITY, 6, 2 ), '-' , SUBSTRING ( DOCUMENT_VALIDITY, 9, 2 ) ) )
</t>
    </r>
    <r>
      <rPr>
        <b/>
        <sz val="11"/>
        <color rgb="FF000000"/>
        <rFont val="Calibri"/>
        <family val="2"/>
      </rPr>
      <t xml:space="preserve">WHERE </t>
    </r>
    <r>
      <rPr>
        <sz val="11"/>
        <color rgb="FF000000"/>
        <rFont val="Calibri"/>
        <family val="2"/>
      </rPr>
      <t xml:space="preserve">CR_LOG.EVENT_TYPE_ID IN ('713', '715')
</t>
    </r>
    <r>
      <rPr>
        <b/>
        <sz val="11"/>
        <color rgb="FF000000"/>
        <rFont val="Calibri"/>
        <family val="2"/>
      </rPr>
      <t xml:space="preserve">SELECT </t>
    </r>
    <r>
      <rPr>
        <sz val="11"/>
        <color rgb="FF000000"/>
        <rFont val="Calibri"/>
        <family val="2"/>
      </rPr>
      <t xml:space="preserve">IF ( TRIM ( DOCUMENT_VALIDITY ) = '', NULL, CONCAT ( SUBSTRING ( DOCUMENT_VALIDITY, 1, 4 ), '-' , SUBSTRING ( DOCUMENT_VALIDITY, 6, 2 ), '-' , SUBSTRING ( DOCUMENT_VALIDITY, 9, 2 ) ) )
</t>
    </r>
    <r>
      <rPr>
        <b/>
        <sz val="11"/>
        <color rgb="FF000000"/>
        <rFont val="Calibri"/>
        <family val="2"/>
      </rPr>
      <t xml:space="preserve">WHERE </t>
    </r>
    <r>
      <rPr>
        <sz val="11"/>
        <color rgb="FF000000"/>
        <rFont val="Calibri"/>
        <family val="2"/>
      </rPr>
      <t>CR_LOG.EVENT_TYPE_ID IS NULL OR CR_LOG.EVENT_TYPE_ID NOT IN ('700', '703', '704', '706', '708', '709', '713', '715')</t>
    </r>
  </si>
  <si>
    <t>Email</t>
  </si>
  <si>
    <t>email</t>
  </si>
  <si>
    <t>Email of the individual / entity that performed the transaction.</t>
  </si>
  <si>
    <t>Email da pessoa ou entidade que realizou a transação.</t>
  </si>
  <si>
    <t>EMAIL</t>
  </si>
  <si>
    <r>
      <rPr>
        <b/>
        <sz val="11"/>
        <color rgb="FF000000"/>
        <rFont val="Calibri"/>
        <family val="2"/>
      </rPr>
      <t xml:space="preserve">SELECT </t>
    </r>
    <r>
      <rPr>
        <sz val="11"/>
        <color rgb="FF000000"/>
        <rFont val="Calibri"/>
        <family val="2"/>
      </rPr>
      <t xml:space="preserve">IF ( TRIM ( CR_LOG.EMAIL) = '', NULL, TRIM ( CR_LOG.EMAIL) )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IF ( TRIM ( CR_LOG.EMAIL) = '', NULL, TRIM ( CR_LOG.EMAIL) )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IF ( TRIM ( CR_LOG.EMAIL) = '', NULL, TRIM ( CR_LOG.EMAIL) )
</t>
    </r>
    <r>
      <rPr>
        <b/>
        <sz val="11"/>
        <color rgb="FF000000"/>
        <rFont val="Calibri"/>
        <family val="2"/>
      </rPr>
      <t xml:space="preserve">WHERE </t>
    </r>
    <r>
      <rPr>
        <sz val="11"/>
        <color rgb="FF000000"/>
        <rFont val="Calibri"/>
        <family val="2"/>
      </rPr>
      <t xml:space="preserve">CR_LOG.EVENT_TYPE_ID = '704'
</t>
    </r>
    <r>
      <rPr>
        <b/>
        <sz val="11"/>
        <color rgb="FF000000"/>
        <rFont val="Calibri"/>
        <family val="2"/>
      </rPr>
      <t>SELECT</t>
    </r>
    <r>
      <rPr>
        <sz val="11"/>
        <color rgb="FF000000"/>
        <rFont val="Calibri"/>
        <family val="2"/>
      </rPr>
      <t xml:space="preserve"> IF ( TRIM ( CR_LOG.EMAIL) = '', NULL, TRIM ( CR_LOG.EMAIL) )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IF ( TRIM ( CR_LOG.EMAIL) = '', NULL, TRIM ( CR_LOG.EMAIL) )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IF ( TRIM ( CR_LOG.EMAIL) = '', NULL, TRIM ( CR_LOG.EMAIL) )
</t>
    </r>
    <r>
      <rPr>
        <b/>
        <sz val="11"/>
        <color rgb="FF000000"/>
        <rFont val="Calibri"/>
        <family val="2"/>
      </rPr>
      <t xml:space="preserve">WHERE </t>
    </r>
    <r>
      <rPr>
        <sz val="11"/>
        <color rgb="FF000000"/>
        <rFont val="Calibri"/>
        <family val="2"/>
      </rPr>
      <t xml:space="preserve">CR_LOG.EVENT_TYPE_ID = '709'
</t>
    </r>
    <r>
      <rPr>
        <b/>
        <sz val="11"/>
        <color rgb="FF000000"/>
        <rFont val="Calibri"/>
        <family val="2"/>
      </rPr>
      <t xml:space="preserve">SELECT </t>
    </r>
    <r>
      <rPr>
        <sz val="11"/>
        <color rgb="FF000000"/>
        <rFont val="Calibri"/>
        <family val="2"/>
      </rPr>
      <t xml:space="preserve">IF ( TRIM ( CR_LOG.EMAIL) = '', NULL, TRIM ( CR_LOG.EMAIL) )
</t>
    </r>
    <r>
      <rPr>
        <b/>
        <sz val="11"/>
        <color rgb="FF000000"/>
        <rFont val="Calibri"/>
        <family val="2"/>
      </rPr>
      <t xml:space="preserve">WHERE </t>
    </r>
    <r>
      <rPr>
        <sz val="11"/>
        <color rgb="FF000000"/>
        <rFont val="Calibri"/>
        <family val="2"/>
      </rPr>
      <t xml:space="preserve">CR_LOG.EVENT_TYPE_ID IN ('713', '715')
</t>
    </r>
    <r>
      <rPr>
        <b/>
        <sz val="11"/>
        <color rgb="FF000000"/>
        <rFont val="Calibri"/>
        <family val="2"/>
      </rPr>
      <t xml:space="preserve">SELECT </t>
    </r>
    <r>
      <rPr>
        <sz val="11"/>
        <color rgb="FF000000"/>
        <rFont val="Calibri"/>
        <family val="2"/>
      </rPr>
      <t xml:space="preserve">IF ( TRIM ( CR_LOG.EMAIL) = '', NULL, TRIM ( CR_LOG.EMAIL) )
</t>
    </r>
    <r>
      <rPr>
        <b/>
        <sz val="11"/>
        <color rgb="FF000000"/>
        <rFont val="Calibri"/>
        <family val="2"/>
      </rPr>
      <t xml:space="preserve">WHERE </t>
    </r>
    <r>
      <rPr>
        <sz val="11"/>
        <color rgb="FF000000"/>
        <rFont val="Calibri"/>
        <family val="2"/>
      </rPr>
      <t>CR_LOG.EVENT_TYPE_ID IS NULL OR CR_LOG.EVENT_TYPE_ID NOT IN ('700', '703', '704', '706', '708', '709', '713', '715')</t>
    </r>
  </si>
  <si>
    <t>Party Relationship Description</t>
  </si>
  <si>
    <t>party_relationship_description</t>
  </si>
  <si>
    <t>Type of relationship between the individual / entity that performs the transaction and the beneficiary party of the associated contract. This is a free-text field.</t>
  </si>
  <si>
    <t>Tipo de relação entre a pessoa ou entidade que realiza a transação e a parte beneficiária do contrato associado. Este é um campo de texto livre.</t>
  </si>
  <si>
    <t>TARGET_VALUE
RELATIONSHIP_WITH_ACCOUNT_HOLDER</t>
  </si>
  <si>
    <r>
      <rPr>
        <b/>
        <sz val="11"/>
        <color rgb="FF000000"/>
        <rFont val="Calibri"/>
      </rPr>
      <t xml:space="preserve">SELECT </t>
    </r>
    <r>
      <rPr>
        <sz val="11"/>
        <color rgb="FF000000"/>
        <rFont val="Calibri"/>
      </rPr>
      <t xml:space="preserve">IF ( TRIM ( CR_LOG.RELATIONSHIP_WITH_ACCOUNT_HOLDER ) = '', NULL, UPPER ( TRIM ( CR_LOG.RELATIONSHIP_WITH_ACCOUNT_HOLDER ) ) ) 
</t>
    </r>
    <r>
      <rPr>
        <b/>
        <sz val="11"/>
        <color rgb="FF000000"/>
        <rFont val="Calibri"/>
      </rPr>
      <t xml:space="preserve">WHERE </t>
    </r>
    <r>
      <rPr>
        <sz val="11"/>
        <color rgb="FF000000"/>
        <rFont val="Calibri"/>
      </rPr>
      <t xml:space="preserve">CR_LOG.EVENT_TYPE_ID = '700'
</t>
    </r>
    <r>
      <rPr>
        <b/>
        <sz val="11"/>
        <color rgb="FF000000"/>
        <rFont val="Calibri"/>
      </rPr>
      <t xml:space="preserve">SELECT </t>
    </r>
    <r>
      <rPr>
        <sz val="11"/>
        <color rgb="FF000000"/>
        <rFont val="Calibri"/>
      </rPr>
      <t xml:space="preserve">IF ( TRIM ( CR_LOG.RELATIONSHIP_WITH_ACCOUNT_HOLDER ) = '', NULL, UPPER ( TRIM ( CR_LOG.RELATIONSHIP_WITH_ACCOUNT_HOLDER ) ) ) 
</t>
    </r>
    <r>
      <rPr>
        <b/>
        <sz val="11"/>
        <color rgb="FF000000"/>
        <rFont val="Calibri"/>
      </rPr>
      <t xml:space="preserve">WHERE </t>
    </r>
    <r>
      <rPr>
        <sz val="11"/>
        <color rgb="FF000000"/>
        <rFont val="Calibri"/>
      </rPr>
      <t xml:space="preserve">CR_LOG.EVENT_TYPE_ID = '703'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'party_relationship_description'
    AND PARAM_GENERAL_CODE_CONVERTER.SOURCE_CODE = 'BKT'
    AND PARAM_GENERAL_CODE_CONVERTER.SOURCE_VALUE = ''
    AND PARAM_GENERAL_CODE_CONVERTER.OPTION_NUMBER = 1 
    AND CR_LOG.EVENT_TYPE_ID = '704'
</t>
    </r>
    <r>
      <rPr>
        <b/>
        <sz val="11"/>
        <color rgb="FF000000"/>
        <rFont val="Calibri"/>
      </rPr>
      <t xml:space="preserve">SELECT </t>
    </r>
    <r>
      <rPr>
        <sz val="11"/>
        <color rgb="FF000000"/>
        <rFont val="Calibri"/>
      </rPr>
      <t xml:space="preserve">IF ( TRIM ( CR_LOG.RELATIONSHIP_WITH_ACCOUNT_HOLDER ) = '', NULL, UPPER ( TRIM ( CR_LOG.RELATIONSHIP_WITH_ACCOUNT_HOLDER ) ) ) 
</t>
    </r>
    <r>
      <rPr>
        <b/>
        <sz val="11"/>
        <color rgb="FF000000"/>
        <rFont val="Calibri"/>
      </rPr>
      <t xml:space="preserve">WHERE </t>
    </r>
    <r>
      <rPr>
        <sz val="11"/>
        <color rgb="FF000000"/>
        <rFont val="Calibri"/>
      </rPr>
      <t xml:space="preserve">CR_LOG.EVENT_TYPE_ID = '706'
</t>
    </r>
    <r>
      <rPr>
        <b/>
        <sz val="11"/>
        <color rgb="FF000000"/>
        <rFont val="Calibri"/>
      </rPr>
      <t xml:space="preserve">SELECT </t>
    </r>
    <r>
      <rPr>
        <sz val="11"/>
        <color rgb="FF000000"/>
        <rFont val="Calibri"/>
      </rPr>
      <t xml:space="preserve">IF ( TRIM ( CR_LOG.RELATIONSHIP_WITH_ACCOUNT_HOLDER ) = '', NULL, UPPER ( TRIM ( CR_LOG.RELATIONSHIP_WITH_ACCOUNT_HOLDER ) ) ) 
</t>
    </r>
    <r>
      <rPr>
        <b/>
        <sz val="11"/>
        <color rgb="FF000000"/>
        <rFont val="Calibri"/>
      </rPr>
      <t xml:space="preserve">WHERE </t>
    </r>
    <r>
      <rPr>
        <sz val="11"/>
        <color rgb="FF000000"/>
        <rFont val="Calibri"/>
      </rPr>
      <t xml:space="preserve">CR_LOG.EVENT_TYPE_ID = '708'
</t>
    </r>
    <r>
      <rPr>
        <b/>
        <sz val="11"/>
        <color rgb="FF000000"/>
        <rFont val="Calibri"/>
      </rPr>
      <t xml:space="preserve">SELECT </t>
    </r>
    <r>
      <rPr>
        <sz val="11"/>
        <color rgb="FF000000"/>
        <rFont val="Calibri"/>
      </rPr>
      <t xml:space="preserve">IF ( TRIM ( CR_LOG.RELATIONSHIP_WITH_ACCOUNT_HOLDER ) = '', NULL, UPPER ( TRIM ( CR_LOG.RELATIONSHIP_WITH_ACCOUNT_HOLDER ) ) ) 
</t>
    </r>
    <r>
      <rPr>
        <b/>
        <sz val="11"/>
        <color rgb="FF000000"/>
        <rFont val="Calibri"/>
      </rPr>
      <t xml:space="preserve">WHERE </t>
    </r>
    <r>
      <rPr>
        <sz val="11"/>
        <color rgb="FF000000"/>
        <rFont val="Calibri"/>
      </rPr>
      <t xml:space="preserve">CR_LOG.EVENT_TYPE_ID = '709'
</t>
    </r>
    <r>
      <rPr>
        <b/>
        <sz val="11"/>
        <color rgb="FF000000"/>
        <rFont val="Calibri"/>
      </rPr>
      <t xml:space="preserve">SELECT </t>
    </r>
    <r>
      <rPr>
        <sz val="11"/>
        <color rgb="FF000000"/>
        <rFont val="Calibri"/>
      </rPr>
      <t xml:space="preserve">IF ( TRIM ( CR_LOG.RELATIONSHIP_WITH_ACCOUNT_HOLDER ) = '', NULL, UPPER ( TRIM ( CR_LOG.RELATIONSHIP_WITH_ACCOUNT_HOLDER ) ) ) 
</t>
    </r>
    <r>
      <rPr>
        <b/>
        <sz val="11"/>
        <color rgb="FF000000"/>
        <rFont val="Calibri"/>
      </rPr>
      <t xml:space="preserve">WHERE </t>
    </r>
    <r>
      <rPr>
        <sz val="11"/>
        <color rgb="FF000000"/>
        <rFont val="Calibri"/>
      </rPr>
      <t xml:space="preserve">CR_LOG.EVENT_TYPE_ID IN ('713', '715')
</t>
    </r>
    <r>
      <rPr>
        <b/>
        <sz val="11"/>
        <color rgb="FF000000"/>
        <rFont val="Calibri"/>
      </rPr>
      <t xml:space="preserve">SELECT </t>
    </r>
    <r>
      <rPr>
        <sz val="11"/>
        <color rgb="FF000000"/>
        <rFont val="Calibri"/>
      </rPr>
      <t xml:space="preserve">IF ( TRIM ( CR_LOG.RELATIONSHIP_WITH_ACCOUNT_HOLDER ) = '', NULL, UPPER ( TRIM ( CR_LOG.RELATIONSHIP_WITH_ACCOUNT_HOLDER ) ) ) 
</t>
    </r>
    <r>
      <rPr>
        <b/>
        <sz val="11"/>
        <color rgb="FF000000"/>
        <rFont val="Calibri"/>
      </rPr>
      <t xml:space="preserve">WHERE </t>
    </r>
    <r>
      <rPr>
        <sz val="11"/>
        <color rgb="FF000000"/>
        <rFont val="Calibri"/>
      </rPr>
      <t>CR_LOG.EVENT_TYPE_ID IS NULL OR CR_LOG.EVENT_TYPE_ID NOT IN ('700', '703', '704', '706', '708', '709', '713', '715')</t>
    </r>
  </si>
  <si>
    <t>RELATIONSHIP_WITH_ACCOUNT_HOLDER</t>
  </si>
  <si>
    <t>Transaction Branch Code</t>
  </si>
  <si>
    <t>transaction_branch_code</t>
  </si>
  <si>
    <t>Code that represents the branch where the transaction is performed.</t>
  </si>
  <si>
    <t>Código que identifica o balcão onde a transação é realizada.</t>
  </si>
  <si>
    <t>Branch:
TAT91_TABELAS - CTABELA 091;
CURATED_INTERNAL_MAINFRAME_ESTRUTURAIS.TAT91_TABELAS - TAYD91C0_CTABELA 091;
COMMON_REFERENCEDATA_CORE.REFERENCE_DATA_TABLE - DATA_TABLE_CODE 000091;</t>
  </si>
  <si>
    <t>UNIT_BUSINESS</t>
  </si>
  <si>
    <r>
      <rPr>
        <b/>
        <sz val="11"/>
        <color rgb="FF000000"/>
        <rFont val="Calibri"/>
        <family val="2"/>
      </rPr>
      <t xml:space="preserve">SELECT </t>
    </r>
    <r>
      <rPr>
        <sz val="11"/>
        <color rgb="FF000000"/>
        <rFont val="Calibri"/>
        <family val="2"/>
      </rPr>
      <t xml:space="preserve">IF ( TRIM ( CR_LOG.UNIT_BUSINESS ) = '', NULL, TRIM ( CR_LOG.UNIT_BUSINESS ) )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IF ( TRIM ( CR_LOG.UNIT_BUSINESS ) = '', NULL, TRIM ( CR_LOG.UNIT_BUSINESS ) )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IF ( TRIM ( CR_LOG.UNIT_BUSINESS ) = '', NULL, TRIM ( CR_LOG.UNIT_BUSINESS ) )
</t>
    </r>
    <r>
      <rPr>
        <b/>
        <sz val="11"/>
        <color rgb="FF000000"/>
        <rFont val="Calibri"/>
        <family val="2"/>
      </rPr>
      <t xml:space="preserve">WHERE </t>
    </r>
    <r>
      <rPr>
        <sz val="11"/>
        <color rgb="FF000000"/>
        <rFont val="Calibri"/>
        <family val="2"/>
      </rPr>
      <t xml:space="preserve">CR_LOG.EVENT_TYPE_ID = '704'
</t>
    </r>
    <r>
      <rPr>
        <b/>
        <sz val="11"/>
        <color rgb="FF000000"/>
        <rFont val="Calibri"/>
        <family val="2"/>
      </rPr>
      <t>SELECT</t>
    </r>
    <r>
      <rPr>
        <sz val="11"/>
        <color rgb="FF000000"/>
        <rFont val="Calibri"/>
        <family val="2"/>
      </rPr>
      <t xml:space="preserve"> IF ( TRIM ( CR_LOG.UNIT_BUSINESS ) = '', NULL, TRIM ( CR_LOG.UNIT_BUSINESS ) )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IF ( TRIM ( CR_LOG.UNIT_BUSINESS ) = '', NULL, TRIM ( CR_LOG.UNIT_BUSINESS ) )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IF ( TRIM ( CR_LOG.UNIT_BUSINESS ) = '', NULL, TRIM ( CR_LOG.UNIT_BUSINESS ) )
</t>
    </r>
    <r>
      <rPr>
        <b/>
        <sz val="11"/>
        <color rgb="FF000000"/>
        <rFont val="Calibri"/>
        <family val="2"/>
      </rPr>
      <t xml:space="preserve">WHERE </t>
    </r>
    <r>
      <rPr>
        <sz val="11"/>
        <color rgb="FF000000"/>
        <rFont val="Calibri"/>
        <family val="2"/>
      </rPr>
      <t xml:space="preserve">CR_LOG.EVENT_TYPE_ID = '709'
</t>
    </r>
    <r>
      <rPr>
        <b/>
        <sz val="11"/>
        <color rgb="FF000000"/>
        <rFont val="Calibri"/>
        <family val="2"/>
      </rPr>
      <t xml:space="preserve">SELECT </t>
    </r>
    <r>
      <rPr>
        <sz val="11"/>
        <color rgb="FF000000"/>
        <rFont val="Calibri"/>
        <family val="2"/>
      </rPr>
      <t xml:space="preserve">IF ( TRIM ( CR_LOG.UNIT_BUSINESS ) = '', NULL, TRIM ( CR_LOG.UNIT_BUSINESS ) )
</t>
    </r>
    <r>
      <rPr>
        <b/>
        <sz val="11"/>
        <color rgb="FF000000"/>
        <rFont val="Calibri"/>
        <family val="2"/>
      </rPr>
      <t xml:space="preserve">WHERE </t>
    </r>
    <r>
      <rPr>
        <sz val="11"/>
        <color rgb="FF000000"/>
        <rFont val="Calibri"/>
        <family val="2"/>
      </rPr>
      <t xml:space="preserve">CR_LOG.EVENT_TYPE_ID IN ('713', '715')
</t>
    </r>
    <r>
      <rPr>
        <b/>
        <sz val="11"/>
        <color rgb="FF000000"/>
        <rFont val="Calibri"/>
        <family val="2"/>
      </rPr>
      <t xml:space="preserve">SELECT </t>
    </r>
    <r>
      <rPr>
        <sz val="11"/>
        <color rgb="FF000000"/>
        <rFont val="Calibri"/>
        <family val="2"/>
      </rPr>
      <t xml:space="preserve">IF ( TRIM ( CR_LOG.UNIT_BUSINESS ) = '', NULL, TRIM ( CR_LOG.UNIT_BUSINESS ) )
</t>
    </r>
    <r>
      <rPr>
        <b/>
        <sz val="11"/>
        <color rgb="FF000000"/>
        <rFont val="Calibri"/>
        <family val="2"/>
      </rPr>
      <t xml:space="preserve">WHERE </t>
    </r>
    <r>
      <rPr>
        <sz val="11"/>
        <color rgb="FF000000"/>
        <rFont val="Calibri"/>
        <family val="2"/>
      </rPr>
      <t>CR_LOG.EVENT_TYPE_ID IS NULL OR CR_LOG.EVENT_TYPE_ID NOT IN ('700', '703', '704', '706', '708', '709', '713', '715')</t>
    </r>
  </si>
  <si>
    <t>Ext Inf - Trans Op Inf - Code</t>
  </si>
  <si>
    <t>Represents the subtype of transaction performed according to the source application. For occasional transactions, it corresponds to the EVENT_TYPE_ID.</t>
  </si>
  <si>
    <t>Identifica o subtipo de transação segundo a aplicação fonte. Para transações ocasionais corresponde ao EVENT_TYPE_ID da transação.</t>
  </si>
  <si>
    <t>Transaction Detail Code:
N\A;
N\A;
COMMON_REFERNCE_DATA_CORE.REFERENCE_DATA_TABLE - DATA_TABLE_CODE 000019</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</si>
  <si>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 '700'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 '703'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 '704'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 '706'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 '708'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 '709'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IN ('713', '715')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PARAM_GENERAL_CODE_CONVERTER.TARGET_FIELD = 'transaction_detail_code'
    AND PARAM_GENERAL_CODE_CONVERTER.SOURCE_CODE = 'BKT'
    AND PARAM_GENERAL_CODE_CONVERTER.SOURCE_VALUE = IF ( TRIM ( CR_LOG.EVENT_TYPE_ID ) = '', NULL, TRIM ( CR_LOG.EVENT_TYPE_ID ) )
    AND PARAM_GENERAL_CODE_CONVERTER.OPTION_NUMBER = 1 
    AND CR_LOG.EVENT_TYPE_ID IS NULL OR CR_LOG.EVENT_TYPE_ID NOT IN ('700', '703', '704', '706', '708', '709', '713', '715')</t>
    </r>
  </si>
  <si>
    <t>Currency Code</t>
  </si>
  <si>
    <t>currency_code</t>
  </si>
  <si>
    <t>Currency code of the transaction.</t>
  </si>
  <si>
    <t>Moeda da transação.</t>
  </si>
  <si>
    <t>Currency:
TAT91_TABELAS - CTABELA 206;
CURATED_INTERNAL_MAINFRAME_ESTRUTURAIS.TAT91_TABELAS - TAYD91C0_CTABELA 206;
COMMON_REFERENCEDATA_CORE.REFERENCE_DATA_TABLE - DATA_TABLE_CODE 000206;</t>
  </si>
  <si>
    <t>CURATED_INTERNAL_MAINFRAME_ESTRUTURAIS</t>
  </si>
  <si>
    <t>TAT91_TABELAS_NEW</t>
  </si>
  <si>
    <t>TAYD91C0_CELEMTAB</t>
  </si>
  <si>
    <r>
      <rPr>
        <b/>
        <sz val="11"/>
        <color rgb="FF000000"/>
        <rFont val="Calibri"/>
        <family val="2"/>
      </rPr>
      <t xml:space="preserve">SELECT </t>
    </r>
    <r>
      <rPr>
        <sz val="11"/>
        <color rgb="FF000000"/>
        <rFont val="Calibri"/>
        <family val="2"/>
      </rPr>
      <t xml:space="preserve">IF ( TRIM ( CR_LOG.CURRENCY ) = '', NULL, TRIM ( TAT91_TABELAS_NEW.TAYD91C0_CELEMTAB ) )
</t>
    </r>
    <r>
      <rPr>
        <b/>
        <sz val="11"/>
        <color rgb="FF000000"/>
        <rFont val="Calibri"/>
        <family val="2"/>
      </rPr>
      <t xml:space="preserve">WHERE </t>
    </r>
    <r>
      <rPr>
        <sz val="11"/>
        <color rgb="FF000000"/>
        <rFont val="Calibri"/>
        <family val="2"/>
      </rPr>
      <t xml:space="preserve">CR_LOG.EVENT_TYPE_ID = '700'
    AND TAT91_TABELAS_NEW.TAYD91C0_CTABELA = '206'
    AND TRIM ( TAT91_TABELAS_NEW.TAYD91C0_NELEMC01 ) != ''
</t>
    </r>
    <r>
      <rPr>
        <b/>
        <sz val="11"/>
        <color rgb="FF000000"/>
        <rFont val="Calibri"/>
        <family val="2"/>
      </rPr>
      <t xml:space="preserve">SELECT </t>
    </r>
    <r>
      <rPr>
        <sz val="11"/>
        <color rgb="FF000000"/>
        <rFont val="Calibri"/>
        <family val="2"/>
      </rPr>
      <t xml:space="preserve">IF ( TRIM ( CR_LOG.CURRENCY ) = '', NULL, TRIM ( TAT91_TABELAS_NEW.TAYD91C0_CELEMTAB ) )
</t>
    </r>
    <r>
      <rPr>
        <b/>
        <sz val="11"/>
        <color rgb="FF000000"/>
        <rFont val="Calibri"/>
        <family val="2"/>
      </rPr>
      <t xml:space="preserve">WHERE </t>
    </r>
    <r>
      <rPr>
        <sz val="11"/>
        <color rgb="FF000000"/>
        <rFont val="Calibri"/>
        <family val="2"/>
      </rPr>
      <t xml:space="preserve">CR_LOG.EVENT_TYPE_ID = '703'
    AND TAT91_TABELAS_NEW.TAYD91C0_CTABELA = '206'
    AND TRIM ( TAT91_TABELAS_NEW.TAYD91C0_NELEMC01 ) != ''
</t>
    </r>
    <r>
      <rPr>
        <b/>
        <sz val="11"/>
        <color rgb="FF000000"/>
        <rFont val="Calibri"/>
        <family val="2"/>
      </rPr>
      <t xml:space="preserve">SELECT </t>
    </r>
    <r>
      <rPr>
        <sz val="11"/>
        <color rgb="FF000000"/>
        <rFont val="Calibri"/>
        <family val="2"/>
      </rPr>
      <t xml:space="preserve">IF ( TRIM ( CR_LOG.CURRENCY ) = '', NULL, TRIM ( TAT91_TABELAS_NEW.TAYD91C0_CELEMTAB ) )
</t>
    </r>
    <r>
      <rPr>
        <b/>
        <sz val="11"/>
        <color rgb="FF000000"/>
        <rFont val="Calibri"/>
        <family val="2"/>
      </rPr>
      <t xml:space="preserve">WHERE </t>
    </r>
    <r>
      <rPr>
        <sz val="11"/>
        <color rgb="FF000000"/>
        <rFont val="Calibri"/>
        <family val="2"/>
      </rPr>
      <t xml:space="preserve">CR_LOG.EVENT_TYPE_ID = '704'
    AND TAT91_TABELAS_NEW.TAYD91C0_CTABELA = '206'
    AND TRIM ( TAT91_TABELAS_NEW.TAYD91C0_NELEMC01 ) != ''
</t>
    </r>
    <r>
      <rPr>
        <b/>
        <sz val="11"/>
        <color rgb="FF000000"/>
        <rFont val="Calibri"/>
        <family val="2"/>
      </rPr>
      <t xml:space="preserve">SELECT </t>
    </r>
    <r>
      <rPr>
        <sz val="11"/>
        <color rgb="FF000000"/>
        <rFont val="Calibri"/>
        <family val="2"/>
      </rPr>
      <t xml:space="preserve">IF ( TRIM ( CR_LOG.CURRENCY ) = '', NULL, TRIM ( TAT91_TABELAS_NEW.TAYD91C0_CELEMTAB ) )
</t>
    </r>
    <r>
      <rPr>
        <b/>
        <sz val="11"/>
        <color rgb="FF000000"/>
        <rFont val="Calibri"/>
        <family val="2"/>
      </rPr>
      <t xml:space="preserve">WHERE </t>
    </r>
    <r>
      <rPr>
        <sz val="11"/>
        <color rgb="FF000000"/>
        <rFont val="Calibri"/>
        <family val="2"/>
      </rPr>
      <t xml:space="preserve">CR_LOG.EVENT_TYPE_ID = '706'
    AND TAT91_TABELAS_NEW.TAYD91C0_CTABELA = '206'
    AND TRIM ( TAT91_TABELAS_NEW.TAYD91C0_NELEMC01 ) != ''
</t>
    </r>
    <r>
      <rPr>
        <b/>
        <sz val="11"/>
        <color rgb="FF000000"/>
        <rFont val="Calibri"/>
        <family val="2"/>
      </rPr>
      <t xml:space="preserve">SELECT </t>
    </r>
    <r>
      <rPr>
        <sz val="11"/>
        <color rgb="FF000000"/>
        <rFont val="Calibri"/>
        <family val="2"/>
      </rPr>
      <t xml:space="preserve">IF ( TRIM ( CR_LOG.CURRENCY ) = '', NULL, TRIM ( TAT91_TABELAS_NEW.TAYD91C0_CELEMTAB ) )
</t>
    </r>
    <r>
      <rPr>
        <b/>
        <sz val="11"/>
        <color rgb="FF000000"/>
        <rFont val="Calibri"/>
        <family val="2"/>
      </rPr>
      <t xml:space="preserve">WHERE </t>
    </r>
    <r>
      <rPr>
        <sz val="11"/>
        <color rgb="FF000000"/>
        <rFont val="Calibri"/>
        <family val="2"/>
      </rPr>
      <t xml:space="preserve">CR_LOG.EVENT_TYPE_ID = '708'
    AND TAT91_TABELAS_NEW.TAYD91C0_CTABELA = '206'
    AND TRIM ( TAT91_TABELAS_NEW.TAYD91C0_NELEMC01 ) != ''
</t>
    </r>
    <r>
      <rPr>
        <b/>
        <sz val="11"/>
        <color rgb="FF000000"/>
        <rFont val="Calibri"/>
        <family val="2"/>
      </rPr>
      <t xml:space="preserve">SELECT </t>
    </r>
    <r>
      <rPr>
        <sz val="11"/>
        <color rgb="FF000000"/>
        <rFont val="Calibri"/>
        <family val="2"/>
      </rPr>
      <t xml:space="preserve">IF ( TRIM ( CR_LOG.CURRENCY ) = '', NULL, TRIM ( TAT91_TABELAS_NEW.TAYD91C0_CELEMTAB ) )
</t>
    </r>
    <r>
      <rPr>
        <b/>
        <sz val="11"/>
        <color rgb="FF000000"/>
        <rFont val="Calibri"/>
        <family val="2"/>
      </rPr>
      <t xml:space="preserve">WHERE </t>
    </r>
    <r>
      <rPr>
        <sz val="11"/>
        <color rgb="FF000000"/>
        <rFont val="Calibri"/>
        <family val="2"/>
      </rPr>
      <t xml:space="preserve">CR_LOG.EVENT_TYPE_ID = '709'
    AND TAT91_TABELAS_NEW.TAYD91C0_CTABELA = '206'
    AND TRIM ( TAT91_TABELAS_NEW.TAYD91C0_NELEMC01 ) != ''
</t>
    </r>
    <r>
      <rPr>
        <b/>
        <sz val="11"/>
        <color rgb="FF000000"/>
        <rFont val="Calibri"/>
        <family val="2"/>
      </rPr>
      <t xml:space="preserve">SELECT </t>
    </r>
    <r>
      <rPr>
        <sz val="11"/>
        <color rgb="FF000000"/>
        <rFont val="Calibri"/>
        <family val="2"/>
      </rPr>
      <t xml:space="preserve">IF ( TRIM ( CR_LOG.CURRENCY ) = '', NULL, TRIM ( TAT91_TABELAS_NEW.TAYD91C0_CELEMTAB ) )
</t>
    </r>
    <r>
      <rPr>
        <b/>
        <sz val="11"/>
        <color rgb="FF000000"/>
        <rFont val="Calibri"/>
        <family val="2"/>
      </rPr>
      <t xml:space="preserve">WHERE </t>
    </r>
    <r>
      <rPr>
        <sz val="11"/>
        <color rgb="FF000000"/>
        <rFont val="Calibri"/>
        <family val="2"/>
      </rPr>
      <t xml:space="preserve">CR_LOG.EVENT_TYPE_ID IN ('713', '715')
    AND TAT91_TABELAS_NEW.TAYD91C0_CTABELA = '206'
    AND TRIM ( TAT91_TABELAS_NEW.TAYD91C0_NELEMC01 ) != ''
</t>
    </r>
    <r>
      <rPr>
        <b/>
        <sz val="11"/>
        <color rgb="FF000000"/>
        <rFont val="Calibri"/>
        <family val="2"/>
      </rPr>
      <t xml:space="preserve">SELECT </t>
    </r>
    <r>
      <rPr>
        <sz val="11"/>
        <color rgb="FF000000"/>
        <rFont val="Calibri"/>
        <family val="2"/>
      </rPr>
      <t xml:space="preserve">IF ( TRIM ( CR_LOG.CURRENCY ) = '', NULL, TRIM ( TAT91_TABELAS_NEW.TAYD91C0_CELEMTAB ) )
</t>
    </r>
    <r>
      <rPr>
        <b/>
        <sz val="11"/>
        <color rgb="FF000000"/>
        <rFont val="Calibri"/>
        <family val="2"/>
      </rPr>
      <t xml:space="preserve">WHERE </t>
    </r>
    <r>
      <rPr>
        <sz val="11"/>
        <color rgb="FF000000"/>
        <rFont val="Calibri"/>
        <family val="2"/>
      </rPr>
      <t>CR_LOG.EVENT_TYPE_ID IS NULL OR CR_LOG.EVENT_TYPE_ID NOT IN ('700', '703', '704', '706', '708', '709', '713', '715')
    AND TAT91_TABELAS_NEW.TAYD91C0_CTABELA = '206'
    AND TRIM ( TAT91_TABELAS_NEW.TAYD91C0_NELEMC01 ) != ''</t>
    </r>
  </si>
  <si>
    <t>BKT - Transações Ocasionais -&gt; TA - Tabelas Gerais</t>
  </si>
  <si>
    <t>CR_LOG -&gt; TAT91_TABELAS_NEW</t>
  </si>
  <si>
    <t xml:space="preserve">CURRENCY -&gt; TAYD91C0_CELEMTAB </t>
  </si>
  <si>
    <t>Amount</t>
  </si>
  <si>
    <t>amount</t>
  </si>
  <si>
    <t>Ext Inf - Trans Mon Inf - Value</t>
  </si>
  <si>
    <t>DECIMAL</t>
  </si>
  <si>
    <t>Amount of the transaction. Represents the amount, before any currency exchange.</t>
  </si>
  <si>
    <t>Valor da transação. Representa o valor associado à transação, antes de qualquer conversão cambial.</t>
  </si>
  <si>
    <t>TOTAL_NET_AMOUNT, AMOUNT_TO_RETURN</t>
  </si>
  <si>
    <r>
      <rPr>
        <b/>
        <sz val="11"/>
        <color rgb="FF000000"/>
        <rFont val="Calibri"/>
        <family val="2"/>
      </rPr>
      <t xml:space="preserve">SELECT </t>
    </r>
    <r>
      <rPr>
        <sz val="11"/>
        <color rgb="FF000000"/>
        <rFont val="Calibri"/>
        <family val="2"/>
      </rPr>
      <t xml:space="preserve">CASE
        WHEN TRIM ( CR_LOG.TOTAL_NET_AMOUNT ) = '' OR CR_LOG.TOTAL_NET_AMOUNT IS NULL THEN CAST ( NULL AS DECIMAL(23, 6) )      
        ELSE CAST ( CR_LOG.TOTAL_NET_AMOUNT AS DECIMAL(23, 6) )
    END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CASE
        WHEN TRIM ( CR_LOG.TOTAL_NET_AMOUNT ) = '' OR CR_LOG.TOTAL_NET_AMOUNT IS NULL THEN CAST ( NULL AS DECIMAL(23, 6) )      
        ELSE CAST ( CR_LOG.TOTAL_NET_AMOUNT AS DECIMAL(23, 6) )
    END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CASE
        WHEN TRIM ( CR_LOG.TOTAL_NET_AMOUNT ) != '' AND  CR_LOG.TOTAL_NET_AMOUNT IS NOT NULL AND CR_LOG.TOTAL_NET_AMOUNT != 0 THEN CAST ( CR_LOG.TOTAL_NET_AMOUNT AS DECIMAL(23, 6) )
        WHEN CR_LOG.TOTAL_NET_AMOUNT = 0 AND TRIM ( CR_LOG.AMOUNT_TO_RETURN ) != '' AND CR_LOG.AMOUNT_TO_RETURN IS NOT NULL THEN CAST ( CR_LOG.AMOUNT_TO_RETURN AS DECIMAL(23, 6) )      
        ELSE CAST ( NULL AS DECIMAL(23, 6) )
    END
</t>
    </r>
    <r>
      <rPr>
        <b/>
        <sz val="11"/>
        <color rgb="FF000000"/>
        <rFont val="Calibri"/>
        <family val="2"/>
      </rPr>
      <t xml:space="preserve">WHERE </t>
    </r>
    <r>
      <rPr>
        <sz val="11"/>
        <color rgb="FF000000"/>
        <rFont val="Calibri"/>
        <family val="2"/>
      </rPr>
      <t xml:space="preserve">CR_LOG.EVENT_TYPE_ID = '704'
</t>
    </r>
    <r>
      <rPr>
        <b/>
        <sz val="11"/>
        <color rgb="FF000000"/>
        <rFont val="Calibri"/>
        <family val="2"/>
      </rPr>
      <t xml:space="preserve">SELECT </t>
    </r>
    <r>
      <rPr>
        <sz val="11"/>
        <color rgb="FF000000"/>
        <rFont val="Calibri"/>
        <family val="2"/>
      </rPr>
      <t xml:space="preserve">CASE
        WHEN TRIM ( CR_LOG.TOTAL_NET_AMOUNT ) = '' OR CR_LOG.TOTAL_NET_AMOUNT IS NULL THEN CAST ( NULL AS DECIMAL(23, 6) )      
        ELSE CAST ( CR_LOG.TOTAL_NET_AMOUNT AS DECIMAL(23, 6) )
    END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CASE
        WHEN TRIM ( CR_LOG.TOTAL_NET_AMOUNT ) = '' OR CR_LOG.TOTAL_NET_AMOUNT IS NULL THEN CAST ( NULL AS DECIMAL(23, 6) )      
        ELSE CAST ( CR_LOG.TOTAL_NET_AMOUNT AS DECIMAL(23, 6) )
    END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
SELECT </t>
    </r>
    <r>
      <rPr>
        <sz val="11"/>
        <color rgb="FF000000"/>
        <rFont val="Calibri"/>
        <family val="2"/>
      </rPr>
      <t xml:space="preserve">CASE
        WHEN TRIM ( CR_LOG.TOTAL_NET_AMOUNT ) = '' OR CR_LOG.TOTAL_NET_AMOUNT IS NULL THEN CAST ( NULL AS DECIMAL(23, 6) )      
        ELSE CAST ( CR_LOG.TOTAL_NET_AMOUNT AS DECIMAL(23, 6) )
    END
</t>
    </r>
    <r>
      <rPr>
        <b/>
        <sz val="11"/>
        <color rgb="FF000000"/>
        <rFont val="Calibri"/>
        <family val="2"/>
      </rPr>
      <t xml:space="preserve">WHERE </t>
    </r>
    <r>
      <rPr>
        <sz val="11"/>
        <color rgb="FF000000"/>
        <rFont val="Calibri"/>
        <family val="2"/>
      </rPr>
      <t xml:space="preserve">CR_LOG.EVENT_TYPE_ID = '709'
</t>
    </r>
    <r>
      <rPr>
        <b/>
        <sz val="11"/>
        <color rgb="FF000000"/>
        <rFont val="Calibri"/>
        <family val="2"/>
      </rPr>
      <t xml:space="preserve">SELECT </t>
    </r>
    <r>
      <rPr>
        <sz val="11"/>
        <color rgb="FF000000"/>
        <rFont val="Calibri"/>
        <family val="2"/>
      </rPr>
      <t xml:space="preserve">CASE
        WHEN TRIM ( CR_LOG.TOTAL_NET_AMOUNT ) = '' OR CR_LOG.TOTAL_NET_AMOUNT IS NULL THEN CAST ( NULL AS DECIMAL(23, 6) )      
        ELSE CAST ( CR_LOG.TOTAL_NET_AMOUNT AS DECIMAL(23, 6) )
    END
</t>
    </r>
    <r>
      <rPr>
        <b/>
        <sz val="11"/>
        <color rgb="FF000000"/>
        <rFont val="Calibri"/>
        <family val="2"/>
      </rPr>
      <t xml:space="preserve">WHERE </t>
    </r>
    <r>
      <rPr>
        <sz val="11"/>
        <color rgb="FF000000"/>
        <rFont val="Calibri"/>
        <family val="2"/>
      </rPr>
      <t xml:space="preserve">CR_LOG.EVENT_TYPE_ID IN ('713', '715')
</t>
    </r>
    <r>
      <rPr>
        <b/>
        <sz val="11"/>
        <color rgb="FF000000"/>
        <rFont val="Calibri"/>
        <family val="2"/>
      </rPr>
      <t xml:space="preserve">SELECT </t>
    </r>
    <r>
      <rPr>
        <sz val="11"/>
        <color rgb="FF000000"/>
        <rFont val="Calibri"/>
        <family val="2"/>
      </rPr>
      <t xml:space="preserve">CASE
        WHEN TRIM ( CR_LOG.TOTAL_NET_AMOUNT ) = '' OR CR_LOG.TOTAL_NET_AMOUNT IS NULL THEN CAST ( NULL AS DECIMAL(23, 6) )      
        ELSE CAST ( CR_LOG.TOTAL_NET_AMOUNT AS DECIMAL(23, 6) )
    END
</t>
    </r>
    <r>
      <rPr>
        <b/>
        <sz val="11"/>
        <color rgb="FF000000"/>
        <rFont val="Calibri"/>
        <family val="2"/>
      </rPr>
      <t xml:space="preserve">WHERE </t>
    </r>
    <r>
      <rPr>
        <sz val="11"/>
        <color rgb="FF000000"/>
        <rFont val="Calibri"/>
        <family val="2"/>
      </rPr>
      <t>CR_LOG.EVENT_TYPE_ID IS NULL OR CR_LOG.EVENT_TYPE_ID NOT IN ('700', '703', '704', '706', '708', '709', '713', '715')</t>
    </r>
  </si>
  <si>
    <t>TOTAL_NET_AMOUNT | AMOUNT_TO_RETURN</t>
  </si>
  <si>
    <t>Transaction Request Date</t>
  </si>
  <si>
    <t>transaction_request_date</t>
  </si>
  <si>
    <t>Date on which the transaction was performed. Not the be mistaken with the date to which the transaction was planned, nor with the date on which the transaction was actually executed.</t>
  </si>
  <si>
    <t>Data em que a transação foi realizada (ao balcão ou numa máquina de Selfbanking). A não ser confundida com a data planeada para a transação, nem com a data de efetiva execução da transação.</t>
  </si>
  <si>
    <t>OPERATION_DATE</t>
  </si>
  <si>
    <r>
      <rPr>
        <b/>
        <sz val="11"/>
        <color rgb="FF000000"/>
        <rFont val="Calibri"/>
        <family val="2"/>
      </rPr>
      <t xml:space="preserve">SELECT </t>
    </r>
    <r>
      <rPr>
        <sz val="11"/>
        <color rgb="FF000000"/>
        <rFont val="Calibri"/>
        <family val="2"/>
      </rPr>
      <t xml:space="preserve">IF ( TRIM ( CR_LOG.OPERATION_DATE ) = '', NULL, CONCAT ( SUBSTRING ( CR_LOG.OPERATION_DATE, 1, 4 ), '-', SUBSTRING ( CR_LOG.OPERATION_DATE, 6, 2 ), '-', SUBSTRING ( CR_LOG.OPERATION_DATE, 9, 2 ) ) )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IF ( TRIM ( CR_LOG.OPERATION_DATE ) = '', NULL, CONCAT ( SUBSTRING ( CR_LOG.OPERATION_DATE, 1, 4 ), '-', SUBSTRING ( CR_LOG.OPERATION_DATE, 6, 2 ), '-', SUBSTRING ( CR_LOG.OPERATION_DATE, 9, 2 ) ) )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IF ( TRIM ( CR_LOG.OPERATION_DATE ) = '', NULL, CONCAT ( SUBSTRING ( CR_LOG.OPERATION_DATE, 1, 4 ), '-', SUBSTRING ( CR_LOG.OPERATION_DATE, 6, 2 ), '-', SUBSTRING ( CR_LOG.OPERATION_DATE, 9, 2 ) ) )
</t>
    </r>
    <r>
      <rPr>
        <b/>
        <sz val="11"/>
        <color rgb="FF000000"/>
        <rFont val="Calibri"/>
        <family val="2"/>
      </rPr>
      <t xml:space="preserve">WHERE </t>
    </r>
    <r>
      <rPr>
        <sz val="11"/>
        <color rgb="FF000000"/>
        <rFont val="Calibri"/>
        <family val="2"/>
      </rPr>
      <t xml:space="preserve">CR_LOG.EVENT_TYPE_ID = '704'
</t>
    </r>
    <r>
      <rPr>
        <b/>
        <sz val="11"/>
        <color rgb="FF000000"/>
        <rFont val="Calibri"/>
        <family val="2"/>
      </rPr>
      <t xml:space="preserve">SELECT </t>
    </r>
    <r>
      <rPr>
        <sz val="11"/>
        <color rgb="FF000000"/>
        <rFont val="Calibri"/>
        <family val="2"/>
      </rPr>
      <t xml:space="preserve">IF ( TRIM ( CR_LOG.OPERATION_DATE ) = '', NULL, CONCAT ( SUBSTRING ( CR_LOG.OPERATION_DATE, 1, 4 ), '-', SUBSTRING ( CR_LOG.OPERATION_DATE, 6, 2 ), '-', SUBSTRING ( CR_LOG.OPERATION_DATE, 9, 2 ) ) )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IF ( TRIM ( CR_LOG.OPERATION_DATE ) = '', NULL, CONCAT ( SUBSTRING ( CR_LOG.OPERATION_DATE, 1, 4 ), '-', SUBSTRING ( CR_LOG.OPERATION_DATE, 6, 2 ), '-', SUBSTRING ( CR_LOG.OPERATION_DATE, 9, 2 ) ) )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IF ( TRIM ( CR_LOG.OPERATION_DATE ) = '', NULL, CONCAT ( SUBSTRING ( CR_LOG.OPERATION_DATE, 1, 4 ), '-', SUBSTRING ( CR_LOG.OPERATION_DATE, 6, 2 ), '-', SUBSTRING ( CR_LOG.OPERATION_DATE, 9, 2 ) ) )
</t>
    </r>
    <r>
      <rPr>
        <b/>
        <sz val="11"/>
        <color rgb="FF000000"/>
        <rFont val="Calibri"/>
        <family val="2"/>
      </rPr>
      <t xml:space="preserve">WHERE </t>
    </r>
    <r>
      <rPr>
        <sz val="11"/>
        <color rgb="FF000000"/>
        <rFont val="Calibri"/>
        <family val="2"/>
      </rPr>
      <t xml:space="preserve">CR_LOG.EVENT_TYPE_ID = '709'
</t>
    </r>
    <r>
      <rPr>
        <b/>
        <sz val="11"/>
        <color rgb="FF000000"/>
        <rFont val="Calibri"/>
        <family val="2"/>
      </rPr>
      <t xml:space="preserve">SELECT </t>
    </r>
    <r>
      <rPr>
        <sz val="11"/>
        <color rgb="FF000000"/>
        <rFont val="Calibri"/>
        <family val="2"/>
      </rPr>
      <t xml:space="preserve">IF ( TRIM ( CR_LOG.OPERATION_DATE ) = '', NULL, CONCAT ( SUBSTRING ( CR_LOG.OPERATION_DATE, 1, 4 ), '-', SUBSTRING ( CR_LOG.OPERATION_DATE, 6, 2 ), '-', SUBSTRING ( CR_LOG.OPERATION_DATE, 9, 2 ) ) )
</t>
    </r>
    <r>
      <rPr>
        <b/>
        <sz val="11"/>
        <color rgb="FF000000"/>
        <rFont val="Calibri"/>
        <family val="2"/>
      </rPr>
      <t xml:space="preserve">WHERE </t>
    </r>
    <r>
      <rPr>
        <sz val="11"/>
        <color rgb="FF000000"/>
        <rFont val="Calibri"/>
        <family val="2"/>
      </rPr>
      <t xml:space="preserve">CR_LOG.EVENT_TYPE_ID IN ('713', '715')
</t>
    </r>
    <r>
      <rPr>
        <b/>
        <sz val="11"/>
        <color rgb="FF000000"/>
        <rFont val="Calibri"/>
        <family val="2"/>
      </rPr>
      <t>SELECT</t>
    </r>
    <r>
      <rPr>
        <sz val="11"/>
        <color rgb="FF000000"/>
        <rFont val="Calibri"/>
        <family val="2"/>
      </rPr>
      <t xml:space="preserve"> IF ( TRIM ( CR_LOG.OPERATION_DATE ) = '', NULL, CONCAT ( SUBSTRING ( CR_LOG.OPERATION_DATE, 1, 4 ), '-', SUBSTRING ( CR_LOG.OPERATION_DATE, 6, 2 ), '-', SUBSTRING ( CR_LOG.OPERATION_DATE, 9, 2 ) ) )
</t>
    </r>
    <r>
      <rPr>
        <b/>
        <sz val="11"/>
        <color rgb="FF000000"/>
        <rFont val="Calibri"/>
        <family val="2"/>
      </rPr>
      <t xml:space="preserve">WHERE </t>
    </r>
    <r>
      <rPr>
        <sz val="11"/>
        <color rgb="FF000000"/>
        <rFont val="Calibri"/>
        <family val="2"/>
      </rPr>
      <t>CR_LOG.EVENT_TYPE_ID IS NULL OR CR_LOG.EVENT_TYPE_ID NOT IN ('700', '703', '704', '706', '708', '709', '713', '715')</t>
    </r>
  </si>
  <si>
    <t>Source Transaction Status Code</t>
  </si>
  <si>
    <t>source_transaction_status_code</t>
  </si>
  <si>
    <t>Source status code of the transaction.</t>
  </si>
  <si>
    <t>Estado da transação, proveniente da fonte.</t>
  </si>
  <si>
    <t>STATE</t>
  </si>
  <si>
    <r>
      <rPr>
        <b/>
        <sz val="11"/>
        <color rgb="FF000000"/>
        <rFont val="Calibri"/>
        <family val="2"/>
      </rPr>
      <t xml:space="preserve">SELECT </t>
    </r>
    <r>
      <rPr>
        <sz val="11"/>
        <color rgb="FF000000"/>
        <rFont val="Calibri"/>
        <family val="2"/>
      </rPr>
      <t xml:space="preserve">IF ( TRIM ( CR_LOG.STATE ) = '', NULL, TRIM ( CR_LOG.STATE ) )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IF ( TRIM ( CR_LOG.STATE ) = '', NULL, TRIM ( CR_LOG.STATE ) )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IF ( TRIM ( CR_LOG.STATE ) = '', NULL, TRIM ( CR_LOG.STATE ) )
</t>
    </r>
    <r>
      <rPr>
        <b/>
        <sz val="11"/>
        <color rgb="FF000000"/>
        <rFont val="Calibri"/>
        <family val="2"/>
      </rPr>
      <t xml:space="preserve">WHERE </t>
    </r>
    <r>
      <rPr>
        <sz val="11"/>
        <color rgb="FF000000"/>
        <rFont val="Calibri"/>
        <family val="2"/>
      </rPr>
      <t xml:space="preserve">CR_LOG.EVENT_TYPE_ID = '704'
</t>
    </r>
    <r>
      <rPr>
        <b/>
        <sz val="11"/>
        <color rgb="FF000000"/>
        <rFont val="Calibri"/>
        <family val="2"/>
      </rPr>
      <t xml:space="preserve">SELECT </t>
    </r>
    <r>
      <rPr>
        <sz val="11"/>
        <color rgb="FF000000"/>
        <rFont val="Calibri"/>
        <family val="2"/>
      </rPr>
      <t xml:space="preserve">IF ( TRIM ( CR_LOG.STATE ) = '', NULL, TRIM ( CR_LOG.STATE ) )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IF ( TRIM ( CR_LOG.STATE ) = '', NULL, TRIM ( CR_LOG.STATE ) )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IF ( TRIM ( CR_LOG.STATE ) = '', NULL, TRIM ( CR_LOG.STATE ) )
</t>
    </r>
    <r>
      <rPr>
        <b/>
        <sz val="11"/>
        <color rgb="FF000000"/>
        <rFont val="Calibri"/>
        <family val="2"/>
      </rPr>
      <t xml:space="preserve">WHERE </t>
    </r>
    <r>
      <rPr>
        <sz val="11"/>
        <color rgb="FF000000"/>
        <rFont val="Calibri"/>
        <family val="2"/>
      </rPr>
      <t xml:space="preserve">CR_LOG.EVENT_TYPE_ID = '709'
</t>
    </r>
    <r>
      <rPr>
        <b/>
        <sz val="11"/>
        <color rgb="FF000000"/>
        <rFont val="Calibri"/>
        <family val="2"/>
      </rPr>
      <t>SELECT</t>
    </r>
    <r>
      <rPr>
        <sz val="11"/>
        <color rgb="FF000000"/>
        <rFont val="Calibri"/>
        <family val="2"/>
      </rPr>
      <t xml:space="preserve"> IF ( TRIM ( CR_LOG.STATE ) = '', NULL, TRIM ( CR_LOG.STATE ) )
</t>
    </r>
    <r>
      <rPr>
        <b/>
        <sz val="11"/>
        <color rgb="FF000000"/>
        <rFont val="Calibri"/>
        <family val="2"/>
      </rPr>
      <t xml:space="preserve">WHERE </t>
    </r>
    <r>
      <rPr>
        <sz val="11"/>
        <color rgb="FF000000"/>
        <rFont val="Calibri"/>
        <family val="2"/>
      </rPr>
      <t xml:space="preserve">CR_LOG.EVENT_TYPE_ID IN ('713', '715')
</t>
    </r>
    <r>
      <rPr>
        <b/>
        <sz val="11"/>
        <color rgb="FF000000"/>
        <rFont val="Calibri"/>
        <family val="2"/>
      </rPr>
      <t xml:space="preserve">SELECT </t>
    </r>
    <r>
      <rPr>
        <sz val="11"/>
        <color rgb="FF000000"/>
        <rFont val="Calibri"/>
        <family val="2"/>
      </rPr>
      <t xml:space="preserve">IF ( TRIM ( CR_LOG.STATE ) = '', NULL, TRIM ( CR_LOG.STATE ) )
</t>
    </r>
    <r>
      <rPr>
        <b/>
        <sz val="11"/>
        <color rgb="FF000000"/>
        <rFont val="Calibri"/>
        <family val="2"/>
      </rPr>
      <t xml:space="preserve">WHERE </t>
    </r>
    <r>
      <rPr>
        <sz val="11"/>
        <color rgb="FF000000"/>
        <rFont val="Calibri"/>
        <family val="2"/>
      </rPr>
      <t>CR_LOG.EVENT_TYPE_ID IS NULL OR CR_LOG.EVENT_TYPE_ID NOT IN ('700', '703', '704', '706', '708', '709', '713', '715')</t>
    </r>
  </si>
  <si>
    <t>Comments</t>
  </si>
  <si>
    <t>comments</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</si>
  <si>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</si>
  <si>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</si>
  <si>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COMMENTS</t>
  </si>
  <si>
    <r>
      <rPr>
        <b/>
        <sz val="11"/>
        <color rgb="FF000000"/>
        <rFont val="Calibri"/>
        <family val="2"/>
      </rPr>
      <t xml:space="preserve">SELECT </t>
    </r>
    <r>
      <rPr>
        <sz val="11"/>
        <color rgb="FF000000"/>
        <rFont val="Calibri"/>
        <family val="2"/>
      </rPr>
      <t xml:space="preserve">TRIM ( CR_LOG.COMMENTS )
</t>
    </r>
    <r>
      <rPr>
        <b/>
        <sz val="11"/>
        <color rgb="FF000000"/>
        <rFont val="Calibri"/>
        <family val="2"/>
      </rPr>
      <t xml:space="preserve">WHERE </t>
    </r>
    <r>
      <rPr>
        <sz val="11"/>
        <color rgb="FF000000"/>
        <rFont val="Calibri"/>
        <family val="2"/>
      </rPr>
      <t xml:space="preserve">CR_LOG.EVENT_TYPE_ID = '700'
</t>
    </r>
    <r>
      <rPr>
        <b/>
        <sz val="11"/>
        <color rgb="FF000000"/>
        <rFont val="Calibri"/>
        <family val="2"/>
      </rPr>
      <t xml:space="preserve">SELECT </t>
    </r>
    <r>
      <rPr>
        <sz val="11"/>
        <color rgb="FF000000"/>
        <rFont val="Calibri"/>
        <family val="2"/>
      </rPr>
      <t xml:space="preserve">TRIM ( CR_LOG.COMMENTS )
</t>
    </r>
    <r>
      <rPr>
        <b/>
        <sz val="11"/>
        <color rgb="FF000000"/>
        <rFont val="Calibri"/>
        <family val="2"/>
      </rPr>
      <t xml:space="preserve">WHERE </t>
    </r>
    <r>
      <rPr>
        <sz val="11"/>
        <color rgb="FF000000"/>
        <rFont val="Calibri"/>
        <family val="2"/>
      </rPr>
      <t xml:space="preserve">CR_LOG.EVENT_TYPE_ID = '703'
</t>
    </r>
    <r>
      <rPr>
        <b/>
        <sz val="11"/>
        <color rgb="FF000000"/>
        <rFont val="Calibri"/>
        <family val="2"/>
      </rPr>
      <t xml:space="preserve">SELECT </t>
    </r>
    <r>
      <rPr>
        <sz val="11"/>
        <color rgb="FF000000"/>
        <rFont val="Calibri"/>
        <family val="2"/>
      </rPr>
      <t xml:space="preserve">TRIM ( CR_LOG.COMMENTS )
</t>
    </r>
    <r>
      <rPr>
        <b/>
        <sz val="11"/>
        <color rgb="FF000000"/>
        <rFont val="Calibri"/>
        <family val="2"/>
      </rPr>
      <t xml:space="preserve">WHERE </t>
    </r>
    <r>
      <rPr>
        <sz val="11"/>
        <color rgb="FF000000"/>
        <rFont val="Calibri"/>
        <family val="2"/>
      </rPr>
      <t xml:space="preserve">CR_LOG.EVENT_TYPE_ID = '704'
</t>
    </r>
    <r>
      <rPr>
        <b/>
        <sz val="11"/>
        <color rgb="FF000000"/>
        <rFont val="Calibri"/>
        <family val="2"/>
      </rPr>
      <t>SELECT</t>
    </r>
    <r>
      <rPr>
        <sz val="11"/>
        <color rgb="FF000000"/>
        <rFont val="Calibri"/>
        <family val="2"/>
      </rPr>
      <t xml:space="preserve"> TRIM ( CR_LOG.COMMENTS )
</t>
    </r>
    <r>
      <rPr>
        <b/>
        <sz val="11"/>
        <color rgb="FF000000"/>
        <rFont val="Calibri"/>
        <family val="2"/>
      </rPr>
      <t xml:space="preserve">WHERE </t>
    </r>
    <r>
      <rPr>
        <sz val="11"/>
        <color rgb="FF000000"/>
        <rFont val="Calibri"/>
        <family val="2"/>
      </rPr>
      <t xml:space="preserve">CR_LOG.EVENT_TYPE_ID = '706'
</t>
    </r>
    <r>
      <rPr>
        <b/>
        <sz val="11"/>
        <color rgb="FF000000"/>
        <rFont val="Calibri"/>
        <family val="2"/>
      </rPr>
      <t xml:space="preserve">SELECT </t>
    </r>
    <r>
      <rPr>
        <sz val="11"/>
        <color rgb="FF000000"/>
        <rFont val="Calibri"/>
        <family val="2"/>
      </rPr>
      <t xml:space="preserve">TRIM ( CR_LOG.COMMENTS )
</t>
    </r>
    <r>
      <rPr>
        <b/>
        <sz val="11"/>
        <color rgb="FF000000"/>
        <rFont val="Calibri"/>
        <family val="2"/>
      </rPr>
      <t xml:space="preserve">WHERE </t>
    </r>
    <r>
      <rPr>
        <sz val="11"/>
        <color rgb="FF000000"/>
        <rFont val="Calibri"/>
        <family val="2"/>
      </rPr>
      <t xml:space="preserve">CR_LOG.EVENT_TYPE_ID = '708'
</t>
    </r>
    <r>
      <rPr>
        <b/>
        <sz val="11"/>
        <color rgb="FF000000"/>
        <rFont val="Calibri"/>
        <family val="2"/>
      </rPr>
      <t xml:space="preserve">SELECT </t>
    </r>
    <r>
      <rPr>
        <sz val="11"/>
        <color rgb="FF000000"/>
        <rFont val="Calibri"/>
        <family val="2"/>
      </rPr>
      <t xml:space="preserve">TRIM ( CR_LOG.COMMENTS )
</t>
    </r>
    <r>
      <rPr>
        <b/>
        <sz val="11"/>
        <color rgb="FF000000"/>
        <rFont val="Calibri"/>
        <family val="2"/>
      </rPr>
      <t xml:space="preserve">WHERE </t>
    </r>
    <r>
      <rPr>
        <sz val="11"/>
        <color rgb="FF000000"/>
        <rFont val="Calibri"/>
        <family val="2"/>
      </rPr>
      <t xml:space="preserve">CR_LOG.EVENT_TYPE_ID = '709'
</t>
    </r>
    <r>
      <rPr>
        <b/>
        <sz val="11"/>
        <color rgb="FF000000"/>
        <rFont val="Calibri"/>
        <family val="2"/>
      </rPr>
      <t>SELECT</t>
    </r>
    <r>
      <rPr>
        <sz val="11"/>
        <color rgb="FF000000"/>
        <rFont val="Calibri"/>
        <family val="2"/>
      </rPr>
      <t xml:space="preserve"> TRIM ( CR_LOG.COMMENTS )
</t>
    </r>
    <r>
      <rPr>
        <b/>
        <sz val="11"/>
        <color rgb="FF000000"/>
        <rFont val="Calibri"/>
        <family val="2"/>
      </rPr>
      <t xml:space="preserve">WHERE </t>
    </r>
    <r>
      <rPr>
        <sz val="11"/>
        <color rgb="FF000000"/>
        <rFont val="Calibri"/>
        <family val="2"/>
      </rPr>
      <t xml:space="preserve">CR_LOG.EVENT_TYPE_ID IN ('713', '715')
</t>
    </r>
    <r>
      <rPr>
        <b/>
        <sz val="11"/>
        <color rgb="FF000000"/>
        <rFont val="Calibri"/>
        <family val="2"/>
      </rPr>
      <t xml:space="preserve">SELECT </t>
    </r>
    <r>
      <rPr>
        <sz val="11"/>
        <color rgb="FF000000"/>
        <rFont val="Calibri"/>
        <family val="2"/>
      </rPr>
      <t xml:space="preserve">TRIM ( CR_LOG.COMMENTS )
</t>
    </r>
    <r>
      <rPr>
        <b/>
        <sz val="11"/>
        <color rgb="FF000000"/>
        <rFont val="Calibri"/>
        <family val="2"/>
      </rPr>
      <t xml:space="preserve">WHERE </t>
    </r>
    <r>
      <rPr>
        <sz val="11"/>
        <color rgb="FF000000"/>
        <rFont val="Calibri"/>
        <family val="2"/>
      </rPr>
      <t>CR_LOG.EVENT_TYPE_ID IS NULL OR CR_LOG.EVENT_TYPE_ID NOT IN ('700', '703', '704', '706', '708', '709', '713', '715')</t>
    </r>
  </si>
  <si>
    <t>Source Code</t>
  </si>
  <si>
    <t>source_code</t>
  </si>
  <si>
    <t>Tec - Code</t>
  </si>
  <si>
    <t>Identifier of the Santander's application that generated the information. For example, EP for loans, CRT for cards, etc.</t>
  </si>
  <si>
    <t>Código da aplicação fonte, isto é, aplicação técnica que gerou o resgisto.</t>
  </si>
  <si>
    <r>
      <rPr>
        <b/>
        <sz val="11"/>
        <color rgb="FF000000"/>
        <rFont val="Calibri"/>
        <family val="2"/>
      </rPr>
      <t xml:space="preserve">SELECT </t>
    </r>
    <r>
      <rPr>
        <sz val="11"/>
        <color rgb="FF000000"/>
        <rFont val="Calibri"/>
        <family val="2"/>
      </rPr>
      <t xml:space="preserve">'BKT'
</t>
    </r>
    <r>
      <rPr>
        <b/>
        <sz val="11"/>
        <color rgb="FF000000"/>
        <rFont val="Calibri"/>
        <family val="2"/>
      </rPr>
      <t xml:space="preserve">SELECT </t>
    </r>
    <r>
      <rPr>
        <sz val="11"/>
        <color rgb="FF000000"/>
        <rFont val="Calibri"/>
        <family val="2"/>
      </rPr>
      <t xml:space="preserve">'BKT'
</t>
    </r>
    <r>
      <rPr>
        <b/>
        <sz val="11"/>
        <color rgb="FF000000"/>
        <rFont val="Calibri"/>
        <family val="2"/>
      </rPr>
      <t xml:space="preserve">SELECT </t>
    </r>
    <r>
      <rPr>
        <sz val="11"/>
        <color rgb="FF000000"/>
        <rFont val="Calibri"/>
        <family val="2"/>
      </rPr>
      <t xml:space="preserve">'BKT'
</t>
    </r>
    <r>
      <rPr>
        <b/>
        <sz val="11"/>
        <color rgb="FF000000"/>
        <rFont val="Calibri"/>
        <family val="2"/>
      </rPr>
      <t xml:space="preserve">SELECT </t>
    </r>
    <r>
      <rPr>
        <sz val="11"/>
        <color rgb="FF000000"/>
        <rFont val="Calibri"/>
        <family val="2"/>
      </rPr>
      <t xml:space="preserve">'BKT'
</t>
    </r>
    <r>
      <rPr>
        <b/>
        <sz val="11"/>
        <color rgb="FF000000"/>
        <rFont val="Calibri"/>
        <family val="2"/>
      </rPr>
      <t xml:space="preserve">SELECT </t>
    </r>
    <r>
      <rPr>
        <sz val="11"/>
        <color rgb="FF000000"/>
        <rFont val="Calibri"/>
        <family val="2"/>
      </rPr>
      <t xml:space="preserve">'BKT'
</t>
    </r>
    <r>
      <rPr>
        <b/>
        <sz val="11"/>
        <color rgb="FF000000"/>
        <rFont val="Calibri"/>
        <family val="2"/>
      </rPr>
      <t xml:space="preserve">SELECT </t>
    </r>
    <r>
      <rPr>
        <sz val="11"/>
        <color rgb="FF000000"/>
        <rFont val="Calibri"/>
        <family val="2"/>
      </rPr>
      <t xml:space="preserve">'BKT' 
</t>
    </r>
    <r>
      <rPr>
        <b/>
        <sz val="11"/>
        <color rgb="FF000000"/>
        <rFont val="Calibri"/>
        <family val="2"/>
      </rPr>
      <t xml:space="preserve">SELECT </t>
    </r>
    <r>
      <rPr>
        <sz val="11"/>
        <color rgb="FF000000"/>
        <rFont val="Calibri"/>
        <family val="2"/>
      </rPr>
      <t xml:space="preserve">'BKT'
</t>
    </r>
    <r>
      <rPr>
        <b/>
        <sz val="11"/>
        <color rgb="FF000000"/>
        <rFont val="Calibri"/>
        <family val="2"/>
      </rPr>
      <t xml:space="preserve">SELECT </t>
    </r>
    <r>
      <rPr>
        <sz val="11"/>
        <color rgb="FF000000"/>
        <rFont val="Calibri"/>
        <family val="2"/>
      </rPr>
      <t>'BKT'</t>
    </r>
  </si>
  <si>
    <t>Data de referência dos dados.</t>
  </si>
  <si>
    <r>
      <rPr>
        <b/>
        <sz val="11"/>
        <color rgb="FF000000"/>
        <rFont val="Calibri"/>
        <family val="2"/>
      </rPr>
      <t xml:space="preserve">SELECT </t>
    </r>
    <r>
      <rPr>
        <sz val="11"/>
        <color rgb="FF000000"/>
        <rFont val="Calibri"/>
        <family val="2"/>
      </rPr>
      <t xml:space="preserve">CR_LOG.DATA_DATE_PART
</t>
    </r>
    <r>
      <rPr>
        <b/>
        <sz val="11"/>
        <color rgb="FF000000"/>
        <rFont val="Calibri"/>
        <family val="2"/>
      </rPr>
      <t xml:space="preserve">SELECT </t>
    </r>
    <r>
      <rPr>
        <sz val="11"/>
        <color rgb="FF000000"/>
        <rFont val="Calibri"/>
        <family val="2"/>
      </rPr>
      <t xml:space="preserve">CR_LOG.DATA_DATE_PART
</t>
    </r>
    <r>
      <rPr>
        <b/>
        <sz val="11"/>
        <color rgb="FF000000"/>
        <rFont val="Calibri"/>
        <family val="2"/>
      </rPr>
      <t xml:space="preserve">SELECT </t>
    </r>
    <r>
      <rPr>
        <sz val="11"/>
        <color rgb="FF000000"/>
        <rFont val="Calibri"/>
        <family val="2"/>
      </rPr>
      <t xml:space="preserve">CR_LOG.DATA_DATE_PART
</t>
    </r>
    <r>
      <rPr>
        <b/>
        <sz val="11"/>
        <color rgb="FF000000"/>
        <rFont val="Calibri"/>
        <family val="2"/>
      </rPr>
      <t xml:space="preserve">SELECT </t>
    </r>
    <r>
      <rPr>
        <sz val="11"/>
        <color rgb="FF000000"/>
        <rFont val="Calibri"/>
        <family val="2"/>
      </rPr>
      <t xml:space="preserve">CR_LOG.DATA_DATE_PART
</t>
    </r>
    <r>
      <rPr>
        <b/>
        <sz val="11"/>
        <color rgb="FF000000"/>
        <rFont val="Calibri"/>
        <family val="2"/>
      </rPr>
      <t xml:space="preserve">SELECT </t>
    </r>
    <r>
      <rPr>
        <sz val="11"/>
        <color rgb="FF000000"/>
        <rFont val="Calibri"/>
        <family val="2"/>
      </rPr>
      <t xml:space="preserve">CR_LOG.DATA_DATE_PART
</t>
    </r>
    <r>
      <rPr>
        <b/>
        <sz val="11"/>
        <color rgb="FF000000"/>
        <rFont val="Calibri"/>
        <family val="2"/>
      </rPr>
      <t xml:space="preserve">SELECT </t>
    </r>
    <r>
      <rPr>
        <sz val="11"/>
        <color rgb="FF000000"/>
        <rFont val="Calibri"/>
        <family val="2"/>
      </rPr>
      <t xml:space="preserve">CR_LOG.DATA_DATE_PART
</t>
    </r>
    <r>
      <rPr>
        <b/>
        <sz val="11"/>
        <color rgb="FF000000"/>
        <rFont val="Calibri"/>
        <family val="2"/>
      </rPr>
      <t xml:space="preserve">SELECT </t>
    </r>
    <r>
      <rPr>
        <sz val="11"/>
        <color rgb="FF000000"/>
        <rFont val="Calibri"/>
        <family val="2"/>
      </rPr>
      <t xml:space="preserve">CR_LOG.DATA_DATE_PART
</t>
    </r>
    <r>
      <rPr>
        <b/>
        <sz val="11"/>
        <color rgb="FF000000"/>
        <rFont val="Calibri"/>
        <family val="2"/>
      </rPr>
      <t xml:space="preserve">SELECT </t>
    </r>
    <r>
      <rPr>
        <sz val="11"/>
        <color rgb="FF000000"/>
        <rFont val="Calibri"/>
        <family val="2"/>
      </rPr>
      <t>CR_LOG.DATA_DATE_PART</t>
    </r>
  </si>
  <si>
    <r>
      <rPr>
        <sz val="11"/>
        <color rgb="FF000000"/>
        <rFont val="Calibri"/>
        <family val="2"/>
        <scheme val="minor"/>
      </rPr>
      <t xml:space="preserve">Timestamp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</si>
  <si>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NOW()</t>
    </r>
  </si>
  <si>
    <t xml:space="preserve">NOME BD </t>
  </si>
  <si>
    <t>NOME FÍSICO BD FONTE ESQUERDA</t>
  </si>
  <si>
    <t>NOME FÍSICO TABELA FONTE ESQUERDA</t>
  </si>
  <si>
    <t>NOME FÍSICO BD FONTE DIREITA</t>
  </si>
  <si>
    <t>NOME FÍSICO TABELA FONTE DIREITA</t>
  </si>
  <si>
    <t>REGRA DE CRUZAMENTO</t>
  </si>
  <si>
    <t>TIPO CRUZAMENTO</t>
  </si>
  <si>
    <t>curated_internal_bankteller</t>
  </si>
  <si>
    <t>cr_log</t>
  </si>
  <si>
    <t>curated_internal_mainframe_estruturais</t>
  </si>
  <si>
    <t>tat91_tabelas_new</t>
  </si>
  <si>
    <t>cr_log.currency = TRIM ( tat91_tabelas_new.tayd91c0_nelemc01 )</t>
  </si>
  <si>
    <t>LEFT JOIN</t>
  </si>
  <si>
    <t>curated_internal_mainframe_contas</t>
  </si>
  <si>
    <t>movimentos_consolidados</t>
  </si>
  <si>
    <t>CONCAT (
    TRIM ( cr_log.account_number ),
    cr_log.datalog:idempr,
    cr_log.unit_business,
    cr_log.datalog:termbto,
    LPAD ( cr_log.datalog:numdgo, 8, '0' )
) = 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AND cr_log.event_type_id = '700'</t>
  </si>
  <si>
    <t>INNER JOIN</t>
  </si>
  <si>
    <t>CONCAT (
    TRIM ( cr_log.account_number ),
    cr_log.company,
    cr_log.unit_business,
    cr_log.datalog:trx_output:hlpa2output:termbto,
    LPAD ( cr_log.datalog:numdgo, 8, '0' )
) = 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AND cr_log.event_type_id = '703'</t>
  </si>
  <si>
    <t>CONCAT (
    TRIM ( cr_log.account_number ),
    cr_log.company,
    cr_log.unit_business,
    cr_log.datalog:trx_output:hlpm3rootoutput:termbto,
    LPAD ( cr_log.datalog:numdgo, 8, '0' )
) = 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AND cr_log.event_type_id = '706'</t>
  </si>
  <si>
    <t>CONCAT (
    TRIM ( cr_log.account_number ),
    cr_log.company,
    cr_log.unit_business,
    cr_log.datalog:trx_output:hlim3rootoutput:termbto,
    LPAD ( cr_log.datalog:numdgo, 8, '0' )
) = 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AND cr_log.event_type_id = '708'</t>
  </si>
  <si>
    <t>CONCAT (
    cr_log.account_number,
    SUBSTRING ( cr_log.transaction_id, 1, 8 ),
    SUBSTRING ( cr_log.transaction_id, 9, 4 ),
    LPAD ( SUBSTRING ( cr_log.transaction_id, 13, 6 ), 8, '0' )
) = CONCAT (
    movimentos_consolidados.dcyr9750_ckbalcao,
    movimentos_consolidados.dcyr9750_cknumcta,
    REPLACE ( movimentos_consolidados.dcyr9750_dproc, '-', '' ),
    movimentos_consolidados.dcyr9750_cterm,
    LPAD ( movimentos_consolidados.dcyr9750_zjournal, 8, '0' )
)
AND cr_log.event_type_id IN ('713', '715')</t>
  </si>
  <si>
    <t>NOME FÍSICO BD FONTE</t>
  </si>
  <si>
    <t>NOME FÍSICO TABELA FONTE</t>
  </si>
  <si>
    <t>REGRA DE ATAQUE</t>
  </si>
  <si>
    <t>DESCRIÇÃO ESTADOS CONSIDERADOS</t>
  </si>
  <si>
    <t>DESCRIÇÃO ESTADOS DESCONSIDERADOS</t>
  </si>
  <si>
    <t>tat91_tabelas_new.tayd91c0_ctabela = '206'
    AND TRIM ( tat91_tabelas_new.tayd91c0_nelemc01 ) != ''</t>
  </si>
  <si>
    <t>cr_log.event_type_id IN ( '700', '703', '704', '706', '708','713', '715') 
    AND cr_log.data_date_part &lt;= ODATE
    AND cr_log.data_date_part &gt; ODATE_ANTERIOR</t>
  </si>
  <si>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 xml:space="preserve">CR_LOG.EVENT_TYPE_ID = '700' AND ROW_NUMBER() OVER (PARTITION BY CR.CR_DATA_DATE_PART ORDER BY TAT91_TABELAS.DATA_DATE_PART ASC)=1
</t>
    </r>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 xml:space="preserve">CR_LOG.EVENT_TYPE_ID = '703' AND ROW_NUMBER() OVER (PARTITION BY CR.CR_DATA_DATE_PART ORDER BY TAT91_TABELAS.DATA_DATE_PART ASC)=1
</t>
    </r>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 xml:space="preserve">CR_LOG.EVENT_TYPE_ID = '706' AND ROW_NUMBER() OVER (PARTITION BY CR.CR_DATA_DATE_PART ORDER BY TAT91_TABELAS.DATA_DATE_PART ASC)=1
</t>
    </r>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 xml:space="preserve">CR_LOG.EVENT_TYPE_ID = '708' AND ROW_NUMBER() OVER (PARTITION BY CR.CR_DATA_DATE_PART ORDER BY TAT91_TABELAS.DATA_DATE_PART ASC)=1
</t>
    </r>
    <r>
      <rPr>
        <b/>
        <sz val="11"/>
        <color rgb="FF000000"/>
        <rFont val="Calibri"/>
      </rPr>
      <t xml:space="preserve">SELECT </t>
    </r>
    <r>
      <rPr>
        <sz val="11"/>
        <color rgb="FF000000"/>
        <rFont val="Calibri"/>
      </rPr>
      <t xml:space="preserve">IF ( TRIM ( CR_LOG.ID ) = '', NULL, CAST ( CAST ( TRIM ( CR_LOG.ID ) AS INT ) AS STRING ) )
</t>
    </r>
    <r>
      <rPr>
        <b/>
        <sz val="11"/>
        <color rgb="FF000000"/>
        <rFont val="Calibri"/>
      </rPr>
      <t xml:space="preserve">WHERE  </t>
    </r>
    <r>
      <rPr>
        <sz val="11"/>
        <color rgb="FF000000"/>
        <rFont val="Calibri"/>
      </rPr>
      <t xml:space="preserve">CR_LOG.EVENT_TYPE_ID IN ('713', '715') AND ROW_NUMBER() OVER (PARTITION BY CR.CR_DATA_DATE_PART ORDER BY TAT91_TABELAS.DATA_DATE_PART ASC)=1
</t>
    </r>
  </si>
  <si>
    <r>
      <rPr>
        <b/>
        <sz val="11"/>
        <color rgb="FF000000"/>
        <rFont val="Calibri"/>
      </rPr>
      <t xml:space="preserve">SELECT </t>
    </r>
    <r>
      <rPr>
        <sz val="11"/>
        <color rgb="FF000000"/>
        <rFont val="Calibri"/>
      </rPr>
      <t xml:space="preserve">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t>
    </r>
    <r>
      <rPr>
        <b/>
        <sz val="11"/>
        <color rgb="FF000000"/>
        <rFont val="Calibri"/>
      </rPr>
      <t xml:space="preserve">WHERE </t>
    </r>
    <r>
      <rPr>
        <sz val="11"/>
        <color rgb="FF000000"/>
        <rFont val="Calibri"/>
      </rPr>
      <t xml:space="preserve">CR_LOG.EVENT_TYPE_ID = '700'  AND ROW_NUMBER() OVER (PARTITION BY CR.CR_DATA_DATE_PART ORDER BY TAT91_TABELAS.DATA_DATE_PART ASC)=1
</t>
    </r>
    <r>
      <rPr>
        <b/>
        <sz val="11"/>
        <color rgb="FF000000"/>
        <rFont val="Calibri"/>
      </rPr>
      <t xml:space="preserve">SELECT </t>
    </r>
    <r>
      <rPr>
        <sz val="11"/>
        <color rgb="FF000000"/>
        <rFont val="Calibri"/>
      </rPr>
      <t xml:space="preserve">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t>
    </r>
    <r>
      <rPr>
        <b/>
        <sz val="11"/>
        <color rgb="FF000000"/>
        <rFont val="Calibri"/>
      </rPr>
      <t xml:space="preserve">WHERE  </t>
    </r>
    <r>
      <rPr>
        <sz val="11"/>
        <color rgb="FF000000"/>
        <rFont val="Calibri"/>
      </rPr>
      <t xml:space="preserve">CR_LOG.EVENT_TYPE_ID = '703'  AND ROW_NUMBER() OVER (PARTITION BY CR.CR_DATA_DATE_PART ORDER BY TAT91_TABELAS.DATA_DATE_PART ASC)=1
</t>
    </r>
    <r>
      <rPr>
        <b/>
        <sz val="11"/>
        <color rgb="FF000000"/>
        <rFont val="Calibri"/>
      </rPr>
      <t xml:space="preserve">SELECT </t>
    </r>
    <r>
      <rPr>
        <sz val="11"/>
        <color rgb="FF000000"/>
        <rFont val="Calibri"/>
      </rPr>
      <t xml:space="preserve">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t>
    </r>
    <r>
      <rPr>
        <b/>
        <sz val="11"/>
        <color rgb="FF000000"/>
        <rFont val="Calibri"/>
      </rPr>
      <t xml:space="preserve">WHERE </t>
    </r>
    <r>
      <rPr>
        <sz val="11"/>
        <color rgb="FF000000"/>
        <rFont val="Calibri"/>
      </rPr>
      <t xml:space="preserve">CR_LOG.EVENT_TYPE_ID  = '706'  AND ROW_NUMBER() OVER (PARTITION BY CR.CR_DATA_DATE_PART ORDER BY TAT91_TABELAS.DATA_DATE_PART ASC)=1
</t>
    </r>
    <r>
      <rPr>
        <b/>
        <sz val="11"/>
        <color rgb="FF000000"/>
        <rFont val="Calibri"/>
      </rPr>
      <t xml:space="preserve">SELECT </t>
    </r>
    <r>
      <rPr>
        <sz val="11"/>
        <color rgb="FF000000"/>
        <rFont val="Calibri"/>
      </rPr>
      <t xml:space="preserve">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t>
    </r>
    <r>
      <rPr>
        <b/>
        <sz val="11"/>
        <color rgb="FF000000"/>
        <rFont val="Calibri"/>
      </rPr>
      <t xml:space="preserve">WHERE </t>
    </r>
    <r>
      <rPr>
        <sz val="11"/>
        <color rgb="FF000000"/>
        <rFont val="Calibri"/>
      </rPr>
      <t xml:space="preserve">CR_LOG.EVENT_TYPE_ID = '708'   AND ROW_NUMBER() OVER (PARTITION BY CR.CR_DATA_DATE_PART ORDER BY TAT91_TABELAS.DATA_DATE_PART ASC)=1
</t>
    </r>
    <r>
      <rPr>
        <b/>
        <sz val="11"/>
        <color rgb="FF000000"/>
        <rFont val="Calibri"/>
      </rPr>
      <t xml:space="preserve">SELECT </t>
    </r>
    <r>
      <rPr>
        <sz val="11"/>
        <color rgb="FF000000"/>
        <rFont val="Calibri"/>
      </rPr>
      <t xml:space="preserve">CONCAT (
    MOVIMENTOS_CONSOLIDADOS.DCYR9750_CKBALCAO,
    MOVIMENTOS_CONSOLIDADOS.DCYR9750_CKNUMCTA,
    REPLACE ( MOVIMENTOS_CONSOLIDADOS.DCYR9750_DPROC, '-', '' ),
    MOVIMENTOS_CONSOLIDADOS.DCYR9750_CTERM,
    LPAD ( MOVIMENTOS_CONSOLIDADOS.DCYR9750_ZJOURNAL, 8, '0' )
)
</t>
    </r>
    <r>
      <rPr>
        <b/>
        <sz val="11"/>
        <color rgb="FF000000"/>
        <rFont val="Calibri"/>
      </rPr>
      <t xml:space="preserve">WHERE </t>
    </r>
    <r>
      <rPr>
        <sz val="11"/>
        <color rgb="FF000000"/>
        <rFont val="Calibri"/>
      </rPr>
      <t>CR_LOG.EVENT_TYPE_ID IN ('713', '715')  AND ROW_NUMBER() OVER (PARTITION BY CR.CR_DATA_DATE_PART ORDER BY TAT91_TABELAS.DATA_DATE_PART ASC)=1</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</si>
  <si>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CR_LOG.EVENT_TYPE_ID
    AND PARAM_GENERAL_CODE_CONVERTER.OPTION_NUMBER = 1 
    AND PARAM_GENERAL_CODE_CONVERTER.DATA_DATE_PART = '2025-11-10' 
    AND CR_LOG.EVENT_TYPE_ID = '700'  AND ROW_NUMBER() OVER (PARTITION BY CR.CR_DATA_DATE_PART ORDER BY TAT91_TABELAS.DATA_DATE_PART ASC)=1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CR_LOG.EVENT_TYPE_ID
    AND PARAM_GENERAL_CODE_CONVERTER.OPTION_NUMBER = 1 
    AND PARAM_GENERAL_CODE_CONVERTER.DATA_DATE_PART = '2025-11-10' 
    AND CR_LOG.EVENT_TYPE_ID = '703'  AND ROW_NUMBER() OVER (PARTITION BY CR.CR_DATA_DATE_PART ORDER BY TAT91_TABELAS.DATA_DATE_PART ASC)=1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CR_LOG.EVENT_TYPE_ID
    AND PARAM_GENERAL_CODE_CONVERTER.OPTION_NUMBER = 1 
     AND PARAM_GENERAL_CODE_CONVERTER.DATA_DATE_PART = '2025-11-10' 
    AND CR_LOG.EVENT_TYPE_ID = '706'  AND ROW_NUMBER() OVER (PARTITION BY CR.CR_DATA_DATE_PART ORDER BY TAT91_TABELAS.DATA_DATE_PART ASC)=1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CR_LOG.EVENT_TYPE_ID
    AND PARAM_GENERAL_CODE_CONVERTER.OPTION_NUMBER = 1 
    AND PARAM_GENERAL_CODE_CONVERTER.DATA_DATE_PART = '2025-11-10' 
    AND CR_LOG.EVENT_TYPE_ID = '708'  AND ROW_NUMBER() OVER (PARTITION BY CR.CR_DATA_DATE_PART ORDER BY TAT91_TABELAS.DATA_DATE_PART ASC)=1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'transaction_detail_code'
    AND PARAM_GENERAL_CODE_CONVERTER.SOURCE_CODE = 'BKT'
    AND PARAM_GENERAL_CODE_CONVERTER.SOURCE_VALUE = CR_LOG.EVENT_TYPE_ID
    AND PARAM_GENERAL_CODE_CONVERTER.OPTION_NUMBER = 1 
     AND PARAM_GENERAL_CODE_CONVERTER.DATA_DATE_PART = '2025-11-10' 
    AND CR_LOG.EVENT_TYPE_ID = '709'  AND ROW_NUMBER() OVER (PARTITION BY CR.CR_DATA_DATE_PART ORDER BY TAT91_TABELAS.DATA_DATE_PART ASC)=1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'transaction_detail_code'
    AND PARAM_GENERAL_CODE_CONVERTER.SOURCE_CODE = 'BKT'
    AND PARAM_GENERAL_CODE_CONVERTER.SOURCE_VALUE = CR_LOG.EVENT_TYPE_ID
    AND PARAM_GENERAL_CODE_CONVERTER.OPTION_NUMBER = 1 
     AND PARAM_GENERAL_CODE_CONVERTER.DATA_DATE_PART = '2025-11-10' 
    AND CR_LOG.EVENT_TYPE_ID IN ('713', '715')  AND ROW_NUMBER() OVER (PARTITION BY CR.CR_DATA_DATE_PART ORDER BY TAT91_TABELAS.DATA_DATE_PART ASC)=1</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</si>
  <si>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'bank_id'
    AND PARAM_GENERAL_CODE_CONVERTER.SOURCE_VALUE =  ''
    AND PARAM_GENERAL_CODE_CONVERTER.OPTION_NUMBER = 1
        AND PARAM_GENERAL_CODE_CONVERTER.DATA_DATE_PART = '2025-11-10' 
    AND CR_LOG.EVENT_TYPE_ID = '700'  AND ROW_NUMBER() OVER (PARTITION BY CR.CR_DATA_DATE_PART ORDER BY TAT91_TABELAS.DATA_DATE_PART ASC)=1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'bank_id'
    AND PARAM_GENERAL_CODE_CONVERTER.SOURCE_VALUE =  ''
    AND PARAM_GENERAL_CODE_CONVERTER.OPTION_NUMBER = 1
      AND PARAM_GENERAL_CODE_CONVERTER.DATA_DATE_PART = '2025-11-10' 
    AND CR_LOG.EVENT_TYPE_ID = '703'  AND ROW_NUMBER() OVER (PARTITION BY CR.CR_DATA_DATE_PART ORDER BY TAT91_TABELAS.DATA_DATE_PART ASC)=1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'bank_id'
    AND PARAM_GENERAL_CODE_CONVERTER.SOURCE_VALUE =  ''
    AND PARAM_GENERAL_CODE_CONVERTER.OPTION_NUMBER = 1
    AND PARAM_GENERAL_CODE_CONVERTER.DATA_DATE_PART = '2025-11-10' 
    AND CR_LOG.EVENT_TYPE_ID = '706'  AND ROW_NUMBER() OVER (PARTITION BY CR.CR_DATA_DATE_PART ORDER BY TAT91_TABELAS.DATA_DATE_PART ASC)=1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'bank_id'
    AND PARAM_GENERAL_CODE_CONVERTER.SOURCE_VALUE =  ''
    AND PARAM_GENERAL_CODE_CONVERTER.OPTION_NUMBER = 1
     AND PARAM_GENERAL_CODE_CONVERTER.DATA_DATE_PART = '2025-11-10' 
    AND CR_LOG.EVENT_TYPE_ID = '708'  AND ROW_NUMBER() OVER (PARTITION BY CR.CR_DATA_DATE_PART ORDER BY TAT91_TABELAS.DATA_DATE_PART ASC)=1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'bank_id'
    AND PARAM_GENERAL_CODE_CONVERTER.SOURCE_VALUE =  ''
    AND PARAM_GENERAL_CODE_CONVERTER.OPTION_NUMBER = 1
    AND PARAM_GENERAL_CODE_CONVERTER.DATA_DATE_PART = '2025-11-10' 
    AND CR_LOG.EVENT_TYPE_ID IN ('713', '715') AND ROW_NUMBER() OVER (PARTITION BY CR.CR_DATA_DATE_PART ORDER BY TAT91_TABELAS.DATA_DATE_PART ASC)=1 </t>
    </r>
  </si>
  <si>
    <r>
      <rPr>
        <b/>
        <sz val="11"/>
        <color rgb="FF000000"/>
        <rFont val="Calibri"/>
      </rPr>
      <t xml:space="preserve">SELECT </t>
    </r>
    <r>
      <rPr>
        <sz val="11"/>
        <color rgb="FF000000"/>
        <rFont val="Calibri"/>
      </rPr>
      <t xml:space="preserve">CONCAT (MOVIMENTOS_CONSOLIDADOS.DCYR9750_CKBALCAO, MOVIMENTOS_CONSOLIDADOS.DCYR9750_CKNUMCTA, '000000000000000')
</t>
    </r>
    <r>
      <rPr>
        <b/>
        <sz val="11"/>
        <color rgb="FF000000"/>
        <rFont val="Calibri"/>
      </rPr>
      <t xml:space="preserve">WHERE </t>
    </r>
    <r>
      <rPr>
        <sz val="11"/>
        <color rgb="FF000000"/>
        <rFont val="Calibri"/>
      </rPr>
      <t xml:space="preserve">CR_LOG.EVENT_TYPE_ID = '700' AND ROW_NUMBER() OVER (PARTITION BY CR.CR_DATA_DATE_PART ORDER BY TAT91_TABELAS.DATA_DATE_PART ASC)=1
</t>
    </r>
    <r>
      <rPr>
        <b/>
        <sz val="11"/>
        <color rgb="FF000000"/>
        <rFont val="Calibri"/>
      </rPr>
      <t xml:space="preserve">SELECT </t>
    </r>
    <r>
      <rPr>
        <sz val="11"/>
        <color rgb="FF000000"/>
        <rFont val="Calibri"/>
      </rPr>
      <t xml:space="preserve">CONCAT (MOVIMENTOS_CONSOLIDADOS.DCYR9750_CKBALCAO, MOVIMENTOS_CONSOLIDADOS.DCYR9750_CKNUMCTA, '000000000000000')
</t>
    </r>
    <r>
      <rPr>
        <b/>
        <sz val="11"/>
        <color rgb="FF000000"/>
        <rFont val="Calibri"/>
      </rPr>
      <t xml:space="preserve">WHERE  </t>
    </r>
    <r>
      <rPr>
        <sz val="11"/>
        <color rgb="FF000000"/>
        <rFont val="Calibri"/>
      </rPr>
      <t xml:space="preserve">CR_LOG.EVENT_TYPE_ID = '703' AND ROW_NUMBER() OVER (PARTITION BY CR.CR_DATA_DATE_PART ORDER BY TAT91_TABELAS.DATA_DATE_PART ASC)=1
</t>
    </r>
    <r>
      <rPr>
        <b/>
        <sz val="11"/>
        <color rgb="FF000000"/>
        <rFont val="Calibri"/>
      </rPr>
      <t xml:space="preserve">SELECT </t>
    </r>
    <r>
      <rPr>
        <sz val="11"/>
        <color rgb="FF000000"/>
        <rFont val="Calibri"/>
      </rPr>
      <t xml:space="preserve">CONCAT (MOVIMENTOS_CONSOLIDADOS.DCYR9750_CKBALCAO, MOVIMENTOS_CONSOLIDADOS.DCYR9750_CKNUMCTA, '000000000000000')
</t>
    </r>
    <r>
      <rPr>
        <b/>
        <sz val="11"/>
        <color rgb="FF000000"/>
        <rFont val="Calibri"/>
      </rPr>
      <t xml:space="preserve">WHERE </t>
    </r>
    <r>
      <rPr>
        <sz val="11"/>
        <color rgb="FF000000"/>
        <rFont val="Calibri"/>
      </rPr>
      <t xml:space="preserve">CR_LOG.EVENT_TYPE_ID = '706' AND ROW_NUMBER() OVER (PARTITION BY CR.CR_DATA_DATE_PART ORDER BY TAT91_TABELAS.DATA_DATE_PART ASC)=1
</t>
    </r>
    <r>
      <rPr>
        <b/>
        <sz val="11"/>
        <color rgb="FF000000"/>
        <rFont val="Calibri"/>
      </rPr>
      <t xml:space="preserve">SELECT </t>
    </r>
    <r>
      <rPr>
        <sz val="11"/>
        <color rgb="FF000000"/>
        <rFont val="Calibri"/>
      </rPr>
      <t xml:space="preserve">CONCAT (MOVIMENTOS_CONSOLIDADOS.DCYR9750_CKBALCAO, MOVIMENTOS_CONSOLIDADOS.DCYR9750_CKNUMCTA, '000000000000000')
</t>
    </r>
    <r>
      <rPr>
        <b/>
        <sz val="11"/>
        <color rgb="FF000000"/>
        <rFont val="Calibri"/>
      </rPr>
      <t xml:space="preserve">WHERE </t>
    </r>
    <r>
      <rPr>
        <sz val="11"/>
        <color rgb="FF000000"/>
        <rFont val="Calibri"/>
      </rPr>
      <t xml:space="preserve">CR_LOG.EVENT_TYPE_ID = '708'  AND ROW_NUMBER() OVER (PARTITION BY CR.CR_DATA_DATE_PART ORDER BY TAT91_TABELAS.DATA_DATE_PART ASC)=1
</t>
    </r>
    <r>
      <rPr>
        <b/>
        <sz val="11"/>
        <color rgb="FF000000"/>
        <rFont val="Calibri"/>
      </rPr>
      <t xml:space="preserve">SELECT </t>
    </r>
    <r>
      <rPr>
        <sz val="11"/>
        <color rgb="FF000000"/>
        <rFont val="Calibri"/>
      </rPr>
      <t xml:space="preserve">CONCAT (MOVIMENTOS_CONSOLIDADOS.DCYR9750_CKBALCAO, MOVIMENTOS_CONSOLIDADOS.DCYR9750_CKNUMCTA, '000000000000000')
</t>
    </r>
    <r>
      <rPr>
        <b/>
        <sz val="11"/>
        <color rgb="FF000000"/>
        <rFont val="Calibri"/>
      </rPr>
      <t xml:space="preserve">WHERE </t>
    </r>
    <r>
      <rPr>
        <sz val="11"/>
        <color rgb="FF000000"/>
        <rFont val="Calibri"/>
      </rPr>
      <t>CR_LOG.EVENT_TYPE_ID IN ('713', '715') AND ROW_NUMBER() OVER (PARTITION BY CR.CR_DATA_DATE_PART ORDER BY TAT91_TABELAS.DATA_DATE_PART ASC)=1</t>
    </r>
  </si>
  <si>
    <r>
      <rPr>
        <b/>
        <sz val="11"/>
        <color rgb="FF000000"/>
        <rFont val="Calibri"/>
      </rPr>
      <t xml:space="preserve">SELECT </t>
    </r>
    <r>
      <rPr>
        <sz val="11"/>
        <color rgb="FF000000"/>
        <rFont val="Calibri"/>
      </rPr>
      <t xml:space="preserve">'000000000000000'
</t>
    </r>
    <r>
      <rPr>
        <b/>
        <sz val="11"/>
        <color rgb="FF000000"/>
        <rFont val="Calibri"/>
      </rPr>
      <t xml:space="preserve">WHERE  </t>
    </r>
    <r>
      <rPr>
        <sz val="11"/>
        <color rgb="FF000000"/>
        <rFont val="Calibri"/>
      </rPr>
      <t xml:space="preserve">CR_LOG.EVENT_TYPE_ID = '700' AND ROW_NUMBER() OVER (PARTITION BY CR.CR_DATA_DATE_PART ORDER BY TAT91_TABELAS.DATA_DATE_PART ASC)=1
</t>
    </r>
    <r>
      <rPr>
        <b/>
        <sz val="11"/>
        <color rgb="FF000000"/>
        <rFont val="Calibri"/>
      </rPr>
      <t xml:space="preserve">SELECT </t>
    </r>
    <r>
      <rPr>
        <sz val="11"/>
        <color rgb="FF000000"/>
        <rFont val="Calibri"/>
      </rPr>
      <t xml:space="preserve">'000000000000000'
</t>
    </r>
    <r>
      <rPr>
        <b/>
        <sz val="11"/>
        <color rgb="FF000000"/>
        <rFont val="Calibri"/>
      </rPr>
      <t xml:space="preserve">WHERE  </t>
    </r>
    <r>
      <rPr>
        <sz val="11"/>
        <color rgb="FF000000"/>
        <rFont val="Calibri"/>
      </rPr>
      <t xml:space="preserve">CR_LOG.EVENT_TYPE_ID = '703' AND ROW_NUMBER() OVER (PARTITION BY CR.CR_DATA_DATE_PART ORDER BY TAT91_TABELAS.DATA_DATE_PART ASC)=1
</t>
    </r>
    <r>
      <rPr>
        <b/>
        <sz val="11"/>
        <color rgb="FF000000"/>
        <rFont val="Calibri"/>
      </rPr>
      <t xml:space="preserve">SELECT </t>
    </r>
    <r>
      <rPr>
        <sz val="11"/>
        <color rgb="FF000000"/>
        <rFont val="Calibri"/>
      </rPr>
      <t xml:space="preserve">'000000000000000'
</t>
    </r>
    <r>
      <rPr>
        <b/>
        <sz val="11"/>
        <color rgb="FF000000"/>
        <rFont val="Calibri"/>
      </rPr>
      <t xml:space="preserve">WHERE  </t>
    </r>
    <r>
      <rPr>
        <sz val="11"/>
        <color rgb="FF000000"/>
        <rFont val="Calibri"/>
      </rPr>
      <t xml:space="preserve">CR_LOG.EVENT_TYPE_ID = '706' AND ROW_NUMBER() OVER (PARTITION BY CR.CR_DATA_DATE_PART ORDER BY TAT91_TABELAS.DATA_DATE_PART ASC)=1
</t>
    </r>
    <r>
      <rPr>
        <b/>
        <sz val="11"/>
        <color rgb="FF000000"/>
        <rFont val="Calibri"/>
      </rPr>
      <t xml:space="preserve">SELECT </t>
    </r>
    <r>
      <rPr>
        <sz val="11"/>
        <color rgb="FF000000"/>
        <rFont val="Calibri"/>
      </rPr>
      <t xml:space="preserve">'000000000000000'
</t>
    </r>
    <r>
      <rPr>
        <b/>
        <sz val="11"/>
        <color rgb="FF000000"/>
        <rFont val="Calibri"/>
      </rPr>
      <t xml:space="preserve">WHERE  </t>
    </r>
    <r>
      <rPr>
        <sz val="11"/>
        <color rgb="FF000000"/>
        <rFont val="Calibri"/>
      </rPr>
      <t xml:space="preserve">CR_LOG.EVENT_TYPE_ID = '708' AND ROW_NUMBER() OVER (PARTITION BY CR.CR_DATA_DATE_PART ORDER BY TAT91_TABELAS.DATA_DATE_PART ASC)=1
</t>
    </r>
    <r>
      <rPr>
        <b/>
        <sz val="11"/>
        <color rgb="FF000000"/>
        <rFont val="Calibri"/>
      </rPr>
      <t xml:space="preserve">SELECT </t>
    </r>
    <r>
      <rPr>
        <sz val="11"/>
        <color rgb="FF000000"/>
        <rFont val="Calibri"/>
      </rPr>
      <t xml:space="preserve">'000000000000000'
</t>
    </r>
    <r>
      <rPr>
        <b/>
        <sz val="11"/>
        <color rgb="FF000000"/>
        <rFont val="Calibri"/>
      </rPr>
      <t xml:space="preserve">WHERE  </t>
    </r>
    <r>
      <rPr>
        <sz val="11"/>
        <color rgb="FF000000"/>
        <rFont val="Calibri"/>
      </rPr>
      <t>CR_LOG.EVENT_TYPE_ID IN ('713', '715') AND ROW_NUMBER() OVER (PARTITION BY CR.CR_DATA_DATE_PART ORDER BY TAT91_TABELAS.DATA_DATE_PART ASC)=1</t>
    </r>
  </si>
  <si>
    <r>
      <rPr>
        <b/>
        <sz val="11"/>
        <color rgb="FF000000"/>
        <rFont val="Calibri"/>
      </rPr>
      <t xml:space="preserve">SELECT </t>
    </r>
    <r>
      <rPr>
        <sz val="11"/>
        <color rgb="FF000000"/>
        <rFont val="Calibri"/>
      </rPr>
      <t xml:space="preserve">CAST ( MOVIMENTOS_CONSOLIDADOS.DCYR9750_ZMOVCTA AS BIGINT )
</t>
    </r>
    <r>
      <rPr>
        <b/>
        <sz val="11"/>
        <color rgb="FF000000"/>
        <rFont val="Calibri"/>
      </rPr>
      <t xml:space="preserve">WHERE </t>
    </r>
    <r>
      <rPr>
        <sz val="11"/>
        <color rgb="FF000000"/>
        <rFont val="Calibri"/>
      </rPr>
      <t xml:space="preserve">CR_LOG.EVENT_TYPE_ID = '700' AND ROW_NUMBER() OVER (PARTITION BY CR.CR_DATA_DATE_PART ORDER BY TAT91_TABELAS.DATA_DATE_PART ASC)=1
</t>
    </r>
    <r>
      <rPr>
        <b/>
        <sz val="11"/>
        <color rgb="FF000000"/>
        <rFont val="Calibri"/>
      </rPr>
      <t xml:space="preserve">SELECT </t>
    </r>
    <r>
      <rPr>
        <sz val="11"/>
        <color rgb="FF000000"/>
        <rFont val="Calibri"/>
      </rPr>
      <t xml:space="preserve">CAST ( MOVIMENTOS_CONSOLIDADOS.DCYR9750_ZMOVCTA AS BIGINT )
</t>
    </r>
    <r>
      <rPr>
        <b/>
        <sz val="11"/>
        <color rgb="FF000000"/>
        <rFont val="Calibri"/>
      </rPr>
      <t xml:space="preserve">WHERE  </t>
    </r>
    <r>
      <rPr>
        <sz val="11"/>
        <color rgb="FF000000"/>
        <rFont val="Calibri"/>
      </rPr>
      <t xml:space="preserve">CR_LOG.EVENT_TYPE_ID = '703' AND ROW_NUMBER() OVER (PARTITION BY CR.CR_DATA_DATE_PART ORDER BY TAT91_TABELAS.DATA_DATE_PART ASC)=1
</t>
    </r>
    <r>
      <rPr>
        <b/>
        <sz val="11"/>
        <color rgb="FF000000"/>
        <rFont val="Calibri"/>
      </rPr>
      <t xml:space="preserve">SELECT </t>
    </r>
    <r>
      <rPr>
        <sz val="11"/>
        <color rgb="FF000000"/>
        <rFont val="Calibri"/>
      </rPr>
      <t xml:space="preserve">CAST ( MOVIMENTOS_CONSOLIDADOS.DCYR9750_ZMOVCTA AS BIGINT )
</t>
    </r>
    <r>
      <rPr>
        <b/>
        <sz val="11"/>
        <color rgb="FF000000"/>
        <rFont val="Calibri"/>
      </rPr>
      <t xml:space="preserve">WHERE </t>
    </r>
    <r>
      <rPr>
        <sz val="11"/>
        <color rgb="FF000000"/>
        <rFont val="Calibri"/>
      </rPr>
      <t xml:space="preserve">CR_LOG.EVENT_TYPE_ID = '706' AND ROW_NUMBER() OVER (PARTITION BY CR.CR_DATA_DATE_PART ORDER BY TAT91_TABELAS.DATA_DATE_PART ASC)=1
</t>
    </r>
    <r>
      <rPr>
        <b/>
        <sz val="11"/>
        <color rgb="FF000000"/>
        <rFont val="Calibri"/>
      </rPr>
      <t xml:space="preserve">SELECT </t>
    </r>
    <r>
      <rPr>
        <sz val="11"/>
        <color rgb="FF000000"/>
        <rFont val="Calibri"/>
      </rPr>
      <t xml:space="preserve">CAST ( MOVIMENTOS_CONSOLIDADOS.DCYR9750_ZMOVCTA AS BIGINT )
</t>
    </r>
    <r>
      <rPr>
        <b/>
        <sz val="11"/>
        <color rgb="FF000000"/>
        <rFont val="Calibri"/>
      </rPr>
      <t xml:space="preserve">WHERE </t>
    </r>
    <r>
      <rPr>
        <sz val="11"/>
        <color rgb="FF000000"/>
        <rFont val="Calibri"/>
      </rPr>
      <t xml:space="preserve">CR_LOG.EVENT_TYPE_ID = '708' AND ROW_NUMBER() OVER (PARTITION BY CR.CR_DATA_DATE_PART ORDER BY TAT91_TABELAS.DATA_DATE_PART ASC)=1
</t>
    </r>
    <r>
      <rPr>
        <b/>
        <sz val="11"/>
        <color rgb="FF000000"/>
        <rFont val="Calibri"/>
      </rPr>
      <t xml:space="preserve">SELECT </t>
    </r>
    <r>
      <rPr>
        <sz val="11"/>
        <color rgb="FF000000"/>
        <rFont val="Calibri"/>
      </rPr>
      <t xml:space="preserve">CAST ( MOVIMENTOS_CONSOLIDADOS.DCYR9750_ZMOVCTA AS BIGINT )
</t>
    </r>
    <r>
      <rPr>
        <b/>
        <sz val="11"/>
        <color rgb="FF000000"/>
        <rFont val="Calibri"/>
      </rPr>
      <t xml:space="preserve">WHERE </t>
    </r>
    <r>
      <rPr>
        <sz val="11"/>
        <color rgb="FF000000"/>
        <rFont val="Calibri"/>
      </rPr>
      <t>CR_LOG.EVENT_TYPE_ID IN ('713', '715') AND ROW_NUMBER() OVER (PARTITION BY CR.CR_DATA_DATE_PART ORDER BY TAT91_TABELAS.DATA_DATE_PART ASC)=1</t>
    </r>
  </si>
  <si>
    <r>
      <rPr>
        <b/>
        <sz val="11"/>
        <color rgb="FF000000"/>
        <rFont val="Calibri"/>
      </rPr>
      <t xml:space="preserve">SELECT </t>
    </r>
    <r>
      <rPr>
        <sz val="11"/>
        <color rgb="FF000000"/>
        <rFont val="Calibri"/>
      </rPr>
      <t xml:space="preserve">CAST ( PARAM_GENERAL_CODE_CONVERTER.TARGET_VALUE AS BIGINT )
</t>
    </r>
    <r>
      <rPr>
        <b/>
        <sz val="11"/>
        <color rgb="FF000000"/>
        <rFont val="Calibri"/>
      </rPr>
      <t xml:space="preserve">WHERE </t>
    </r>
    <r>
      <rPr>
        <sz val="11"/>
        <color rgb="FF000000"/>
        <rFont val="Calibri"/>
      </rPr>
      <t xml:space="preserve">PARAM_GENERAL_CODE_CONVERTER.SOURCE_CODE = 'DC'
    AND PARAM_GENERAL_CODE_CONVERTER.TARGET_FIELD = 'order_number_stage'
    AND PARAM_GENERAL_CODE_CONVERTER.SOURCE_VALUE =  ''
    AND PARAM_GENERAL_CODE_CONVERTER.OPTION_NUMBER = 1
    AND CR_LOG.EVENT_TYPE_ID = '700' AND ROW_NUMBER() OVER (PARTITION BY CR.CR_DATA_DATE_PART ORDER BY TAT91_TABELAS.DATA_DATE_PART ASC)=1
</t>
    </r>
    <r>
      <rPr>
        <b/>
        <sz val="11"/>
        <color rgb="FF000000"/>
        <rFont val="Calibri"/>
      </rPr>
      <t xml:space="preserve">SELECT </t>
    </r>
    <r>
      <rPr>
        <sz val="11"/>
        <color rgb="FF000000"/>
        <rFont val="Calibri"/>
      </rPr>
      <t xml:space="preserve">CAST ( PARAM_GENERAL_CODE_CONVERTER.TARGET_VALUE AS BIGINT )
</t>
    </r>
    <r>
      <rPr>
        <b/>
        <sz val="11"/>
        <color rgb="FF000000"/>
        <rFont val="Calibri"/>
      </rPr>
      <t xml:space="preserve">WHERE </t>
    </r>
    <r>
      <rPr>
        <sz val="11"/>
        <color rgb="FF000000"/>
        <rFont val="Calibri"/>
      </rPr>
      <t xml:space="preserve">PARAM_GENERAL_CODE_CONVERTER.SOURCE_CODE = 'DC'
    AND PARAM_GENERAL_CODE_CONVERTER.TARGET_FIELD = 'order_number_stage'
    AND PARAM_GENERAL_CODE_CONVERTER.SOURCE_VALUE =  ''
    AND PARAM_GENERAL_CODE_CONVERTER.OPTION_NUMBER = 1
    AND CR_LOG.EVENT_TYPE_ID = '703' AND ROW_NUMBER() OVER (PARTITION BY CR.CR_DATA_DATE_PART ORDER BY TAT91_TABELAS.DATA_DATE_PART ASC)=1
</t>
    </r>
    <r>
      <rPr>
        <b/>
        <sz val="11"/>
        <color rgb="FF000000"/>
        <rFont val="Calibri"/>
      </rPr>
      <t xml:space="preserve">SELECT </t>
    </r>
    <r>
      <rPr>
        <sz val="11"/>
        <color rgb="FF000000"/>
        <rFont val="Calibri"/>
      </rPr>
      <t xml:space="preserve">CAST ( PARAM_GENERAL_CODE_CONVERTER.TARGET_VALUE AS BIGINT )
</t>
    </r>
    <r>
      <rPr>
        <b/>
        <sz val="11"/>
        <color rgb="FF000000"/>
        <rFont val="Calibri"/>
      </rPr>
      <t xml:space="preserve">WHERE </t>
    </r>
    <r>
      <rPr>
        <sz val="11"/>
        <color rgb="FF000000"/>
        <rFont val="Calibri"/>
      </rPr>
      <t xml:space="preserve">PARAM_GENERAL_CODE_CONVERTER.SOURCE_CODE = 'DC'
    AND PARAM_GENERAL_CODE_CONVERTER.TARGET_FIELD = 'order_number_stage'
    AND PARAM_GENERAL_CODE_CONVERTER.SOURCE_VALUE =  ''
    AND PARAM_GENERAL_CODE_CONVERTER.OPTION_NUMBER = 1
    AND CR_LOG.EVENT_TYPE_ID = '706' AND ROW_NUMBER() OVER (PARTITION BY CR.CR_DATA_DATE_PART ORDER BY TAT91_TABELAS.DATA_DATE_PART ASC)=1
</t>
    </r>
    <r>
      <rPr>
        <b/>
        <sz val="11"/>
        <color rgb="FF000000"/>
        <rFont val="Calibri"/>
      </rPr>
      <t xml:space="preserve">SELECT </t>
    </r>
    <r>
      <rPr>
        <sz val="11"/>
        <color rgb="FF000000"/>
        <rFont val="Calibri"/>
      </rPr>
      <t xml:space="preserve">CAST ( PARAM_GENERAL_CODE_CONVERTER.TARGET_VALUE AS BIGINT )
</t>
    </r>
    <r>
      <rPr>
        <b/>
        <sz val="11"/>
        <color rgb="FF000000"/>
        <rFont val="Calibri"/>
      </rPr>
      <t xml:space="preserve">WHERE </t>
    </r>
    <r>
      <rPr>
        <sz val="11"/>
        <color rgb="FF000000"/>
        <rFont val="Calibri"/>
      </rPr>
      <t xml:space="preserve">PARAM_GENERAL_CODE_CONVERTER.SOURCE_CODE = 'DC'
    AND PARAM_GENERAL_CODE_CONVERTER.TARGET_FIELD = 'order_number_stage'
    AND PARAM_GENERAL_CODE_CONVERTER.SOURCE_VALUE =  ''
    AND PARAM_GENERAL_CODE_CONVERTER.OPTION_NUMBER = 1
    AND CR_LOG.EVENT_TYPE_ID =  '708' AND ROW_NUMBER() OVER (PARTITION BY CR.CR_DATA_DATE_PART ORDER BY TAT91_TABELAS.DATA_DATE_PART ASC)=1
</t>
    </r>
    <r>
      <rPr>
        <b/>
        <sz val="11"/>
        <color rgb="FF000000"/>
        <rFont val="Calibri"/>
      </rPr>
      <t>SELECT</t>
    </r>
    <r>
      <rPr>
        <sz val="11"/>
        <color rgb="FF000000"/>
        <rFont val="Calibri"/>
      </rPr>
      <t xml:space="preserve"> CAST ( PARAM_GENERAL_CODE_CONVERTER.TARGET_VALUE AS BIGINT )
</t>
    </r>
    <r>
      <rPr>
        <b/>
        <sz val="11"/>
        <color rgb="FF000000"/>
        <rFont val="Calibri"/>
      </rPr>
      <t xml:space="preserve">WHERE </t>
    </r>
    <r>
      <rPr>
        <sz val="11"/>
        <color rgb="FF000000"/>
        <rFont val="Calibri"/>
      </rPr>
      <t>PARAM_GENERAL_CODE_CONVERTER.SOURCE_CODE = 'DC'
    AND PARAM_GENERAL_CODE_CONVERTER.TARGET_FIELD = 'order_number_stage'
    AND PARAM_GENERAL_CODE_CONVERTER.SOURCE_VALUE =  ''
    AND PARAM_GENERAL_CODE_CONVERTER.OPTION_NUMBER = 1
    AND CR_LOG.EVENT_TYPE_ID IN ('713', '715') AND ROW_NUMBER() OVER (PARTITION BY CR.CR_DATA_DATE_PART ORDER BY TAT91_TABELAS.DATA_DATE_PART ASC)=1</t>
    </r>
  </si>
  <si>
    <r>
      <rPr>
        <b/>
        <sz val="11"/>
        <color rgb="FF000000"/>
        <rFont val="Calibri"/>
      </rPr>
      <t xml:space="preserve">SELECT </t>
    </r>
    <r>
      <rPr>
        <sz val="11"/>
        <color rgb="FF000000"/>
        <rFont val="Calibri"/>
      </rPr>
      <t xml:space="preserve">IF ( CAST ( MOVIMENTOS_CONSOLIDADOS.DCYR9750_NUMMOVIM_OPER AS STRING ) = '', NULL, CAST ( MOVIMENTOS_CONSOLIDADOS.DCYR9750_NUMMOVIM_OPER AS STRING ) )
</t>
    </r>
    <r>
      <rPr>
        <b/>
        <sz val="11"/>
        <color rgb="FF000000"/>
        <rFont val="Calibri"/>
      </rPr>
      <t xml:space="preserve">WHERE </t>
    </r>
    <r>
      <rPr>
        <sz val="11"/>
        <color rgb="FF000000"/>
        <rFont val="Calibri"/>
      </rPr>
      <t xml:space="preserve">CR_LOG.EVENT_TYPE_ID = '700' AND ROW_NUMBER() OVER (PARTITION BY CR.CR_DATA_DATE_PART ORDER BY TAT91_TABELAS.DATA_DATE_PART ASC)=1
</t>
    </r>
    <r>
      <rPr>
        <b/>
        <sz val="11"/>
        <color rgb="FF000000"/>
        <rFont val="Calibri"/>
      </rPr>
      <t xml:space="preserve">SELECT </t>
    </r>
    <r>
      <rPr>
        <sz val="11"/>
        <color rgb="FF000000"/>
        <rFont val="Calibri"/>
      </rPr>
      <t xml:space="preserve">IF ( CAST ( MOVIMENTOS_CONSOLIDADOS.DCYR9750_NUMMOVIM_OPER AS STRING ) = '', NULL, CAST ( MOVIMENTOS_CONSOLIDADOS.DCYR9750_NUMMOVIM_OPER AS STRING ) )
</t>
    </r>
    <r>
      <rPr>
        <b/>
        <sz val="11"/>
        <color rgb="FF000000"/>
        <rFont val="Calibri"/>
      </rPr>
      <t xml:space="preserve">WHERE </t>
    </r>
    <r>
      <rPr>
        <sz val="11"/>
        <color rgb="FF000000"/>
        <rFont val="Calibri"/>
      </rPr>
      <t xml:space="preserve">CR_LOG.EVENT_TYPE_ID = '703' AND ROW_NUMBER() OVER (PARTITION BY CR.CR_DATA_DATE_PART ORDER BY TAT91_TABELAS.DATA_DATE_PART ASC)=1
</t>
    </r>
    <r>
      <rPr>
        <b/>
        <sz val="11"/>
        <color rgb="FF000000"/>
        <rFont val="Calibri"/>
      </rPr>
      <t xml:space="preserve">SELECT </t>
    </r>
    <r>
      <rPr>
        <sz val="11"/>
        <color rgb="FF000000"/>
        <rFont val="Calibri"/>
      </rPr>
      <t xml:space="preserve">IF ( CAST ( MOVIMENTOS_CONSOLIDADOS.DCYR9750_NUMMOVIM_OPER AS STRING ) = '', NULL, CAST ( MOVIMENTOS_CONSOLIDADOS.DCYR9750_NUMMOVIM_OPER AS STRING ) )
</t>
    </r>
    <r>
      <rPr>
        <b/>
        <sz val="11"/>
        <color rgb="FF000000"/>
        <rFont val="Calibri"/>
      </rPr>
      <t xml:space="preserve">WHERE </t>
    </r>
    <r>
      <rPr>
        <sz val="11"/>
        <color rgb="FF000000"/>
        <rFont val="Calibri"/>
      </rPr>
      <t xml:space="preserve">CR_LOG.EVENT_TYPE_ID = '706' AND ROW_NUMBER() OVER (PARTITION BY CR.CR_DATA_DATE_PART ORDER BY TAT91_TABELAS.DATA_DATE_PART ASC)=1
</t>
    </r>
    <r>
      <rPr>
        <b/>
        <sz val="11"/>
        <color rgb="FF000000"/>
        <rFont val="Calibri"/>
      </rPr>
      <t xml:space="preserve">SELECT </t>
    </r>
    <r>
      <rPr>
        <sz val="11"/>
        <color rgb="FF000000"/>
        <rFont val="Calibri"/>
      </rPr>
      <t xml:space="preserve">IF ( CAST ( MOVIMENTOS_CONSOLIDADOS.DCYR9750_NUMMOVIM_OPER AS STRING ) = '', NULL, CAST ( MOVIMENTOS_CONSOLIDADOS.DCYR9750_NUMMOVIM_OPER AS STRING ) )
</t>
    </r>
    <r>
      <rPr>
        <b/>
        <sz val="11"/>
        <color rgb="FF000000"/>
        <rFont val="Calibri"/>
      </rPr>
      <t xml:space="preserve">WHERE </t>
    </r>
    <r>
      <rPr>
        <sz val="11"/>
        <color rgb="FF000000"/>
        <rFont val="Calibri"/>
      </rPr>
      <t xml:space="preserve">CR_LOG.EVENT_TYPE_ID = '708'  AND ROW_NUMBER() OVER (PARTITION BY CR.CR_DATA_DATE_PART ORDER BY TAT91_TABELAS.DATA_DATE_PART ASC)=1
</t>
    </r>
    <r>
      <rPr>
        <b/>
        <sz val="11"/>
        <color rgb="FF000000"/>
        <rFont val="Calibri"/>
      </rPr>
      <t xml:space="preserve">SELECT </t>
    </r>
    <r>
      <rPr>
        <sz val="11"/>
        <color rgb="FF000000"/>
        <rFont val="Calibri"/>
      </rPr>
      <t xml:space="preserve">IF ( CAST ( MOVIMENTOS_CONSOLIDADOS.DCYR9750_NUMMOVIM_OPER AS STRING ) = '', NULL, CAST ( MOVIMENTOS_CONSOLIDADOS.DCYR9750_NUMMOVIM_OPER AS STRING ) )
</t>
    </r>
    <r>
      <rPr>
        <b/>
        <sz val="11"/>
        <color rgb="FF000000"/>
        <rFont val="Calibri"/>
      </rPr>
      <t xml:space="preserve">WHERE </t>
    </r>
    <r>
      <rPr>
        <sz val="11"/>
        <color rgb="FF000000"/>
        <rFont val="Calibri"/>
      </rPr>
      <t>CR_LOG.EVENT_TYPE_ID IN ('713', '715') AND ROW_NUMBER() OVER (PARTITION BY CR.CR_DATA_DATE_PART ORDER BY TAT91_TABELAS.DATA_DATE_PART ASC)=1</t>
    </r>
  </si>
  <si>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 xml:space="preserve">CR_LOG.EVENT_TYPE_ID = '700' AND ROW_NUMBER() OVER (PARTITION BY CR.CR_DATA_DATE_PART ORDER BY TAT91_TABELAS.DATA_DATE_PART ASC)=1
</t>
    </r>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 xml:space="preserve">CR_LOG.EVENT_TYPE_ID = '703' AND ROW_NUMBER() OVER (PARTITION BY CR.CR_DATA_DATE_PART ORDER BY TAT91_TABELAS.DATA_DATE_PART ASC)=1
</t>
    </r>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 xml:space="preserve">CR_LOG.EVENT_TYPE_ID = '706' AND ROW_NUMBER() OVER (PARTITION BY CR.CR_DATA_DATE_PART ORDER BY TAT91_TABELAS.DATA_DATE_PART ASC)=1
</t>
    </r>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 xml:space="preserve">CR_LOG.EVENT_TYPE_ID = '708'  AND ROW_NUMBER() OVER (PARTITION BY CR.CR_DATA_DATE_PART ORDER BY TAT91_TABELAS.DATA_DATE_PART ASC)=1
</t>
    </r>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CR_LOG.EVENT_TYPE_ID IN ( '713', '715' ) AND ROW_NUMBER() OVER (PARTITION BY CR.CR_DATA_DATE_PART ORDER BY TAT91_TABELAS.DATA_DATE_PART ASC)=1</t>
    </r>
  </si>
  <si>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 xml:space="preserve">CR_LOG.EVENT_TYPE_ID = '700' AND ROW_NUMBER() OVER (PARTITION BY CR.CR_DATA_DATE_PART ORDER BY TAT91_TABELAS.DATA_DATE_PART ASC)=1
</t>
    </r>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 xml:space="preserve">CR_LOG.EVENT_TYPE_ID = '703' AND ROW_NUMBER() OVER (PARTITION BY CR.CR_DATA_DATE_PART ORDER BY TAT91_TABELAS.DATA_DATE_PART ASC)=1
</t>
    </r>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 xml:space="preserve">CR_LOG.EVENT_TYPE_ID = '706' AND ROW_NUMBER() OVER (PARTITION BY CR.CR_DATA_DATE_PART ORDER BY TAT91_TABELAS.DATA_DATE_PART ASC)=1
</t>
    </r>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 xml:space="preserve">CR_LOG.EVENT_TYPE_ID = '708' AND ROW_NUMBER() OVER (PARTITION BY CR.CR_DATA_DATE_PART ORDER BY TAT91_TABELAS.DATA_DATE_PART ASC)=1
</t>
    </r>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 xml:space="preserve">CR_LOG.EVENT_TYPE_ID = '709' AND ROW_NUMBER() OVER (PARTITION BY CR.CR_DATA_DATE_PART ORDER BY TAT91_TABELAS.DATA_DATE_PART ASC)=1
</t>
    </r>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CR_LOG.EVENT_TYPE_ID IN ( '713', '715' ) AND ROW_NUMBER() OVER (PARTITION BY CR.CR_DATA_DATE_PART ORDER BY TAT91_TABELAS.DATA_DATE_PART ASC)=1</t>
    </r>
  </si>
  <si>
    <r>
      <rPr>
        <b/>
        <sz val="11"/>
        <color rgb="FF000000"/>
        <rFont val="Calibri"/>
      </rPr>
      <t xml:space="preserve">SELECT </t>
    </r>
    <r>
      <rPr>
        <sz val="11"/>
        <color rgb="FF000000"/>
        <rFont val="Calibri"/>
      </rPr>
      <t xml:space="preserve">MOVIMENTOS_CONSOLIDADOS.DATA_DATE_PART
WHERE ROW_NUMBER() OVER (PARTITION BY CR.CR_DATA_DATE_PART ORDER BY TAT91_TABELAS.DATA_DATE_PART ASC)=1
</t>
    </r>
    <r>
      <rPr>
        <b/>
        <sz val="11"/>
        <color rgb="FF000000"/>
        <rFont val="Calibri"/>
      </rPr>
      <t xml:space="preserve">SELECT </t>
    </r>
    <r>
      <rPr>
        <sz val="11"/>
        <color rgb="FF000000"/>
        <rFont val="Calibri"/>
      </rPr>
      <t xml:space="preserve">MOVIMENTOS_CONSOLIDADOS.DATA_DATE_PART
WHERE ROW_NUMBER() OVER (PARTITION BY CR.CR_DATA_DATE_PART ORDER BY TAT91_TABELAS.DATA_DATE_PART ASC)=1
</t>
    </r>
    <r>
      <rPr>
        <b/>
        <sz val="11"/>
        <color rgb="FF000000"/>
        <rFont val="Calibri"/>
      </rPr>
      <t xml:space="preserve">SELECT </t>
    </r>
    <r>
      <rPr>
        <sz val="11"/>
        <color rgb="FF000000"/>
        <rFont val="Calibri"/>
      </rPr>
      <t xml:space="preserve">MOVIMENTOS_CONSOLIDADOS.DATA_DATE_PART
WHERE ROW_NUMBER() OVER (PARTITION BY CR.CR_DATA_DATE_PART ORDER BY TAT91_TABELAS.DATA_DATE_PART ASC)=1
</t>
    </r>
    <r>
      <rPr>
        <b/>
        <sz val="11"/>
        <color rgb="FF000000"/>
        <rFont val="Calibri"/>
      </rPr>
      <t xml:space="preserve">SELECT </t>
    </r>
    <r>
      <rPr>
        <sz val="11"/>
        <color rgb="FF000000"/>
        <rFont val="Calibri"/>
      </rPr>
      <t xml:space="preserve">MOVIMENTOS_CONSOLIDADOS.DATA_DATE_PART
WHERE ROW_NUMBER() OVER (PARTITION BY CR.CR_DATA_DATE_PART ORDER BY TAT91_TABELAS.DATA_DATE_PART ASC)=1
</t>
    </r>
    <r>
      <rPr>
        <b/>
        <sz val="11"/>
        <color rgb="FF000000"/>
        <rFont val="Calibri"/>
      </rPr>
      <t xml:space="preserve">SELECT </t>
    </r>
    <r>
      <rPr>
        <sz val="11"/>
        <color rgb="FF000000"/>
        <rFont val="Calibri"/>
      </rPr>
      <t>MOVIMENTOS_CONSOLIDADOS.DATA_DATE_PART
WHERE ROW_NUMBER() OVER (PARTITION BY CR.CR_DATA_DATE_PART ORDER BY TAT91_TABELAS.DATA_DATE_PART ASC)=1</t>
    </r>
  </si>
  <si>
    <r>
      <rPr>
        <b/>
        <sz val="11"/>
        <color rgb="FF000000"/>
        <rFont val="Calibri"/>
      </rPr>
      <t xml:space="preserve">SELECT </t>
    </r>
    <r>
      <rPr>
        <sz val="11"/>
        <color rgb="FF000000"/>
        <rFont val="Calibri"/>
      </rPr>
      <t xml:space="preserve">NOW()
WHERE ROW_NUMBER() OVER (PARTITION BY CR.CR_DATA_DATE_PART ORDER BY TAT91_TABELAS.DATA_DATE_PART ASC)=1
</t>
    </r>
    <r>
      <rPr>
        <b/>
        <sz val="11"/>
        <color rgb="FF000000"/>
        <rFont val="Calibri"/>
      </rPr>
      <t xml:space="preserve">SELECT </t>
    </r>
    <r>
      <rPr>
        <sz val="11"/>
        <color rgb="FF000000"/>
        <rFont val="Calibri"/>
      </rPr>
      <t xml:space="preserve">NOW()
WHERE ROW_NUMBER() OVER (PARTITION BY CR.CR_DATA_DATE_PART ORDER BY TAT91_TABELAS.DATA_DATE_PART ASC)=1
</t>
    </r>
    <r>
      <rPr>
        <b/>
        <sz val="11"/>
        <color rgb="FF000000"/>
        <rFont val="Calibri"/>
      </rPr>
      <t xml:space="preserve">SELECT </t>
    </r>
    <r>
      <rPr>
        <sz val="11"/>
        <color rgb="FF000000"/>
        <rFont val="Calibri"/>
      </rPr>
      <t xml:space="preserve">NOW()
WHERE ROW_NUMBER() OVER (PARTITION BY CR.CR_DATA_DATE_PART ORDER BY TAT91_TABELAS.DATA_DATE_PART ASC)=1
</t>
    </r>
    <r>
      <rPr>
        <b/>
        <sz val="11"/>
        <color rgb="FF000000"/>
        <rFont val="Calibri"/>
      </rPr>
      <t xml:space="preserve">SELECT </t>
    </r>
    <r>
      <rPr>
        <sz val="11"/>
        <color rgb="FF000000"/>
        <rFont val="Calibri"/>
      </rPr>
      <t xml:space="preserve">NOW()
WHERE ROW_NUMBER() OVER (PARTITION BY CR.CR_DATA_DATE_PART ORDER BY TAT91_TABELAS.DATA_DATE_PART ASC)=1
</t>
    </r>
    <r>
      <rPr>
        <b/>
        <sz val="11"/>
        <color rgb="FF000000"/>
        <rFont val="Calibri"/>
      </rPr>
      <t xml:space="preserve">SELECT </t>
    </r>
    <r>
      <rPr>
        <sz val="11"/>
        <color rgb="FF000000"/>
        <rFont val="Calibri"/>
      </rPr>
      <t>NOW()
WHERE ROW_NUMBER() OVER (PARTITION BY CR.CR_DATA_DATE_PART ORDER BY TAT91_TABELAS.DATA_DATE_PART ASC)=1</t>
    </r>
  </si>
  <si>
    <t xml:space="preserve">occasional_transaction_stock </t>
  </si>
  <si>
    <t>cr_log(diarioeu)</t>
  </si>
  <si>
    <t>tat91_tabelas</t>
  </si>
  <si>
    <t>DISTINCT(cr_log.date_date_part) &lt;= DISTINCT( tat91_tabelas.data_date_date_part) AND cr_log.date_date_part &gt; '2023-08-01'</t>
  </si>
  <si>
    <t>cr_log.date_date_part = cr_log(diarioeu).data_date_part</t>
  </si>
  <si>
    <t>CONCAT (
    TRIM ( cr_log.account_number ),
    cr_log.datalog:idempr,
    cr_log.unit_business,
    cr_log.datalog:termbto,
    LPAD ( cr_log.datalog:numdgo, 8, '0' )
) = 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AND
cr_log.data_date_part  &lt;= movimentos_consolidados.data_date_part
AND
 cr_log.event_type_id = '700'</t>
  </si>
  <si>
    <t>CONCAT (
    TRIM ( cr_log.account_number ),
    cr_log.company,
    cr_log.unit_business,
    cr_log.datalog:trx_output:hlpa2output:termbto,
    LPAD ( cr_log.datalog:numdgo, 8, '0' )
) = 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AND
cr_log.data_date_part  &lt;= movimentos_consolidados.data_date_part
AND cr_log.event_type_id = '703'</t>
  </si>
  <si>
    <t>CONCAT (
    TRIM ( cr_log.account_number ),
    cr_log.company,
    cr_log.unit_business,
    cr_log.datalog:trx_output:hlpm3rootoutput:termbto,
    LPAD ( cr_log.datalog:numdgo, 8, '0' )
) = 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AND
cr_log.data_date_part  &lt;= movimentos_consolidados.data_date_part
AND cr_log.event_type_id = '706'</t>
  </si>
  <si>
    <t>CONCAT (
    TRIM ( cr_log.account_number ),
    cr_log.company,
    cr_log.unit_business,
    cr_log.datalog:trx_output:hlim3rootoutput:termbto,
    LPAD ( cr_log.datalog:numdgo, 8, '0' )
) = CONCAT (
    movimentos_consolidados.dcyr9750_ckbalcao,
    movimentos_consolidados.dcyr9750_cknumcta,
    movimentos_consolidados.dcyr9750_nodgo_idempr,
    movimentos_consolidados.dcyr9750_nodgo_idcent,
    movimentos_consolidados.dcyr9750_nodgo_ptofis,
    LPAD ( movimentos_consolidados.dcyr9750_nodgo_numope, 8, '0' )
)
AND
cr_log.data_date_part  &lt;= movimentos_consolidados.data_date_part
AND cr_log.event_type_id = '708'</t>
  </si>
  <si>
    <t>CONCAT (
    cr_log.account_number,
    SUBSTRING ( cr_log.transaction_id, 1, 8 ),
    SUBSTRING ( cr_log.transaction_id, 9, 4 ),
    LPAD ( SUBSTRING ( cr_log.transaction_id, 13, 6 ), 8, '0' )
) = CONCAT (
    movimentos_consolidados.dcyr9750_ckbalcao,
    movimentos_consolidados.dcyr9750_cknumcta,
    REPLACE ( movimentos_consolidados.dcyr9750_dproc, '-', '' ),
    movimentos_consolidados.dcyr9750_cterm,
    LPAD ( movimentos_consolidados.dcyr9750_zjournal, 8, '0' )
)
AND
cr_log.data_date_part  &lt;= movimentos_consolidados.data_date_part
AND cr_log.event_type_id IN ('713', '715')</t>
  </si>
  <si>
    <t>DATAS DE HISTÓRICO</t>
  </si>
  <si>
    <t>BLOCOS TEMPORAIS CORRIDOS</t>
  </si>
  <si>
    <t xml:space="preserve">2023-09-30' &lt;  cr_log.data_date_part
AND  cr_log.data_date_part &lt;= '2025-11-10' </t>
  </si>
  <si>
    <t xml:space="preserve"> 1st  %run  -&gt; (cr_log.data_date_part &gt; '2023-09-30'  and cr_log.data_date_part &lt;='2023-12-31' )
UNION
 2nd %run  -&gt; (cr_log.data_date_part &gt;'2023-12-31'  and  cr_log.data_date_part &lt;= '2024-05-31)
UNION
 3rd  %run - &gt; (cr_log.data_date_part &gt; '2024-05-31'  and  cr_log.data_date_part &lt;= '2024-12-31' )
UNION
 4th   %run - &gt; (cr_log.data_date_part &gt; '2024-12-31' and  cr_log.data_date_part &lt;= '2025-05-31')
UNION
 5th  %run  -&gt; (cr_log.data_date_part &gt; '2025-05-31' and  cr_log.data_date_part &lt;= '2025-11-10' )
</t>
  </si>
  <si>
    <t xml:space="preserve">2023-09-30' &lt; movimentos_consolidados.data_date_part 
AND movimentos_consolidados.data_date_part &lt;= '2025-11-10' </t>
  </si>
  <si>
    <t xml:space="preserve"> 1st  %run  -&gt; (movimentos_consolidados.data_date_part &gt; '2023-09-30'  and movimentos_consolidados.data_date_part &lt;='2023-12-31' )
UNION
 2nd %run  -&gt; (movimentos_consolidados.data_date_part &gt;'2023-12-31'  and  movimentos_consolidados.data_date_part &lt;= '2024-05-31 )
UNION
 3rd  %run - &gt; (movimentos_consolidados.data_date_part &gt; '2024-05-31'  and  movimentos_consolidados.data_date_part &lt;= '2024-12-31' )
UNION
 4th   %run - &gt; (movimentos_consolidados.data_date_part &gt; '2024-12-31' and  movimentos_consolidados.data_date_part &lt;= '2025-05-31')
UNION
 5th  %run  -&gt; (movimentos_consolidados.data_date_part &gt; '2025-05-31' and  movimentos_consolidados.data_date_part &lt;= '2025-11-10'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</si>
</sst>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family val="2"/>
      <scheme val="minor"/>
    </font>
    <font>
      <sz val="11"/>
      <color rgb="FF000000"/>
      <name val="Calibri"/>
      <family val="2"/>
    </font>
    <font>
      <i/>
      <sz val="11"/>
      <color rgb="FF000000"/>
      <name val="Calibri"/>
      <family val="2"/>
      <scheme val="minor"/>
    </font>
    <font>
      <sz val="11"/>
      <color theme="1"/>
      <name val="Calibri"/>
      <family val="2"/>
    </font>
    <font>
      <b/>
      <sz val="11"/>
      <color rgb="FF000000"/>
      <name val="Calibri"/>
      <family val="2"/>
    </font>
    <font>
      <sz val="11"/>
      <color rgb="FF242424"/>
      <name val="Calibri"/>
      <family val="2"/>
      <scheme val="minor"/>
    </font>
    <font>
      <b/>
      <sz val="11"/>
      <name val="Calibri"/>
      <family val="2"/>
      <scheme val="minor"/>
    </font>
    <font>
      <sz val="28"/>
      <color rgb="FFFF0000"/>
      <name val="Arial"/>
      <family val="2"/>
    </font>
    <font>
      <b/>
      <sz val="11"/>
      <color rgb="FF000000"/>
      <name val="Calibri"/>
    </font>
    <font>
      <sz val="11"/>
      <color rgb="FF000000"/>
      <name val="Calibri"/>
    </font>
  </fonts>
  <fills count="9">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26">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
      <left/>
      <right style="thin">
        <color rgb="FF000000"/>
      </right>
      <top/>
      <bottom style="thin">
        <color rgb="FF000000"/>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108">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0" xfId="0" applyAlignment="1" applyProtection="1">
      <alignment vertical="center"/>
      <protection locked="0"/>
    </xf>
    <xf numFmtId="0" fontId="22"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2" fillId="0" borderId="3" xfId="0" applyFont="1" applyBorder="1" applyAlignment="1">
      <alignment horizontal="left" vertical="center" indent="1"/>
    </xf>
    <xf numFmtId="0" fontId="22" fillId="0" borderId="4" xfId="0" applyFont="1" applyBorder="1" applyAlignment="1">
      <alignment horizontal="left" vertical="center" indent="1"/>
    </xf>
    <xf numFmtId="0" fontId="20" fillId="4" borderId="5"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7" xfId="0" applyFont="1" applyFill="1" applyBorder="1" applyAlignment="1">
      <alignment horizontal="center" vertical="center"/>
    </xf>
    <xf numFmtId="0" fontId="22" fillId="0" borderId="8" xfId="0" applyFont="1" applyBorder="1" applyAlignment="1">
      <alignment horizontal="left" vertical="center" indent="1"/>
    </xf>
    <xf numFmtId="0" fontId="22" fillId="0" borderId="9" xfId="0" applyFont="1" applyBorder="1" applyAlignment="1">
      <alignment horizontal="left" vertical="center" indent="1"/>
    </xf>
    <xf numFmtId="0" fontId="24" fillId="5" borderId="10" xfId="0" applyFont="1" applyFill="1" applyBorder="1" applyAlignment="1">
      <alignment horizontal="center" vertical="center"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3" xfId="0" applyBorder="1" applyAlignment="1" applyProtection="1">
      <alignment horizontal="center" vertical="center" wrapText="1"/>
      <protection locked="0"/>
    </xf>
    <xf numFmtId="0" fontId="0" fillId="0" borderId="11" xfId="0" applyBorder="1" applyAlignment="1" applyProtection="1">
      <alignment vertical="center"/>
      <protection locked="0"/>
    </xf>
    <xf numFmtId="0" fontId="24" fillId="5" borderId="18" xfId="0" applyFont="1" applyFill="1" applyBorder="1" applyAlignment="1">
      <alignment horizontal="center" vertical="center" wrapText="1"/>
    </xf>
    <xf numFmtId="0" fontId="23"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26" fillId="0" borderId="11" xfId="0" applyFont="1" applyBorder="1" applyAlignment="1">
      <alignment horizontal="left" vertical="center" wrapText="1"/>
    </xf>
    <xf numFmtId="0" fontId="24" fillId="5" borderId="10" xfId="0" applyFont="1" applyFill="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horizontal="left" vertical="center"/>
    </xf>
    <xf numFmtId="0" fontId="28" fillId="0" borderId="12" xfId="0" applyFont="1" applyBorder="1" applyAlignment="1">
      <alignment horizontal="left" vertical="center"/>
    </xf>
    <xf numFmtId="0" fontId="24" fillId="5" borderId="21" xfId="0" applyFont="1" applyFill="1" applyBorder="1" applyAlignment="1">
      <alignment horizontal="left" vertical="center" wrapText="1"/>
    </xf>
    <xf numFmtId="0" fontId="0" fillId="0" borderId="12" xfId="0" applyBorder="1" applyAlignment="1">
      <alignment vertical="center" wrapText="1"/>
    </xf>
    <xf numFmtId="0" fontId="0" fillId="0" borderId="11" xfId="0" applyBorder="1" applyAlignment="1" applyProtection="1">
      <alignment vertical="center" wrapText="1"/>
      <protection locked="0"/>
    </xf>
    <xf numFmtId="0" fontId="26" fillId="0" borderId="11" xfId="0" applyFont="1" applyBorder="1" applyAlignment="1" applyProtection="1">
      <alignment horizontal="left" vertical="center" wrapText="1"/>
      <protection locked="0"/>
    </xf>
    <xf numFmtId="0" fontId="0" fillId="0" borderId="14" xfId="0" applyBorder="1" applyAlignment="1">
      <alignment vertical="center"/>
    </xf>
    <xf numFmtId="0" fontId="26" fillId="0" borderId="16" xfId="0" applyFont="1" applyBorder="1" applyAlignment="1">
      <alignment horizontal="left" vertical="center" wrapText="1"/>
    </xf>
    <xf numFmtId="0" fontId="0" fillId="0" borderId="17" xfId="0" applyBorder="1" applyAlignment="1">
      <alignment vertical="center"/>
    </xf>
    <xf numFmtId="0" fontId="26" fillId="0" borderId="17" xfId="0" applyFont="1" applyBorder="1" applyAlignment="1">
      <alignment horizontal="left" vertical="center" wrapText="1"/>
    </xf>
    <xf numFmtId="0" fontId="30" fillId="0" borderId="11" xfId="0" applyFont="1" applyBorder="1" applyAlignment="1">
      <alignment vertical="center"/>
    </xf>
    <xf numFmtId="0" fontId="26" fillId="0" borderId="11" xfId="0" applyFont="1" applyBorder="1" applyAlignment="1">
      <alignment vertical="center" wrapText="1"/>
    </xf>
    <xf numFmtId="0" fontId="0" fillId="0" borderId="12" xfId="0" applyBorder="1" applyAlignment="1">
      <alignment horizontal="center" vertical="center"/>
    </xf>
    <xf numFmtId="0" fontId="0" fillId="0" borderId="16" xfId="0" applyBorder="1" applyAlignment="1" applyProtection="1">
      <alignment horizontal="left" vertical="center"/>
      <protection locked="0"/>
    </xf>
    <xf numFmtId="0" fontId="0" fillId="0" borderId="11" xfId="0" applyBorder="1" applyAlignment="1" applyProtection="1">
      <alignment horizontal="center" vertical="center" wrapText="1"/>
      <protection locked="0"/>
    </xf>
    <xf numFmtId="0" fontId="0" fillId="0" borderId="0" xfId="0" applyAlignment="1">
      <alignment wrapText="1"/>
    </xf>
    <xf numFmtId="0" fontId="0" fillId="0" borderId="22" xfId="0" applyBorder="1" applyAlignment="1">
      <alignment horizontal="left" vertical="center"/>
    </xf>
    <xf numFmtId="0" fontId="0" fillId="0" borderId="24" xfId="0" applyBorder="1" applyAlignment="1">
      <alignment horizontal="left" vertical="center"/>
    </xf>
    <xf numFmtId="0" fontId="0" fillId="0" borderId="22" xfId="0" applyBorder="1" applyAlignment="1">
      <alignment horizontal="left" vertical="center" wrapText="1"/>
    </xf>
    <xf numFmtId="0" fontId="0" fillId="0" borderId="0" xfId="0" applyAlignment="1">
      <alignment vertical="center"/>
    </xf>
    <xf numFmtId="0" fontId="0" fillId="0" borderId="12" xfId="0" applyBorder="1" applyAlignment="1">
      <alignment horizontal="left" vertical="center" wrapText="1"/>
    </xf>
    <xf numFmtId="0" fontId="31" fillId="5" borderId="19" xfId="0" applyFont="1" applyFill="1" applyBorder="1" applyAlignment="1">
      <alignment horizontal="center" vertical="center" wrapText="1"/>
    </xf>
    <xf numFmtId="0" fontId="31" fillId="5" borderId="20" xfId="0" applyFont="1" applyFill="1" applyBorder="1" applyAlignment="1">
      <alignment horizontal="center" vertical="center" wrapText="1"/>
    </xf>
    <xf numFmtId="0" fontId="31" fillId="5" borderId="23" xfId="0" applyFont="1" applyFill="1" applyBorder="1" applyAlignment="1">
      <alignment horizontal="center" vertical="center" wrapText="1"/>
    </xf>
    <xf numFmtId="0" fontId="0" fillId="0" borderId="12" xfId="0" applyBorder="1" applyAlignment="1">
      <alignment horizontal="left" vertical="center"/>
    </xf>
    <xf numFmtId="0" fontId="32" fillId="2" borderId="0" xfId="0" applyFont="1" applyFill="1" applyAlignment="1">
      <alignment horizontal="left" vertical="center" readingOrder="1"/>
    </xf>
    <xf numFmtId="0" fontId="0" fillId="0" borderId="16" xfId="0" applyBorder="1" applyAlignment="1">
      <alignment vertical="center" wrapText="1"/>
    </xf>
    <xf numFmtId="0" fontId="25" fillId="0" borderId="11" xfId="0" applyFont="1" applyBorder="1" applyAlignment="1">
      <alignment vertical="center" wrapText="1"/>
    </xf>
    <xf numFmtId="0" fontId="0" fillId="0" borderId="14" xfId="0" applyBorder="1" applyAlignment="1" applyProtection="1">
      <alignment vertical="center"/>
      <protection locked="0"/>
    </xf>
    <xf numFmtId="0" fontId="26" fillId="0" borderId="12" xfId="0" applyFont="1" applyBorder="1" applyAlignment="1">
      <alignment horizontal="left" vertical="center" wrapText="1"/>
    </xf>
    <xf numFmtId="0" fontId="25" fillId="0" borderId="12" xfId="0" applyFont="1" applyBorder="1" applyAlignment="1">
      <alignment vertical="center" wrapText="1"/>
    </xf>
    <xf numFmtId="0" fontId="0" fillId="0" borderId="12" xfId="0" applyBorder="1" applyAlignment="1" applyProtection="1">
      <alignment horizontal="left" vertical="center" wrapText="1"/>
      <protection locked="0"/>
    </xf>
    <xf numFmtId="0" fontId="0" fillId="0" borderId="14" xfId="0" applyBorder="1" applyAlignment="1" applyProtection="1">
      <alignment horizontal="left" vertical="center"/>
      <protection locked="0"/>
    </xf>
    <xf numFmtId="0" fontId="24" fillId="5" borderId="22" xfId="0" applyFont="1" applyFill="1" applyBorder="1" applyAlignment="1">
      <alignment horizontal="center" vertical="center" wrapText="1"/>
    </xf>
    <xf numFmtId="0" fontId="22" fillId="0" borderId="2" xfId="0" applyFont="1" applyBorder="1" applyAlignment="1">
      <alignment horizontal="left" vertical="center" wrapText="1" indent="1"/>
    </xf>
    <xf numFmtId="0" fontId="34" fillId="0" borderId="11" xfId="0" applyFont="1" applyBorder="1" applyAlignment="1">
      <alignment horizontal="left" vertical="center" wrapText="1"/>
    </xf>
    <xf numFmtId="0" fontId="31" fillId="5" borderId="17" xfId="0" applyFont="1" applyFill="1" applyBorder="1" applyAlignment="1">
      <alignment horizontal="center" vertical="center" wrapText="1"/>
    </xf>
    <xf numFmtId="0" fontId="31" fillId="5" borderId="25" xfId="0" applyFont="1" applyFill="1" applyBorder="1" applyAlignment="1">
      <alignment horizontal="center" vertical="center" wrapText="1"/>
    </xf>
    <xf numFmtId="0" fontId="31" fillId="5" borderId="21" xfId="0" applyFont="1" applyFill="1" applyBorder="1" applyAlignment="1">
      <alignment horizontal="center" vertical="center" wrapText="1"/>
    </xf>
    <xf numFmtId="0" fontId="0" fillId="0" borderId="22" xfId="0" quotePrefix="1" applyBorder="1" applyAlignment="1">
      <alignment horizontal="left" vertical="center" wrapText="1"/>
    </xf>
    <xf numFmtId="0" fontId="34" fillId="0" borderId="11" xfId="0" applyFont="1" applyBorder="1" applyAlignment="1" applyProtection="1">
      <alignment horizontal="left" vertical="center" wrapText="1"/>
      <protection locked="0"/>
    </xf>
    <xf numFmtId="0" fontId="26" fillId="0" borderId="11" xfId="0" applyFont="1" applyBorder="1" applyAlignment="1">
      <alignment horizontal="left" vertical="center"/>
    </xf>
    <xf numFmtId="0" fontId="25" fillId="0" borderId="11" xfId="0" applyFont="1" applyBorder="1" applyAlignment="1">
      <alignment horizontal="left" vertical="center" wrapText="1"/>
    </xf>
    <xf numFmtId="0" fontId="23" fillId="7" borderId="11" xfId="0" applyFont="1" applyFill="1" applyBorder="1" applyAlignment="1" applyProtection="1">
      <alignment horizontal="center" vertical="center" wrapText="1" readingOrder="1"/>
      <protection locked="0"/>
    </xf>
    <xf numFmtId="0" fontId="23" fillId="7" borderId="11" xfId="0" applyFont="1" applyFill="1" applyBorder="1" applyAlignment="1" applyProtection="1">
      <alignment horizontal="center" vertical="center" wrapText="1"/>
      <protection locked="0"/>
    </xf>
    <xf numFmtId="0" fontId="23" fillId="3" borderId="12"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11" xfId="0" applyFont="1" applyFill="1" applyBorder="1" applyAlignment="1" applyProtection="1">
      <alignment horizontal="center" vertical="center" wrapText="1" readingOrder="1"/>
      <protection locked="0"/>
    </xf>
    <xf numFmtId="0" fontId="23" fillId="3" borderId="14" xfId="0" applyFont="1" applyFill="1" applyBorder="1" applyAlignment="1" applyProtection="1">
      <alignment horizontal="center" vertical="center" wrapText="1" readingOrder="1"/>
      <protection locked="0"/>
    </xf>
    <xf numFmtId="0" fontId="23" fillId="6" borderId="17" xfId="0" applyFont="1" applyFill="1" applyBorder="1" applyAlignment="1" applyProtection="1">
      <alignment horizontal="center" vertical="center" wrapText="1" readingOrder="1"/>
      <protection locked="0"/>
    </xf>
    <xf numFmtId="0" fontId="23" fillId="6" borderId="21" xfId="0" applyFont="1" applyFill="1" applyBorder="1" applyAlignment="1" applyProtection="1">
      <alignment horizontal="center" vertical="center" wrapText="1" readingOrder="1"/>
      <protection locked="0"/>
    </xf>
    <xf numFmtId="0" fontId="23" fillId="6" borderId="14" xfId="0" applyFont="1" applyFill="1" applyBorder="1" applyAlignment="1" applyProtection="1">
      <alignment horizontal="center" vertical="center" wrapText="1" readingOrder="1"/>
      <protection locked="0"/>
    </xf>
    <xf numFmtId="0" fontId="23" fillId="6" borderId="15" xfId="0" applyFont="1" applyFill="1" applyBorder="1" applyAlignment="1" applyProtection="1">
      <alignment horizontal="center" vertical="center" wrapText="1" readingOrder="1"/>
      <protection locked="0"/>
    </xf>
    <xf numFmtId="0" fontId="23"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3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colors>
    <mruColors>
      <color rgb="FFFFC4F5"/>
      <color rgb="FFE7C2FF"/>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6EB1068C-9290-453A-9D61-13B9FCB9B7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1B18297E-2C1C-4935-98B2-081A30FAE9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4401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C675698E-50F4-4FC6-8865-2D20DE8C4F8D}"/>
  <namedSheetView name="View1" id="{028F11F5-748A-4C11-BA0D-EB49A37EA7F6}"/>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129" tableBorderDxfId="128" totalsRowBorderDxfId="127">
  <autoFilter ref="B5:D670"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126"/>
    <tableColumn id="2" xr3:uid="{00000000-0010-0000-0000-000002000000}" name="TABELA" dataDxfId="125"/>
    <tableColumn id="3" xr3:uid="{00000000-0010-0000-0000-000003000000}" name="DESCRIÇÃO" dataDxfId="12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X41" totalsRowShown="0" headerRowDxfId="123" dataDxfId="122" tableBorderDxfId="121">
  <autoFilter ref="B5:X41" xr:uid="{00000000-0009-0000-0100-000003000000}">
    <filterColumn colId="4">
      <filters>
        <filter val="Transaction Detail Code"/>
      </filters>
    </filterColumn>
  </autoFilter>
  <tableColumns count="23">
    <tableColumn id="1" xr3:uid="{00000000-0010-0000-0100-000001000000}" name="NOME BD" dataDxfId="120"/>
    <tableColumn id="2" xr3:uid="{00000000-0010-0000-0100-000002000000}" name="NOME TABELA" dataDxfId="119"/>
    <tableColumn id="3" xr3:uid="{00000000-0010-0000-0100-000003000000}" name="NOME FÍSICO TABELA" dataDxfId="118"/>
    <tableColumn id="4" xr3:uid="{00000000-0010-0000-0100-000004000000}" name="NÍVEL TABELA" dataDxfId="117"/>
    <tableColumn id="28" xr3:uid="{00000000-0010-0000-0100-00001C000000}" name="NOME CAMPO" dataDxfId="116"/>
    <tableColumn id="29" xr3:uid="{00000000-0010-0000-0100-00001D000000}" name="NOME FÍSICO CAMPO" dataDxfId="115"/>
    <tableColumn id="5" xr3:uid="{6702D551-4054-4BA7-8FA8-19B92AF13846}" name="BLOCO" dataDxfId="114"/>
    <tableColumn id="8" xr3:uid="{00000000-0010-0000-0100-000008000000}" name="ORDEM" dataDxfId="113"/>
    <tableColumn id="9" xr3:uid="{00000000-0010-0000-0100-000009000000}" name="FORMATO" dataDxfId="112"/>
    <tableColumn id="10" xr3:uid="{00000000-0010-0000-0100-00000A000000}" name="COMP_ CAMPO" dataDxfId="111"/>
    <tableColumn id="11" xr3:uid="{00000000-0010-0000-0100-00000B000000}" name="NUM_ DECIMAIS" dataDxfId="110"/>
    <tableColumn id="12" xr3:uid="{00000000-0010-0000-0100-00000C000000}" name="DESCRIÇÃO FUNCIONAL (ENG)" dataDxfId="109"/>
    <tableColumn id="13" xr3:uid="{00000000-0010-0000-0100-00000D000000}" name="DESCRIÇÃO FUNCIONAL (PT)" dataDxfId="108"/>
    <tableColumn id="14" xr3:uid="{00000000-0010-0000-0100-00000E000000}" name="CHAVE PRIMÁRIA" dataDxfId="107"/>
    <tableColumn id="15" xr3:uid="{00000000-0010-0000-0100-00000F000000}" name="DADOS REFERÊNCIA" dataDxfId="106"/>
    <tableColumn id="18" xr3:uid="{00000000-0010-0000-0100-000012000000}" name="NOME BD CURATED" dataDxfId="105"/>
    <tableColumn id="19" xr3:uid="{00000000-0010-0000-0100-000013000000}" name="NOME FISICO TABELA CURATED" dataDxfId="104"/>
    <tableColumn id="20" xr3:uid="{00000000-0010-0000-0100-000014000000}" name="NOME FISICO CAMPO CURATED" dataDxfId="103"/>
    <tableColumn id="22" xr3:uid="{00000000-0010-0000-0100-000016000000}" name="CODIÇÃO CURATED - CDM" dataDxfId="102"/>
    <tableColumn id="24" xr3:uid="{00000000-0010-0000-0100-000018000000}" name="ID APLICAÇÂO TÉCNICA" dataDxfId="101"/>
    <tableColumn id="25" xr3:uid="{00000000-0010-0000-0100-000019000000}" name="NOME FISICO TABELA FONTE" dataDxfId="100"/>
    <tableColumn id="26" xr3:uid="{00000000-0010-0000-0100-00001A000000}" name="NOME FÍISICO CAMPO FONTE" dataDxfId="99"/>
    <tableColumn id="27" xr3:uid="{00000000-0010-0000-0100-00001B000000}" name="VALOR MANUAL FONTE" dataDxfId="9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8" totalsRowShown="0" headerRowDxfId="97" dataDxfId="96" tableBorderDxfId="95">
  <autoFilter ref="B2:I8" xr:uid="{00000000-0009-0000-0100-000005000000}">
    <filterColumn colId="1">
      <filters>
        <filter val="occasional_transaction"/>
      </filters>
    </filterColumn>
  </autoFilter>
  <sortState xmlns:xlrd2="http://schemas.microsoft.com/office/spreadsheetml/2017/richdata2" ref="B3:I8">
    <sortCondition ref="C2:C8"/>
  </sortState>
  <tableColumns count="8">
    <tableColumn id="1" xr3:uid="{00000000-0010-0000-0200-000001000000}" name="NOME BD " dataDxfId="94" totalsRowDxfId="93"/>
    <tableColumn id="2" xr3:uid="{00000000-0010-0000-0200-000002000000}" name="NOME FÍSICO TABELA" dataDxfId="92" totalsRowDxfId="91"/>
    <tableColumn id="6" xr3:uid="{00000000-0010-0000-0200-000006000000}" name="NOME FÍSICO BD FONTE ESQUERDA" dataDxfId="90" totalsRowDxfId="89"/>
    <tableColumn id="3" xr3:uid="{00000000-0010-0000-0200-000003000000}" name="NOME FÍSICO TABELA FONTE ESQUERDA" dataDxfId="88" totalsRowDxfId="87"/>
    <tableColumn id="7" xr3:uid="{00000000-0010-0000-0200-000007000000}" name="NOME FÍSICO BD FONTE DIREITA" dataDxfId="86" totalsRowDxfId="85"/>
    <tableColumn id="4" xr3:uid="{00000000-0010-0000-0200-000004000000}" name="NOME FÍSICO TABELA FONTE DIREITA" dataDxfId="84" totalsRowDxfId="83"/>
    <tableColumn id="5" xr3:uid="{00000000-0010-0000-0200-000005000000}" name="REGRA DE CRUZAMENTO" dataDxfId="82" totalsRowDxfId="81"/>
    <tableColumn id="8" xr3:uid="{00000000-0010-0000-0200-000008000000}" name="TIPO CRUZAMENTO" dataDxfId="80" totalsRowDxfId="7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 totalsRowShown="0" headerRowDxfId="78" dataDxfId="77" tableBorderDxfId="76">
  <autoFilter ref="B2:H4" xr:uid="{00000000-0009-0000-0100-000006000000}"/>
  <sortState xmlns:xlrd2="http://schemas.microsoft.com/office/spreadsheetml/2017/richdata2" ref="B3:H3">
    <sortCondition ref="C2:C3"/>
  </sortState>
  <tableColumns count="7">
    <tableColumn id="1" xr3:uid="{00000000-0010-0000-0300-000001000000}" name="NOME BD" dataDxfId="75" totalsRowDxfId="74"/>
    <tableColumn id="2" xr3:uid="{00000000-0010-0000-0300-000002000000}" name="NOME FÍSICO TABELA" dataDxfId="73" totalsRowDxfId="72"/>
    <tableColumn id="5" xr3:uid="{00000000-0010-0000-0300-000005000000}" name="NOME FÍSICO BD FONTE" dataDxfId="71" totalsRowDxfId="70"/>
    <tableColumn id="6" xr3:uid="{00000000-0010-0000-0300-000006000000}" name="NOME FÍSICO TABELA FONTE" dataDxfId="69" totalsRowDxfId="68"/>
    <tableColumn id="3" xr3:uid="{00000000-0010-0000-0300-000003000000}" name="REGRA DE ATAQUE" dataDxfId="67" totalsRowDxfId="66"/>
    <tableColumn id="4" xr3:uid="{00000000-0010-0000-0300-000004000000}" name="DESCRIÇÃO ESTADOS CONSIDERADOS" dataDxfId="65" totalsRowDxfId="64"/>
    <tableColumn id="7" xr3:uid="{00000000-0010-0000-0300-000007000000}" name="DESCRIÇÃO ESTADOS DESCONSIDERADOS" dataDxfId="63" totalsRowDxfId="6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10E7C4-9193-472F-88CE-BCEC87158315}" name="Table33" displayName="Table33" ref="B5:X18" totalsRowShown="0" headerRowDxfId="61" dataDxfId="60" tableBorderDxfId="59">
  <autoFilter ref="B5:X18" xr:uid="{00000000-0009-0000-0100-000003000000}"/>
  <tableColumns count="23">
    <tableColumn id="1" xr3:uid="{B14594D3-24D1-4B0D-BC3E-55B2C40F73CE}" name="NOME BD" dataDxfId="58"/>
    <tableColumn id="2" xr3:uid="{29875ADF-B344-423A-957F-AA50796AAF11}" name="NOME TABELA" dataDxfId="57"/>
    <tableColumn id="3" xr3:uid="{69693424-ACC8-4588-9BE1-1BA80DE8FABD}" name="NOME FÍSICO TABELA" dataDxfId="56"/>
    <tableColumn id="4" xr3:uid="{D8A9A207-775A-4BFD-8966-FA264F112512}" name="NÍVEL TABELA" dataDxfId="55"/>
    <tableColumn id="28" xr3:uid="{51CF665B-789C-485C-8CCF-BC070B49BB77}" name="NOME CAMPO" dataDxfId="54"/>
    <tableColumn id="29" xr3:uid="{17482624-6650-468E-B5E5-A2D1496E7BDB}" name="NOME FÍSICO CAMPO" dataDxfId="53"/>
    <tableColumn id="5" xr3:uid="{963EFDB2-BA7B-4238-996A-04BA87180CB8}" name="BLOCO" dataDxfId="52"/>
    <tableColumn id="8" xr3:uid="{89814E15-9DEB-48AF-93D2-15BEA39A8FF7}" name="ORDEM" dataDxfId="51"/>
    <tableColumn id="9" xr3:uid="{E39AF6C8-5091-4024-BBBA-A52B38392BAD}" name="FORMATO" dataDxfId="50"/>
    <tableColumn id="10" xr3:uid="{8E771283-79EF-48EE-9399-E8CFEABBF033}" name="COMP_ CAMPO" dataDxfId="49"/>
    <tableColumn id="11" xr3:uid="{201B0C9F-4BD7-40D8-B445-6B80F051AEC2}" name="NUM_ DECIMAIS" dataDxfId="48"/>
    <tableColumn id="12" xr3:uid="{2B9A902F-6694-4B91-900E-C46942EE45AF}" name="DESCRIÇÃO FUNCIONAL (ENG)" dataDxfId="47"/>
    <tableColumn id="13" xr3:uid="{24456303-0FE2-4870-A3F3-B2F6D31EF3EC}" name="DESCRIÇÃO FUNCIONAL (PT)" dataDxfId="46"/>
    <tableColumn id="14" xr3:uid="{75CCB257-F523-4CD3-ADFB-44648B06DB35}" name="CHAVE PRIMÁRIA" dataDxfId="45"/>
    <tableColumn id="15" xr3:uid="{7BAA6807-256E-45E7-8CA9-4622370E0290}" name="DADOS REFERÊNCIA" dataDxfId="44"/>
    <tableColumn id="18" xr3:uid="{04657A6C-DDB5-4797-8EF6-B859D7A1F4F6}" name="NOME BD CURATED" dataDxfId="43"/>
    <tableColumn id="19" xr3:uid="{B252F734-9D50-4D17-9B07-DE3960D3F79C}" name="NOME FISICO TABELA CURATED" dataDxfId="42"/>
    <tableColumn id="20" xr3:uid="{42D46427-1184-4F98-A6D2-5912F3AC9734}" name="NOME FISICO CAMPO CURATED" dataDxfId="41"/>
    <tableColumn id="22" xr3:uid="{9F2AC197-3A24-4108-A2A1-4DBF1D2032DF}" name="CODIÇÃO CURATED - CDM" dataDxfId="40"/>
    <tableColumn id="24" xr3:uid="{82CE9D4E-7BDA-4937-82EE-EE5F09EEDA96}" name="ID APLICAÇÂO TÉCNICA" dataDxfId="39"/>
    <tableColumn id="25" xr3:uid="{7529BC9F-2A7B-4796-9542-939F310FC53B}" name="NOME FISICO TABELA FONTE" dataDxfId="38"/>
    <tableColumn id="26" xr3:uid="{E4580B06-F2BD-4E4D-B754-EEC76E7D01C6}" name="NOME FÍISICO CAMPO FONTE" dataDxfId="37"/>
    <tableColumn id="27" xr3:uid="{53D41D7A-89CC-42B6-A51B-DF16F321B066}" name="VALOR MANUAL FONTE" dataDxfId="3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0A2B98-ACE3-4699-B720-F9073FA96BA9}" name="Table55" displayName="Table55" ref="B2:I9" totalsRowShown="0" headerRowDxfId="35" dataDxfId="34" tableBorderDxfId="33">
  <autoFilter ref="B2:I9" xr:uid="{00000000-0009-0000-0100-000005000000}"/>
  <sortState xmlns:xlrd2="http://schemas.microsoft.com/office/spreadsheetml/2017/richdata2" ref="B3:I9">
    <sortCondition ref="C2:C9"/>
  </sortState>
  <tableColumns count="8">
    <tableColumn id="1" xr3:uid="{59CEF895-ABB1-49FE-B559-D972A25454B2}" name="NOME BD " dataDxfId="32" totalsRowDxfId="31"/>
    <tableColumn id="2" xr3:uid="{833897EA-2C69-4C86-A153-7A5E5BBE4CE4}" name="NOME FÍSICO TABELA" dataDxfId="30" totalsRowDxfId="29"/>
    <tableColumn id="6" xr3:uid="{63505A6B-BA2D-4832-B903-5CE20706E823}" name="NOME FÍSICO BD FONTE ESQUERDA" dataDxfId="28" totalsRowDxfId="27"/>
    <tableColumn id="3" xr3:uid="{104156E1-D257-49CB-9EAA-071546E73C81}" name="NOME FÍSICO TABELA FONTE ESQUERDA" dataDxfId="26" totalsRowDxfId="25"/>
    <tableColumn id="7" xr3:uid="{14878019-5398-4CC9-88F3-ADADF220FDC3}" name="NOME FÍSICO BD FONTE DIREITA" dataDxfId="24" totalsRowDxfId="23"/>
    <tableColumn id="4" xr3:uid="{D5E46CB8-62CA-4BB9-B7EA-F9DAC4DBEE59}" name="NOME FÍSICO TABELA FONTE DIREITA" dataDxfId="22" totalsRowDxfId="21"/>
    <tableColumn id="5" xr3:uid="{DEFF4210-024F-4FA1-953E-CDC6CFC8A193}" name="REGRA DE CRUZAMENTO" dataDxfId="20" totalsRowDxfId="19"/>
    <tableColumn id="8" xr3:uid="{B36E5A9C-F2C8-4409-82E5-F01C38989119}" name="TIPO CRUZAMENTO" dataDxfId="18" totalsRowDxfId="17"/>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24C7B45-28D2-41D0-902B-4E0D1F96D35C}" name="Table68" displayName="Table68" ref="B3:G5" totalsRowShown="0" headerRowDxfId="16" dataDxfId="14" headerRowBorderDxfId="15" tableBorderDxfId="13" totalsRowBorderDxfId="12">
  <autoFilter ref="B3:G5" xr:uid="{724C7B45-28D2-41D0-902B-4E0D1F96D35C}"/>
  <sortState xmlns:xlrd2="http://schemas.microsoft.com/office/spreadsheetml/2017/richdata2" ref="B3:G4">
    <sortCondition ref="C2:C3"/>
  </sortState>
  <tableColumns count="6">
    <tableColumn id="1" xr3:uid="{858E6448-66DB-4257-B1C6-37C24DD5FA77}" name="NOME BD" dataDxfId="11" totalsRowDxfId="10"/>
    <tableColumn id="2" xr3:uid="{C80AD24F-EE8A-4214-8C5C-2AFF2B4738ED}" name="NOME FÍSICO TABELA" dataDxfId="9" totalsRowDxfId="8"/>
    <tableColumn id="5" xr3:uid="{85F9D59E-4052-42BD-BBB9-77AEAF59E268}" name="NOME FÍSICO BD FONTE" dataDxfId="7" totalsRowDxfId="6"/>
    <tableColumn id="6" xr3:uid="{520D83C0-5BE0-4A16-AE52-3C887C1F48EA}" name="NOME FÍSICO TABELA FONTE" dataDxfId="5" totalsRowDxfId="4">
      <calculatedColumnFormula>MID(LEFT(Table68[[#This Row],[BLOCOS TEMPORAIS CORRIDOS]], FIND("{token}", SUBSTITUTE(Table68[[#This Row],[BLOCOS TEMPORAIS CORRIDOS]], ".", "{token}", 10)) - 1), FIND("{token}", SUBSTITUTE(Table68[[#This Row],[BLOCOS TEMPORAIS CORRIDOS]], " ", "{token}", 66)) + 1, LEN(Table68[[#This Row],[BLOCOS TEMPORAIS CORRIDOS]]))</calculatedColumnFormula>
    </tableColumn>
    <tableColumn id="7" xr3:uid="{3376E7B5-2D5C-4AFC-A769-2468EF41105F}" name="DATAS DE HISTÓRICO" dataDxfId="3" totalsRowDxfId="2"/>
    <tableColumn id="3" xr3:uid="{10522A37-593B-4A11-A299-38B4F1D11EC7}" name="BLOCOS TEMPORAIS CORRI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T10" sqref="T10"/>
    </sheetView>
  </sheetViews>
  <sheetFormatPr defaultColWidth="0" defaultRowHeight="12.75" zeroHeight="1" x14ac:dyDescent="0.2"/>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4.5" x14ac:dyDescent="0.2">
      <c r="A3" s="5"/>
      <c r="B3" s="79"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topLeftCell="A3" zoomScale="115" zoomScaleNormal="115" workbookViewId="0">
      <selection activeCell="D7" sqref="D7"/>
    </sheetView>
  </sheetViews>
  <sheetFormatPr defaultColWidth="0" defaultRowHeight="15" x14ac:dyDescent="0.2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x14ac:dyDescent="0.25">
      <c r="A1" s="20"/>
      <c r="B1" s="20"/>
      <c r="C1" s="20"/>
      <c r="D1" s="20"/>
      <c r="E1" s="20"/>
    </row>
    <row r="2" spans="1:5" x14ac:dyDescent="0.25">
      <c r="A2" s="20"/>
      <c r="B2" s="20"/>
      <c r="C2" s="20"/>
      <c r="D2" s="20"/>
      <c r="E2" s="20"/>
    </row>
    <row r="3" spans="1:5" ht="15.75" thickBot="1" x14ac:dyDescent="0.3">
      <c r="A3" s="22"/>
      <c r="B3" s="22"/>
      <c r="C3" s="22"/>
      <c r="D3" s="22"/>
      <c r="E3" s="22"/>
    </row>
    <row r="4" spans="1:5" x14ac:dyDescent="0.25">
      <c r="A4" s="21"/>
      <c r="B4" s="21"/>
      <c r="C4" s="21"/>
      <c r="D4" s="21"/>
      <c r="E4" s="21"/>
    </row>
    <row r="5" spans="1:5" x14ac:dyDescent="0.25">
      <c r="A5" s="21"/>
      <c r="B5" s="32" t="s">
        <v>1</v>
      </c>
      <c r="C5" s="33" t="s">
        <v>2</v>
      </c>
      <c r="D5" s="34" t="s">
        <v>3</v>
      </c>
      <c r="E5" s="21"/>
    </row>
    <row r="6" spans="1:5" ht="25.5" x14ac:dyDescent="0.25">
      <c r="A6" s="21"/>
      <c r="B6" s="30" t="s">
        <v>4</v>
      </c>
      <c r="C6" s="30" t="s">
        <v>5</v>
      </c>
      <c r="D6" s="88" t="s">
        <v>6</v>
      </c>
      <c r="E6" s="21"/>
    </row>
    <row r="7" spans="1:5" x14ac:dyDescent="0.25">
      <c r="A7" s="21"/>
      <c r="B7" s="30" t="s">
        <v>7</v>
      </c>
      <c r="C7" s="30" t="s">
        <v>8</v>
      </c>
      <c r="D7" s="88" t="s">
        <v>9</v>
      </c>
      <c r="E7" s="21"/>
    </row>
    <row r="8" spans="1:5" hidden="1" x14ac:dyDescent="0.25">
      <c r="A8" s="21"/>
      <c r="B8" s="30"/>
      <c r="D8" s="31"/>
      <c r="E8" s="21"/>
    </row>
    <row r="9" spans="1:5" hidden="1" x14ac:dyDescent="0.25">
      <c r="A9" s="21"/>
      <c r="B9" s="30"/>
      <c r="D9" s="31"/>
      <c r="E9" s="21"/>
    </row>
    <row r="10" spans="1:5" hidden="1" x14ac:dyDescent="0.25">
      <c r="B10" s="30"/>
      <c r="D10" s="24"/>
    </row>
    <row r="11" spans="1:5" s="4" customFormat="1" hidden="1" x14ac:dyDescent="0.25">
      <c r="B11" s="30"/>
      <c r="C11"/>
      <c r="D11" s="24"/>
    </row>
    <row r="12" spans="1:5" s="4" customFormat="1" hidden="1" x14ac:dyDescent="0.25">
      <c r="B12" s="30"/>
      <c r="C12"/>
      <c r="D12" s="31"/>
    </row>
    <row r="13" spans="1:5" s="4" customFormat="1" hidden="1" x14ac:dyDescent="0.25">
      <c r="B13" s="30"/>
      <c r="C13"/>
      <c r="D13" s="24"/>
    </row>
    <row r="14" spans="1:5" s="4" customFormat="1" hidden="1" x14ac:dyDescent="0.25">
      <c r="B14" s="30"/>
      <c r="C14"/>
      <c r="D14" s="31"/>
    </row>
    <row r="15" spans="1:5" s="4" customFormat="1" hidden="1" x14ac:dyDescent="0.25">
      <c r="B15" s="30"/>
      <c r="C15"/>
      <c r="D15" s="31"/>
    </row>
    <row r="16" spans="1:5" s="4" customFormat="1" hidden="1" x14ac:dyDescent="0.25">
      <c r="B16" s="30"/>
      <c r="C16"/>
      <c r="D16" s="24"/>
    </row>
    <row r="17" spans="2:4" s="4" customFormat="1" hidden="1" x14ac:dyDescent="0.25">
      <c r="B17" s="30"/>
      <c r="C17"/>
      <c r="D17" s="24"/>
    </row>
    <row r="18" spans="2:4" s="4" customFormat="1" hidden="1" x14ac:dyDescent="0.25">
      <c r="B18" s="30"/>
      <c r="C18"/>
      <c r="D18" s="24"/>
    </row>
    <row r="19" spans="2:4" s="4" customFormat="1" hidden="1" x14ac:dyDescent="0.25">
      <c r="B19" s="30"/>
      <c r="C19"/>
      <c r="D19" s="24"/>
    </row>
    <row r="20" spans="2:4" s="4" customFormat="1" hidden="1" x14ac:dyDescent="0.25">
      <c r="B20" s="30"/>
      <c r="C20"/>
      <c r="D20" s="31"/>
    </row>
    <row r="21" spans="2:4" s="4" customFormat="1" hidden="1" x14ac:dyDescent="0.25">
      <c r="B21" s="30"/>
      <c r="C21"/>
      <c r="D21" s="31"/>
    </row>
    <row r="22" spans="2:4" s="4" customFormat="1" hidden="1" x14ac:dyDescent="0.25">
      <c r="B22" s="30"/>
      <c r="C22"/>
      <c r="D22" s="31"/>
    </row>
    <row r="23" spans="2:4" s="4" customFormat="1" hidden="1" x14ac:dyDescent="0.25">
      <c r="B23" s="30"/>
      <c r="C23"/>
      <c r="D23" s="24"/>
    </row>
    <row r="24" spans="2:4" s="4" customFormat="1" hidden="1" x14ac:dyDescent="0.25">
      <c r="B24" s="30"/>
      <c r="C24"/>
      <c r="D24" s="31"/>
    </row>
    <row r="25" spans="2:4" s="4" customFormat="1" hidden="1" x14ac:dyDescent="0.25">
      <c r="B25" s="30"/>
      <c r="C25"/>
      <c r="D25" s="31"/>
    </row>
    <row r="26" spans="2:4" s="4" customFormat="1" hidden="1" x14ac:dyDescent="0.25">
      <c r="B26" s="30"/>
      <c r="C26"/>
      <c r="D26" s="31"/>
    </row>
    <row r="27" spans="2:4" s="4" customFormat="1" hidden="1" x14ac:dyDescent="0.25">
      <c r="B27" s="30"/>
      <c r="C27"/>
      <c r="D27" s="31"/>
    </row>
    <row r="28" spans="2:4" s="4" customFormat="1" hidden="1" x14ac:dyDescent="0.25">
      <c r="B28" s="30"/>
      <c r="C28"/>
      <c r="D28" s="31"/>
    </row>
    <row r="29" spans="2:4" s="4" customFormat="1" hidden="1" x14ac:dyDescent="0.25">
      <c r="B29" s="30"/>
      <c r="C29"/>
      <c r="D29" s="31"/>
    </row>
    <row r="30" spans="2:4" s="4" customFormat="1" hidden="1" x14ac:dyDescent="0.25">
      <c r="B30" s="30"/>
      <c r="C30"/>
      <c r="D30" s="31"/>
    </row>
    <row r="31" spans="2:4" s="4" customFormat="1" hidden="1" x14ac:dyDescent="0.25">
      <c r="B31" s="30"/>
      <c r="C31"/>
      <c r="D31" s="31"/>
    </row>
    <row r="32" spans="2:4" s="4" customFormat="1" hidden="1" x14ac:dyDescent="0.25">
      <c r="B32" s="30"/>
      <c r="C32"/>
      <c r="D32" s="31"/>
    </row>
    <row r="33" spans="2:4" s="4" customFormat="1" hidden="1" x14ac:dyDescent="0.25">
      <c r="B33" s="30"/>
      <c r="C33"/>
      <c r="D33" s="31"/>
    </row>
    <row r="34" spans="2:4" s="4" customFormat="1" hidden="1" x14ac:dyDescent="0.25">
      <c r="B34" s="30"/>
      <c r="C34"/>
      <c r="D34" s="31"/>
    </row>
    <row r="35" spans="2:4" s="4" customFormat="1" hidden="1" x14ac:dyDescent="0.25">
      <c r="B35" s="30"/>
      <c r="C35"/>
      <c r="D35" s="31"/>
    </row>
    <row r="36" spans="2:4" s="4" customFormat="1" hidden="1" x14ac:dyDescent="0.25">
      <c r="B36" s="30"/>
      <c r="C36"/>
      <c r="D36" s="31"/>
    </row>
    <row r="37" spans="2:4" s="4" customFormat="1" hidden="1" x14ac:dyDescent="0.25">
      <c r="B37" s="30"/>
      <c r="C37"/>
      <c r="D37" s="31"/>
    </row>
    <row r="38" spans="2:4" s="4" customFormat="1" hidden="1" x14ac:dyDescent="0.25">
      <c r="B38" s="30"/>
      <c r="C38"/>
      <c r="D38" s="31"/>
    </row>
    <row r="39" spans="2:4" s="4" customFormat="1" hidden="1" x14ac:dyDescent="0.25">
      <c r="B39" s="30"/>
      <c r="C39"/>
      <c r="D39" s="31"/>
    </row>
    <row r="40" spans="2:4" s="4" customFormat="1" hidden="1" x14ac:dyDescent="0.25">
      <c r="B40" s="35"/>
      <c r="C40"/>
      <c r="D40" s="36"/>
    </row>
    <row r="41" spans="2:4" s="4" customFormat="1" hidden="1" x14ac:dyDescent="0.25">
      <c r="B41" s="30"/>
      <c r="C41"/>
      <c r="D41" s="31"/>
    </row>
    <row r="42" spans="2:4" s="4" customFormat="1" hidden="1" x14ac:dyDescent="0.25">
      <c r="B42" s="30"/>
      <c r="C42"/>
      <c r="D42" s="31"/>
    </row>
    <row r="43" spans="2:4" s="4" customFormat="1" hidden="1" x14ac:dyDescent="0.25">
      <c r="B43" s="30"/>
      <c r="C43"/>
      <c r="D43" s="31"/>
    </row>
    <row r="44" spans="2:4" s="4" customFormat="1" hidden="1" x14ac:dyDescent="0.25">
      <c r="B44" s="30"/>
      <c r="C44"/>
      <c r="D44" s="31"/>
    </row>
    <row r="45" spans="2:4" s="4" customFormat="1" hidden="1" x14ac:dyDescent="0.25">
      <c r="B45" s="30"/>
      <c r="C45"/>
      <c r="D45" s="31"/>
    </row>
    <row r="46" spans="2:4" s="4" customFormat="1" hidden="1" x14ac:dyDescent="0.25">
      <c r="B46" s="30"/>
      <c r="C46"/>
      <c r="D46" s="31"/>
    </row>
    <row r="47" spans="2:4" s="4" customFormat="1" hidden="1" x14ac:dyDescent="0.25">
      <c r="B47" s="30"/>
      <c r="C47"/>
      <c r="D47" s="31"/>
    </row>
    <row r="48" spans="2:4" s="4" customFormat="1" hidden="1" x14ac:dyDescent="0.25">
      <c r="B48" s="30"/>
      <c r="C48"/>
      <c r="D48" s="31"/>
    </row>
    <row r="49" spans="2:4" s="4" customFormat="1" hidden="1" x14ac:dyDescent="0.25">
      <c r="B49" s="30"/>
      <c r="C49"/>
      <c r="D49" s="31"/>
    </row>
    <row r="50" spans="2:4" s="4" customFormat="1" hidden="1" x14ac:dyDescent="0.25">
      <c r="B50" s="30"/>
      <c r="C50"/>
      <c r="D50" s="31"/>
    </row>
    <row r="51" spans="2:4" s="4" customFormat="1" hidden="1" x14ac:dyDescent="0.25">
      <c r="B51" s="30"/>
      <c r="C51"/>
      <c r="D51" s="31"/>
    </row>
    <row r="52" spans="2:4" s="4" customFormat="1" hidden="1" x14ac:dyDescent="0.25">
      <c r="B52" s="30"/>
      <c r="C52"/>
      <c r="D52" s="31"/>
    </row>
    <row r="53" spans="2:4" s="4" customFormat="1" hidden="1" x14ac:dyDescent="0.25">
      <c r="B53" s="30"/>
      <c r="C53"/>
      <c r="D53" s="31"/>
    </row>
    <row r="54" spans="2:4" s="4" customFormat="1" hidden="1" x14ac:dyDescent="0.25">
      <c r="B54" s="30"/>
      <c r="C54"/>
      <c r="D54" s="31"/>
    </row>
    <row r="55" spans="2:4" s="4" customFormat="1" hidden="1" x14ac:dyDescent="0.25">
      <c r="B55" s="30"/>
      <c r="C55"/>
      <c r="D55" s="31"/>
    </row>
    <row r="56" spans="2:4" s="4" customFormat="1" hidden="1" x14ac:dyDescent="0.25">
      <c r="B56" s="30"/>
      <c r="C56"/>
      <c r="D56" s="31"/>
    </row>
    <row r="57" spans="2:4" s="4" customFormat="1" hidden="1" x14ac:dyDescent="0.25">
      <c r="B57" s="30"/>
      <c r="C57"/>
      <c r="D57" s="31"/>
    </row>
    <row r="58" spans="2:4" s="4" customFormat="1" hidden="1" x14ac:dyDescent="0.25">
      <c r="B58" s="30"/>
      <c r="C58"/>
      <c r="D58" s="31"/>
    </row>
    <row r="59" spans="2:4" s="4" customFormat="1" hidden="1" x14ac:dyDescent="0.25">
      <c r="B59" s="30"/>
      <c r="C59"/>
      <c r="D59" s="31"/>
    </row>
    <row r="60" spans="2:4" s="4" customFormat="1" hidden="1" x14ac:dyDescent="0.25">
      <c r="B60" s="30"/>
      <c r="C60"/>
      <c r="D60" s="31"/>
    </row>
    <row r="61" spans="2:4" s="4" customFormat="1" hidden="1" x14ac:dyDescent="0.25">
      <c r="B61" s="30"/>
      <c r="C61"/>
      <c r="D61" s="31"/>
    </row>
    <row r="62" spans="2:4" s="4" customFormat="1" hidden="1" x14ac:dyDescent="0.25">
      <c r="B62" s="30"/>
      <c r="C62"/>
      <c r="D62" s="31"/>
    </row>
    <row r="63" spans="2:4" s="4" customFormat="1" hidden="1" x14ac:dyDescent="0.25">
      <c r="B63" s="30"/>
      <c r="C63"/>
      <c r="D63" s="31"/>
    </row>
    <row r="64" spans="2:4" s="4" customFormat="1" hidden="1" x14ac:dyDescent="0.25">
      <c r="B64" s="30"/>
      <c r="C64"/>
      <c r="D64" s="31"/>
    </row>
    <row r="65" spans="2:4" s="4" customFormat="1" hidden="1" x14ac:dyDescent="0.25">
      <c r="B65" s="30"/>
      <c r="C65"/>
      <c r="D65" s="31"/>
    </row>
    <row r="66" spans="2:4" s="4" customFormat="1" hidden="1" x14ac:dyDescent="0.25">
      <c r="B66" s="30"/>
      <c r="C66"/>
      <c r="D66" s="31"/>
    </row>
    <row r="67" spans="2:4" s="4" customFormat="1" hidden="1" x14ac:dyDescent="0.25">
      <c r="B67" s="30"/>
      <c r="C67"/>
      <c r="D67" s="31"/>
    </row>
    <row r="68" spans="2:4" s="4" customFormat="1" hidden="1" x14ac:dyDescent="0.25">
      <c r="B68" s="30"/>
      <c r="C68"/>
      <c r="D68" s="31"/>
    </row>
    <row r="69" spans="2:4" s="4" customFormat="1" hidden="1" x14ac:dyDescent="0.25">
      <c r="B69" s="30"/>
      <c r="C69"/>
      <c r="D69" s="31"/>
    </row>
    <row r="70" spans="2:4" s="4" customFormat="1" hidden="1" x14ac:dyDescent="0.25">
      <c r="B70" s="30"/>
      <c r="C70"/>
      <c r="D70" s="31"/>
    </row>
    <row r="71" spans="2:4" s="4" customFormat="1" hidden="1" x14ac:dyDescent="0.25">
      <c r="B71" s="30"/>
      <c r="C71"/>
      <c r="D71" s="31"/>
    </row>
    <row r="72" spans="2:4" s="4" customFormat="1" hidden="1" x14ac:dyDescent="0.25">
      <c r="B72" s="30"/>
      <c r="C72"/>
      <c r="D72" s="31"/>
    </row>
    <row r="73" spans="2:4" s="4" customFormat="1" hidden="1" x14ac:dyDescent="0.25">
      <c r="B73" s="30"/>
      <c r="C73"/>
      <c r="D73" s="31"/>
    </row>
    <row r="74" spans="2:4" s="4" customFormat="1" hidden="1" x14ac:dyDescent="0.25">
      <c r="B74" s="30"/>
      <c r="C74"/>
      <c r="D74" s="31"/>
    </row>
    <row r="75" spans="2:4" s="4" customFormat="1" hidden="1" x14ac:dyDescent="0.25">
      <c r="B75" s="30"/>
      <c r="C75"/>
      <c r="D75" s="31"/>
    </row>
    <row r="76" spans="2:4" s="4" customFormat="1" hidden="1" x14ac:dyDescent="0.25">
      <c r="B76" s="30"/>
      <c r="C76"/>
      <c r="D76" s="31"/>
    </row>
    <row r="77" spans="2:4" s="4" customFormat="1" hidden="1" x14ac:dyDescent="0.25">
      <c r="B77" s="30"/>
      <c r="C77"/>
      <c r="D77" s="31"/>
    </row>
    <row r="78" spans="2:4" s="4" customFormat="1" hidden="1" x14ac:dyDescent="0.25">
      <c r="B78" s="30"/>
      <c r="C78"/>
      <c r="D78" s="31"/>
    </row>
    <row r="79" spans="2:4" s="4" customFormat="1" hidden="1" x14ac:dyDescent="0.25">
      <c r="B79" s="30"/>
      <c r="C79"/>
      <c r="D79" s="31"/>
    </row>
    <row r="80" spans="2:4" s="4" customFormat="1" hidden="1" x14ac:dyDescent="0.25">
      <c r="B80" s="30"/>
      <c r="C80"/>
      <c r="D80" s="31"/>
    </row>
    <row r="81" spans="2:4" s="4" customFormat="1" hidden="1" x14ac:dyDescent="0.25">
      <c r="B81" s="30"/>
      <c r="C81"/>
      <c r="D81" s="31"/>
    </row>
    <row r="82" spans="2:4" s="4" customFormat="1" hidden="1" x14ac:dyDescent="0.25">
      <c r="B82" s="30"/>
      <c r="C82"/>
      <c r="D82" s="31"/>
    </row>
    <row r="83" spans="2:4" s="4" customFormat="1" hidden="1" x14ac:dyDescent="0.25">
      <c r="B83" s="30"/>
      <c r="C83"/>
      <c r="D83" s="31"/>
    </row>
    <row r="84" spans="2:4" s="4" customFormat="1" hidden="1" x14ac:dyDescent="0.25">
      <c r="B84" s="30"/>
      <c r="C84"/>
      <c r="D84" s="31"/>
    </row>
    <row r="85" spans="2:4" s="4" customFormat="1" hidden="1" x14ac:dyDescent="0.25">
      <c r="B85" s="30"/>
      <c r="C85"/>
      <c r="D85" s="31"/>
    </row>
    <row r="86" spans="2:4" s="4" customFormat="1" hidden="1" x14ac:dyDescent="0.25">
      <c r="B86" s="30"/>
      <c r="C86"/>
      <c r="D86" s="31"/>
    </row>
    <row r="87" spans="2:4" s="4" customFormat="1" hidden="1" x14ac:dyDescent="0.25">
      <c r="B87" s="30"/>
      <c r="C87"/>
      <c r="D87" s="31"/>
    </row>
    <row r="88" spans="2:4" s="4" customFormat="1" hidden="1" x14ac:dyDescent="0.25">
      <c r="B88" s="30"/>
      <c r="C88"/>
      <c r="D88" s="31"/>
    </row>
    <row r="89" spans="2:4" s="4" customFormat="1" hidden="1" x14ac:dyDescent="0.25">
      <c r="B89" s="30"/>
      <c r="C89"/>
      <c r="D89" s="31"/>
    </row>
    <row r="90" spans="2:4" s="4" customFormat="1" hidden="1" x14ac:dyDescent="0.25">
      <c r="B90" s="30"/>
      <c r="C90"/>
      <c r="D90" s="31"/>
    </row>
    <row r="91" spans="2:4" s="4" customFormat="1" hidden="1" x14ac:dyDescent="0.25">
      <c r="B91" s="30"/>
      <c r="C91"/>
      <c r="D91" s="31"/>
    </row>
    <row r="92" spans="2:4" s="4" customFormat="1" hidden="1" x14ac:dyDescent="0.25">
      <c r="B92" s="30"/>
      <c r="C92"/>
      <c r="D92" s="31"/>
    </row>
    <row r="93" spans="2:4" s="4" customFormat="1" hidden="1" x14ac:dyDescent="0.25">
      <c r="B93" s="30"/>
      <c r="C93"/>
      <c r="D93" s="31"/>
    </row>
    <row r="94" spans="2:4" s="4" customFormat="1" hidden="1" x14ac:dyDescent="0.25">
      <c r="B94" s="30"/>
      <c r="C94"/>
      <c r="D94" s="31"/>
    </row>
    <row r="95" spans="2:4" s="4" customFormat="1" hidden="1" x14ac:dyDescent="0.25">
      <c r="B95" s="30"/>
      <c r="C95"/>
      <c r="D95" s="31"/>
    </row>
    <row r="96" spans="2:4" s="4" customFormat="1" hidden="1" x14ac:dyDescent="0.25">
      <c r="B96" s="30"/>
      <c r="C96"/>
      <c r="D96" s="31"/>
    </row>
    <row r="97" spans="2:4" s="4" customFormat="1" hidden="1" x14ac:dyDescent="0.25">
      <c r="B97" s="30"/>
      <c r="C97"/>
      <c r="D97" s="31"/>
    </row>
    <row r="98" spans="2:4" s="4" customFormat="1" hidden="1" x14ac:dyDescent="0.25">
      <c r="B98" s="30"/>
      <c r="C98"/>
      <c r="D98" s="31"/>
    </row>
    <row r="99" spans="2:4" s="4" customFormat="1" hidden="1" x14ac:dyDescent="0.25">
      <c r="B99" s="30"/>
      <c r="C99"/>
      <c r="D99" s="31"/>
    </row>
    <row r="100" spans="2:4" s="4" customFormat="1" hidden="1" x14ac:dyDescent="0.25">
      <c r="B100" s="30"/>
      <c r="C100"/>
      <c r="D100" s="31"/>
    </row>
    <row r="101" spans="2:4" s="4" customFormat="1" hidden="1" x14ac:dyDescent="0.25">
      <c r="B101" s="30"/>
      <c r="C101"/>
      <c r="D101" s="31"/>
    </row>
    <row r="102" spans="2:4" s="4" customFormat="1" hidden="1" x14ac:dyDescent="0.25">
      <c r="B102" s="30"/>
      <c r="C102"/>
      <c r="D102" s="31"/>
    </row>
    <row r="103" spans="2:4" s="4" customFormat="1" hidden="1" x14ac:dyDescent="0.25">
      <c r="B103" s="30"/>
      <c r="C103"/>
      <c r="D103" s="31"/>
    </row>
    <row r="104" spans="2:4" s="4" customFormat="1" hidden="1" x14ac:dyDescent="0.25">
      <c r="B104" s="30"/>
      <c r="C104"/>
      <c r="D104" s="31"/>
    </row>
    <row r="105" spans="2:4" s="4" customFormat="1" hidden="1" x14ac:dyDescent="0.25">
      <c r="B105" s="30"/>
      <c r="C105"/>
      <c r="D105" s="31"/>
    </row>
    <row r="106" spans="2:4" s="4" customFormat="1" hidden="1" x14ac:dyDescent="0.25">
      <c r="B106" s="30"/>
      <c r="C106"/>
      <c r="D106" s="31"/>
    </row>
    <row r="107" spans="2:4" s="4" customFormat="1" hidden="1" x14ac:dyDescent="0.25">
      <c r="B107" s="30"/>
      <c r="C107"/>
      <c r="D107" s="31"/>
    </row>
    <row r="108" spans="2:4" s="4" customFormat="1" hidden="1" x14ac:dyDescent="0.25">
      <c r="B108" s="30"/>
      <c r="C108"/>
      <c r="D108" s="31"/>
    </row>
    <row r="109" spans="2:4" s="4" customFormat="1" hidden="1" x14ac:dyDescent="0.25">
      <c r="B109" s="30"/>
      <c r="C109"/>
      <c r="D109" s="31"/>
    </row>
    <row r="110" spans="2:4" s="4" customFormat="1" hidden="1" x14ac:dyDescent="0.25">
      <c r="B110" s="30"/>
      <c r="C110"/>
      <c r="D110" s="31"/>
    </row>
    <row r="111" spans="2:4" s="4" customFormat="1" hidden="1" x14ac:dyDescent="0.25">
      <c r="B111" s="30"/>
      <c r="C111"/>
      <c r="D111" s="31"/>
    </row>
    <row r="112" spans="2:4" s="4" customFormat="1" hidden="1" x14ac:dyDescent="0.25">
      <c r="B112" s="30"/>
      <c r="C112"/>
      <c r="D112" s="31"/>
    </row>
    <row r="113" spans="2:4" s="4" customFormat="1" hidden="1" x14ac:dyDescent="0.25">
      <c r="B113" s="30"/>
      <c r="C113"/>
      <c r="D113" s="31"/>
    </row>
    <row r="114" spans="2:4" s="4" customFormat="1" hidden="1" x14ac:dyDescent="0.25">
      <c r="B114" s="30"/>
      <c r="C114"/>
      <c r="D114" s="31"/>
    </row>
    <row r="115" spans="2:4" s="4" customFormat="1" hidden="1" x14ac:dyDescent="0.25">
      <c r="B115" s="30"/>
      <c r="C115"/>
      <c r="D115" s="31"/>
    </row>
    <row r="116" spans="2:4" s="4" customFormat="1" hidden="1" x14ac:dyDescent="0.25">
      <c r="B116" s="30"/>
      <c r="C116"/>
      <c r="D116" s="31"/>
    </row>
    <row r="117" spans="2:4" s="4" customFormat="1" hidden="1" x14ac:dyDescent="0.25">
      <c r="B117" s="30"/>
      <c r="C117"/>
      <c r="D117" s="31"/>
    </row>
    <row r="118" spans="2:4" s="4" customFormat="1" hidden="1" x14ac:dyDescent="0.25">
      <c r="B118" s="30"/>
      <c r="C118"/>
      <c r="D118" s="31"/>
    </row>
    <row r="119" spans="2:4" s="4" customFormat="1" hidden="1" x14ac:dyDescent="0.25">
      <c r="B119" s="30"/>
      <c r="C119"/>
      <c r="D119" s="31"/>
    </row>
    <row r="120" spans="2:4" s="4" customFormat="1" hidden="1" x14ac:dyDescent="0.25">
      <c r="B120" s="30"/>
      <c r="C120"/>
      <c r="D120" s="31"/>
    </row>
    <row r="121" spans="2:4" s="4" customFormat="1" hidden="1" x14ac:dyDescent="0.25">
      <c r="B121" s="30"/>
      <c r="C121"/>
      <c r="D121" s="31"/>
    </row>
    <row r="122" spans="2:4" s="4" customFormat="1" hidden="1" x14ac:dyDescent="0.25">
      <c r="B122" s="30"/>
      <c r="C122"/>
      <c r="D122" s="31"/>
    </row>
    <row r="123" spans="2:4" s="4" customFormat="1" hidden="1" x14ac:dyDescent="0.25">
      <c r="B123" s="30"/>
      <c r="C123"/>
      <c r="D123" s="31"/>
    </row>
    <row r="124" spans="2:4" s="4" customFormat="1" hidden="1" x14ac:dyDescent="0.25">
      <c r="B124" s="30"/>
      <c r="C124"/>
      <c r="D124" s="31"/>
    </row>
    <row r="125" spans="2:4" s="4" customFormat="1" hidden="1" x14ac:dyDescent="0.25">
      <c r="B125" s="30"/>
      <c r="C125"/>
      <c r="D125" s="31"/>
    </row>
    <row r="126" spans="2:4" s="4" customFormat="1" hidden="1" x14ac:dyDescent="0.25">
      <c r="B126" s="30"/>
      <c r="C126"/>
      <c r="D126" s="31"/>
    </row>
    <row r="127" spans="2:4" s="4" customFormat="1" hidden="1" x14ac:dyDescent="0.25">
      <c r="B127" s="30"/>
      <c r="C127"/>
      <c r="D127" s="31"/>
    </row>
    <row r="128" spans="2:4" s="4" customFormat="1" hidden="1" x14ac:dyDescent="0.25">
      <c r="B128" s="30"/>
      <c r="C128"/>
      <c r="D128" s="31"/>
    </row>
    <row r="129" spans="2:4" s="4" customFormat="1" hidden="1" x14ac:dyDescent="0.25">
      <c r="B129" s="30"/>
      <c r="C129"/>
      <c r="D129" s="31"/>
    </row>
    <row r="130" spans="2:4" s="4" customFormat="1" hidden="1" x14ac:dyDescent="0.25">
      <c r="B130" s="30"/>
      <c r="C130"/>
      <c r="D130" s="31"/>
    </row>
    <row r="131" spans="2:4" s="4" customFormat="1" hidden="1" x14ac:dyDescent="0.25">
      <c r="B131" s="30"/>
      <c r="C131"/>
      <c r="D131" s="31"/>
    </row>
    <row r="132" spans="2:4" s="4" customFormat="1" hidden="1" x14ac:dyDescent="0.25">
      <c r="B132" s="30"/>
      <c r="C132"/>
      <c r="D132" s="31"/>
    </row>
    <row r="133" spans="2:4" s="4" customFormat="1" hidden="1" x14ac:dyDescent="0.25">
      <c r="B133" s="30"/>
      <c r="C133"/>
      <c r="D133" s="31"/>
    </row>
    <row r="134" spans="2:4" s="4" customFormat="1" hidden="1" x14ac:dyDescent="0.25">
      <c r="B134" s="30"/>
      <c r="C134"/>
      <c r="D134" s="31"/>
    </row>
    <row r="135" spans="2:4" s="4" customFormat="1" hidden="1" x14ac:dyDescent="0.25">
      <c r="B135" s="30"/>
      <c r="C135"/>
      <c r="D135" s="31"/>
    </row>
    <row r="136" spans="2:4" s="4" customFormat="1" hidden="1" x14ac:dyDescent="0.25">
      <c r="B136" s="30"/>
      <c r="C136"/>
      <c r="D136" s="31"/>
    </row>
    <row r="137" spans="2:4" s="4" customFormat="1" hidden="1" x14ac:dyDescent="0.25">
      <c r="B137" s="30"/>
      <c r="C137"/>
      <c r="D137" s="31"/>
    </row>
    <row r="138" spans="2:4" s="4" customFormat="1" hidden="1" x14ac:dyDescent="0.25">
      <c r="B138" s="30"/>
      <c r="C138"/>
      <c r="D138" s="31"/>
    </row>
    <row r="139" spans="2:4" s="4" customFormat="1" hidden="1" x14ac:dyDescent="0.25">
      <c r="B139" s="30"/>
      <c r="C139"/>
      <c r="D139" s="31"/>
    </row>
    <row r="140" spans="2:4" s="4" customFormat="1" hidden="1" x14ac:dyDescent="0.25">
      <c r="B140" s="30"/>
      <c r="C140"/>
      <c r="D140" s="31"/>
    </row>
    <row r="141" spans="2:4" s="4" customFormat="1" hidden="1" x14ac:dyDescent="0.25">
      <c r="B141" s="30"/>
      <c r="C141"/>
      <c r="D141" s="31"/>
    </row>
    <row r="142" spans="2:4" s="4" customFormat="1" hidden="1" x14ac:dyDescent="0.25">
      <c r="B142" s="30"/>
      <c r="C142"/>
      <c r="D142" s="31"/>
    </row>
    <row r="143" spans="2:4" s="4" customFormat="1" hidden="1" x14ac:dyDescent="0.25">
      <c r="B143" s="30"/>
      <c r="C143"/>
      <c r="D143" s="31"/>
    </row>
    <row r="144" spans="2:4" s="4" customFormat="1" hidden="1" x14ac:dyDescent="0.25">
      <c r="B144" s="30"/>
      <c r="C144"/>
      <c r="D144" s="31"/>
    </row>
    <row r="145" spans="2:4" s="4" customFormat="1" hidden="1" x14ac:dyDescent="0.25">
      <c r="B145" s="30"/>
      <c r="C145"/>
      <c r="D145" s="31"/>
    </row>
    <row r="146" spans="2:4" s="4" customFormat="1" hidden="1" x14ac:dyDescent="0.25">
      <c r="B146" s="30"/>
      <c r="C146"/>
      <c r="D146" s="31"/>
    </row>
    <row r="147" spans="2:4" s="4" customFormat="1" hidden="1" x14ac:dyDescent="0.25">
      <c r="B147" s="30"/>
      <c r="C147"/>
      <c r="D147" s="31"/>
    </row>
    <row r="148" spans="2:4" s="4" customFormat="1" hidden="1" x14ac:dyDescent="0.25">
      <c r="B148" s="30"/>
      <c r="C148"/>
      <c r="D148" s="31"/>
    </row>
    <row r="149" spans="2:4" s="4" customFormat="1" hidden="1" x14ac:dyDescent="0.25">
      <c r="B149" s="30"/>
      <c r="C149"/>
      <c r="D149" s="31"/>
    </row>
    <row r="150" spans="2:4" s="4" customFormat="1" hidden="1" x14ac:dyDescent="0.25">
      <c r="B150" s="30"/>
      <c r="C150"/>
      <c r="D150" s="31"/>
    </row>
    <row r="151" spans="2:4" s="4" customFormat="1" hidden="1" x14ac:dyDescent="0.25">
      <c r="B151" s="30"/>
      <c r="C151"/>
      <c r="D151" s="31"/>
    </row>
    <row r="152" spans="2:4" s="4" customFormat="1" hidden="1" x14ac:dyDescent="0.25">
      <c r="B152" s="30"/>
      <c r="C152"/>
      <c r="D152" s="31"/>
    </row>
    <row r="153" spans="2:4" s="4" customFormat="1" hidden="1" x14ac:dyDescent="0.25">
      <c r="B153" s="30"/>
      <c r="C153"/>
      <c r="D153" s="31"/>
    </row>
    <row r="154" spans="2:4" s="4" customFormat="1" hidden="1" x14ac:dyDescent="0.25">
      <c r="B154" s="30"/>
      <c r="C154"/>
      <c r="D154" s="31"/>
    </row>
    <row r="155" spans="2:4" s="4" customFormat="1" hidden="1" x14ac:dyDescent="0.25">
      <c r="B155" s="30"/>
      <c r="C155"/>
      <c r="D155" s="31"/>
    </row>
    <row r="156" spans="2:4" s="4" customFormat="1" hidden="1" x14ac:dyDescent="0.25">
      <c r="B156" s="30"/>
      <c r="C156"/>
      <c r="D156" s="31"/>
    </row>
    <row r="157" spans="2:4" s="4" customFormat="1" hidden="1" x14ac:dyDescent="0.25">
      <c r="B157" s="30"/>
      <c r="C157"/>
      <c r="D157" s="31"/>
    </row>
    <row r="158" spans="2:4" s="4" customFormat="1" hidden="1" x14ac:dyDescent="0.25">
      <c r="B158" s="30"/>
      <c r="C158"/>
      <c r="D158" s="31"/>
    </row>
    <row r="159" spans="2:4" s="4" customFormat="1" hidden="1" x14ac:dyDescent="0.25">
      <c r="B159" s="30"/>
      <c r="C159"/>
      <c r="D159" s="31"/>
    </row>
    <row r="160" spans="2:4" s="4" customFormat="1" hidden="1" x14ac:dyDescent="0.25">
      <c r="B160" s="30"/>
      <c r="C160"/>
      <c r="D160" s="31"/>
    </row>
    <row r="161" spans="2:4" s="4" customFormat="1" hidden="1" x14ac:dyDescent="0.25">
      <c r="B161" s="30"/>
      <c r="C161"/>
      <c r="D161" s="31"/>
    </row>
    <row r="162" spans="2:4" s="4" customFormat="1" hidden="1" x14ac:dyDescent="0.25">
      <c r="B162" s="30"/>
      <c r="C162"/>
      <c r="D162" s="31"/>
    </row>
    <row r="163" spans="2:4" s="4" customFormat="1" hidden="1" x14ac:dyDescent="0.25">
      <c r="B163" s="30"/>
      <c r="C163"/>
      <c r="D163" s="31"/>
    </row>
    <row r="164" spans="2:4" s="4" customFormat="1" hidden="1" x14ac:dyDescent="0.25">
      <c r="B164" s="30"/>
      <c r="C164"/>
      <c r="D164" s="31"/>
    </row>
    <row r="165" spans="2:4" s="4" customFormat="1" hidden="1" x14ac:dyDescent="0.25">
      <c r="B165" s="30"/>
      <c r="C165"/>
      <c r="D165" s="31"/>
    </row>
    <row r="166" spans="2:4" s="4" customFormat="1" hidden="1" x14ac:dyDescent="0.25">
      <c r="B166" s="30"/>
      <c r="C166"/>
      <c r="D166" s="31"/>
    </row>
    <row r="167" spans="2:4" s="4" customFormat="1" hidden="1" x14ac:dyDescent="0.25">
      <c r="B167" s="30"/>
      <c r="C167"/>
      <c r="D167" s="31"/>
    </row>
    <row r="168" spans="2:4" s="4" customFormat="1" hidden="1" x14ac:dyDescent="0.25">
      <c r="B168" s="30"/>
      <c r="C168"/>
      <c r="D168" s="31"/>
    </row>
    <row r="169" spans="2:4" s="4" customFormat="1" hidden="1" x14ac:dyDescent="0.25">
      <c r="B169" s="30"/>
      <c r="C169"/>
      <c r="D169" s="31"/>
    </row>
    <row r="170" spans="2:4" s="4" customFormat="1" hidden="1" x14ac:dyDescent="0.25">
      <c r="B170" s="30"/>
      <c r="C170"/>
      <c r="D170" s="31"/>
    </row>
    <row r="171" spans="2:4" s="4" customFormat="1" hidden="1" x14ac:dyDescent="0.25">
      <c r="B171" s="30"/>
      <c r="C171"/>
      <c r="D171" s="31"/>
    </row>
    <row r="172" spans="2:4" s="4" customFormat="1" hidden="1" x14ac:dyDescent="0.25">
      <c r="B172" s="30"/>
      <c r="C172"/>
      <c r="D172" s="31"/>
    </row>
    <row r="173" spans="2:4" s="4" customFormat="1" hidden="1" x14ac:dyDescent="0.25">
      <c r="B173" s="30"/>
      <c r="C173"/>
      <c r="D173" s="31"/>
    </row>
    <row r="174" spans="2:4" s="4" customFormat="1" hidden="1" x14ac:dyDescent="0.25">
      <c r="B174" s="30"/>
      <c r="C174"/>
      <c r="D174" s="31"/>
    </row>
    <row r="175" spans="2:4" s="4" customFormat="1" hidden="1" x14ac:dyDescent="0.25">
      <c r="B175" s="30"/>
      <c r="C175"/>
      <c r="D175" s="31"/>
    </row>
    <row r="176" spans="2:4" s="4" customFormat="1" hidden="1" x14ac:dyDescent="0.25">
      <c r="B176" s="30"/>
      <c r="C176"/>
      <c r="D176" s="31"/>
    </row>
    <row r="177" spans="2:4" s="4" customFormat="1" hidden="1" x14ac:dyDescent="0.25">
      <c r="B177" s="30"/>
      <c r="C177"/>
      <c r="D177" s="31"/>
    </row>
    <row r="178" spans="2:4" s="4" customFormat="1" hidden="1" x14ac:dyDescent="0.25">
      <c r="B178" s="30"/>
      <c r="C178"/>
      <c r="D178" s="31"/>
    </row>
    <row r="179" spans="2:4" s="4" customFormat="1" hidden="1" x14ac:dyDescent="0.25">
      <c r="B179" s="30"/>
      <c r="C179"/>
      <c r="D179" s="31"/>
    </row>
    <row r="180" spans="2:4" s="4" customFormat="1" hidden="1" x14ac:dyDescent="0.25">
      <c r="B180" s="30"/>
      <c r="C180"/>
      <c r="D180" s="31"/>
    </row>
    <row r="181" spans="2:4" s="4" customFormat="1" hidden="1" x14ac:dyDescent="0.25">
      <c r="B181" s="30"/>
      <c r="C181"/>
      <c r="D181" s="31"/>
    </row>
    <row r="182" spans="2:4" s="4" customFormat="1" hidden="1" x14ac:dyDescent="0.25">
      <c r="B182" s="30"/>
      <c r="C182"/>
      <c r="D182" s="31"/>
    </row>
    <row r="183" spans="2:4" s="4" customFormat="1" hidden="1" x14ac:dyDescent="0.25">
      <c r="B183" s="30"/>
      <c r="C183"/>
      <c r="D183" s="31"/>
    </row>
    <row r="184" spans="2:4" s="4" customFormat="1" hidden="1" x14ac:dyDescent="0.25">
      <c r="B184" s="30"/>
      <c r="C184"/>
      <c r="D184" s="31"/>
    </row>
    <row r="185" spans="2:4" s="4" customFormat="1" hidden="1" x14ac:dyDescent="0.25">
      <c r="B185" s="30"/>
      <c r="C185"/>
      <c r="D185" s="31"/>
    </row>
    <row r="186" spans="2:4" s="4" customFormat="1" hidden="1" x14ac:dyDescent="0.25">
      <c r="B186" s="30"/>
      <c r="C186"/>
      <c r="D186" s="31"/>
    </row>
    <row r="187" spans="2:4" s="4" customFormat="1" hidden="1" x14ac:dyDescent="0.25">
      <c r="B187" s="30"/>
      <c r="C187"/>
      <c r="D187" s="31"/>
    </row>
    <row r="188" spans="2:4" s="4" customFormat="1" hidden="1" x14ac:dyDescent="0.25">
      <c r="B188" s="30"/>
      <c r="C188"/>
      <c r="D188" s="31"/>
    </row>
    <row r="189" spans="2:4" s="4" customFormat="1" hidden="1" x14ac:dyDescent="0.25">
      <c r="B189" s="30"/>
      <c r="C189"/>
      <c r="D189" s="31"/>
    </row>
    <row r="190" spans="2:4" s="4" customFormat="1" hidden="1" x14ac:dyDescent="0.25">
      <c r="B190" s="30"/>
      <c r="C190"/>
      <c r="D190" s="31"/>
    </row>
    <row r="191" spans="2:4" s="4" customFormat="1" hidden="1" x14ac:dyDescent="0.25">
      <c r="B191" s="30"/>
      <c r="C191"/>
      <c r="D191" s="31"/>
    </row>
    <row r="192" spans="2:4" s="4" customFormat="1" hidden="1" x14ac:dyDescent="0.25">
      <c r="B192" s="30"/>
      <c r="C192"/>
      <c r="D192" s="31"/>
    </row>
    <row r="193" spans="2:4" s="4" customFormat="1" hidden="1" x14ac:dyDescent="0.25">
      <c r="B193" s="30"/>
      <c r="C193"/>
      <c r="D193" s="31"/>
    </row>
    <row r="194" spans="2:4" s="4" customFormat="1" hidden="1" x14ac:dyDescent="0.25">
      <c r="B194" s="30"/>
      <c r="C194"/>
      <c r="D194" s="31"/>
    </row>
    <row r="195" spans="2:4" s="4" customFormat="1" hidden="1" x14ac:dyDescent="0.25">
      <c r="B195" s="30"/>
      <c r="C195"/>
      <c r="D195" s="31"/>
    </row>
    <row r="196" spans="2:4" s="4" customFormat="1" hidden="1" x14ac:dyDescent="0.25">
      <c r="B196" s="30"/>
      <c r="C196"/>
      <c r="D196" s="31"/>
    </row>
    <row r="197" spans="2:4" s="4" customFormat="1" hidden="1" x14ac:dyDescent="0.25">
      <c r="B197" s="30"/>
      <c r="C197"/>
      <c r="D197" s="31"/>
    </row>
    <row r="198" spans="2:4" s="4" customFormat="1" hidden="1" x14ac:dyDescent="0.25">
      <c r="B198" s="30"/>
      <c r="C198"/>
      <c r="D198" s="31"/>
    </row>
    <row r="199" spans="2:4" s="4" customFormat="1" hidden="1" x14ac:dyDescent="0.25">
      <c r="B199" s="30"/>
      <c r="C199"/>
      <c r="D199" s="31"/>
    </row>
    <row r="200" spans="2:4" s="4" customFormat="1" hidden="1" x14ac:dyDescent="0.25">
      <c r="B200" s="30"/>
      <c r="C200"/>
      <c r="D200" s="31"/>
    </row>
    <row r="201" spans="2:4" s="4" customFormat="1" hidden="1" x14ac:dyDescent="0.25">
      <c r="B201" s="30"/>
      <c r="C201"/>
      <c r="D201" s="31"/>
    </row>
    <row r="202" spans="2:4" s="4" customFormat="1" hidden="1" x14ac:dyDescent="0.25">
      <c r="B202" s="30"/>
      <c r="C202"/>
      <c r="D202" s="31"/>
    </row>
    <row r="203" spans="2:4" s="4" customFormat="1" hidden="1" x14ac:dyDescent="0.25">
      <c r="B203" s="30"/>
      <c r="C203"/>
      <c r="D203" s="31"/>
    </row>
    <row r="204" spans="2:4" s="4" customFormat="1" hidden="1" x14ac:dyDescent="0.25">
      <c r="B204" s="30"/>
      <c r="C204"/>
      <c r="D204" s="31"/>
    </row>
    <row r="205" spans="2:4" s="4" customFormat="1" hidden="1" x14ac:dyDescent="0.25">
      <c r="B205" s="30"/>
      <c r="C205"/>
      <c r="D205" s="31"/>
    </row>
    <row r="206" spans="2:4" s="4" customFormat="1" hidden="1" x14ac:dyDescent="0.25">
      <c r="B206" s="30"/>
      <c r="C206"/>
      <c r="D206" s="31"/>
    </row>
    <row r="207" spans="2:4" s="4" customFormat="1" hidden="1" x14ac:dyDescent="0.25">
      <c r="B207" s="30"/>
      <c r="C207"/>
      <c r="D207" s="31"/>
    </row>
    <row r="208" spans="2:4" s="4" customFormat="1" hidden="1" x14ac:dyDescent="0.25">
      <c r="B208" s="30"/>
      <c r="C208"/>
      <c r="D208" s="31"/>
    </row>
    <row r="209" spans="2:4" s="4" customFormat="1" hidden="1" x14ac:dyDescent="0.25">
      <c r="B209" s="30"/>
      <c r="C209"/>
      <c r="D209" s="31"/>
    </row>
    <row r="210" spans="2:4" s="4" customFormat="1" hidden="1" x14ac:dyDescent="0.25">
      <c r="B210" s="30"/>
      <c r="C210"/>
      <c r="D210" s="31"/>
    </row>
    <row r="211" spans="2:4" s="4" customFormat="1" hidden="1" x14ac:dyDescent="0.25">
      <c r="B211" s="30"/>
      <c r="C211"/>
      <c r="D211" s="31"/>
    </row>
    <row r="212" spans="2:4" s="4" customFormat="1" hidden="1" x14ac:dyDescent="0.25">
      <c r="B212" s="30"/>
      <c r="C212"/>
      <c r="D212" s="31"/>
    </row>
    <row r="213" spans="2:4" s="4" customFormat="1" hidden="1" x14ac:dyDescent="0.25">
      <c r="B213" s="30"/>
      <c r="C213"/>
      <c r="D213" s="31"/>
    </row>
    <row r="214" spans="2:4" s="4" customFormat="1" hidden="1" x14ac:dyDescent="0.25">
      <c r="B214" s="30"/>
      <c r="C214"/>
      <c r="D214" s="31"/>
    </row>
    <row r="215" spans="2:4" s="4" customFormat="1" hidden="1" x14ac:dyDescent="0.25">
      <c r="B215" s="30"/>
      <c r="C215"/>
      <c r="D215" s="31"/>
    </row>
    <row r="216" spans="2:4" s="4" customFormat="1" hidden="1" x14ac:dyDescent="0.25">
      <c r="B216" s="30"/>
      <c r="C216"/>
      <c r="D216" s="31"/>
    </row>
    <row r="217" spans="2:4" s="4" customFormat="1" hidden="1" x14ac:dyDescent="0.25">
      <c r="B217" s="30"/>
      <c r="C217"/>
      <c r="D217" s="31"/>
    </row>
    <row r="218" spans="2:4" s="4" customFormat="1" hidden="1" x14ac:dyDescent="0.25">
      <c r="B218" s="30"/>
      <c r="C218"/>
      <c r="D218" s="31"/>
    </row>
    <row r="219" spans="2:4" s="4" customFormat="1" hidden="1" x14ac:dyDescent="0.25">
      <c r="B219" s="30"/>
      <c r="C219"/>
      <c r="D219" s="31"/>
    </row>
    <row r="220" spans="2:4" s="4" customFormat="1" hidden="1" x14ac:dyDescent="0.25">
      <c r="B220" s="30"/>
      <c r="C220"/>
      <c r="D220" s="31"/>
    </row>
    <row r="221" spans="2:4" s="4" customFormat="1" hidden="1" x14ac:dyDescent="0.25">
      <c r="B221" s="30"/>
      <c r="C221"/>
      <c r="D221" s="31"/>
    </row>
    <row r="222" spans="2:4" s="4" customFormat="1" hidden="1" x14ac:dyDescent="0.25">
      <c r="B222" s="30"/>
      <c r="C222"/>
      <c r="D222" s="31"/>
    </row>
    <row r="223" spans="2:4" s="4" customFormat="1" hidden="1" x14ac:dyDescent="0.25">
      <c r="B223" s="30"/>
      <c r="C223"/>
      <c r="D223" s="31"/>
    </row>
    <row r="224" spans="2:4" s="4" customFormat="1" hidden="1" x14ac:dyDescent="0.25">
      <c r="B224" s="30"/>
      <c r="C224"/>
      <c r="D224" s="31"/>
    </row>
    <row r="225" spans="2:4" s="4" customFormat="1" hidden="1" x14ac:dyDescent="0.25">
      <c r="B225" s="30"/>
      <c r="C225"/>
      <c r="D225" s="31"/>
    </row>
    <row r="226" spans="2:4" s="4" customFormat="1" hidden="1" x14ac:dyDescent="0.25">
      <c r="B226" s="30"/>
      <c r="C226"/>
      <c r="D226" s="31"/>
    </row>
    <row r="227" spans="2:4" s="4" customFormat="1" hidden="1" x14ac:dyDescent="0.25">
      <c r="B227" s="30"/>
      <c r="C227"/>
      <c r="D227" s="31"/>
    </row>
    <row r="228" spans="2:4" s="4" customFormat="1" hidden="1" x14ac:dyDescent="0.25">
      <c r="B228" s="30"/>
      <c r="C228"/>
      <c r="D228" s="31"/>
    </row>
    <row r="229" spans="2:4" s="4" customFormat="1" hidden="1" x14ac:dyDescent="0.25">
      <c r="B229" s="30"/>
      <c r="C229"/>
      <c r="D229" s="31"/>
    </row>
    <row r="230" spans="2:4" s="4" customFormat="1" hidden="1" x14ac:dyDescent="0.25">
      <c r="B230" s="30"/>
      <c r="C230"/>
      <c r="D230" s="31"/>
    </row>
    <row r="231" spans="2:4" s="4" customFormat="1" hidden="1" x14ac:dyDescent="0.25">
      <c r="B231" s="30"/>
      <c r="C231"/>
      <c r="D231" s="31"/>
    </row>
    <row r="232" spans="2:4" s="4" customFormat="1" hidden="1" x14ac:dyDescent="0.25">
      <c r="B232" s="30"/>
      <c r="C232"/>
      <c r="D232" s="31"/>
    </row>
    <row r="233" spans="2:4" s="4" customFormat="1" hidden="1" x14ac:dyDescent="0.25">
      <c r="B233" s="30"/>
      <c r="C233"/>
      <c r="D233" s="31"/>
    </row>
    <row r="234" spans="2:4" s="4" customFormat="1" hidden="1" x14ac:dyDescent="0.25">
      <c r="B234" s="30"/>
      <c r="C234"/>
      <c r="D234" s="31"/>
    </row>
    <row r="235" spans="2:4" s="4" customFormat="1" hidden="1" x14ac:dyDescent="0.25">
      <c r="B235" s="30"/>
      <c r="C235"/>
      <c r="D235" s="31"/>
    </row>
    <row r="236" spans="2:4" s="4" customFormat="1" hidden="1" x14ac:dyDescent="0.25">
      <c r="B236" s="30"/>
      <c r="C236"/>
      <c r="D236" s="31"/>
    </row>
    <row r="237" spans="2:4" s="4" customFormat="1" hidden="1" x14ac:dyDescent="0.25">
      <c r="B237" s="30"/>
      <c r="C237"/>
      <c r="D237" s="31"/>
    </row>
    <row r="238" spans="2:4" s="4" customFormat="1" hidden="1" x14ac:dyDescent="0.25">
      <c r="B238" s="30"/>
      <c r="C238"/>
      <c r="D238" s="31"/>
    </row>
    <row r="239" spans="2:4" s="4" customFormat="1" hidden="1" x14ac:dyDescent="0.25">
      <c r="B239" s="30"/>
      <c r="C239"/>
      <c r="D239" s="31"/>
    </row>
    <row r="240" spans="2:4" s="4" customFormat="1" hidden="1" x14ac:dyDescent="0.25">
      <c r="B240" s="30"/>
      <c r="C240"/>
      <c r="D240" s="31"/>
    </row>
    <row r="241" spans="2:4" s="4" customFormat="1" hidden="1" x14ac:dyDescent="0.25">
      <c r="B241" s="30"/>
      <c r="C241"/>
      <c r="D241" s="31"/>
    </row>
    <row r="242" spans="2:4" s="4" customFormat="1" hidden="1" x14ac:dyDescent="0.25">
      <c r="B242" s="30"/>
      <c r="C242"/>
      <c r="D242" s="31"/>
    </row>
    <row r="243" spans="2:4" s="4" customFormat="1" hidden="1" x14ac:dyDescent="0.25">
      <c r="B243" s="30"/>
      <c r="C243"/>
      <c r="D243" s="31"/>
    </row>
    <row r="244" spans="2:4" s="4" customFormat="1" hidden="1" x14ac:dyDescent="0.25">
      <c r="B244" s="30"/>
      <c r="C244"/>
      <c r="D244" s="31"/>
    </row>
    <row r="245" spans="2:4" s="4" customFormat="1" hidden="1" x14ac:dyDescent="0.25">
      <c r="B245" s="30"/>
      <c r="C245"/>
      <c r="D245" s="31"/>
    </row>
    <row r="246" spans="2:4" s="4" customFormat="1" hidden="1" x14ac:dyDescent="0.25">
      <c r="B246" s="30"/>
      <c r="C246"/>
      <c r="D246" s="31"/>
    </row>
    <row r="247" spans="2:4" s="4" customFormat="1" hidden="1" x14ac:dyDescent="0.25">
      <c r="B247" s="30"/>
      <c r="C247"/>
      <c r="D247" s="31"/>
    </row>
    <row r="248" spans="2:4" s="4" customFormat="1" hidden="1" x14ac:dyDescent="0.25">
      <c r="B248" s="30"/>
      <c r="C248"/>
      <c r="D248" s="31"/>
    </row>
    <row r="249" spans="2:4" s="4" customFormat="1" hidden="1" x14ac:dyDescent="0.25">
      <c r="B249" s="30"/>
      <c r="C249"/>
      <c r="D249" s="31"/>
    </row>
    <row r="250" spans="2:4" s="4" customFormat="1" hidden="1" x14ac:dyDescent="0.25">
      <c r="B250" s="30"/>
      <c r="C250"/>
      <c r="D250" s="31"/>
    </row>
    <row r="251" spans="2:4" s="4" customFormat="1" hidden="1" x14ac:dyDescent="0.25">
      <c r="B251" s="30"/>
      <c r="C251"/>
      <c r="D251" s="31"/>
    </row>
    <row r="252" spans="2:4" s="4" customFormat="1" hidden="1" x14ac:dyDescent="0.25">
      <c r="B252" s="30"/>
      <c r="C252"/>
      <c r="D252" s="31"/>
    </row>
    <row r="253" spans="2:4" s="4" customFormat="1" hidden="1" x14ac:dyDescent="0.25">
      <c r="B253" s="30"/>
      <c r="C253"/>
      <c r="D253" s="31"/>
    </row>
    <row r="254" spans="2:4" s="4" customFormat="1" hidden="1" x14ac:dyDescent="0.25">
      <c r="B254" s="30"/>
      <c r="C254"/>
      <c r="D254" s="31"/>
    </row>
    <row r="255" spans="2:4" s="4" customFormat="1" hidden="1" x14ac:dyDescent="0.25">
      <c r="B255" s="30"/>
      <c r="C255"/>
      <c r="D255" s="31"/>
    </row>
    <row r="256" spans="2:4" s="4" customFormat="1" hidden="1" x14ac:dyDescent="0.25">
      <c r="B256" s="30"/>
      <c r="C256"/>
      <c r="D256" s="31"/>
    </row>
    <row r="257" spans="2:4" s="4" customFormat="1" hidden="1" x14ac:dyDescent="0.25">
      <c r="B257" s="30"/>
      <c r="C257"/>
      <c r="D257" s="31"/>
    </row>
    <row r="258" spans="2:4" s="4" customFormat="1" hidden="1" x14ac:dyDescent="0.25">
      <c r="B258" s="30"/>
      <c r="C258"/>
      <c r="D258" s="31"/>
    </row>
    <row r="259" spans="2:4" s="4" customFormat="1" hidden="1" x14ac:dyDescent="0.25">
      <c r="B259" s="30"/>
      <c r="C259"/>
      <c r="D259" s="31"/>
    </row>
    <row r="260" spans="2:4" s="4" customFormat="1" hidden="1" x14ac:dyDescent="0.25">
      <c r="B260" s="30"/>
      <c r="C260"/>
      <c r="D260" s="31"/>
    </row>
    <row r="261" spans="2:4" s="4" customFormat="1" hidden="1" x14ac:dyDescent="0.25">
      <c r="B261" s="30"/>
      <c r="C261"/>
      <c r="D261" s="31"/>
    </row>
    <row r="262" spans="2:4" hidden="1" x14ac:dyDescent="0.25">
      <c r="B262" s="30"/>
      <c r="D262" s="31"/>
    </row>
    <row r="263" spans="2:4" hidden="1" x14ac:dyDescent="0.25">
      <c r="B263" s="30"/>
      <c r="D263" s="31"/>
    </row>
    <row r="264" spans="2:4" hidden="1" x14ac:dyDescent="0.25">
      <c r="B264" s="30"/>
      <c r="D264" s="31"/>
    </row>
    <row r="265" spans="2:4" hidden="1" x14ac:dyDescent="0.25">
      <c r="B265" s="30"/>
      <c r="D265" s="31"/>
    </row>
    <row r="266" spans="2:4" hidden="1" x14ac:dyDescent="0.25">
      <c r="B266" s="30"/>
      <c r="D266" s="31"/>
    </row>
    <row r="267" spans="2:4" hidden="1" x14ac:dyDescent="0.25">
      <c r="B267" s="30"/>
      <c r="D267" s="31"/>
    </row>
    <row r="268" spans="2:4" hidden="1" x14ac:dyDescent="0.25">
      <c r="B268" s="30"/>
      <c r="D268" s="31"/>
    </row>
    <row r="269" spans="2:4" hidden="1" x14ac:dyDescent="0.25">
      <c r="B269" s="30"/>
      <c r="D269" s="31"/>
    </row>
    <row r="270" spans="2:4" hidden="1" x14ac:dyDescent="0.25">
      <c r="B270" s="30"/>
      <c r="D270" s="31"/>
    </row>
    <row r="271" spans="2:4" hidden="1" x14ac:dyDescent="0.25">
      <c r="B271" s="30"/>
      <c r="D271" s="31"/>
    </row>
    <row r="272" spans="2:4" hidden="1" x14ac:dyDescent="0.25">
      <c r="B272" s="30"/>
      <c r="D272" s="31"/>
    </row>
    <row r="273" spans="2:4" hidden="1" x14ac:dyDescent="0.25">
      <c r="B273" s="30"/>
      <c r="D273" s="31"/>
    </row>
    <row r="274" spans="2:4" hidden="1" x14ac:dyDescent="0.25">
      <c r="B274" s="30"/>
      <c r="D274" s="31"/>
    </row>
    <row r="275" spans="2:4" hidden="1" x14ac:dyDescent="0.25">
      <c r="B275" s="30"/>
      <c r="D275" s="31"/>
    </row>
    <row r="276" spans="2:4" hidden="1" x14ac:dyDescent="0.25">
      <c r="B276" s="30"/>
      <c r="D276" s="31"/>
    </row>
    <row r="277" spans="2:4" hidden="1" x14ac:dyDescent="0.25">
      <c r="B277" s="30"/>
      <c r="D277" s="31"/>
    </row>
    <row r="278" spans="2:4" hidden="1" x14ac:dyDescent="0.25">
      <c r="B278" s="30"/>
      <c r="D278" s="31"/>
    </row>
    <row r="279" spans="2:4" hidden="1" x14ac:dyDescent="0.25">
      <c r="B279" s="30"/>
      <c r="D279" s="31"/>
    </row>
    <row r="280" spans="2:4" hidden="1" x14ac:dyDescent="0.25">
      <c r="B280" s="30"/>
      <c r="D280" s="31"/>
    </row>
    <row r="281" spans="2:4" hidden="1" x14ac:dyDescent="0.25">
      <c r="B281" s="30"/>
      <c r="D281" s="31"/>
    </row>
    <row r="282" spans="2:4" hidden="1" x14ac:dyDescent="0.25">
      <c r="B282" s="30"/>
      <c r="D282" s="31"/>
    </row>
    <row r="283" spans="2:4" hidden="1" x14ac:dyDescent="0.25">
      <c r="B283" s="30"/>
      <c r="D283" s="31"/>
    </row>
    <row r="284" spans="2:4" hidden="1" x14ac:dyDescent="0.25">
      <c r="B284" s="30"/>
      <c r="D284" s="31"/>
    </row>
    <row r="285" spans="2:4" hidden="1" x14ac:dyDescent="0.25">
      <c r="B285" s="30"/>
      <c r="D285" s="31"/>
    </row>
    <row r="286" spans="2:4" hidden="1" x14ac:dyDescent="0.25">
      <c r="B286" s="30"/>
      <c r="D286" s="31"/>
    </row>
    <row r="287" spans="2:4" hidden="1" x14ac:dyDescent="0.25">
      <c r="B287" s="30"/>
      <c r="D287" s="31"/>
    </row>
    <row r="288" spans="2:4" hidden="1" x14ac:dyDescent="0.25">
      <c r="B288" s="30"/>
      <c r="D288" s="31"/>
    </row>
    <row r="289" spans="2:4" hidden="1" x14ac:dyDescent="0.25">
      <c r="B289" s="30"/>
      <c r="D289" s="31"/>
    </row>
    <row r="290" spans="2:4" hidden="1" x14ac:dyDescent="0.25">
      <c r="B290" s="30"/>
      <c r="D290" s="31"/>
    </row>
    <row r="291" spans="2:4" hidden="1" x14ac:dyDescent="0.25">
      <c r="B291" s="30"/>
      <c r="D291" s="31"/>
    </row>
    <row r="292" spans="2:4" hidden="1" x14ac:dyDescent="0.25">
      <c r="B292" s="30"/>
      <c r="D292" s="31"/>
    </row>
    <row r="293" spans="2:4" hidden="1" x14ac:dyDescent="0.25">
      <c r="B293" s="30"/>
      <c r="D293" s="31"/>
    </row>
    <row r="294" spans="2:4" hidden="1" x14ac:dyDescent="0.25">
      <c r="B294" s="30"/>
      <c r="D294" s="31"/>
    </row>
    <row r="295" spans="2:4" hidden="1" x14ac:dyDescent="0.25">
      <c r="B295" s="30"/>
      <c r="D295" s="31"/>
    </row>
    <row r="296" spans="2:4" hidden="1" x14ac:dyDescent="0.25">
      <c r="B296" s="30"/>
      <c r="D296" s="31"/>
    </row>
    <row r="297" spans="2:4" hidden="1" x14ac:dyDescent="0.25">
      <c r="B297" s="30"/>
      <c r="D297" s="31"/>
    </row>
    <row r="298" spans="2:4" hidden="1" x14ac:dyDescent="0.25">
      <c r="B298" s="30"/>
      <c r="D298" s="31"/>
    </row>
    <row r="299" spans="2:4" hidden="1" x14ac:dyDescent="0.25">
      <c r="B299" s="30"/>
      <c r="D299" s="31"/>
    </row>
    <row r="300" spans="2:4" hidden="1" x14ac:dyDescent="0.25">
      <c r="B300" s="30"/>
      <c r="D300" s="31"/>
    </row>
    <row r="301" spans="2:4" hidden="1" x14ac:dyDescent="0.25">
      <c r="B301" s="30"/>
      <c r="D301" s="31"/>
    </row>
    <row r="302" spans="2:4" hidden="1" x14ac:dyDescent="0.25">
      <c r="B302" s="30"/>
      <c r="D302" s="31"/>
    </row>
    <row r="303" spans="2:4" hidden="1" x14ac:dyDescent="0.25">
      <c r="B303" s="30"/>
      <c r="D303" s="31"/>
    </row>
    <row r="304" spans="2:4" hidden="1" x14ac:dyDescent="0.25">
      <c r="B304" s="30"/>
      <c r="D304" s="31"/>
    </row>
    <row r="305" spans="2:4" hidden="1" x14ac:dyDescent="0.25">
      <c r="B305" s="30"/>
      <c r="D305" s="31"/>
    </row>
    <row r="306" spans="2:4" hidden="1" x14ac:dyDescent="0.25">
      <c r="B306" s="30"/>
      <c r="D306" s="31"/>
    </row>
    <row r="307" spans="2:4" hidden="1" x14ac:dyDescent="0.25">
      <c r="B307" s="30"/>
      <c r="D307" s="31"/>
    </row>
    <row r="308" spans="2:4" hidden="1" x14ac:dyDescent="0.25">
      <c r="B308" s="30"/>
      <c r="D308" s="31"/>
    </row>
    <row r="309" spans="2:4" hidden="1" x14ac:dyDescent="0.25">
      <c r="B309" s="30"/>
      <c r="D309" s="31"/>
    </row>
    <row r="310" spans="2:4" hidden="1" x14ac:dyDescent="0.25">
      <c r="B310" s="30"/>
      <c r="D310" s="31"/>
    </row>
    <row r="311" spans="2:4" hidden="1" x14ac:dyDescent="0.25">
      <c r="B311" s="30"/>
      <c r="D311" s="31"/>
    </row>
    <row r="312" spans="2:4" hidden="1" x14ac:dyDescent="0.25">
      <c r="B312" s="30"/>
      <c r="D312" s="31"/>
    </row>
    <row r="313" spans="2:4" hidden="1" x14ac:dyDescent="0.25">
      <c r="B313" s="30"/>
      <c r="D313" s="31"/>
    </row>
    <row r="314" spans="2:4" hidden="1" x14ac:dyDescent="0.25">
      <c r="B314" s="30"/>
      <c r="D314" s="31"/>
    </row>
    <row r="315" spans="2:4" hidden="1" x14ac:dyDescent="0.25">
      <c r="B315" s="30"/>
      <c r="D315" s="31"/>
    </row>
    <row r="316" spans="2:4" hidden="1" x14ac:dyDescent="0.25">
      <c r="B316" s="30"/>
      <c r="D316" s="31"/>
    </row>
    <row r="317" spans="2:4" hidden="1" x14ac:dyDescent="0.25">
      <c r="B317" s="30"/>
      <c r="D317" s="31"/>
    </row>
    <row r="318" spans="2:4" hidden="1" x14ac:dyDescent="0.25">
      <c r="B318" s="30"/>
      <c r="D318" s="31"/>
    </row>
    <row r="319" spans="2:4" hidden="1" x14ac:dyDescent="0.25">
      <c r="B319" s="30"/>
      <c r="D319" s="31"/>
    </row>
    <row r="320" spans="2:4" hidden="1" x14ac:dyDescent="0.25">
      <c r="B320" s="30"/>
      <c r="D320" s="31"/>
    </row>
    <row r="321" spans="2:4" hidden="1" x14ac:dyDescent="0.25">
      <c r="B321" s="30"/>
      <c r="D321" s="31"/>
    </row>
    <row r="322" spans="2:4" hidden="1" x14ac:dyDescent="0.25">
      <c r="B322" s="30"/>
      <c r="D322" s="31"/>
    </row>
    <row r="323" spans="2:4" hidden="1" x14ac:dyDescent="0.25">
      <c r="B323" s="30"/>
      <c r="D323" s="31"/>
    </row>
    <row r="324" spans="2:4" hidden="1" x14ac:dyDescent="0.25">
      <c r="B324" s="30"/>
      <c r="D324" s="31"/>
    </row>
    <row r="325" spans="2:4" hidden="1" x14ac:dyDescent="0.25">
      <c r="B325" s="30"/>
      <c r="D325" s="31"/>
    </row>
    <row r="326" spans="2:4" hidden="1" x14ac:dyDescent="0.25">
      <c r="B326" s="30"/>
      <c r="D326" s="31"/>
    </row>
    <row r="327" spans="2:4" hidden="1" x14ac:dyDescent="0.25">
      <c r="B327" s="30"/>
      <c r="D327" s="31"/>
    </row>
    <row r="328" spans="2:4" hidden="1" x14ac:dyDescent="0.25">
      <c r="B328" s="30"/>
      <c r="D328" s="31"/>
    </row>
    <row r="329" spans="2:4" hidden="1" x14ac:dyDescent="0.25">
      <c r="B329" s="30"/>
      <c r="D329" s="31"/>
    </row>
    <row r="330" spans="2:4" hidden="1" x14ac:dyDescent="0.25">
      <c r="B330" s="30"/>
      <c r="D330" s="31"/>
    </row>
    <row r="331" spans="2:4" hidden="1" x14ac:dyDescent="0.25">
      <c r="B331" s="30"/>
      <c r="D331" s="31"/>
    </row>
    <row r="332" spans="2:4" hidden="1" x14ac:dyDescent="0.25">
      <c r="B332" s="30"/>
      <c r="D332" s="31"/>
    </row>
    <row r="333" spans="2:4" hidden="1" x14ac:dyDescent="0.25">
      <c r="B333" s="30"/>
      <c r="D333" s="31"/>
    </row>
    <row r="334" spans="2:4" hidden="1" x14ac:dyDescent="0.25">
      <c r="B334" s="30"/>
      <c r="D334" s="31"/>
    </row>
    <row r="335" spans="2:4" hidden="1" x14ac:dyDescent="0.25">
      <c r="B335" s="30"/>
      <c r="D335" s="31"/>
    </row>
    <row r="336" spans="2:4" hidden="1" x14ac:dyDescent="0.25">
      <c r="B336" s="30"/>
      <c r="D336" s="31"/>
    </row>
    <row r="337" spans="2:4" hidden="1" x14ac:dyDescent="0.25">
      <c r="B337" s="30"/>
      <c r="D337" s="31"/>
    </row>
    <row r="338" spans="2:4" hidden="1" x14ac:dyDescent="0.25">
      <c r="B338" s="30"/>
      <c r="D338" s="31"/>
    </row>
    <row r="339" spans="2:4" hidden="1" x14ac:dyDescent="0.25">
      <c r="B339" s="30"/>
      <c r="D339" s="31"/>
    </row>
    <row r="340" spans="2:4" hidden="1" x14ac:dyDescent="0.25">
      <c r="B340" s="30"/>
      <c r="D340" s="31"/>
    </row>
    <row r="341" spans="2:4" hidden="1" x14ac:dyDescent="0.25">
      <c r="B341" s="30"/>
      <c r="D341" s="31"/>
    </row>
    <row r="342" spans="2:4" hidden="1" x14ac:dyDescent="0.25">
      <c r="B342" s="30"/>
      <c r="D342" s="31"/>
    </row>
    <row r="343" spans="2:4" hidden="1" x14ac:dyDescent="0.25">
      <c r="B343" s="30"/>
      <c r="D343" s="31"/>
    </row>
    <row r="344" spans="2:4" hidden="1" x14ac:dyDescent="0.25">
      <c r="B344" s="30"/>
      <c r="D344" s="31"/>
    </row>
    <row r="345" spans="2:4" hidden="1" x14ac:dyDescent="0.25">
      <c r="B345" s="30"/>
      <c r="D345" s="31"/>
    </row>
    <row r="346" spans="2:4" hidden="1" x14ac:dyDescent="0.25">
      <c r="B346" s="30"/>
      <c r="D346" s="31"/>
    </row>
    <row r="347" spans="2:4" hidden="1" x14ac:dyDescent="0.25">
      <c r="B347" s="30"/>
      <c r="D347" s="31"/>
    </row>
    <row r="348" spans="2:4" hidden="1" x14ac:dyDescent="0.25">
      <c r="B348" s="30"/>
      <c r="D348" s="31"/>
    </row>
    <row r="349" spans="2:4" hidden="1" x14ac:dyDescent="0.25">
      <c r="B349" s="30"/>
      <c r="D349" s="31"/>
    </row>
    <row r="350" spans="2:4" hidden="1" x14ac:dyDescent="0.25">
      <c r="B350" s="30"/>
      <c r="D350" s="31"/>
    </row>
    <row r="351" spans="2:4" hidden="1" x14ac:dyDescent="0.25">
      <c r="B351" s="30"/>
      <c r="D351" s="31"/>
    </row>
    <row r="352" spans="2:4" hidden="1" x14ac:dyDescent="0.25">
      <c r="B352" s="30"/>
      <c r="D352" s="31"/>
    </row>
    <row r="353" spans="2:4" hidden="1" x14ac:dyDescent="0.25">
      <c r="B353" s="30"/>
      <c r="D353" s="31"/>
    </row>
    <row r="354" spans="2:4" hidden="1" x14ac:dyDescent="0.25">
      <c r="B354" s="30"/>
      <c r="D354" s="31"/>
    </row>
    <row r="355" spans="2:4" hidden="1" x14ac:dyDescent="0.25">
      <c r="B355" s="30"/>
      <c r="D355" s="31"/>
    </row>
    <row r="356" spans="2:4" hidden="1" x14ac:dyDescent="0.25">
      <c r="B356" s="30"/>
      <c r="D356" s="31"/>
    </row>
    <row r="357" spans="2:4" hidden="1" x14ac:dyDescent="0.25">
      <c r="B357" s="30"/>
      <c r="D357" s="31"/>
    </row>
    <row r="358" spans="2:4" hidden="1" x14ac:dyDescent="0.25">
      <c r="B358" s="30"/>
      <c r="D358" s="31"/>
    </row>
    <row r="359" spans="2:4" hidden="1" x14ac:dyDescent="0.25">
      <c r="B359" s="30"/>
      <c r="D359" s="31"/>
    </row>
    <row r="360" spans="2:4" hidden="1" x14ac:dyDescent="0.25">
      <c r="B360" s="30"/>
      <c r="D360" s="31"/>
    </row>
    <row r="361" spans="2:4" hidden="1" x14ac:dyDescent="0.25">
      <c r="B361" s="30"/>
      <c r="D361" s="31"/>
    </row>
    <row r="362" spans="2:4" hidden="1" x14ac:dyDescent="0.25">
      <c r="B362" s="30"/>
      <c r="D362" s="31"/>
    </row>
    <row r="363" spans="2:4" hidden="1" x14ac:dyDescent="0.25">
      <c r="B363" s="30"/>
      <c r="D363" s="31"/>
    </row>
    <row r="364" spans="2:4" hidden="1" x14ac:dyDescent="0.25">
      <c r="B364" s="30"/>
      <c r="D364" s="31"/>
    </row>
    <row r="365" spans="2:4" hidden="1" x14ac:dyDescent="0.25">
      <c r="B365" s="30"/>
      <c r="D365" s="31"/>
    </row>
    <row r="366" spans="2:4" hidden="1" x14ac:dyDescent="0.25">
      <c r="B366" s="30"/>
      <c r="D366" s="31"/>
    </row>
    <row r="367" spans="2:4" hidden="1" x14ac:dyDescent="0.25">
      <c r="B367" s="30"/>
      <c r="D367" s="31"/>
    </row>
    <row r="368" spans="2:4" hidden="1" x14ac:dyDescent="0.25">
      <c r="B368" s="30"/>
      <c r="D368" s="31"/>
    </row>
    <row r="369" spans="2:4" hidden="1" x14ac:dyDescent="0.25">
      <c r="B369" s="30"/>
      <c r="D369" s="31"/>
    </row>
    <row r="370" spans="2:4" hidden="1" x14ac:dyDescent="0.25">
      <c r="B370" s="30"/>
      <c r="D370" s="31"/>
    </row>
    <row r="371" spans="2:4" hidden="1" x14ac:dyDescent="0.25">
      <c r="B371" s="30"/>
      <c r="D371" s="31"/>
    </row>
    <row r="372" spans="2:4" hidden="1" x14ac:dyDescent="0.25">
      <c r="B372" s="30"/>
      <c r="D372" s="31"/>
    </row>
    <row r="373" spans="2:4" hidden="1" x14ac:dyDescent="0.25">
      <c r="B373" s="30"/>
      <c r="D373" s="31"/>
    </row>
    <row r="374" spans="2:4" hidden="1" x14ac:dyDescent="0.25">
      <c r="B374" s="30"/>
      <c r="D374" s="31"/>
    </row>
    <row r="375" spans="2:4" hidden="1" x14ac:dyDescent="0.25">
      <c r="B375" s="30"/>
      <c r="D375" s="31"/>
    </row>
    <row r="376" spans="2:4" hidden="1" x14ac:dyDescent="0.25">
      <c r="B376" s="30"/>
      <c r="D376" s="31"/>
    </row>
    <row r="377" spans="2:4" hidden="1" x14ac:dyDescent="0.25">
      <c r="B377" s="30"/>
      <c r="D377" s="31"/>
    </row>
    <row r="378" spans="2:4" hidden="1" x14ac:dyDescent="0.25">
      <c r="B378" s="30"/>
      <c r="D378" s="31"/>
    </row>
    <row r="379" spans="2:4" hidden="1" x14ac:dyDescent="0.25">
      <c r="B379" s="30"/>
      <c r="D379" s="31"/>
    </row>
    <row r="380" spans="2:4" hidden="1" x14ac:dyDescent="0.25">
      <c r="B380" s="30"/>
      <c r="D380" s="31"/>
    </row>
    <row r="381" spans="2:4" hidden="1" x14ac:dyDescent="0.25">
      <c r="B381" s="30"/>
      <c r="D381" s="31"/>
    </row>
    <row r="382" spans="2:4" hidden="1" x14ac:dyDescent="0.25">
      <c r="B382" s="30"/>
      <c r="D382" s="31"/>
    </row>
    <row r="383" spans="2:4" hidden="1" x14ac:dyDescent="0.25">
      <c r="B383" s="30"/>
      <c r="D383" s="31"/>
    </row>
    <row r="384" spans="2:4" hidden="1" x14ac:dyDescent="0.25">
      <c r="B384" s="30"/>
      <c r="D384" s="31"/>
    </row>
    <row r="385" spans="2:4" hidden="1" x14ac:dyDescent="0.25">
      <c r="B385" s="30"/>
      <c r="D385" s="31"/>
    </row>
    <row r="386" spans="2:4" hidden="1" x14ac:dyDescent="0.25">
      <c r="B386" s="30"/>
      <c r="D386" s="31"/>
    </row>
    <row r="387" spans="2:4" hidden="1" x14ac:dyDescent="0.25">
      <c r="B387" s="30"/>
      <c r="D387" s="31"/>
    </row>
    <row r="388" spans="2:4" hidden="1" x14ac:dyDescent="0.25">
      <c r="B388" s="30"/>
      <c r="D388" s="31"/>
    </row>
    <row r="389" spans="2:4" hidden="1" x14ac:dyDescent="0.25">
      <c r="B389" s="30"/>
      <c r="D389" s="31"/>
    </row>
    <row r="390" spans="2:4" hidden="1" x14ac:dyDescent="0.25">
      <c r="B390" s="30"/>
      <c r="D390" s="31"/>
    </row>
    <row r="391" spans="2:4" hidden="1" x14ac:dyDescent="0.25">
      <c r="B391" s="30"/>
      <c r="D391" s="31"/>
    </row>
    <row r="392" spans="2:4" hidden="1" x14ac:dyDescent="0.25">
      <c r="B392" s="30"/>
      <c r="D392" s="31"/>
    </row>
    <row r="393" spans="2:4" hidden="1" x14ac:dyDescent="0.25">
      <c r="B393" s="30"/>
      <c r="D393" s="31"/>
    </row>
    <row r="394" spans="2:4" hidden="1" x14ac:dyDescent="0.25">
      <c r="B394" s="30"/>
      <c r="D394" s="31"/>
    </row>
    <row r="395" spans="2:4" hidden="1" x14ac:dyDescent="0.25">
      <c r="B395" s="30"/>
      <c r="D395" s="31"/>
    </row>
    <row r="396" spans="2:4" hidden="1" x14ac:dyDescent="0.25">
      <c r="B396" s="30"/>
      <c r="D396" s="31"/>
    </row>
    <row r="397" spans="2:4" hidden="1" x14ac:dyDescent="0.25">
      <c r="B397" s="30"/>
      <c r="D397" s="31"/>
    </row>
    <row r="398" spans="2:4" hidden="1" x14ac:dyDescent="0.25">
      <c r="B398" s="30"/>
      <c r="D398" s="31"/>
    </row>
    <row r="399" spans="2:4" hidden="1" x14ac:dyDescent="0.25">
      <c r="B399" s="30"/>
      <c r="D399" s="31"/>
    </row>
    <row r="400" spans="2:4" hidden="1" x14ac:dyDescent="0.25">
      <c r="B400" s="30"/>
      <c r="D400" s="31"/>
    </row>
    <row r="401" spans="2:4" hidden="1" x14ac:dyDescent="0.25">
      <c r="B401" s="30"/>
      <c r="D401" s="31"/>
    </row>
    <row r="402" spans="2:4" hidden="1" x14ac:dyDescent="0.25">
      <c r="B402" s="30"/>
      <c r="D402" s="31"/>
    </row>
    <row r="403" spans="2:4" hidden="1" x14ac:dyDescent="0.25">
      <c r="B403" s="30"/>
      <c r="D403" s="31"/>
    </row>
    <row r="404" spans="2:4" hidden="1" x14ac:dyDescent="0.25">
      <c r="B404" s="30"/>
      <c r="D404" s="31"/>
    </row>
    <row r="405" spans="2:4" hidden="1" x14ac:dyDescent="0.25">
      <c r="B405" s="30"/>
      <c r="D405" s="31"/>
    </row>
    <row r="406" spans="2:4" hidden="1" x14ac:dyDescent="0.25">
      <c r="B406" s="30"/>
      <c r="D406" s="31"/>
    </row>
    <row r="407" spans="2:4" hidden="1" x14ac:dyDescent="0.25">
      <c r="B407" s="30"/>
      <c r="D407" s="31"/>
    </row>
    <row r="408" spans="2:4" hidden="1" x14ac:dyDescent="0.25">
      <c r="B408" s="30"/>
      <c r="D408" s="31"/>
    </row>
    <row r="409" spans="2:4" hidden="1" x14ac:dyDescent="0.25">
      <c r="B409" s="30"/>
      <c r="D409" s="31"/>
    </row>
    <row r="410" spans="2:4" hidden="1" x14ac:dyDescent="0.25">
      <c r="B410" s="30"/>
      <c r="D410" s="31"/>
    </row>
    <row r="411" spans="2:4" hidden="1" x14ac:dyDescent="0.25">
      <c r="B411" s="30"/>
      <c r="D411" s="31"/>
    </row>
    <row r="412" spans="2:4" hidden="1" x14ac:dyDescent="0.25">
      <c r="B412" s="30"/>
      <c r="D412" s="31"/>
    </row>
    <row r="413" spans="2:4" hidden="1" x14ac:dyDescent="0.25">
      <c r="B413" s="30"/>
      <c r="D413" s="31"/>
    </row>
    <row r="414" spans="2:4" hidden="1" x14ac:dyDescent="0.25">
      <c r="B414" s="30"/>
      <c r="D414" s="31"/>
    </row>
    <row r="415" spans="2:4" hidden="1" x14ac:dyDescent="0.25">
      <c r="B415" s="30"/>
      <c r="D415" s="31"/>
    </row>
    <row r="416" spans="2:4" hidden="1" x14ac:dyDescent="0.25">
      <c r="B416" s="30"/>
      <c r="D416" s="31"/>
    </row>
    <row r="417" spans="2:4" hidden="1" x14ac:dyDescent="0.25">
      <c r="B417" s="30"/>
      <c r="D417" s="31"/>
    </row>
    <row r="418" spans="2:4" hidden="1" x14ac:dyDescent="0.25">
      <c r="B418" s="30"/>
      <c r="D418" s="31"/>
    </row>
    <row r="419" spans="2:4" hidden="1" x14ac:dyDescent="0.25">
      <c r="B419" s="30"/>
      <c r="D419" s="31"/>
    </row>
    <row r="420" spans="2:4" hidden="1" x14ac:dyDescent="0.25">
      <c r="B420" s="30"/>
      <c r="D420" s="31"/>
    </row>
    <row r="421" spans="2:4" hidden="1" x14ac:dyDescent="0.25">
      <c r="B421" s="30"/>
      <c r="D421" s="31"/>
    </row>
    <row r="422" spans="2:4" hidden="1" x14ac:dyDescent="0.25">
      <c r="B422" s="30"/>
      <c r="D422" s="31"/>
    </row>
    <row r="423" spans="2:4" hidden="1" x14ac:dyDescent="0.25">
      <c r="B423" s="30"/>
      <c r="D423" s="31"/>
    </row>
    <row r="424" spans="2:4" hidden="1" x14ac:dyDescent="0.25">
      <c r="B424" s="30"/>
      <c r="D424" s="31"/>
    </row>
    <row r="425" spans="2:4" hidden="1" x14ac:dyDescent="0.25">
      <c r="B425" s="30"/>
      <c r="D425" s="31"/>
    </row>
    <row r="426" spans="2:4" hidden="1" x14ac:dyDescent="0.25">
      <c r="B426" s="30"/>
      <c r="D426" s="31"/>
    </row>
    <row r="427" spans="2:4" hidden="1" x14ac:dyDescent="0.25">
      <c r="B427" s="30"/>
      <c r="D427" s="31"/>
    </row>
    <row r="428" spans="2:4" hidden="1" x14ac:dyDescent="0.25">
      <c r="B428" s="30"/>
      <c r="D428" s="31"/>
    </row>
    <row r="429" spans="2:4" hidden="1" x14ac:dyDescent="0.25">
      <c r="B429" s="30"/>
      <c r="D429" s="31"/>
    </row>
    <row r="430" spans="2:4" hidden="1" x14ac:dyDescent="0.25">
      <c r="B430" s="30"/>
      <c r="D430" s="31"/>
    </row>
    <row r="431" spans="2:4" hidden="1" x14ac:dyDescent="0.25">
      <c r="B431" s="30"/>
      <c r="D431" s="31"/>
    </row>
    <row r="432" spans="2:4" hidden="1" x14ac:dyDescent="0.25">
      <c r="B432" s="30"/>
      <c r="D432" s="31"/>
    </row>
    <row r="433" spans="2:4" hidden="1" x14ac:dyDescent="0.25">
      <c r="B433" s="30"/>
      <c r="D433" s="31"/>
    </row>
    <row r="434" spans="2:4" hidden="1" x14ac:dyDescent="0.25">
      <c r="B434" s="30"/>
      <c r="D434" s="31"/>
    </row>
    <row r="435" spans="2:4" hidden="1" x14ac:dyDescent="0.25">
      <c r="B435" s="30"/>
      <c r="D435" s="31"/>
    </row>
    <row r="436" spans="2:4" hidden="1" x14ac:dyDescent="0.25">
      <c r="B436" s="30"/>
      <c r="D436" s="31"/>
    </row>
    <row r="437" spans="2:4" hidden="1" x14ac:dyDescent="0.25">
      <c r="B437" s="30"/>
      <c r="D437" s="31"/>
    </row>
    <row r="438" spans="2:4" hidden="1" x14ac:dyDescent="0.25">
      <c r="B438" s="30"/>
      <c r="D438" s="31"/>
    </row>
    <row r="439" spans="2:4" hidden="1" x14ac:dyDescent="0.25">
      <c r="B439" s="30"/>
      <c r="D439" s="31"/>
    </row>
    <row r="440" spans="2:4" hidden="1" x14ac:dyDescent="0.25">
      <c r="B440" s="30"/>
      <c r="D440" s="31"/>
    </row>
    <row r="441" spans="2:4" hidden="1" x14ac:dyDescent="0.25">
      <c r="B441" s="30"/>
      <c r="D441" s="31"/>
    </row>
    <row r="442" spans="2:4" hidden="1" x14ac:dyDescent="0.25">
      <c r="B442" s="30"/>
      <c r="D442" s="31"/>
    </row>
    <row r="443" spans="2:4" hidden="1" x14ac:dyDescent="0.25">
      <c r="B443" s="30"/>
      <c r="D443" s="31"/>
    </row>
    <row r="444" spans="2:4" hidden="1" x14ac:dyDescent="0.25">
      <c r="B444" s="30"/>
      <c r="D444" s="31"/>
    </row>
    <row r="445" spans="2:4" hidden="1" x14ac:dyDescent="0.25">
      <c r="B445" s="30"/>
      <c r="D445" s="31"/>
    </row>
    <row r="446" spans="2:4" hidden="1" x14ac:dyDescent="0.25">
      <c r="B446" s="30"/>
      <c r="D446" s="31"/>
    </row>
    <row r="447" spans="2:4" hidden="1" x14ac:dyDescent="0.25">
      <c r="B447" s="30"/>
      <c r="D447" s="31"/>
    </row>
    <row r="448" spans="2:4" hidden="1" x14ac:dyDescent="0.25">
      <c r="B448" s="30"/>
      <c r="D448" s="31"/>
    </row>
    <row r="449" spans="2:4" hidden="1" x14ac:dyDescent="0.25">
      <c r="B449" s="30"/>
      <c r="D449" s="31"/>
    </row>
    <row r="450" spans="2:4" hidden="1" x14ac:dyDescent="0.25">
      <c r="B450" s="30"/>
      <c r="D450" s="31"/>
    </row>
    <row r="451" spans="2:4" hidden="1" x14ac:dyDescent="0.25">
      <c r="B451" s="30"/>
      <c r="D451" s="31"/>
    </row>
    <row r="452" spans="2:4" hidden="1" x14ac:dyDescent="0.25">
      <c r="B452" s="30"/>
      <c r="D452" s="31"/>
    </row>
    <row r="453" spans="2:4" hidden="1" x14ac:dyDescent="0.25">
      <c r="B453" s="30"/>
      <c r="D453" s="31"/>
    </row>
    <row r="454" spans="2:4" hidden="1" x14ac:dyDescent="0.25">
      <c r="B454" s="30"/>
      <c r="D454" s="31"/>
    </row>
    <row r="455" spans="2:4" hidden="1" x14ac:dyDescent="0.25">
      <c r="B455" s="30"/>
      <c r="D455" s="31"/>
    </row>
    <row r="456" spans="2:4" hidden="1" x14ac:dyDescent="0.25">
      <c r="B456" s="30"/>
      <c r="D456" s="31"/>
    </row>
    <row r="457" spans="2:4" hidden="1" x14ac:dyDescent="0.25">
      <c r="B457" s="30"/>
      <c r="D457" s="31"/>
    </row>
    <row r="458" spans="2:4" hidden="1" x14ac:dyDescent="0.25">
      <c r="B458" s="30"/>
      <c r="D458" s="31"/>
    </row>
    <row r="459" spans="2:4" hidden="1" x14ac:dyDescent="0.25">
      <c r="B459" s="30"/>
      <c r="D459" s="31"/>
    </row>
    <row r="460" spans="2:4" hidden="1" x14ac:dyDescent="0.25">
      <c r="B460" s="30"/>
      <c r="D460" s="31"/>
    </row>
    <row r="461" spans="2:4" hidden="1" x14ac:dyDescent="0.25">
      <c r="B461" s="30"/>
      <c r="D461" s="31"/>
    </row>
    <row r="462" spans="2:4" hidden="1" x14ac:dyDescent="0.25">
      <c r="B462" s="30"/>
      <c r="D462" s="31"/>
    </row>
    <row r="463" spans="2:4" hidden="1" x14ac:dyDescent="0.25">
      <c r="B463" s="30"/>
      <c r="D463" s="31"/>
    </row>
    <row r="464" spans="2:4" hidden="1" x14ac:dyDescent="0.25">
      <c r="B464" s="30"/>
      <c r="D464" s="31"/>
    </row>
    <row r="465" spans="2:4" hidden="1" x14ac:dyDescent="0.25">
      <c r="B465" s="30"/>
      <c r="D465" s="31"/>
    </row>
    <row r="466" spans="2:4" hidden="1" x14ac:dyDescent="0.25">
      <c r="B466" s="30"/>
      <c r="D466" s="31"/>
    </row>
    <row r="467" spans="2:4" hidden="1" x14ac:dyDescent="0.25">
      <c r="B467" s="30"/>
      <c r="D467" s="31"/>
    </row>
    <row r="468" spans="2:4" hidden="1" x14ac:dyDescent="0.25">
      <c r="B468" s="30"/>
      <c r="D468" s="31"/>
    </row>
    <row r="469" spans="2:4" hidden="1" x14ac:dyDescent="0.25">
      <c r="B469" s="30"/>
      <c r="D469" s="31"/>
    </row>
    <row r="470" spans="2:4" hidden="1" x14ac:dyDescent="0.25">
      <c r="B470" s="30"/>
      <c r="D470" s="31"/>
    </row>
    <row r="471" spans="2:4" hidden="1" x14ac:dyDescent="0.25">
      <c r="B471" s="30"/>
      <c r="D471" s="31"/>
    </row>
    <row r="472" spans="2:4" hidden="1" x14ac:dyDescent="0.25">
      <c r="B472" s="30"/>
      <c r="D472" s="31"/>
    </row>
    <row r="473" spans="2:4" hidden="1" x14ac:dyDescent="0.25">
      <c r="B473" s="30"/>
      <c r="D473" s="31"/>
    </row>
    <row r="474" spans="2:4" hidden="1" x14ac:dyDescent="0.25">
      <c r="B474" s="30"/>
      <c r="D474" s="31"/>
    </row>
    <row r="475" spans="2:4" hidden="1" x14ac:dyDescent="0.25">
      <c r="B475" s="30"/>
      <c r="D475" s="31"/>
    </row>
    <row r="476" spans="2:4" hidden="1" x14ac:dyDescent="0.25">
      <c r="B476" s="30"/>
      <c r="D476" s="31"/>
    </row>
    <row r="477" spans="2:4" hidden="1" x14ac:dyDescent="0.25">
      <c r="B477" s="30"/>
      <c r="D477" s="31"/>
    </row>
    <row r="478" spans="2:4" hidden="1" x14ac:dyDescent="0.25">
      <c r="B478" s="30"/>
      <c r="D478" s="31"/>
    </row>
    <row r="479" spans="2:4" hidden="1" x14ac:dyDescent="0.25">
      <c r="B479" s="30"/>
      <c r="D479" s="31"/>
    </row>
    <row r="480" spans="2:4" hidden="1" x14ac:dyDescent="0.25">
      <c r="B480" s="30"/>
      <c r="D480" s="31"/>
    </row>
    <row r="481" spans="2:4" hidden="1" x14ac:dyDescent="0.25">
      <c r="B481" s="30"/>
      <c r="D481" s="31"/>
    </row>
    <row r="482" spans="2:4" hidden="1" x14ac:dyDescent="0.25">
      <c r="B482" s="30"/>
      <c r="D482" s="31"/>
    </row>
    <row r="483" spans="2:4" hidden="1" x14ac:dyDescent="0.25">
      <c r="B483" s="30"/>
      <c r="D483" s="31"/>
    </row>
    <row r="484" spans="2:4" hidden="1" x14ac:dyDescent="0.25">
      <c r="B484" s="30"/>
      <c r="D484" s="31"/>
    </row>
    <row r="485" spans="2:4" hidden="1" x14ac:dyDescent="0.25">
      <c r="B485" s="30"/>
      <c r="D485" s="31"/>
    </row>
    <row r="486" spans="2:4" hidden="1" x14ac:dyDescent="0.25">
      <c r="B486" s="30"/>
      <c r="D486" s="31"/>
    </row>
    <row r="487" spans="2:4" hidden="1" x14ac:dyDescent="0.25">
      <c r="B487" s="30"/>
      <c r="D487" s="31"/>
    </row>
    <row r="488" spans="2:4" hidden="1" x14ac:dyDescent="0.25">
      <c r="B488" s="30"/>
      <c r="D488" s="31"/>
    </row>
    <row r="489" spans="2:4" hidden="1" x14ac:dyDescent="0.25">
      <c r="B489" s="30"/>
      <c r="D489" s="31"/>
    </row>
    <row r="490" spans="2:4" hidden="1" x14ac:dyDescent="0.25">
      <c r="B490" s="30"/>
      <c r="D490" s="31"/>
    </row>
    <row r="491" spans="2:4" hidden="1" x14ac:dyDescent="0.25">
      <c r="B491" s="30"/>
      <c r="D491" s="31"/>
    </row>
    <row r="492" spans="2:4" hidden="1" x14ac:dyDescent="0.25">
      <c r="B492" s="30"/>
      <c r="D492" s="31"/>
    </row>
    <row r="493" spans="2:4" hidden="1" x14ac:dyDescent="0.25">
      <c r="B493" s="30"/>
      <c r="D493" s="31"/>
    </row>
    <row r="494" spans="2:4" hidden="1" x14ac:dyDescent="0.25">
      <c r="B494" s="30"/>
      <c r="D494" s="31"/>
    </row>
    <row r="495" spans="2:4" hidden="1" x14ac:dyDescent="0.25">
      <c r="B495" s="30"/>
      <c r="D495" s="31"/>
    </row>
    <row r="496" spans="2:4" hidden="1" x14ac:dyDescent="0.25">
      <c r="B496" s="30"/>
      <c r="D496" s="31"/>
    </row>
    <row r="497" spans="2:4" hidden="1" x14ac:dyDescent="0.25">
      <c r="B497" s="30"/>
      <c r="D497" s="31"/>
    </row>
    <row r="498" spans="2:4" hidden="1" x14ac:dyDescent="0.25">
      <c r="B498" s="30"/>
      <c r="D498" s="31"/>
    </row>
    <row r="499" spans="2:4" hidden="1" x14ac:dyDescent="0.25">
      <c r="B499" s="30"/>
      <c r="D499" s="31"/>
    </row>
    <row r="500" spans="2:4" hidden="1" x14ac:dyDescent="0.25">
      <c r="B500" s="30"/>
      <c r="D500" s="31"/>
    </row>
    <row r="501" spans="2:4" hidden="1" x14ac:dyDescent="0.25">
      <c r="B501" s="30"/>
      <c r="D501" s="31"/>
    </row>
    <row r="502" spans="2:4" hidden="1" x14ac:dyDescent="0.25">
      <c r="B502" s="30"/>
      <c r="D502" s="31"/>
    </row>
    <row r="503" spans="2:4" hidden="1" x14ac:dyDescent="0.25">
      <c r="B503" s="30"/>
      <c r="D503" s="31"/>
    </row>
    <row r="504" spans="2:4" hidden="1" x14ac:dyDescent="0.25">
      <c r="B504" s="30"/>
      <c r="D504" s="31"/>
    </row>
    <row r="505" spans="2:4" hidden="1" x14ac:dyDescent="0.25">
      <c r="B505" s="30"/>
      <c r="D505" s="31"/>
    </row>
    <row r="506" spans="2:4" hidden="1" x14ac:dyDescent="0.25">
      <c r="B506" s="30"/>
      <c r="D506" s="31"/>
    </row>
    <row r="507" spans="2:4" hidden="1" x14ac:dyDescent="0.25">
      <c r="B507" s="30"/>
      <c r="D507" s="31"/>
    </row>
    <row r="508" spans="2:4" hidden="1" x14ac:dyDescent="0.25">
      <c r="B508" s="30"/>
      <c r="D508" s="31"/>
    </row>
    <row r="509" spans="2:4" hidden="1" x14ac:dyDescent="0.25">
      <c r="B509" s="30"/>
      <c r="D509" s="31"/>
    </row>
    <row r="510" spans="2:4" hidden="1" x14ac:dyDescent="0.25">
      <c r="B510" s="30"/>
      <c r="D510" s="31"/>
    </row>
    <row r="511" spans="2:4" hidden="1" x14ac:dyDescent="0.25">
      <c r="B511" s="30"/>
      <c r="D511" s="31"/>
    </row>
    <row r="512" spans="2:4" hidden="1" x14ac:dyDescent="0.25">
      <c r="B512" s="30"/>
      <c r="D512" s="31"/>
    </row>
    <row r="513" spans="2:4" hidden="1" x14ac:dyDescent="0.25">
      <c r="B513" s="30"/>
      <c r="D513" s="31"/>
    </row>
    <row r="514" spans="2:4" hidden="1" x14ac:dyDescent="0.25">
      <c r="B514" s="30"/>
      <c r="D514" s="31"/>
    </row>
    <row r="515" spans="2:4" hidden="1" x14ac:dyDescent="0.25">
      <c r="B515" s="30"/>
      <c r="D515" s="31"/>
    </row>
    <row r="516" spans="2:4" hidden="1" x14ac:dyDescent="0.25">
      <c r="B516" s="30"/>
      <c r="D516" s="31"/>
    </row>
    <row r="517" spans="2:4" hidden="1" x14ac:dyDescent="0.25">
      <c r="B517" s="30"/>
      <c r="D517" s="31"/>
    </row>
    <row r="518" spans="2:4" hidden="1" x14ac:dyDescent="0.25">
      <c r="B518" s="30"/>
      <c r="D518" s="31"/>
    </row>
    <row r="519" spans="2:4" hidden="1" x14ac:dyDescent="0.25">
      <c r="B519" s="30"/>
      <c r="D519" s="31"/>
    </row>
    <row r="520" spans="2:4" hidden="1" x14ac:dyDescent="0.25">
      <c r="B520" s="30"/>
      <c r="D520" s="31"/>
    </row>
    <row r="521" spans="2:4" hidden="1" x14ac:dyDescent="0.25">
      <c r="B521" s="30"/>
      <c r="D521" s="31"/>
    </row>
    <row r="522" spans="2:4" hidden="1" x14ac:dyDescent="0.25">
      <c r="B522" s="30"/>
      <c r="D522" s="31"/>
    </row>
    <row r="523" spans="2:4" hidden="1" x14ac:dyDescent="0.25">
      <c r="B523" s="30"/>
      <c r="D523" s="31"/>
    </row>
    <row r="524" spans="2:4" hidden="1" x14ac:dyDescent="0.25">
      <c r="B524" s="30"/>
      <c r="D524" s="31"/>
    </row>
    <row r="525" spans="2:4" hidden="1" x14ac:dyDescent="0.25">
      <c r="B525" s="30"/>
      <c r="D525" s="31"/>
    </row>
    <row r="526" spans="2:4" hidden="1" x14ac:dyDescent="0.25">
      <c r="B526" s="30"/>
      <c r="D526" s="31"/>
    </row>
    <row r="527" spans="2:4" hidden="1" x14ac:dyDescent="0.25">
      <c r="B527" s="30"/>
      <c r="D527" s="31"/>
    </row>
    <row r="528" spans="2:4" hidden="1" x14ac:dyDescent="0.25">
      <c r="B528" s="30"/>
      <c r="D528" s="31"/>
    </row>
    <row r="529" spans="2:4" hidden="1" x14ac:dyDescent="0.25">
      <c r="B529" s="30"/>
      <c r="D529" s="31"/>
    </row>
    <row r="530" spans="2:4" hidden="1" x14ac:dyDescent="0.25">
      <c r="B530" s="30"/>
      <c r="D530" s="31"/>
    </row>
    <row r="531" spans="2:4" hidden="1" x14ac:dyDescent="0.25">
      <c r="B531" s="30"/>
      <c r="D531" s="31"/>
    </row>
    <row r="532" spans="2:4" hidden="1" x14ac:dyDescent="0.25">
      <c r="B532" s="30"/>
      <c r="D532" s="31"/>
    </row>
    <row r="533" spans="2:4" hidden="1" x14ac:dyDescent="0.25">
      <c r="B533" s="30"/>
      <c r="D533" s="31"/>
    </row>
    <row r="534" spans="2:4" hidden="1" x14ac:dyDescent="0.25">
      <c r="B534" s="30"/>
      <c r="D534" s="31"/>
    </row>
    <row r="535" spans="2:4" hidden="1" x14ac:dyDescent="0.25">
      <c r="B535" s="30"/>
      <c r="D535" s="31"/>
    </row>
    <row r="536" spans="2:4" hidden="1" x14ac:dyDescent="0.25">
      <c r="B536" s="30"/>
      <c r="D536" s="31"/>
    </row>
    <row r="537" spans="2:4" hidden="1" x14ac:dyDescent="0.25">
      <c r="B537" s="30"/>
      <c r="D537" s="31"/>
    </row>
    <row r="538" spans="2:4" hidden="1" x14ac:dyDescent="0.25">
      <c r="B538" s="30"/>
      <c r="D538" s="31"/>
    </row>
    <row r="539" spans="2:4" hidden="1" x14ac:dyDescent="0.25">
      <c r="B539" s="30"/>
      <c r="D539" s="31"/>
    </row>
    <row r="540" spans="2:4" hidden="1" x14ac:dyDescent="0.25">
      <c r="B540" s="30"/>
      <c r="D540" s="31"/>
    </row>
    <row r="541" spans="2:4" hidden="1" x14ac:dyDescent="0.25">
      <c r="B541" s="30"/>
      <c r="D541" s="31"/>
    </row>
    <row r="542" spans="2:4" hidden="1" x14ac:dyDescent="0.25">
      <c r="B542" s="30"/>
      <c r="D542" s="31"/>
    </row>
    <row r="543" spans="2:4" hidden="1" x14ac:dyDescent="0.25">
      <c r="B543" s="30"/>
      <c r="D543" s="31"/>
    </row>
    <row r="544" spans="2:4" hidden="1" x14ac:dyDescent="0.25">
      <c r="B544" s="30"/>
      <c r="D544" s="31"/>
    </row>
    <row r="545" spans="2:4" hidden="1" x14ac:dyDescent="0.25">
      <c r="B545" s="30"/>
      <c r="D545" s="31"/>
    </row>
    <row r="546" spans="2:4" hidden="1" x14ac:dyDescent="0.25">
      <c r="B546" s="30"/>
      <c r="D546" s="31"/>
    </row>
    <row r="547" spans="2:4" hidden="1" x14ac:dyDescent="0.25">
      <c r="B547" s="30"/>
      <c r="D547" s="31"/>
    </row>
    <row r="548" spans="2:4" hidden="1" x14ac:dyDescent="0.25">
      <c r="B548" s="30"/>
      <c r="D548" s="31"/>
    </row>
    <row r="549" spans="2:4" hidden="1" x14ac:dyDescent="0.25">
      <c r="B549" s="30"/>
      <c r="D549" s="31"/>
    </row>
    <row r="550" spans="2:4" hidden="1" x14ac:dyDescent="0.25">
      <c r="B550" s="30"/>
      <c r="D550" s="31"/>
    </row>
    <row r="551" spans="2:4" hidden="1" x14ac:dyDescent="0.25">
      <c r="B551" s="30"/>
      <c r="D551" s="31"/>
    </row>
    <row r="552" spans="2:4" hidden="1" x14ac:dyDescent="0.25">
      <c r="B552" s="30"/>
      <c r="D552" s="31"/>
    </row>
    <row r="553" spans="2:4" hidden="1" x14ac:dyDescent="0.25">
      <c r="B553" s="30"/>
      <c r="D553" s="31"/>
    </row>
    <row r="554" spans="2:4" hidden="1" x14ac:dyDescent="0.25">
      <c r="B554" s="30"/>
      <c r="D554" s="31"/>
    </row>
    <row r="555" spans="2:4" hidden="1" x14ac:dyDescent="0.25">
      <c r="B555" s="30"/>
      <c r="D555" s="31"/>
    </row>
    <row r="556" spans="2:4" hidden="1" x14ac:dyDescent="0.25">
      <c r="B556" s="30"/>
      <c r="D556" s="31"/>
    </row>
    <row r="557" spans="2:4" hidden="1" x14ac:dyDescent="0.25">
      <c r="B557" s="30"/>
      <c r="D557" s="31"/>
    </row>
    <row r="558" spans="2:4" hidden="1" x14ac:dyDescent="0.25">
      <c r="B558" s="30"/>
      <c r="D558" s="31"/>
    </row>
    <row r="559" spans="2:4" hidden="1" x14ac:dyDescent="0.25">
      <c r="B559" s="30"/>
      <c r="D559" s="31"/>
    </row>
    <row r="560" spans="2:4" hidden="1" x14ac:dyDescent="0.25">
      <c r="B560" s="30"/>
      <c r="D560" s="31"/>
    </row>
    <row r="561" spans="2:4" hidden="1" x14ac:dyDescent="0.25">
      <c r="B561" s="30"/>
      <c r="D561" s="31"/>
    </row>
    <row r="562" spans="2:4" hidden="1" x14ac:dyDescent="0.25">
      <c r="B562" s="30"/>
      <c r="D562" s="31"/>
    </row>
    <row r="563" spans="2:4" hidden="1" x14ac:dyDescent="0.25">
      <c r="B563" s="30"/>
      <c r="D563" s="31"/>
    </row>
    <row r="564" spans="2:4" hidden="1" x14ac:dyDescent="0.25">
      <c r="B564" s="30"/>
      <c r="D564" s="31"/>
    </row>
    <row r="565" spans="2:4" hidden="1" x14ac:dyDescent="0.25">
      <c r="B565" s="30"/>
      <c r="D565" s="31"/>
    </row>
    <row r="566" spans="2:4" hidden="1" x14ac:dyDescent="0.25">
      <c r="B566" s="30"/>
      <c r="D566" s="31"/>
    </row>
    <row r="567" spans="2:4" hidden="1" x14ac:dyDescent="0.25">
      <c r="B567" s="30"/>
      <c r="D567" s="31"/>
    </row>
    <row r="568" spans="2:4" hidden="1" x14ac:dyDescent="0.25">
      <c r="B568" s="30"/>
      <c r="D568" s="31"/>
    </row>
    <row r="569" spans="2:4" hidden="1" x14ac:dyDescent="0.25">
      <c r="B569" s="30"/>
      <c r="D569" s="31"/>
    </row>
    <row r="570" spans="2:4" hidden="1" x14ac:dyDescent="0.25">
      <c r="B570" s="30"/>
      <c r="D570" s="31"/>
    </row>
    <row r="571" spans="2:4" hidden="1" x14ac:dyDescent="0.25">
      <c r="B571" s="30"/>
      <c r="D571" s="31"/>
    </row>
    <row r="572" spans="2:4" hidden="1" x14ac:dyDescent="0.25">
      <c r="B572" s="30"/>
      <c r="D572" s="31"/>
    </row>
    <row r="573" spans="2:4" hidden="1" x14ac:dyDescent="0.25">
      <c r="B573" s="30"/>
      <c r="D573" s="31"/>
    </row>
    <row r="574" spans="2:4" hidden="1" x14ac:dyDescent="0.25">
      <c r="B574" s="30"/>
      <c r="D574" s="31"/>
    </row>
    <row r="575" spans="2:4" hidden="1" x14ac:dyDescent="0.25">
      <c r="B575" s="30"/>
      <c r="D575" s="31"/>
    </row>
    <row r="576" spans="2:4" hidden="1" x14ac:dyDescent="0.25">
      <c r="B576" s="30"/>
      <c r="D576" s="31"/>
    </row>
    <row r="577" spans="2:4" hidden="1" x14ac:dyDescent="0.25">
      <c r="B577" s="30"/>
      <c r="D577" s="31"/>
    </row>
    <row r="578" spans="2:4" hidden="1" x14ac:dyDescent="0.25">
      <c r="B578" s="30"/>
      <c r="D578" s="31"/>
    </row>
    <row r="579" spans="2:4" hidden="1" x14ac:dyDescent="0.25">
      <c r="B579" s="30"/>
      <c r="D579" s="31"/>
    </row>
    <row r="580" spans="2:4" hidden="1" x14ac:dyDescent="0.25">
      <c r="B580" s="30"/>
      <c r="D580" s="31"/>
    </row>
    <row r="581" spans="2:4" hidden="1" x14ac:dyDescent="0.25">
      <c r="B581" s="30"/>
      <c r="D581" s="31"/>
    </row>
    <row r="582" spans="2:4" hidden="1" x14ac:dyDescent="0.25">
      <c r="B582" s="30"/>
      <c r="D582" s="31"/>
    </row>
    <row r="583" spans="2:4" hidden="1" x14ac:dyDescent="0.25">
      <c r="B583" s="30"/>
      <c r="D583" s="31"/>
    </row>
    <row r="584" spans="2:4" hidden="1" x14ac:dyDescent="0.25">
      <c r="B584" s="30"/>
      <c r="D584" s="31"/>
    </row>
    <row r="585" spans="2:4" hidden="1" x14ac:dyDescent="0.25">
      <c r="B585" s="30"/>
      <c r="D585" s="31"/>
    </row>
    <row r="586" spans="2:4" hidden="1" x14ac:dyDescent="0.25">
      <c r="B586" s="30"/>
      <c r="D586" s="31"/>
    </row>
    <row r="587" spans="2:4" hidden="1" x14ac:dyDescent="0.25">
      <c r="B587" s="30"/>
      <c r="D587" s="31"/>
    </row>
    <row r="588" spans="2:4" hidden="1" x14ac:dyDescent="0.25">
      <c r="B588" s="30"/>
      <c r="D588" s="31"/>
    </row>
    <row r="589" spans="2:4" hidden="1" x14ac:dyDescent="0.25">
      <c r="B589" s="30"/>
      <c r="D589" s="31"/>
    </row>
    <row r="590" spans="2:4" hidden="1" x14ac:dyDescent="0.25">
      <c r="B590" s="30"/>
      <c r="D590" s="31"/>
    </row>
    <row r="591" spans="2:4" hidden="1" x14ac:dyDescent="0.25">
      <c r="B591" s="30"/>
      <c r="D591" s="31"/>
    </row>
    <row r="592" spans="2:4" hidden="1" x14ac:dyDescent="0.25">
      <c r="B592" s="30"/>
      <c r="D592" s="31"/>
    </row>
    <row r="593" spans="2:4" hidden="1" x14ac:dyDescent="0.25">
      <c r="B593" s="30"/>
      <c r="D593" s="31"/>
    </row>
    <row r="594" spans="2:4" hidden="1" x14ac:dyDescent="0.25">
      <c r="B594" s="30"/>
      <c r="D594" s="31"/>
    </row>
    <row r="595" spans="2:4" hidden="1" x14ac:dyDescent="0.25">
      <c r="B595" s="30"/>
      <c r="D595" s="31"/>
    </row>
    <row r="596" spans="2:4" hidden="1" x14ac:dyDescent="0.25">
      <c r="B596" s="30"/>
      <c r="D596" s="31"/>
    </row>
    <row r="597" spans="2:4" hidden="1" x14ac:dyDescent="0.25">
      <c r="B597" s="30"/>
      <c r="D597" s="31"/>
    </row>
    <row r="598" spans="2:4" hidden="1" x14ac:dyDescent="0.25">
      <c r="B598" s="30"/>
      <c r="D598" s="31"/>
    </row>
    <row r="599" spans="2:4" hidden="1" x14ac:dyDescent="0.25">
      <c r="B599" s="30"/>
      <c r="D599" s="31"/>
    </row>
    <row r="600" spans="2:4" hidden="1" x14ac:dyDescent="0.25">
      <c r="B600" s="30"/>
      <c r="D600" s="31"/>
    </row>
    <row r="601" spans="2:4" hidden="1" x14ac:dyDescent="0.25">
      <c r="B601" s="30"/>
      <c r="D601" s="31"/>
    </row>
    <row r="602" spans="2:4" hidden="1" x14ac:dyDescent="0.25">
      <c r="B602" s="30"/>
      <c r="D602" s="31"/>
    </row>
    <row r="603" spans="2:4" hidden="1" x14ac:dyDescent="0.25">
      <c r="B603" s="30"/>
      <c r="D603" s="31"/>
    </row>
    <row r="604" spans="2:4" hidden="1" x14ac:dyDescent="0.25">
      <c r="B604" s="30"/>
      <c r="D604" s="31"/>
    </row>
    <row r="605" spans="2:4" hidden="1" x14ac:dyDescent="0.25">
      <c r="B605" s="30"/>
      <c r="D605" s="31"/>
    </row>
    <row r="606" spans="2:4" hidden="1" x14ac:dyDescent="0.25">
      <c r="B606" s="30"/>
      <c r="D606" s="31"/>
    </row>
    <row r="607" spans="2:4" hidden="1" x14ac:dyDescent="0.25">
      <c r="B607" s="30"/>
      <c r="D607" s="31"/>
    </row>
    <row r="608" spans="2:4" hidden="1" x14ac:dyDescent="0.25">
      <c r="B608" s="30"/>
      <c r="D608" s="31"/>
    </row>
    <row r="609" spans="2:4" hidden="1" x14ac:dyDescent="0.25">
      <c r="B609" s="30"/>
      <c r="D609" s="31"/>
    </row>
    <row r="610" spans="2:4" hidden="1" x14ac:dyDescent="0.25">
      <c r="B610" s="30"/>
      <c r="D610" s="31"/>
    </row>
    <row r="611" spans="2:4" hidden="1" x14ac:dyDescent="0.25">
      <c r="B611" s="30"/>
      <c r="D611" s="31"/>
    </row>
    <row r="612" spans="2:4" hidden="1" x14ac:dyDescent="0.25">
      <c r="B612" s="30"/>
      <c r="D612" s="31"/>
    </row>
    <row r="613" spans="2:4" hidden="1" x14ac:dyDescent="0.25">
      <c r="B613" s="30"/>
      <c r="D613" s="31"/>
    </row>
    <row r="614" spans="2:4" hidden="1" x14ac:dyDescent="0.25">
      <c r="B614" s="30"/>
      <c r="D614" s="31"/>
    </row>
    <row r="615" spans="2:4" hidden="1" x14ac:dyDescent="0.25">
      <c r="B615" s="30"/>
      <c r="D615" s="31"/>
    </row>
    <row r="616" spans="2:4" hidden="1" x14ac:dyDescent="0.25">
      <c r="B616" s="30"/>
      <c r="D616" s="31"/>
    </row>
    <row r="617" spans="2:4" hidden="1" x14ac:dyDescent="0.25">
      <c r="B617" s="30"/>
      <c r="D617" s="31"/>
    </row>
    <row r="618" spans="2:4" hidden="1" x14ac:dyDescent="0.25">
      <c r="B618" s="30"/>
      <c r="D618" s="31"/>
    </row>
    <row r="619" spans="2:4" hidden="1" x14ac:dyDescent="0.25">
      <c r="B619" s="30"/>
      <c r="D619" s="31"/>
    </row>
    <row r="620" spans="2:4" hidden="1" x14ac:dyDescent="0.25">
      <c r="B620" s="30"/>
      <c r="D620" s="31"/>
    </row>
    <row r="621" spans="2:4" hidden="1" x14ac:dyDescent="0.25">
      <c r="B621" s="30"/>
      <c r="D621" s="31"/>
    </row>
    <row r="622" spans="2:4" hidden="1" x14ac:dyDescent="0.25">
      <c r="B622" s="30"/>
      <c r="D622" s="31"/>
    </row>
    <row r="623" spans="2:4" hidden="1" x14ac:dyDescent="0.25">
      <c r="B623" s="30"/>
      <c r="D623" s="31"/>
    </row>
    <row r="624" spans="2:4" hidden="1" x14ac:dyDescent="0.25">
      <c r="B624" s="30"/>
      <c r="D624" s="31"/>
    </row>
    <row r="625" spans="2:4" hidden="1" x14ac:dyDescent="0.25">
      <c r="B625" s="30"/>
      <c r="D625" s="31"/>
    </row>
    <row r="626" spans="2:4" hidden="1" x14ac:dyDescent="0.25">
      <c r="B626" s="30"/>
      <c r="D626" s="31"/>
    </row>
    <row r="627" spans="2:4" hidden="1" x14ac:dyDescent="0.25">
      <c r="B627" s="30"/>
      <c r="D627" s="31"/>
    </row>
    <row r="628" spans="2:4" hidden="1" x14ac:dyDescent="0.25">
      <c r="B628" s="30"/>
      <c r="D628" s="31"/>
    </row>
    <row r="629" spans="2:4" hidden="1" x14ac:dyDescent="0.25">
      <c r="B629" s="30"/>
      <c r="D629" s="31"/>
    </row>
    <row r="630" spans="2:4" hidden="1" x14ac:dyDescent="0.25">
      <c r="B630" s="30"/>
      <c r="D630" s="31"/>
    </row>
    <row r="631" spans="2:4" hidden="1" x14ac:dyDescent="0.25">
      <c r="B631" s="30"/>
      <c r="D631" s="31"/>
    </row>
    <row r="632" spans="2:4" hidden="1" x14ac:dyDescent="0.25">
      <c r="B632" s="30"/>
      <c r="D632" s="31"/>
    </row>
    <row r="633" spans="2:4" hidden="1" x14ac:dyDescent="0.25">
      <c r="B633" s="30"/>
      <c r="D633" s="31"/>
    </row>
    <row r="634" spans="2:4" hidden="1" x14ac:dyDescent="0.25">
      <c r="B634" s="30"/>
      <c r="D634" s="31"/>
    </row>
    <row r="635" spans="2:4" hidden="1" x14ac:dyDescent="0.25">
      <c r="B635" s="30"/>
      <c r="D635" s="31"/>
    </row>
    <row r="636" spans="2:4" hidden="1" x14ac:dyDescent="0.25">
      <c r="B636" s="30"/>
      <c r="D636" s="31"/>
    </row>
    <row r="637" spans="2:4" hidden="1" x14ac:dyDescent="0.25">
      <c r="B637" s="30"/>
      <c r="D637" s="31"/>
    </row>
    <row r="638" spans="2:4" hidden="1" x14ac:dyDescent="0.25">
      <c r="B638" s="30"/>
      <c r="D638" s="31"/>
    </row>
    <row r="639" spans="2:4" hidden="1" x14ac:dyDescent="0.25">
      <c r="B639" s="30"/>
      <c r="D639" s="31"/>
    </row>
    <row r="640" spans="2:4" hidden="1" x14ac:dyDescent="0.25">
      <c r="B640" s="30"/>
      <c r="D640" s="31"/>
    </row>
    <row r="641" spans="2:4" hidden="1" x14ac:dyDescent="0.25">
      <c r="B641" s="30"/>
      <c r="D641" s="31"/>
    </row>
    <row r="642" spans="2:4" hidden="1" x14ac:dyDescent="0.25">
      <c r="B642" s="30"/>
      <c r="D642" s="31"/>
    </row>
    <row r="643" spans="2:4" hidden="1" x14ac:dyDescent="0.25">
      <c r="B643" s="30"/>
      <c r="D643" s="31"/>
    </row>
    <row r="644" spans="2:4" hidden="1" x14ac:dyDescent="0.25">
      <c r="B644" s="30"/>
      <c r="D644" s="31"/>
    </row>
    <row r="645" spans="2:4" hidden="1" x14ac:dyDescent="0.25">
      <c r="B645" s="30"/>
      <c r="D645" s="31"/>
    </row>
    <row r="646" spans="2:4" hidden="1" x14ac:dyDescent="0.25">
      <c r="B646" s="30"/>
      <c r="D646" s="31"/>
    </row>
    <row r="647" spans="2:4" hidden="1" x14ac:dyDescent="0.25">
      <c r="B647" s="30"/>
      <c r="D647" s="31"/>
    </row>
    <row r="648" spans="2:4" hidden="1" x14ac:dyDescent="0.25">
      <c r="B648" s="30"/>
      <c r="D648" s="31"/>
    </row>
    <row r="649" spans="2:4" hidden="1" x14ac:dyDescent="0.25">
      <c r="B649" s="30"/>
      <c r="D649" s="31"/>
    </row>
    <row r="650" spans="2:4" hidden="1" x14ac:dyDescent="0.25">
      <c r="B650" s="30"/>
      <c r="D650" s="31"/>
    </row>
    <row r="651" spans="2:4" hidden="1" x14ac:dyDescent="0.25">
      <c r="B651" s="30"/>
      <c r="D651" s="31"/>
    </row>
    <row r="652" spans="2:4" hidden="1" x14ac:dyDescent="0.25">
      <c r="B652" s="30"/>
      <c r="D652" s="31"/>
    </row>
    <row r="653" spans="2:4" hidden="1" x14ac:dyDescent="0.25">
      <c r="B653" s="30"/>
      <c r="D653" s="31"/>
    </row>
    <row r="654" spans="2:4" hidden="1" x14ac:dyDescent="0.25">
      <c r="B654" s="30"/>
      <c r="D654" s="31"/>
    </row>
    <row r="655" spans="2:4" hidden="1" x14ac:dyDescent="0.25">
      <c r="B655" s="30"/>
      <c r="D655" s="31"/>
    </row>
    <row r="656" spans="2:4" hidden="1" x14ac:dyDescent="0.25">
      <c r="B656" s="30"/>
      <c r="D656" s="31"/>
    </row>
    <row r="657" spans="2:4" hidden="1" x14ac:dyDescent="0.25">
      <c r="B657" s="30"/>
      <c r="D657" s="31"/>
    </row>
    <row r="658" spans="2:4" hidden="1" x14ac:dyDescent="0.25">
      <c r="B658" s="30"/>
      <c r="D658" s="31"/>
    </row>
    <row r="659" spans="2:4" hidden="1" x14ac:dyDescent="0.25">
      <c r="B659" s="30"/>
      <c r="D659" s="31"/>
    </row>
    <row r="660" spans="2:4" hidden="1" x14ac:dyDescent="0.25">
      <c r="B660" s="30"/>
      <c r="D660" s="31"/>
    </row>
    <row r="661" spans="2:4" hidden="1" x14ac:dyDescent="0.25">
      <c r="B661" s="30"/>
      <c r="D661" s="31"/>
    </row>
    <row r="662" spans="2:4" hidden="1" x14ac:dyDescent="0.25">
      <c r="B662" s="30"/>
      <c r="D662" s="31"/>
    </row>
    <row r="663" spans="2:4" hidden="1" x14ac:dyDescent="0.25">
      <c r="B663" s="30"/>
      <c r="D663" s="31"/>
    </row>
    <row r="664" spans="2:4" hidden="1" x14ac:dyDescent="0.25">
      <c r="B664" s="30"/>
      <c r="D664" s="31"/>
    </row>
    <row r="665" spans="2:4" hidden="1" x14ac:dyDescent="0.25">
      <c r="B665" s="30"/>
      <c r="D665" s="31"/>
    </row>
    <row r="666" spans="2:4" hidden="1" x14ac:dyDescent="0.25">
      <c r="B666" s="30"/>
      <c r="D666" s="31"/>
    </row>
    <row r="667" spans="2:4" hidden="1" x14ac:dyDescent="0.25">
      <c r="B667" s="30"/>
      <c r="D667" s="31"/>
    </row>
    <row r="668" spans="2:4" hidden="1" x14ac:dyDescent="0.25">
      <c r="B668" s="30"/>
      <c r="D668" s="31"/>
    </row>
    <row r="669" spans="2:4" hidden="1" x14ac:dyDescent="0.25">
      <c r="B669" s="30"/>
      <c r="D669" s="31"/>
    </row>
    <row r="670" spans="2:4" hidden="1" x14ac:dyDescent="0.25">
      <c r="B670" s="30"/>
      <c r="D670" s="31"/>
    </row>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X41"/>
  <sheetViews>
    <sheetView showGridLines="0" tabSelected="1" topLeftCell="Q1" zoomScale="80" zoomScaleNormal="80" workbookViewId="0">
      <selection activeCell="S33" sqref="S33"/>
    </sheetView>
  </sheetViews>
  <sheetFormatPr defaultColWidth="8.5703125" defaultRowHeight="15" customHeight="1" x14ac:dyDescent="0.25"/>
  <cols>
    <col min="1" max="1" width="3.140625" style="23" customWidth="1"/>
    <col min="2" max="2" width="40.28515625" style="29" bestFit="1" customWidth="1"/>
    <col min="3" max="3" width="43" style="28" bestFit="1" customWidth="1"/>
    <col min="4" max="4" width="31.85546875" style="28" bestFit="1" customWidth="1"/>
    <col min="5" max="5" width="17" style="28" customWidth="1"/>
    <col min="6" max="6" width="39.85546875" style="28" customWidth="1"/>
    <col min="7" max="8" width="40.85546875" style="28" customWidth="1"/>
    <col min="9" max="9" width="12.85546875" style="28" customWidth="1"/>
    <col min="10" max="10" width="11.85546875" style="28" customWidth="1"/>
    <col min="11" max="11" width="19.42578125" style="28" customWidth="1"/>
    <col min="12" max="12" width="17.140625" style="28" customWidth="1"/>
    <col min="13" max="13" width="67.7109375" style="25" customWidth="1"/>
    <col min="14" max="14" width="67.7109375" style="29" customWidth="1"/>
    <col min="15" max="15" width="17" style="26" customWidth="1"/>
    <col min="16" max="16" width="109.140625" style="27" customWidth="1"/>
    <col min="17" max="17" width="45.140625" style="28" customWidth="1"/>
    <col min="18" max="18" width="51.42578125" style="29" customWidth="1"/>
    <col min="19" max="19" width="39.28515625" style="28" customWidth="1"/>
    <col min="20" max="20" width="121.140625" style="29" customWidth="1"/>
    <col min="21" max="21" width="26.28515625" style="25" bestFit="1" customWidth="1"/>
    <col min="22" max="22" width="32.28515625" style="25" customWidth="1"/>
    <col min="23" max="23" width="80.85546875" style="28" customWidth="1"/>
    <col min="24" max="24" width="35" style="26" customWidth="1"/>
    <col min="25" max="25" width="24" style="23" customWidth="1"/>
    <col min="26" max="16384" width="8.5703125" style="23"/>
  </cols>
  <sheetData>
    <row r="1" spans="1:24" ht="36" customHeight="1" x14ac:dyDescent="0.25">
      <c r="R1" s="29" t="s">
        <v>10</v>
      </c>
    </row>
    <row r="3" spans="1:24" s="25" customFormat="1" ht="15.75" customHeight="1" x14ac:dyDescent="0.25">
      <c r="B3" s="99" t="s">
        <v>11</v>
      </c>
      <c r="C3" s="99"/>
      <c r="D3" s="99"/>
      <c r="E3" s="99"/>
      <c r="F3" s="99"/>
      <c r="G3" s="99"/>
      <c r="H3" s="99"/>
      <c r="I3" s="99"/>
      <c r="J3" s="99"/>
      <c r="K3" s="99"/>
      <c r="L3" s="99"/>
      <c r="M3" s="99"/>
      <c r="N3" s="99"/>
      <c r="O3" s="99"/>
      <c r="P3" s="100"/>
      <c r="Q3" s="105" t="s">
        <v>12</v>
      </c>
      <c r="R3" s="106"/>
      <c r="S3" s="106"/>
      <c r="T3" s="107"/>
      <c r="U3" s="98" t="s">
        <v>13</v>
      </c>
      <c r="V3" s="98"/>
      <c r="W3" s="98"/>
      <c r="X3" s="98"/>
    </row>
    <row r="4" spans="1:24" ht="15.75" customHeight="1" x14ac:dyDescent="0.25">
      <c r="B4" s="101" t="s">
        <v>14</v>
      </c>
      <c r="C4" s="101"/>
      <c r="D4" s="101"/>
      <c r="E4" s="101"/>
      <c r="F4" s="101"/>
      <c r="G4" s="101"/>
      <c r="H4" s="101"/>
      <c r="I4" s="101"/>
      <c r="J4" s="101"/>
      <c r="K4" s="101"/>
      <c r="L4" s="101"/>
      <c r="M4" s="101"/>
      <c r="N4" s="101"/>
      <c r="O4" s="101"/>
      <c r="P4" s="102"/>
      <c r="Q4" s="46"/>
      <c r="R4" s="103" t="s">
        <v>15</v>
      </c>
      <c r="S4" s="103"/>
      <c r="T4" s="104"/>
      <c r="U4" s="97" t="s">
        <v>16</v>
      </c>
      <c r="V4" s="97"/>
      <c r="W4" s="97"/>
      <c r="X4" s="97"/>
    </row>
    <row r="5" spans="1:24" s="43" customFormat="1" x14ac:dyDescent="0.25">
      <c r="A5" s="28"/>
      <c r="B5" s="37" t="s">
        <v>17</v>
      </c>
      <c r="C5" s="37" t="s">
        <v>18</v>
      </c>
      <c r="D5" s="37" t="s">
        <v>19</v>
      </c>
      <c r="E5" s="37" t="s">
        <v>20</v>
      </c>
      <c r="F5" s="37" t="s">
        <v>21</v>
      </c>
      <c r="G5" s="37" t="s">
        <v>22</v>
      </c>
      <c r="H5" s="87" t="s">
        <v>23</v>
      </c>
      <c r="I5" s="37" t="s">
        <v>24</v>
      </c>
      <c r="J5" s="52" t="s">
        <v>25</v>
      </c>
      <c r="K5" s="37" t="s">
        <v>26</v>
      </c>
      <c r="L5" s="37" t="s">
        <v>27</v>
      </c>
      <c r="M5" s="37" t="s">
        <v>28</v>
      </c>
      <c r="N5" s="37" t="s">
        <v>29</v>
      </c>
      <c r="O5" s="37" t="s">
        <v>30</v>
      </c>
      <c r="P5" s="37" t="s">
        <v>31</v>
      </c>
      <c r="Q5" s="37" t="s">
        <v>32</v>
      </c>
      <c r="R5" s="37" t="s">
        <v>33</v>
      </c>
      <c r="S5" s="37" t="s">
        <v>34</v>
      </c>
      <c r="T5" s="56" t="s">
        <v>35</v>
      </c>
      <c r="U5" s="37" t="s">
        <v>36</v>
      </c>
      <c r="V5" s="37" t="s">
        <v>37</v>
      </c>
      <c r="W5" s="37" t="s">
        <v>38</v>
      </c>
      <c r="X5" s="45" t="s">
        <v>39</v>
      </c>
    </row>
    <row r="6" spans="1:24" ht="89.25" hidden="1" customHeight="1" x14ac:dyDescent="0.25">
      <c r="B6" s="50" t="s">
        <v>7</v>
      </c>
      <c r="C6" s="50" t="s">
        <v>40</v>
      </c>
      <c r="D6" s="50" t="s">
        <v>8</v>
      </c>
      <c r="E6" s="49">
        <v>0</v>
      </c>
      <c r="F6" s="54" t="s">
        <v>41</v>
      </c>
      <c r="G6" s="54" t="s">
        <v>42</v>
      </c>
      <c r="H6" s="54"/>
      <c r="I6" s="39">
        <v>1</v>
      </c>
      <c r="J6" s="41" t="s">
        <v>43</v>
      </c>
      <c r="K6" s="39"/>
      <c r="L6" s="39"/>
      <c r="M6" s="58" t="s">
        <v>44</v>
      </c>
      <c r="N6" s="58" t="s">
        <v>45</v>
      </c>
      <c r="O6" s="39"/>
      <c r="P6" s="48"/>
      <c r="Q6" s="48" t="s">
        <v>46</v>
      </c>
      <c r="R6" s="44" t="s">
        <v>47</v>
      </c>
      <c r="S6" s="44" t="s">
        <v>48</v>
      </c>
      <c r="T6" s="89" t="s">
        <v>49</v>
      </c>
      <c r="U6" s="48" t="s">
        <v>50</v>
      </c>
      <c r="V6" s="44" t="s">
        <v>47</v>
      </c>
      <c r="W6" s="44" t="s">
        <v>48</v>
      </c>
      <c r="X6" s="49" t="s">
        <v>51</v>
      </c>
    </row>
    <row r="7" spans="1:24" ht="89.25" hidden="1" customHeight="1" x14ac:dyDescent="0.25">
      <c r="B7" s="50" t="s">
        <v>7</v>
      </c>
      <c r="C7" s="50" t="s">
        <v>40</v>
      </c>
      <c r="D7" s="50" t="s">
        <v>8</v>
      </c>
      <c r="E7" s="49">
        <v>0</v>
      </c>
      <c r="F7" s="54" t="s">
        <v>52</v>
      </c>
      <c r="G7" s="54" t="s">
        <v>53</v>
      </c>
      <c r="H7" s="54"/>
      <c r="I7" s="39">
        <v>2</v>
      </c>
      <c r="J7" s="41" t="s">
        <v>43</v>
      </c>
      <c r="K7" s="39"/>
      <c r="L7" s="39"/>
      <c r="M7" s="53" t="s">
        <v>54</v>
      </c>
      <c r="N7" s="80" t="s">
        <v>55</v>
      </c>
      <c r="O7" s="39"/>
      <c r="P7" s="48"/>
      <c r="Q7" s="42" t="s">
        <v>56</v>
      </c>
      <c r="R7" s="41" t="s">
        <v>57</v>
      </c>
      <c r="S7" s="41" t="s">
        <v>58</v>
      </c>
      <c r="T7" s="89" t="s">
        <v>59</v>
      </c>
      <c r="U7" s="42" t="s">
        <v>60</v>
      </c>
      <c r="V7" s="40" t="s">
        <v>61</v>
      </c>
      <c r="W7" s="47" t="s">
        <v>62</v>
      </c>
      <c r="X7" s="49" t="s">
        <v>51</v>
      </c>
    </row>
    <row r="8" spans="1:24" ht="89.25" customHeight="1" x14ac:dyDescent="0.25">
      <c r="B8" s="50" t="s">
        <v>7</v>
      </c>
      <c r="C8" s="50" t="s">
        <v>40</v>
      </c>
      <c r="D8" s="50" t="s">
        <v>8</v>
      </c>
      <c r="E8" s="49">
        <v>0</v>
      </c>
      <c r="F8" s="54" t="s">
        <v>63</v>
      </c>
      <c r="G8" s="54" t="s">
        <v>64</v>
      </c>
      <c r="H8" s="41" t="s">
        <v>65</v>
      </c>
      <c r="I8" s="39">
        <v>3</v>
      </c>
      <c r="J8" s="38" t="s">
        <v>43</v>
      </c>
      <c r="K8" s="39"/>
      <c r="L8" s="39"/>
      <c r="M8" s="53" t="s">
        <v>66</v>
      </c>
      <c r="N8" s="40" t="s">
        <v>67</v>
      </c>
      <c r="O8" s="39"/>
      <c r="P8" s="47" t="s">
        <v>68</v>
      </c>
      <c r="Q8" s="42" t="s">
        <v>69</v>
      </c>
      <c r="R8" s="41" t="s">
        <v>70</v>
      </c>
      <c r="S8" s="41" t="s">
        <v>71</v>
      </c>
      <c r="T8" s="51" t="s">
        <v>72</v>
      </c>
      <c r="U8" s="48" t="s">
        <v>50</v>
      </c>
      <c r="V8" s="44" t="s">
        <v>47</v>
      </c>
      <c r="W8" s="41" t="s">
        <v>73</v>
      </c>
      <c r="X8" s="49" t="s">
        <v>51</v>
      </c>
    </row>
    <row r="9" spans="1:24" ht="89.25" hidden="1" customHeight="1" x14ac:dyDescent="0.25">
      <c r="B9" s="50" t="s">
        <v>7</v>
      </c>
      <c r="C9" s="50" t="s">
        <v>40</v>
      </c>
      <c r="D9" s="50" t="s">
        <v>8</v>
      </c>
      <c r="E9" s="49">
        <v>0</v>
      </c>
      <c r="F9" s="54" t="s">
        <v>74</v>
      </c>
      <c r="G9" s="54" t="s">
        <v>75</v>
      </c>
      <c r="H9" s="44" t="s">
        <v>76</v>
      </c>
      <c r="I9" s="39">
        <v>4</v>
      </c>
      <c r="J9" s="41" t="s">
        <v>43</v>
      </c>
      <c r="K9" s="39"/>
      <c r="L9" s="39"/>
      <c r="M9" s="53" t="s">
        <v>77</v>
      </c>
      <c r="N9" s="40" t="s">
        <v>78</v>
      </c>
      <c r="O9" s="39" t="s">
        <v>79</v>
      </c>
      <c r="P9" s="48"/>
      <c r="Q9" s="42" t="s">
        <v>69</v>
      </c>
      <c r="R9" s="41" t="s">
        <v>70</v>
      </c>
      <c r="S9" s="41" t="s">
        <v>71</v>
      </c>
      <c r="T9" s="51" t="s">
        <v>80</v>
      </c>
      <c r="U9" s="38" t="s">
        <v>51</v>
      </c>
      <c r="V9" s="38" t="s">
        <v>51</v>
      </c>
      <c r="W9" s="38" t="s">
        <v>51</v>
      </c>
      <c r="X9" s="49" t="s">
        <v>81</v>
      </c>
    </row>
    <row r="10" spans="1:24" ht="89.25" hidden="1" customHeight="1" x14ac:dyDescent="0.25">
      <c r="B10" s="50" t="s">
        <v>7</v>
      </c>
      <c r="C10" s="50" t="s">
        <v>40</v>
      </c>
      <c r="D10" s="50" t="s">
        <v>8</v>
      </c>
      <c r="E10" s="49">
        <v>0</v>
      </c>
      <c r="F10" s="54" t="s">
        <v>82</v>
      </c>
      <c r="G10" s="54" t="s">
        <v>83</v>
      </c>
      <c r="H10" s="44" t="s">
        <v>76</v>
      </c>
      <c r="I10" s="39">
        <v>5</v>
      </c>
      <c r="J10" s="41" t="s">
        <v>43</v>
      </c>
      <c r="K10" s="39"/>
      <c r="L10" s="39"/>
      <c r="M10" s="53" t="s">
        <v>84</v>
      </c>
      <c r="N10" s="40" t="s">
        <v>85</v>
      </c>
      <c r="O10" s="39" t="s">
        <v>79</v>
      </c>
      <c r="P10" s="48"/>
      <c r="Q10" s="42" t="s">
        <v>56</v>
      </c>
      <c r="R10" s="41" t="s">
        <v>57</v>
      </c>
      <c r="S10" s="41" t="s">
        <v>86</v>
      </c>
      <c r="T10" s="51" t="s">
        <v>87</v>
      </c>
      <c r="U10" s="42" t="s">
        <v>88</v>
      </c>
      <c r="V10" s="41" t="s">
        <v>57</v>
      </c>
      <c r="W10" s="47" t="s">
        <v>89</v>
      </c>
      <c r="X10" s="49" t="s">
        <v>51</v>
      </c>
    </row>
    <row r="11" spans="1:24" ht="89.25" hidden="1" customHeight="1" x14ac:dyDescent="0.25">
      <c r="B11" s="50" t="s">
        <v>7</v>
      </c>
      <c r="C11" s="50" t="s">
        <v>40</v>
      </c>
      <c r="D11" s="50" t="s">
        <v>8</v>
      </c>
      <c r="E11" s="49">
        <v>0</v>
      </c>
      <c r="F11" s="54" t="s">
        <v>90</v>
      </c>
      <c r="G11" s="54" t="s">
        <v>91</v>
      </c>
      <c r="H11" s="54"/>
      <c r="I11" s="39">
        <v>6</v>
      </c>
      <c r="J11" s="41" t="s">
        <v>43</v>
      </c>
      <c r="K11" s="39"/>
      <c r="L11" s="39"/>
      <c r="M11" s="53" t="s">
        <v>92</v>
      </c>
      <c r="N11" s="53" t="s">
        <v>92</v>
      </c>
      <c r="O11" s="39" t="s">
        <v>79</v>
      </c>
      <c r="P11" s="48"/>
      <c r="Q11" s="42" t="s">
        <v>51</v>
      </c>
      <c r="R11" s="41" t="s">
        <v>51</v>
      </c>
      <c r="S11" s="41" t="s">
        <v>51</v>
      </c>
      <c r="T11" s="51" t="s">
        <v>93</v>
      </c>
      <c r="U11" s="42" t="s">
        <v>51</v>
      </c>
      <c r="V11" s="41" t="s">
        <v>51</v>
      </c>
      <c r="W11" s="41" t="s">
        <v>51</v>
      </c>
      <c r="X11" s="49" t="s">
        <v>51</v>
      </c>
    </row>
    <row r="12" spans="1:24" ht="89.25" hidden="1" customHeight="1" x14ac:dyDescent="0.25">
      <c r="B12" s="50" t="s">
        <v>7</v>
      </c>
      <c r="C12" s="50" t="s">
        <v>40</v>
      </c>
      <c r="D12" s="50" t="s">
        <v>8</v>
      </c>
      <c r="E12" s="49">
        <v>0</v>
      </c>
      <c r="F12" s="54" t="s">
        <v>94</v>
      </c>
      <c r="G12" s="54" t="s">
        <v>95</v>
      </c>
      <c r="H12" s="41" t="s">
        <v>96</v>
      </c>
      <c r="I12" s="39">
        <v>7</v>
      </c>
      <c r="J12" s="41" t="s">
        <v>97</v>
      </c>
      <c r="K12" s="39"/>
      <c r="L12" s="39"/>
      <c r="M12" s="53" t="s">
        <v>98</v>
      </c>
      <c r="N12" s="40" t="s">
        <v>99</v>
      </c>
      <c r="O12" s="39" t="s">
        <v>79</v>
      </c>
      <c r="P12" s="48"/>
      <c r="Q12" s="42" t="s">
        <v>56</v>
      </c>
      <c r="R12" s="41" t="s">
        <v>57</v>
      </c>
      <c r="S12" s="41" t="s">
        <v>100</v>
      </c>
      <c r="T12" s="51" t="s">
        <v>101</v>
      </c>
      <c r="U12" s="42" t="s">
        <v>88</v>
      </c>
      <c r="V12" s="41" t="s">
        <v>57</v>
      </c>
      <c r="W12" s="41" t="s">
        <v>100</v>
      </c>
      <c r="X12" s="49" t="s">
        <v>51</v>
      </c>
    </row>
    <row r="13" spans="1:24" ht="89.25" hidden="1" customHeight="1" x14ac:dyDescent="0.25">
      <c r="B13" s="50" t="s">
        <v>7</v>
      </c>
      <c r="C13" s="50" t="s">
        <v>40</v>
      </c>
      <c r="D13" s="50" t="s">
        <v>8</v>
      </c>
      <c r="E13" s="49">
        <v>0</v>
      </c>
      <c r="F13" s="54" t="s">
        <v>102</v>
      </c>
      <c r="G13" s="54" t="s">
        <v>103</v>
      </c>
      <c r="H13" s="41" t="s">
        <v>96</v>
      </c>
      <c r="I13" s="39">
        <v>8</v>
      </c>
      <c r="J13" s="38" t="s">
        <v>97</v>
      </c>
      <c r="K13" s="39"/>
      <c r="L13" s="39"/>
      <c r="M13" s="53" t="s">
        <v>104</v>
      </c>
      <c r="N13" s="40" t="s">
        <v>105</v>
      </c>
      <c r="O13" s="39" t="s">
        <v>79</v>
      </c>
      <c r="P13" s="48"/>
      <c r="Q13" s="42" t="s">
        <v>69</v>
      </c>
      <c r="R13" s="41" t="s">
        <v>70</v>
      </c>
      <c r="S13" s="41" t="s">
        <v>71</v>
      </c>
      <c r="T13" s="51" t="s">
        <v>106</v>
      </c>
      <c r="U13" s="38" t="s">
        <v>51</v>
      </c>
      <c r="V13" s="38" t="s">
        <v>51</v>
      </c>
      <c r="W13" s="38" t="s">
        <v>51</v>
      </c>
      <c r="X13" s="39" t="s">
        <v>51</v>
      </c>
    </row>
    <row r="14" spans="1:24" ht="89.25" hidden="1" customHeight="1" x14ac:dyDescent="0.25">
      <c r="B14" s="50" t="s">
        <v>7</v>
      </c>
      <c r="C14" s="50" t="s">
        <v>40</v>
      </c>
      <c r="D14" s="50" t="s">
        <v>8</v>
      </c>
      <c r="E14" s="49">
        <v>0</v>
      </c>
      <c r="F14" s="54" t="s">
        <v>107</v>
      </c>
      <c r="G14" s="54" t="s">
        <v>108</v>
      </c>
      <c r="H14" s="54"/>
      <c r="I14" s="39">
        <v>9</v>
      </c>
      <c r="J14" s="41" t="s">
        <v>43</v>
      </c>
      <c r="K14" s="39"/>
      <c r="L14" s="39"/>
      <c r="M14" s="57" t="s">
        <v>109</v>
      </c>
      <c r="N14" s="57" t="s">
        <v>110</v>
      </c>
      <c r="O14" s="39" t="s">
        <v>79</v>
      </c>
      <c r="P14" s="48"/>
      <c r="Q14" s="42" t="s">
        <v>56</v>
      </c>
      <c r="R14" s="41" t="s">
        <v>57</v>
      </c>
      <c r="S14" s="41" t="s">
        <v>111</v>
      </c>
      <c r="T14" s="51" t="s">
        <v>112</v>
      </c>
      <c r="U14" s="42" t="s">
        <v>88</v>
      </c>
      <c r="V14" s="41" t="s">
        <v>57</v>
      </c>
      <c r="W14" s="41" t="s">
        <v>111</v>
      </c>
      <c r="X14" s="49" t="s">
        <v>51</v>
      </c>
    </row>
    <row r="15" spans="1:24" ht="89.25" hidden="1" customHeight="1" x14ac:dyDescent="0.25">
      <c r="B15" s="50" t="s">
        <v>7</v>
      </c>
      <c r="C15" s="50" t="s">
        <v>40</v>
      </c>
      <c r="D15" s="50" t="s">
        <v>8</v>
      </c>
      <c r="E15" s="49">
        <v>0</v>
      </c>
      <c r="F15" s="54" t="s">
        <v>113</v>
      </c>
      <c r="G15" s="54" t="s">
        <v>114</v>
      </c>
      <c r="H15" s="54"/>
      <c r="I15" s="39">
        <v>10</v>
      </c>
      <c r="J15" s="41" t="s">
        <v>43</v>
      </c>
      <c r="K15" s="39"/>
      <c r="L15" s="39"/>
      <c r="M15" s="53" t="s">
        <v>115</v>
      </c>
      <c r="N15" s="40" t="s">
        <v>116</v>
      </c>
      <c r="O15" s="39" t="s">
        <v>79</v>
      </c>
      <c r="P15" s="48"/>
      <c r="Q15" s="42" t="s">
        <v>56</v>
      </c>
      <c r="R15" s="41" t="s">
        <v>57</v>
      </c>
      <c r="S15" s="64" t="s">
        <v>117</v>
      </c>
      <c r="T15" s="51" t="s">
        <v>118</v>
      </c>
      <c r="U15" s="42" t="s">
        <v>88</v>
      </c>
      <c r="V15" s="41" t="s">
        <v>57</v>
      </c>
      <c r="W15" s="48" t="s">
        <v>117</v>
      </c>
      <c r="X15" s="49" t="s">
        <v>51</v>
      </c>
    </row>
    <row r="16" spans="1:24" ht="89.25" hidden="1" customHeight="1" x14ac:dyDescent="0.25">
      <c r="B16" s="50" t="s">
        <v>7</v>
      </c>
      <c r="C16" s="50" t="s">
        <v>40</v>
      </c>
      <c r="D16" s="50" t="s">
        <v>8</v>
      </c>
      <c r="E16" s="49">
        <v>0</v>
      </c>
      <c r="F16" s="54" t="s">
        <v>119</v>
      </c>
      <c r="G16" s="54" t="s">
        <v>120</v>
      </c>
      <c r="H16" s="54"/>
      <c r="I16" s="39">
        <v>11</v>
      </c>
      <c r="J16" s="41" t="s">
        <v>43</v>
      </c>
      <c r="K16" s="39"/>
      <c r="L16" s="39"/>
      <c r="M16" s="40" t="s">
        <v>121</v>
      </c>
      <c r="N16" s="40" t="s">
        <v>122</v>
      </c>
      <c r="O16" s="39" t="s">
        <v>79</v>
      </c>
      <c r="P16" s="48"/>
      <c r="Q16" s="42" t="s">
        <v>56</v>
      </c>
      <c r="R16" s="41" t="s">
        <v>57</v>
      </c>
      <c r="S16" s="64" t="s">
        <v>123</v>
      </c>
      <c r="T16" s="51" t="s">
        <v>124</v>
      </c>
      <c r="U16" s="42" t="s">
        <v>88</v>
      </c>
      <c r="V16" s="41" t="s">
        <v>57</v>
      </c>
      <c r="W16" s="64" t="s">
        <v>123</v>
      </c>
      <c r="X16" s="49" t="s">
        <v>51</v>
      </c>
    </row>
    <row r="17" spans="2:24" ht="89.25" hidden="1" customHeight="1" x14ac:dyDescent="0.25">
      <c r="B17" s="50" t="s">
        <v>7</v>
      </c>
      <c r="C17" s="50" t="s">
        <v>40</v>
      </c>
      <c r="D17" s="50" t="s">
        <v>8</v>
      </c>
      <c r="E17" s="49">
        <v>0</v>
      </c>
      <c r="F17" s="54" t="s">
        <v>125</v>
      </c>
      <c r="G17" s="54" t="s">
        <v>126</v>
      </c>
      <c r="H17" s="38" t="s">
        <v>127</v>
      </c>
      <c r="I17" s="39">
        <v>12</v>
      </c>
      <c r="J17" s="38" t="s">
        <v>43</v>
      </c>
      <c r="K17" s="39"/>
      <c r="L17" s="39"/>
      <c r="M17" s="40" t="s">
        <v>128</v>
      </c>
      <c r="N17" s="40" t="s">
        <v>129</v>
      </c>
      <c r="O17" s="39" t="s">
        <v>79</v>
      </c>
      <c r="P17" s="48"/>
      <c r="Q17" s="42" t="s">
        <v>56</v>
      </c>
      <c r="R17" s="41" t="s">
        <v>57</v>
      </c>
      <c r="S17" s="41" t="s">
        <v>130</v>
      </c>
      <c r="T17" s="59" t="s">
        <v>131</v>
      </c>
      <c r="U17" s="48" t="s">
        <v>51</v>
      </c>
      <c r="V17" s="48" t="s">
        <v>51</v>
      </c>
      <c r="W17" s="48" t="s">
        <v>51</v>
      </c>
      <c r="X17" s="49" t="s">
        <v>51</v>
      </c>
    </row>
    <row r="18" spans="2:24" ht="89.25" hidden="1" customHeight="1" x14ac:dyDescent="0.25">
      <c r="B18" s="50" t="s">
        <v>7</v>
      </c>
      <c r="C18" s="50" t="s">
        <v>40</v>
      </c>
      <c r="D18" s="50" t="s">
        <v>8</v>
      </c>
      <c r="E18" s="49">
        <v>0</v>
      </c>
      <c r="F18" s="54" t="s">
        <v>132</v>
      </c>
      <c r="G18" s="54" t="s">
        <v>133</v>
      </c>
      <c r="H18" s="38" t="s">
        <v>134</v>
      </c>
      <c r="I18" s="39">
        <v>13</v>
      </c>
      <c r="J18" s="38" t="s">
        <v>135</v>
      </c>
      <c r="K18" s="39"/>
      <c r="L18" s="39"/>
      <c r="M18" s="40" t="s">
        <v>136</v>
      </c>
      <c r="N18" s="81" t="s">
        <v>137</v>
      </c>
      <c r="O18" s="39"/>
      <c r="P18" s="48"/>
      <c r="Q18" s="42" t="s">
        <v>51</v>
      </c>
      <c r="R18" s="41" t="s">
        <v>51</v>
      </c>
      <c r="S18" s="41" t="s">
        <v>51</v>
      </c>
      <c r="T18" s="51" t="s">
        <v>138</v>
      </c>
      <c r="U18" s="48" t="s">
        <v>51</v>
      </c>
      <c r="V18" s="48" t="s">
        <v>51</v>
      </c>
      <c r="W18" s="48" t="s">
        <v>51</v>
      </c>
      <c r="X18" s="49" t="s">
        <v>51</v>
      </c>
    </row>
    <row r="19" spans="2:24" ht="89.25" hidden="1" customHeight="1" x14ac:dyDescent="0.25">
      <c r="B19" s="50" t="s">
        <v>4</v>
      </c>
      <c r="C19" s="50" t="s">
        <v>139</v>
      </c>
      <c r="D19" s="50" t="s">
        <v>5</v>
      </c>
      <c r="E19" s="49">
        <v>1</v>
      </c>
      <c r="F19" s="54" t="s">
        <v>41</v>
      </c>
      <c r="G19" s="54" t="s">
        <v>42</v>
      </c>
      <c r="H19" s="54"/>
      <c r="I19" s="39">
        <v>1</v>
      </c>
      <c r="J19" s="38" t="s">
        <v>43</v>
      </c>
      <c r="K19" s="39"/>
      <c r="L19" s="39"/>
      <c r="M19" s="58" t="s">
        <v>44</v>
      </c>
      <c r="N19" s="58" t="s">
        <v>45</v>
      </c>
      <c r="O19" s="39" t="s">
        <v>79</v>
      </c>
      <c r="P19" s="50"/>
      <c r="Q19" s="48" t="s">
        <v>46</v>
      </c>
      <c r="R19" s="44" t="s">
        <v>47</v>
      </c>
      <c r="S19" s="44" t="s">
        <v>48</v>
      </c>
      <c r="T19" s="89" t="s">
        <v>140</v>
      </c>
      <c r="U19" s="48" t="s">
        <v>50</v>
      </c>
      <c r="V19" s="44" t="s">
        <v>47</v>
      </c>
      <c r="W19" s="44" t="s">
        <v>48</v>
      </c>
      <c r="X19" s="49" t="s">
        <v>51</v>
      </c>
    </row>
    <row r="20" spans="2:24" ht="89.25" hidden="1" customHeight="1" x14ac:dyDescent="0.25">
      <c r="B20" s="50" t="s">
        <v>4</v>
      </c>
      <c r="C20" s="50" t="s">
        <v>139</v>
      </c>
      <c r="D20" s="50" t="s">
        <v>5</v>
      </c>
      <c r="E20" s="49">
        <v>1</v>
      </c>
      <c r="F20" s="54" t="s">
        <v>141</v>
      </c>
      <c r="G20" s="54" t="s">
        <v>142</v>
      </c>
      <c r="H20" s="54"/>
      <c r="I20" s="39">
        <v>2</v>
      </c>
      <c r="J20" s="41" t="s">
        <v>43</v>
      </c>
      <c r="K20" s="39"/>
      <c r="L20" s="39"/>
      <c r="M20" s="65" t="s">
        <v>143</v>
      </c>
      <c r="N20" s="65" t="s">
        <v>144</v>
      </c>
      <c r="O20" s="39"/>
      <c r="P20" s="48"/>
      <c r="Q20" s="47" t="s">
        <v>145</v>
      </c>
      <c r="R20" s="40" t="s">
        <v>146</v>
      </c>
      <c r="S20" s="40" t="s">
        <v>147</v>
      </c>
      <c r="T20" s="89" t="s">
        <v>148</v>
      </c>
      <c r="U20" s="38" t="s">
        <v>51</v>
      </c>
      <c r="V20" s="38" t="s">
        <v>51</v>
      </c>
      <c r="W20" s="38" t="s">
        <v>51</v>
      </c>
      <c r="X20" s="49" t="s">
        <v>81</v>
      </c>
    </row>
    <row r="21" spans="2:24" ht="89.25" hidden="1" customHeight="1" x14ac:dyDescent="0.25">
      <c r="B21" s="50" t="s">
        <v>4</v>
      </c>
      <c r="C21" s="50" t="s">
        <v>139</v>
      </c>
      <c r="D21" s="50" t="s">
        <v>5</v>
      </c>
      <c r="E21" s="49">
        <v>1</v>
      </c>
      <c r="F21" s="54" t="s">
        <v>149</v>
      </c>
      <c r="G21" s="54" t="s">
        <v>150</v>
      </c>
      <c r="H21" s="54"/>
      <c r="I21" s="39">
        <v>3</v>
      </c>
      <c r="J21" s="41" t="s">
        <v>43</v>
      </c>
      <c r="K21" s="39"/>
      <c r="L21" s="39"/>
      <c r="M21" s="53" t="s">
        <v>84</v>
      </c>
      <c r="N21" s="40" t="s">
        <v>85</v>
      </c>
      <c r="O21" s="39"/>
      <c r="P21" s="48"/>
      <c r="Q21" s="47" t="s">
        <v>145</v>
      </c>
      <c r="R21" s="40" t="s">
        <v>146</v>
      </c>
      <c r="S21" s="40" t="s">
        <v>147</v>
      </c>
      <c r="T21" s="89" t="s">
        <v>151</v>
      </c>
      <c r="U21" s="48" t="s">
        <v>50</v>
      </c>
      <c r="V21" s="44" t="s">
        <v>47</v>
      </c>
      <c r="W21" s="48" t="s">
        <v>152</v>
      </c>
      <c r="X21" s="49" t="s">
        <v>51</v>
      </c>
    </row>
    <row r="22" spans="2:24" ht="89.25" hidden="1" customHeight="1" x14ac:dyDescent="0.25">
      <c r="B22" s="50" t="s">
        <v>4</v>
      </c>
      <c r="C22" s="50" t="s">
        <v>139</v>
      </c>
      <c r="D22" s="50" t="s">
        <v>5</v>
      </c>
      <c r="E22" s="49">
        <v>1</v>
      </c>
      <c r="F22" s="54" t="s">
        <v>52</v>
      </c>
      <c r="G22" s="54" t="s">
        <v>53</v>
      </c>
      <c r="H22" s="54"/>
      <c r="I22" s="39">
        <v>4</v>
      </c>
      <c r="J22" s="38" t="s">
        <v>43</v>
      </c>
      <c r="K22" s="39"/>
      <c r="L22" s="39"/>
      <c r="M22" s="53" t="s">
        <v>54</v>
      </c>
      <c r="N22" s="40" t="s">
        <v>55</v>
      </c>
      <c r="O22" s="39"/>
      <c r="P22" s="48"/>
      <c r="Q22" s="47" t="s">
        <v>145</v>
      </c>
      <c r="R22" s="40" t="s">
        <v>146</v>
      </c>
      <c r="S22" s="40" t="s">
        <v>147</v>
      </c>
      <c r="T22" s="89" t="s">
        <v>153</v>
      </c>
      <c r="U22" s="48" t="s">
        <v>50</v>
      </c>
      <c r="V22" s="44" t="s">
        <v>47</v>
      </c>
      <c r="W22" s="47" t="s">
        <v>154</v>
      </c>
      <c r="X22" s="68" t="s">
        <v>155</v>
      </c>
    </row>
    <row r="23" spans="2:24" ht="89.25" hidden="1" customHeight="1" x14ac:dyDescent="0.25">
      <c r="B23" s="50" t="s">
        <v>4</v>
      </c>
      <c r="C23" s="50" t="s">
        <v>139</v>
      </c>
      <c r="D23" s="50" t="s">
        <v>5</v>
      </c>
      <c r="E23" s="49">
        <v>1</v>
      </c>
      <c r="F23" s="54" t="s">
        <v>156</v>
      </c>
      <c r="G23" s="54" t="s">
        <v>157</v>
      </c>
      <c r="H23" s="54"/>
      <c r="I23" s="39">
        <v>5</v>
      </c>
      <c r="J23" s="38" t="s">
        <v>43</v>
      </c>
      <c r="K23" s="39"/>
      <c r="L23" s="39"/>
      <c r="M23" s="40" t="s">
        <v>158</v>
      </c>
      <c r="N23" s="40" t="s">
        <v>159</v>
      </c>
      <c r="O23" s="39"/>
      <c r="P23" s="48"/>
      <c r="Q23" s="47" t="s">
        <v>145</v>
      </c>
      <c r="R23" s="40" t="s">
        <v>146</v>
      </c>
      <c r="S23" s="40" t="s">
        <v>147</v>
      </c>
      <c r="T23" s="89" t="s">
        <v>160</v>
      </c>
      <c r="U23" s="48" t="s">
        <v>50</v>
      </c>
      <c r="V23" s="44" t="s">
        <v>47</v>
      </c>
      <c r="W23" s="48" t="s">
        <v>161</v>
      </c>
      <c r="X23" s="49" t="s">
        <v>51</v>
      </c>
    </row>
    <row r="24" spans="2:24" ht="89.25" hidden="1" customHeight="1" x14ac:dyDescent="0.25">
      <c r="B24" s="50" t="s">
        <v>4</v>
      </c>
      <c r="C24" s="50" t="s">
        <v>139</v>
      </c>
      <c r="D24" s="50" t="s">
        <v>5</v>
      </c>
      <c r="E24" s="49">
        <v>1</v>
      </c>
      <c r="F24" s="54" t="s">
        <v>162</v>
      </c>
      <c r="G24" s="54" t="s">
        <v>163</v>
      </c>
      <c r="H24" s="54"/>
      <c r="I24" s="39">
        <v>6</v>
      </c>
      <c r="J24" s="38" t="s">
        <v>43</v>
      </c>
      <c r="K24" s="39"/>
      <c r="L24" s="39"/>
      <c r="M24" s="40" t="s">
        <v>164</v>
      </c>
      <c r="N24" s="40" t="s">
        <v>165</v>
      </c>
      <c r="O24" s="39"/>
      <c r="P24" s="48"/>
      <c r="Q24" s="48" t="s">
        <v>46</v>
      </c>
      <c r="R24" s="44" t="s">
        <v>47</v>
      </c>
      <c r="S24" s="58" t="s">
        <v>166</v>
      </c>
      <c r="T24" s="89" t="s">
        <v>167</v>
      </c>
      <c r="U24" s="48" t="s">
        <v>50</v>
      </c>
      <c r="V24" s="44" t="s">
        <v>47</v>
      </c>
      <c r="W24" s="44" t="s">
        <v>168</v>
      </c>
      <c r="X24" s="49" t="s">
        <v>51</v>
      </c>
    </row>
    <row r="25" spans="2:24" ht="89.25" hidden="1" customHeight="1" x14ac:dyDescent="0.25">
      <c r="B25" s="50" t="s">
        <v>4</v>
      </c>
      <c r="C25" s="50" t="s">
        <v>139</v>
      </c>
      <c r="D25" s="50" t="s">
        <v>5</v>
      </c>
      <c r="E25" s="49">
        <v>1</v>
      </c>
      <c r="F25" s="54" t="s">
        <v>169</v>
      </c>
      <c r="G25" s="54" t="s">
        <v>170</v>
      </c>
      <c r="H25" s="54"/>
      <c r="I25" s="39">
        <v>7</v>
      </c>
      <c r="J25" s="38" t="s">
        <v>43</v>
      </c>
      <c r="K25" s="39"/>
      <c r="L25" s="39"/>
      <c r="M25" s="40" t="s">
        <v>171</v>
      </c>
      <c r="N25" s="40" t="s">
        <v>172</v>
      </c>
      <c r="O25" s="39"/>
      <c r="P25" s="40" t="s">
        <v>173</v>
      </c>
      <c r="Q25" s="48" t="s">
        <v>46</v>
      </c>
      <c r="R25" s="44" t="s">
        <v>47</v>
      </c>
      <c r="S25" s="44" t="s">
        <v>174</v>
      </c>
      <c r="T25" s="51" t="s">
        <v>175</v>
      </c>
      <c r="U25" s="48" t="s">
        <v>50</v>
      </c>
      <c r="V25" s="44" t="s">
        <v>47</v>
      </c>
      <c r="W25" s="44" t="s">
        <v>174</v>
      </c>
      <c r="X25" s="49" t="s">
        <v>51</v>
      </c>
    </row>
    <row r="26" spans="2:24" ht="89.25" hidden="1" customHeight="1" x14ac:dyDescent="0.25">
      <c r="B26" s="50" t="s">
        <v>4</v>
      </c>
      <c r="C26" s="50" t="s">
        <v>139</v>
      </c>
      <c r="D26" s="50" t="s">
        <v>5</v>
      </c>
      <c r="E26" s="49">
        <v>1</v>
      </c>
      <c r="F26" s="54" t="s">
        <v>176</v>
      </c>
      <c r="G26" s="54" t="s">
        <v>177</v>
      </c>
      <c r="H26" s="54"/>
      <c r="I26" s="39">
        <v>8</v>
      </c>
      <c r="J26" s="38" t="s">
        <v>43</v>
      </c>
      <c r="K26" s="39"/>
      <c r="L26" s="39"/>
      <c r="M26" s="40" t="s">
        <v>178</v>
      </c>
      <c r="N26" s="40" t="s">
        <v>179</v>
      </c>
      <c r="O26" s="39"/>
      <c r="P26" s="40" t="s">
        <v>180</v>
      </c>
      <c r="Q26" s="48" t="s">
        <v>46</v>
      </c>
      <c r="R26" s="44" t="s">
        <v>47</v>
      </c>
      <c r="S26" s="44" t="s">
        <v>181</v>
      </c>
      <c r="T26" s="51" t="s">
        <v>182</v>
      </c>
      <c r="U26" s="48" t="s">
        <v>50</v>
      </c>
      <c r="V26" s="44" t="s">
        <v>47</v>
      </c>
      <c r="W26" s="44" t="s">
        <v>181</v>
      </c>
      <c r="X26" s="49" t="s">
        <v>51</v>
      </c>
    </row>
    <row r="27" spans="2:24" ht="89.25" hidden="1" customHeight="1" x14ac:dyDescent="0.25">
      <c r="B27" s="50" t="s">
        <v>4</v>
      </c>
      <c r="C27" s="50" t="s">
        <v>139</v>
      </c>
      <c r="D27" s="50" t="s">
        <v>5</v>
      </c>
      <c r="E27" s="49">
        <v>1</v>
      </c>
      <c r="F27" s="54" t="s">
        <v>183</v>
      </c>
      <c r="G27" s="54" t="s">
        <v>184</v>
      </c>
      <c r="H27" s="54"/>
      <c r="I27" s="39">
        <v>9</v>
      </c>
      <c r="J27" s="38" t="s">
        <v>43</v>
      </c>
      <c r="K27" s="39"/>
      <c r="L27" s="39"/>
      <c r="M27" s="40" t="s">
        <v>185</v>
      </c>
      <c r="N27" s="81" t="s">
        <v>186</v>
      </c>
      <c r="O27" s="39"/>
      <c r="P27" s="48"/>
      <c r="Q27" s="48" t="s">
        <v>46</v>
      </c>
      <c r="R27" s="44" t="s">
        <v>47</v>
      </c>
      <c r="S27" s="44" t="s">
        <v>187</v>
      </c>
      <c r="T27" s="83" t="s">
        <v>188</v>
      </c>
      <c r="U27" s="48" t="s">
        <v>50</v>
      </c>
      <c r="V27" s="44" t="s">
        <v>47</v>
      </c>
      <c r="W27" s="44" t="s">
        <v>187</v>
      </c>
      <c r="X27" s="49" t="s">
        <v>51</v>
      </c>
    </row>
    <row r="28" spans="2:24" ht="89.25" hidden="1" customHeight="1" x14ac:dyDescent="0.25">
      <c r="B28" s="50" t="s">
        <v>4</v>
      </c>
      <c r="C28" s="50" t="s">
        <v>139</v>
      </c>
      <c r="D28" s="50" t="s">
        <v>5</v>
      </c>
      <c r="E28" s="49">
        <v>1</v>
      </c>
      <c r="F28" s="55" t="s">
        <v>189</v>
      </c>
      <c r="G28" s="55" t="s">
        <v>190</v>
      </c>
      <c r="H28" s="55"/>
      <c r="I28" s="39">
        <v>10</v>
      </c>
      <c r="J28" s="38" t="s">
        <v>43</v>
      </c>
      <c r="K28" s="39"/>
      <c r="L28" s="39"/>
      <c r="M28" s="40" t="s">
        <v>191</v>
      </c>
      <c r="N28" s="57" t="s">
        <v>192</v>
      </c>
      <c r="O28" s="66"/>
      <c r="P28" s="85" t="s">
        <v>193</v>
      </c>
      <c r="Q28" s="48" t="s">
        <v>46</v>
      </c>
      <c r="R28" s="44" t="s">
        <v>47</v>
      </c>
      <c r="S28" s="86" t="s">
        <v>194</v>
      </c>
      <c r="T28" s="51" t="s">
        <v>195</v>
      </c>
      <c r="U28" s="67" t="s">
        <v>50</v>
      </c>
      <c r="V28" s="44" t="s">
        <v>47</v>
      </c>
      <c r="W28" s="48" t="s">
        <v>194</v>
      </c>
      <c r="X28" s="49" t="s">
        <v>51</v>
      </c>
    </row>
    <row r="29" spans="2:24" ht="89.25" hidden="1" customHeight="1" x14ac:dyDescent="0.25">
      <c r="B29" s="50" t="s">
        <v>4</v>
      </c>
      <c r="C29" s="50" t="s">
        <v>139</v>
      </c>
      <c r="D29" s="50" t="s">
        <v>5</v>
      </c>
      <c r="E29" s="49">
        <v>1</v>
      </c>
      <c r="F29" s="54" t="s">
        <v>196</v>
      </c>
      <c r="G29" s="54" t="s">
        <v>197</v>
      </c>
      <c r="H29" s="54"/>
      <c r="I29" s="39">
        <v>11</v>
      </c>
      <c r="J29" s="38" t="s">
        <v>43</v>
      </c>
      <c r="K29" s="39"/>
      <c r="L29" s="39"/>
      <c r="M29" s="40" t="s">
        <v>198</v>
      </c>
      <c r="N29" s="40" t="s">
        <v>199</v>
      </c>
      <c r="O29" s="39"/>
      <c r="P29" s="48"/>
      <c r="Q29" s="48" t="s">
        <v>46</v>
      </c>
      <c r="R29" s="44" t="s">
        <v>47</v>
      </c>
      <c r="S29" s="44" t="s">
        <v>200</v>
      </c>
      <c r="T29" s="63" t="s">
        <v>201</v>
      </c>
      <c r="U29" s="48" t="s">
        <v>50</v>
      </c>
      <c r="V29" s="44" t="s">
        <v>47</v>
      </c>
      <c r="W29" s="44" t="s">
        <v>200</v>
      </c>
      <c r="X29" s="49" t="s">
        <v>51</v>
      </c>
    </row>
    <row r="30" spans="2:24" ht="89.25" hidden="1" customHeight="1" x14ac:dyDescent="0.25">
      <c r="B30" s="50" t="s">
        <v>4</v>
      </c>
      <c r="C30" s="50" t="s">
        <v>139</v>
      </c>
      <c r="D30" s="50" t="s">
        <v>5</v>
      </c>
      <c r="E30" s="49">
        <v>1</v>
      </c>
      <c r="F30" s="54" t="s">
        <v>202</v>
      </c>
      <c r="G30" s="54" t="s">
        <v>203</v>
      </c>
      <c r="H30" s="54"/>
      <c r="I30" s="39">
        <v>12</v>
      </c>
      <c r="J30" s="41" t="s">
        <v>43</v>
      </c>
      <c r="K30" s="39"/>
      <c r="L30" s="39"/>
      <c r="M30" s="40" t="s">
        <v>204</v>
      </c>
      <c r="N30" s="40" t="s">
        <v>205</v>
      </c>
      <c r="O30" s="39"/>
      <c r="P30" s="48"/>
      <c r="Q30" s="48" t="s">
        <v>46</v>
      </c>
      <c r="R30" s="44" t="s">
        <v>47</v>
      </c>
      <c r="S30" s="44" t="s">
        <v>206</v>
      </c>
      <c r="T30" s="51" t="s">
        <v>207</v>
      </c>
      <c r="U30" s="48" t="s">
        <v>50</v>
      </c>
      <c r="V30" s="44" t="s">
        <v>47</v>
      </c>
      <c r="W30" s="44" t="s">
        <v>206</v>
      </c>
      <c r="X30" s="49" t="s">
        <v>51</v>
      </c>
    </row>
    <row r="31" spans="2:24" ht="89.25" hidden="1" customHeight="1" x14ac:dyDescent="0.25">
      <c r="B31" s="50" t="s">
        <v>4</v>
      </c>
      <c r="C31" s="50" t="s">
        <v>139</v>
      </c>
      <c r="D31" s="50" t="s">
        <v>5</v>
      </c>
      <c r="E31" s="49">
        <v>1</v>
      </c>
      <c r="F31" s="54" t="s">
        <v>208</v>
      </c>
      <c r="G31" s="54" t="s">
        <v>209</v>
      </c>
      <c r="H31" s="54"/>
      <c r="I31" s="39">
        <v>13</v>
      </c>
      <c r="J31" s="38" t="s">
        <v>43</v>
      </c>
      <c r="K31" s="39"/>
      <c r="L31" s="39"/>
      <c r="M31" s="40" t="s">
        <v>210</v>
      </c>
      <c r="N31" s="40" t="s">
        <v>211</v>
      </c>
      <c r="O31" s="39"/>
      <c r="P31" s="48"/>
      <c r="Q31" s="42" t="s">
        <v>145</v>
      </c>
      <c r="R31" s="40" t="s">
        <v>146</v>
      </c>
      <c r="S31" s="40" t="s">
        <v>212</v>
      </c>
      <c r="T31" s="89" t="s">
        <v>213</v>
      </c>
      <c r="U31" s="48" t="s">
        <v>50</v>
      </c>
      <c r="V31" s="44" t="s">
        <v>47</v>
      </c>
      <c r="W31" s="48" t="s">
        <v>214</v>
      </c>
      <c r="X31" s="49" t="s">
        <v>51</v>
      </c>
    </row>
    <row r="32" spans="2:24" ht="89.25" hidden="1" customHeight="1" x14ac:dyDescent="0.25">
      <c r="B32" s="50" t="s">
        <v>4</v>
      </c>
      <c r="C32" s="50" t="s">
        <v>139</v>
      </c>
      <c r="D32" s="50" t="s">
        <v>5</v>
      </c>
      <c r="E32" s="49">
        <v>1</v>
      </c>
      <c r="F32" s="54" t="s">
        <v>215</v>
      </c>
      <c r="G32" s="54" t="s">
        <v>216</v>
      </c>
      <c r="H32" s="54"/>
      <c r="I32" s="39">
        <v>14</v>
      </c>
      <c r="J32" s="38" t="s">
        <v>43</v>
      </c>
      <c r="K32" s="39"/>
      <c r="L32" s="39"/>
      <c r="M32" s="40" t="s">
        <v>217</v>
      </c>
      <c r="N32" s="40" t="s">
        <v>218</v>
      </c>
      <c r="O32" s="39"/>
      <c r="P32" s="40" t="s">
        <v>219</v>
      </c>
      <c r="Q32" s="48" t="s">
        <v>46</v>
      </c>
      <c r="R32" s="44" t="s">
        <v>47</v>
      </c>
      <c r="S32" s="48" t="s">
        <v>220</v>
      </c>
      <c r="T32" s="51" t="s">
        <v>221</v>
      </c>
      <c r="U32" s="48" t="s">
        <v>50</v>
      </c>
      <c r="V32" s="44" t="s">
        <v>47</v>
      </c>
      <c r="W32" s="48" t="s">
        <v>220</v>
      </c>
      <c r="X32" s="49" t="s">
        <v>51</v>
      </c>
    </row>
    <row r="33" spans="2:24" ht="89.25" customHeight="1" x14ac:dyDescent="0.25">
      <c r="B33" s="50" t="s">
        <v>4</v>
      </c>
      <c r="C33" s="50" t="s">
        <v>139</v>
      </c>
      <c r="D33" s="50" t="s">
        <v>5</v>
      </c>
      <c r="E33" s="49">
        <v>1</v>
      </c>
      <c r="F33" s="54" t="s">
        <v>63</v>
      </c>
      <c r="G33" s="54" t="s">
        <v>64</v>
      </c>
      <c r="H33" s="41" t="s">
        <v>222</v>
      </c>
      <c r="I33" s="39">
        <v>15</v>
      </c>
      <c r="J33" s="38" t="s">
        <v>43</v>
      </c>
      <c r="K33" s="39"/>
      <c r="L33" s="39"/>
      <c r="M33" s="65" t="s">
        <v>223</v>
      </c>
      <c r="N33" s="40" t="s">
        <v>224</v>
      </c>
      <c r="O33" s="39"/>
      <c r="P33" s="47" t="s">
        <v>225</v>
      </c>
      <c r="Q33" s="42" t="s">
        <v>69</v>
      </c>
      <c r="R33" s="41" t="s">
        <v>70</v>
      </c>
      <c r="S33" s="41" t="s">
        <v>71</v>
      </c>
      <c r="T33" s="51" t="s">
        <v>226</v>
      </c>
      <c r="U33" s="48" t="s">
        <v>50</v>
      </c>
      <c r="V33" s="44" t="s">
        <v>47</v>
      </c>
      <c r="W33" s="48" t="s">
        <v>73</v>
      </c>
      <c r="X33" s="49" t="s">
        <v>51</v>
      </c>
    </row>
    <row r="34" spans="2:24" ht="89.25" hidden="1" customHeight="1" x14ac:dyDescent="0.25">
      <c r="B34" s="50" t="s">
        <v>4</v>
      </c>
      <c r="C34" s="50" t="s">
        <v>139</v>
      </c>
      <c r="D34" s="50" t="s">
        <v>5</v>
      </c>
      <c r="E34" s="49">
        <v>1</v>
      </c>
      <c r="F34" s="95" t="s">
        <v>227</v>
      </c>
      <c r="G34" s="95" t="s">
        <v>228</v>
      </c>
      <c r="H34" s="41" t="s">
        <v>222</v>
      </c>
      <c r="I34" s="39">
        <v>16</v>
      </c>
      <c r="J34" s="41" t="s">
        <v>43</v>
      </c>
      <c r="K34" s="39">
        <v>4</v>
      </c>
      <c r="L34" s="39"/>
      <c r="M34" s="53" t="s">
        <v>229</v>
      </c>
      <c r="N34" s="40" t="s">
        <v>230</v>
      </c>
      <c r="O34" s="39"/>
      <c r="P34" s="47" t="s">
        <v>231</v>
      </c>
      <c r="Q34" s="48" t="s">
        <v>232</v>
      </c>
      <c r="R34" s="44" t="s">
        <v>233</v>
      </c>
      <c r="S34" s="44" t="s">
        <v>234</v>
      </c>
      <c r="T34" s="51" t="s">
        <v>235</v>
      </c>
      <c r="U34" s="47" t="s">
        <v>236</v>
      </c>
      <c r="V34" s="44" t="s">
        <v>237</v>
      </c>
      <c r="W34" s="48" t="s">
        <v>238</v>
      </c>
      <c r="X34" s="49" t="s">
        <v>51</v>
      </c>
    </row>
    <row r="35" spans="2:24" ht="89.25" hidden="1" customHeight="1" x14ac:dyDescent="0.25">
      <c r="B35" s="50" t="s">
        <v>4</v>
      </c>
      <c r="C35" s="50" t="s">
        <v>139</v>
      </c>
      <c r="D35" s="50" t="s">
        <v>5</v>
      </c>
      <c r="E35" s="49">
        <v>1</v>
      </c>
      <c r="F35" s="54" t="s">
        <v>239</v>
      </c>
      <c r="G35" s="54" t="s">
        <v>240</v>
      </c>
      <c r="H35" s="41" t="s">
        <v>241</v>
      </c>
      <c r="I35" s="39">
        <v>17</v>
      </c>
      <c r="J35" s="41" t="s">
        <v>242</v>
      </c>
      <c r="K35" s="39">
        <v>23</v>
      </c>
      <c r="L35" s="39">
        <v>6</v>
      </c>
      <c r="M35" s="53" t="s">
        <v>243</v>
      </c>
      <c r="N35" s="40" t="s">
        <v>244</v>
      </c>
      <c r="O35" s="39"/>
      <c r="P35" s="48"/>
      <c r="Q35" s="48" t="s">
        <v>46</v>
      </c>
      <c r="R35" s="44" t="s">
        <v>47</v>
      </c>
      <c r="S35" s="48" t="s">
        <v>245</v>
      </c>
      <c r="T35" s="51" t="s">
        <v>246</v>
      </c>
      <c r="U35" s="48" t="s">
        <v>50</v>
      </c>
      <c r="V35" s="44" t="s">
        <v>47</v>
      </c>
      <c r="W35" s="48" t="s">
        <v>247</v>
      </c>
      <c r="X35" s="49" t="s">
        <v>51</v>
      </c>
    </row>
    <row r="36" spans="2:24" ht="89.25" hidden="1" customHeight="1" x14ac:dyDescent="0.25">
      <c r="B36" s="50" t="s">
        <v>4</v>
      </c>
      <c r="C36" s="50" t="s">
        <v>139</v>
      </c>
      <c r="D36" s="50" t="s">
        <v>5</v>
      </c>
      <c r="E36" s="49">
        <v>1</v>
      </c>
      <c r="F36" s="54" t="s">
        <v>248</v>
      </c>
      <c r="G36" s="54" t="s">
        <v>249</v>
      </c>
      <c r="H36" s="54"/>
      <c r="I36" s="39">
        <v>18</v>
      </c>
      <c r="J36" s="41" t="s">
        <v>43</v>
      </c>
      <c r="K36" s="39">
        <v>10</v>
      </c>
      <c r="L36" s="39"/>
      <c r="M36" s="53" t="s">
        <v>250</v>
      </c>
      <c r="N36" s="40" t="s">
        <v>251</v>
      </c>
      <c r="O36" s="39"/>
      <c r="P36" s="48"/>
      <c r="Q36" s="48" t="s">
        <v>46</v>
      </c>
      <c r="R36" s="44" t="s">
        <v>47</v>
      </c>
      <c r="S36" s="48" t="s">
        <v>252</v>
      </c>
      <c r="T36" s="51" t="s">
        <v>253</v>
      </c>
      <c r="U36" s="48" t="s">
        <v>50</v>
      </c>
      <c r="V36" s="44" t="s">
        <v>47</v>
      </c>
      <c r="W36" s="48" t="s">
        <v>252</v>
      </c>
      <c r="X36" s="49" t="s">
        <v>51</v>
      </c>
    </row>
    <row r="37" spans="2:24" ht="89.25" hidden="1" customHeight="1" x14ac:dyDescent="0.25">
      <c r="B37" s="50" t="s">
        <v>4</v>
      </c>
      <c r="C37" s="50" t="s">
        <v>139</v>
      </c>
      <c r="D37" s="50" t="s">
        <v>5</v>
      </c>
      <c r="E37" s="49">
        <v>1</v>
      </c>
      <c r="F37" s="95" t="s">
        <v>254</v>
      </c>
      <c r="G37" s="95" t="s">
        <v>255</v>
      </c>
      <c r="H37" s="95"/>
      <c r="I37" s="39">
        <v>19</v>
      </c>
      <c r="J37" s="38" t="s">
        <v>43</v>
      </c>
      <c r="K37" s="39"/>
      <c r="L37" s="39"/>
      <c r="M37" s="53" t="s">
        <v>256</v>
      </c>
      <c r="N37" s="40" t="s">
        <v>257</v>
      </c>
      <c r="O37" s="39"/>
      <c r="P37" s="47"/>
      <c r="Q37" s="48" t="s">
        <v>46</v>
      </c>
      <c r="R37" s="82" t="s">
        <v>47</v>
      </c>
      <c r="S37" s="50" t="s">
        <v>258</v>
      </c>
      <c r="T37" s="51" t="s">
        <v>259</v>
      </c>
      <c r="U37" s="48" t="s">
        <v>50</v>
      </c>
      <c r="V37" s="82" t="s">
        <v>47</v>
      </c>
      <c r="W37" s="50" t="s">
        <v>258</v>
      </c>
      <c r="X37" s="49" t="s">
        <v>51</v>
      </c>
    </row>
    <row r="38" spans="2:24" ht="89.25" hidden="1" customHeight="1" x14ac:dyDescent="0.25">
      <c r="B38" s="50" t="s">
        <v>4</v>
      </c>
      <c r="C38" s="50" t="s">
        <v>139</v>
      </c>
      <c r="D38" s="50" t="s">
        <v>5</v>
      </c>
      <c r="E38" s="49">
        <v>1</v>
      </c>
      <c r="F38" s="95" t="s">
        <v>260</v>
      </c>
      <c r="G38" s="95" t="s">
        <v>261</v>
      </c>
      <c r="H38" s="95"/>
      <c r="I38" s="39">
        <v>20</v>
      </c>
      <c r="J38" s="41" t="s">
        <v>43</v>
      </c>
      <c r="K38" s="39"/>
      <c r="L38" s="39"/>
      <c r="M38" s="53" t="s">
        <v>262</v>
      </c>
      <c r="N38" s="40" t="s">
        <v>263</v>
      </c>
      <c r="O38" s="39"/>
      <c r="P38" s="48"/>
      <c r="Q38" s="48" t="s">
        <v>46</v>
      </c>
      <c r="R38" s="82" t="s">
        <v>47</v>
      </c>
      <c r="S38" s="50" t="s">
        <v>264</v>
      </c>
      <c r="T38" s="61" t="s">
        <v>265</v>
      </c>
      <c r="U38" s="48" t="s">
        <v>50</v>
      </c>
      <c r="V38" s="82" t="s">
        <v>47</v>
      </c>
      <c r="W38" s="48" t="s">
        <v>264</v>
      </c>
      <c r="X38" s="49" t="s">
        <v>51</v>
      </c>
    </row>
    <row r="39" spans="2:24" ht="89.25" hidden="1" customHeight="1" x14ac:dyDescent="0.25">
      <c r="B39" s="50" t="s">
        <v>4</v>
      </c>
      <c r="C39" s="50" t="s">
        <v>139</v>
      </c>
      <c r="D39" s="50" t="s">
        <v>5</v>
      </c>
      <c r="E39" s="49">
        <v>1</v>
      </c>
      <c r="F39" s="95" t="s">
        <v>266</v>
      </c>
      <c r="G39" s="95" t="s">
        <v>267</v>
      </c>
      <c r="H39" s="38" t="s">
        <v>268</v>
      </c>
      <c r="I39" s="39">
        <v>21</v>
      </c>
      <c r="J39" s="41" t="s">
        <v>43</v>
      </c>
      <c r="K39" s="39"/>
      <c r="L39" s="39"/>
      <c r="M39" s="40" t="s">
        <v>269</v>
      </c>
      <c r="N39" s="40" t="s">
        <v>270</v>
      </c>
      <c r="O39" s="39"/>
      <c r="P39" s="48"/>
      <c r="Q39" s="42" t="s">
        <v>51</v>
      </c>
      <c r="R39" s="60" t="s">
        <v>51</v>
      </c>
      <c r="S39" s="41" t="s">
        <v>51</v>
      </c>
      <c r="T39" s="61" t="s">
        <v>271</v>
      </c>
      <c r="U39" s="48" t="s">
        <v>51</v>
      </c>
      <c r="V39" s="86" t="s">
        <v>51</v>
      </c>
      <c r="W39" s="48" t="s">
        <v>51</v>
      </c>
      <c r="X39" s="49" t="s">
        <v>51</v>
      </c>
    </row>
    <row r="40" spans="2:24" ht="89.25" hidden="1" customHeight="1" x14ac:dyDescent="0.25">
      <c r="B40" s="50" t="s">
        <v>4</v>
      </c>
      <c r="C40" s="50" t="s">
        <v>139</v>
      </c>
      <c r="D40" s="50" t="s">
        <v>5</v>
      </c>
      <c r="E40" s="49">
        <v>1</v>
      </c>
      <c r="F40" s="54" t="s">
        <v>125</v>
      </c>
      <c r="G40" s="54" t="s">
        <v>126</v>
      </c>
      <c r="H40" s="38" t="s">
        <v>127</v>
      </c>
      <c r="I40" s="39">
        <v>22</v>
      </c>
      <c r="J40" s="41" t="s">
        <v>43</v>
      </c>
      <c r="K40" s="39">
        <v>10</v>
      </c>
      <c r="L40" s="39"/>
      <c r="M40" s="40" t="s">
        <v>128</v>
      </c>
      <c r="N40" s="40" t="s">
        <v>272</v>
      </c>
      <c r="O40" s="39"/>
      <c r="P40" s="48"/>
      <c r="Q40" s="48" t="s">
        <v>46</v>
      </c>
      <c r="R40" s="82" t="s">
        <v>47</v>
      </c>
      <c r="S40" s="62" t="s">
        <v>130</v>
      </c>
      <c r="T40" s="59" t="s">
        <v>273</v>
      </c>
      <c r="U40" s="48" t="s">
        <v>51</v>
      </c>
      <c r="V40" s="48" t="s">
        <v>51</v>
      </c>
      <c r="W40" s="48" t="s">
        <v>51</v>
      </c>
      <c r="X40" s="49" t="s">
        <v>51</v>
      </c>
    </row>
    <row r="41" spans="2:24" ht="89.25" hidden="1" customHeight="1" x14ac:dyDescent="0.25">
      <c r="B41" s="50" t="s">
        <v>4</v>
      </c>
      <c r="C41" s="50" t="s">
        <v>139</v>
      </c>
      <c r="D41" s="50" t="s">
        <v>5</v>
      </c>
      <c r="E41" s="49">
        <v>1</v>
      </c>
      <c r="F41" s="55" t="s">
        <v>132</v>
      </c>
      <c r="G41" s="54" t="s">
        <v>133</v>
      </c>
      <c r="H41" s="38" t="s">
        <v>134</v>
      </c>
      <c r="I41" s="39">
        <v>23</v>
      </c>
      <c r="J41" s="41" t="s">
        <v>135</v>
      </c>
      <c r="K41" s="39">
        <v>23</v>
      </c>
      <c r="L41" s="39"/>
      <c r="M41" s="40" t="s">
        <v>136</v>
      </c>
      <c r="N41" s="84" t="s">
        <v>274</v>
      </c>
      <c r="O41" s="39"/>
      <c r="P41" s="48"/>
      <c r="Q41" s="42" t="s">
        <v>51</v>
      </c>
      <c r="R41" s="41" t="s">
        <v>51</v>
      </c>
      <c r="S41" s="41" t="s">
        <v>51</v>
      </c>
      <c r="T41" s="51" t="s">
        <v>275</v>
      </c>
      <c r="U41" s="48" t="s">
        <v>51</v>
      </c>
      <c r="V41" s="48" t="s">
        <v>51</v>
      </c>
      <c r="W41" s="48" t="s">
        <v>51</v>
      </c>
      <c r="X41" s="49" t="s">
        <v>51</v>
      </c>
    </row>
  </sheetData>
  <mergeCells count="6">
    <mergeCell ref="U4:X4"/>
    <mergeCell ref="U3:X3"/>
    <mergeCell ref="B3:P3"/>
    <mergeCell ref="B4:P4"/>
    <mergeCell ref="R4:T4"/>
    <mergeCell ref="Q3:T3"/>
  </mergeCells>
  <pageMargins left="0.7" right="0.7" top="0.75" bottom="0.75" header="0.3" footer="0.3"/>
  <pageSetup paperSize="9"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7"/>
  <sheetViews>
    <sheetView showGridLines="0" zoomScale="80" zoomScaleNormal="80" workbookViewId="0">
      <selection activeCell="H6" sqref="H6"/>
    </sheetView>
  </sheetViews>
  <sheetFormatPr defaultColWidth="8.85546875" defaultRowHeight="15" x14ac:dyDescent="0.25"/>
  <cols>
    <col min="2" max="2" width="46.7109375" style="29" customWidth="1"/>
    <col min="3" max="3" width="28" style="28" customWidth="1"/>
    <col min="4" max="4" width="51.28515625" style="28" customWidth="1"/>
    <col min="5" max="5" width="34" style="28" customWidth="1"/>
    <col min="6" max="6" width="50.42578125" style="28" customWidth="1"/>
    <col min="7" max="7" width="39.28515625" customWidth="1"/>
    <col min="8" max="8" width="104" style="69" customWidth="1"/>
    <col min="9" max="9" width="25.85546875" customWidth="1"/>
  </cols>
  <sheetData>
    <row r="1" spans="2:9" ht="40.5" customHeight="1" x14ac:dyDescent="0.25"/>
    <row r="2" spans="2:9" ht="30" x14ac:dyDescent="0.25">
      <c r="B2" s="75" t="s">
        <v>276</v>
      </c>
      <c r="C2" s="75" t="s">
        <v>19</v>
      </c>
      <c r="D2" s="75" t="s">
        <v>277</v>
      </c>
      <c r="E2" s="75" t="s">
        <v>278</v>
      </c>
      <c r="F2" s="75" t="s">
        <v>279</v>
      </c>
      <c r="G2" s="75" t="s">
        <v>280</v>
      </c>
      <c r="H2" s="76" t="s">
        <v>281</v>
      </c>
      <c r="I2" s="77" t="s">
        <v>282</v>
      </c>
    </row>
    <row r="3" spans="2:9" s="73" customFormat="1" ht="30" customHeight="1" x14ac:dyDescent="0.25">
      <c r="B3" s="50" t="s">
        <v>4</v>
      </c>
      <c r="C3" s="38" t="s">
        <v>5</v>
      </c>
      <c r="D3" s="50" t="s">
        <v>283</v>
      </c>
      <c r="E3" s="70" t="s">
        <v>284</v>
      </c>
      <c r="F3" s="64" t="s">
        <v>285</v>
      </c>
      <c r="G3" s="71" t="s">
        <v>286</v>
      </c>
      <c r="H3" s="72" t="s">
        <v>287</v>
      </c>
      <c r="I3" s="96" t="s">
        <v>288</v>
      </c>
    </row>
    <row r="4" spans="2:9" ht="225" hidden="1" x14ac:dyDescent="0.25">
      <c r="B4" s="50" t="s">
        <v>7</v>
      </c>
      <c r="C4" s="38" t="s">
        <v>8</v>
      </c>
      <c r="D4" s="50" t="s">
        <v>289</v>
      </c>
      <c r="E4" s="70" t="s">
        <v>290</v>
      </c>
      <c r="F4" s="50" t="s">
        <v>283</v>
      </c>
      <c r="G4" s="70" t="s">
        <v>284</v>
      </c>
      <c r="H4" s="72" t="s">
        <v>291</v>
      </c>
      <c r="I4" s="38" t="s">
        <v>292</v>
      </c>
    </row>
    <row r="5" spans="2:9" ht="225" hidden="1" x14ac:dyDescent="0.25">
      <c r="B5" s="50" t="s">
        <v>7</v>
      </c>
      <c r="C5" s="38" t="s">
        <v>8</v>
      </c>
      <c r="D5" s="50" t="s">
        <v>289</v>
      </c>
      <c r="E5" s="70" t="s">
        <v>290</v>
      </c>
      <c r="F5" s="50" t="s">
        <v>283</v>
      </c>
      <c r="G5" s="70" t="s">
        <v>284</v>
      </c>
      <c r="H5" s="74" t="s">
        <v>293</v>
      </c>
      <c r="I5" s="38" t="s">
        <v>292</v>
      </c>
    </row>
    <row r="6" spans="2:9" ht="225" hidden="1" x14ac:dyDescent="0.25">
      <c r="B6" s="50" t="s">
        <v>7</v>
      </c>
      <c r="C6" s="38" t="s">
        <v>8</v>
      </c>
      <c r="D6" s="50" t="s">
        <v>289</v>
      </c>
      <c r="E6" s="70" t="s">
        <v>290</v>
      </c>
      <c r="F6" s="50" t="s">
        <v>283</v>
      </c>
      <c r="G6" s="70" t="s">
        <v>284</v>
      </c>
      <c r="H6" s="42" t="s">
        <v>294</v>
      </c>
      <c r="I6" s="38" t="s">
        <v>292</v>
      </c>
    </row>
    <row r="7" spans="2:9" ht="225" hidden="1" x14ac:dyDescent="0.25">
      <c r="B7" s="50" t="s">
        <v>7</v>
      </c>
      <c r="C7" s="38" t="s">
        <v>8</v>
      </c>
      <c r="D7" s="50" t="s">
        <v>289</v>
      </c>
      <c r="E7" s="70" t="s">
        <v>290</v>
      </c>
      <c r="F7" s="50" t="s">
        <v>283</v>
      </c>
      <c r="G7" s="70" t="s">
        <v>284</v>
      </c>
      <c r="H7" s="74" t="s">
        <v>295</v>
      </c>
      <c r="I7" s="38" t="s">
        <v>292</v>
      </c>
    </row>
    <row r="8" spans="2:9" ht="195" hidden="1" x14ac:dyDescent="0.25">
      <c r="B8" s="50" t="s">
        <v>7</v>
      </c>
      <c r="C8" s="38" t="s">
        <v>8</v>
      </c>
      <c r="D8" s="50" t="s">
        <v>289</v>
      </c>
      <c r="E8" s="70" t="s">
        <v>290</v>
      </c>
      <c r="F8" s="50" t="s">
        <v>283</v>
      </c>
      <c r="G8" s="70" t="s">
        <v>284</v>
      </c>
      <c r="H8" s="74" t="s">
        <v>296</v>
      </c>
      <c r="I8" s="38" t="s">
        <v>292</v>
      </c>
    </row>
    <row r="9" spans="2:9" x14ac:dyDescent="0.25">
      <c r="B9"/>
      <c r="C9"/>
      <c r="D9"/>
      <c r="E9"/>
      <c r="F9"/>
    </row>
    <row r="10" spans="2:9" x14ac:dyDescent="0.25">
      <c r="B10"/>
      <c r="C10"/>
      <c r="D10"/>
      <c r="E10"/>
      <c r="F10"/>
    </row>
    <row r="11" spans="2:9" x14ac:dyDescent="0.25">
      <c r="B11"/>
      <c r="C11"/>
      <c r="D11"/>
      <c r="E11"/>
      <c r="F11"/>
    </row>
    <row r="12" spans="2:9" x14ac:dyDescent="0.25">
      <c r="B12"/>
      <c r="C12"/>
      <c r="D12"/>
      <c r="E12"/>
      <c r="F12"/>
    </row>
    <row r="13" spans="2:9" x14ac:dyDescent="0.25">
      <c r="B13"/>
      <c r="C13"/>
      <c r="D13"/>
      <c r="E13"/>
      <c r="F13"/>
    </row>
    <row r="14" spans="2:9" x14ac:dyDescent="0.25">
      <c r="B14"/>
      <c r="C14"/>
      <c r="D14"/>
      <c r="E14"/>
      <c r="F14"/>
    </row>
    <row r="15" spans="2:9" x14ac:dyDescent="0.25">
      <c r="B15"/>
      <c r="C15"/>
      <c r="D15"/>
      <c r="E15"/>
      <c r="F15"/>
    </row>
    <row r="16" spans="2:9" x14ac:dyDescent="0.25">
      <c r="B16"/>
      <c r="C16"/>
      <c r="D16"/>
      <c r="E16"/>
      <c r="F16"/>
    </row>
    <row r="17" spans="2:6" x14ac:dyDescent="0.25">
      <c r="B17"/>
      <c r="C17"/>
      <c r="D17"/>
      <c r="E17"/>
      <c r="F17"/>
    </row>
    <row r="18" spans="2:6" x14ac:dyDescent="0.25">
      <c r="B18"/>
      <c r="C18"/>
      <c r="D18"/>
      <c r="E18"/>
      <c r="F18"/>
    </row>
    <row r="19" spans="2:6" x14ac:dyDescent="0.25">
      <c r="B19"/>
      <c r="C19"/>
      <c r="D19"/>
      <c r="E19"/>
      <c r="F19"/>
    </row>
    <row r="20" spans="2:6" x14ac:dyDescent="0.25">
      <c r="B20"/>
      <c r="C20"/>
      <c r="D20"/>
      <c r="E20"/>
      <c r="F20"/>
    </row>
    <row r="21" spans="2:6" x14ac:dyDescent="0.25">
      <c r="B21"/>
      <c r="C21"/>
      <c r="D21"/>
      <c r="E21"/>
      <c r="F21"/>
    </row>
    <row r="22" spans="2:6" x14ac:dyDescent="0.25">
      <c r="B22"/>
      <c r="C22"/>
      <c r="D22"/>
      <c r="E22"/>
      <c r="F22"/>
    </row>
    <row r="23" spans="2:6" x14ac:dyDescent="0.25">
      <c r="B23"/>
      <c r="C23"/>
      <c r="D23"/>
      <c r="E23"/>
      <c r="F23"/>
    </row>
    <row r="24" spans="2:6" x14ac:dyDescent="0.25">
      <c r="B24"/>
      <c r="C24"/>
      <c r="D24"/>
      <c r="E24"/>
      <c r="F24"/>
    </row>
    <row r="25" spans="2:6" x14ac:dyDescent="0.25">
      <c r="B25"/>
      <c r="C25"/>
      <c r="D25"/>
      <c r="E25"/>
      <c r="F25"/>
    </row>
    <row r="26" spans="2:6" x14ac:dyDescent="0.25">
      <c r="B26"/>
      <c r="C26"/>
      <c r="D26"/>
      <c r="E26"/>
      <c r="F26"/>
    </row>
    <row r="27" spans="2:6" x14ac:dyDescent="0.25">
      <c r="B27"/>
      <c r="C27"/>
      <c r="D27"/>
      <c r="E27"/>
      <c r="F27"/>
    </row>
    <row r="28" spans="2:6" x14ac:dyDescent="0.25">
      <c r="B28"/>
      <c r="C28"/>
      <c r="D28"/>
      <c r="E28"/>
      <c r="F28"/>
    </row>
    <row r="29" spans="2:6" x14ac:dyDescent="0.25">
      <c r="B29"/>
      <c r="C29"/>
      <c r="D29"/>
      <c r="E29"/>
      <c r="F29"/>
    </row>
    <row r="30" spans="2:6" x14ac:dyDescent="0.25">
      <c r="B30"/>
      <c r="C30"/>
      <c r="D30"/>
      <c r="E30"/>
      <c r="F30"/>
    </row>
    <row r="31" spans="2:6" x14ac:dyDescent="0.25">
      <c r="B31"/>
      <c r="C31"/>
      <c r="D31"/>
      <c r="E31"/>
      <c r="F31"/>
    </row>
    <row r="32" spans="2:6" x14ac:dyDescent="0.25">
      <c r="B32"/>
      <c r="C32"/>
      <c r="D32"/>
      <c r="E32"/>
      <c r="F32"/>
    </row>
    <row r="33" spans="2:6" x14ac:dyDescent="0.25">
      <c r="B33"/>
      <c r="C33"/>
      <c r="D33"/>
      <c r="E33"/>
      <c r="F33"/>
    </row>
    <row r="34" spans="2:6" x14ac:dyDescent="0.25">
      <c r="B34"/>
      <c r="C34"/>
      <c r="D34"/>
      <c r="E34"/>
      <c r="F34"/>
    </row>
    <row r="35" spans="2:6" x14ac:dyDescent="0.25">
      <c r="B35"/>
      <c r="C35"/>
      <c r="D35"/>
      <c r="E35"/>
      <c r="F35"/>
    </row>
    <row r="36" spans="2:6" x14ac:dyDescent="0.25">
      <c r="B36"/>
      <c r="C36"/>
      <c r="D36"/>
      <c r="E36"/>
      <c r="F36"/>
    </row>
    <row r="37" spans="2:6" x14ac:dyDescent="0.25">
      <c r="B37"/>
      <c r="C37"/>
      <c r="D37"/>
      <c r="E37"/>
      <c r="F37"/>
    </row>
    <row r="38" spans="2:6" x14ac:dyDescent="0.25">
      <c r="B38"/>
      <c r="C38"/>
      <c r="D38"/>
      <c r="E38"/>
      <c r="F38"/>
    </row>
    <row r="39" spans="2:6" x14ac:dyDescent="0.25">
      <c r="B39"/>
      <c r="C39"/>
      <c r="D39"/>
      <c r="E39"/>
      <c r="F39"/>
    </row>
    <row r="40" spans="2:6" x14ac:dyDescent="0.25">
      <c r="B40"/>
      <c r="C40"/>
      <c r="D40"/>
      <c r="E40"/>
      <c r="F40"/>
    </row>
    <row r="41" spans="2:6" x14ac:dyDescent="0.25">
      <c r="B41"/>
      <c r="C41"/>
      <c r="D41"/>
      <c r="E41"/>
      <c r="F41"/>
    </row>
    <row r="42" spans="2:6" x14ac:dyDescent="0.25">
      <c r="B42"/>
      <c r="C42"/>
      <c r="D42"/>
      <c r="E42"/>
      <c r="F42"/>
    </row>
    <row r="43" spans="2:6" x14ac:dyDescent="0.25">
      <c r="B43"/>
      <c r="C43"/>
      <c r="D43"/>
      <c r="E43"/>
      <c r="F43"/>
    </row>
    <row r="44" spans="2:6" x14ac:dyDescent="0.25">
      <c r="B44"/>
      <c r="C44"/>
      <c r="D44"/>
      <c r="E44"/>
      <c r="F44"/>
    </row>
    <row r="45" spans="2:6" x14ac:dyDescent="0.25">
      <c r="B45"/>
      <c r="C45"/>
      <c r="D45"/>
      <c r="E45"/>
      <c r="F45"/>
    </row>
    <row r="46" spans="2:6" x14ac:dyDescent="0.25">
      <c r="B46"/>
      <c r="C46"/>
      <c r="D46"/>
      <c r="E46"/>
      <c r="F46"/>
    </row>
    <row r="47" spans="2:6" x14ac:dyDescent="0.25">
      <c r="B47"/>
      <c r="C47"/>
      <c r="D47"/>
      <c r="E47"/>
      <c r="F47"/>
    </row>
    <row r="48" spans="2:6" x14ac:dyDescent="0.25">
      <c r="B48"/>
      <c r="C48"/>
      <c r="D48"/>
      <c r="E48"/>
      <c r="F48"/>
    </row>
    <row r="49" spans="2:6" x14ac:dyDescent="0.25">
      <c r="B49"/>
      <c r="C49"/>
      <c r="D49"/>
      <c r="E49"/>
      <c r="F49"/>
    </row>
    <row r="50" spans="2:6" x14ac:dyDescent="0.25">
      <c r="B50"/>
      <c r="C50"/>
      <c r="D50"/>
      <c r="E50"/>
      <c r="F50"/>
    </row>
    <row r="51" spans="2:6" x14ac:dyDescent="0.25">
      <c r="B51"/>
      <c r="C51"/>
      <c r="D51"/>
      <c r="E51"/>
      <c r="F51"/>
    </row>
    <row r="52" spans="2:6" x14ac:dyDescent="0.25">
      <c r="B52"/>
      <c r="C52"/>
      <c r="D52"/>
      <c r="E52"/>
      <c r="F52"/>
    </row>
    <row r="53" spans="2:6" x14ac:dyDescent="0.25">
      <c r="B53"/>
      <c r="C53"/>
      <c r="D53"/>
      <c r="E53"/>
      <c r="F53"/>
    </row>
    <row r="54" spans="2:6" x14ac:dyDescent="0.25">
      <c r="B54"/>
      <c r="C54"/>
      <c r="D54"/>
      <c r="E54"/>
      <c r="F54"/>
    </row>
    <row r="55" spans="2:6" x14ac:dyDescent="0.25">
      <c r="B55"/>
      <c r="C55"/>
      <c r="D55"/>
      <c r="E55"/>
      <c r="F55"/>
    </row>
    <row r="56" spans="2:6" x14ac:dyDescent="0.25">
      <c r="B56"/>
      <c r="C56"/>
      <c r="D56"/>
      <c r="E56"/>
      <c r="F56"/>
    </row>
    <row r="57" spans="2:6" x14ac:dyDescent="0.25">
      <c r="B57"/>
      <c r="C57"/>
      <c r="D57"/>
      <c r="E57"/>
      <c r="F57"/>
    </row>
    <row r="58" spans="2:6" x14ac:dyDescent="0.25">
      <c r="B58"/>
      <c r="C58"/>
      <c r="D58"/>
      <c r="E58"/>
      <c r="F58"/>
    </row>
    <row r="59" spans="2:6" x14ac:dyDescent="0.25">
      <c r="B59"/>
      <c r="C59"/>
      <c r="D59"/>
      <c r="E59"/>
      <c r="F59"/>
    </row>
    <row r="60" spans="2:6" x14ac:dyDescent="0.25">
      <c r="B60"/>
      <c r="C60"/>
      <c r="D60"/>
      <c r="E60"/>
      <c r="F60"/>
    </row>
    <row r="61" spans="2:6" x14ac:dyDescent="0.25">
      <c r="B61"/>
      <c r="C61"/>
      <c r="D61"/>
      <c r="E61"/>
      <c r="F61"/>
    </row>
    <row r="62" spans="2:6" x14ac:dyDescent="0.25">
      <c r="B62"/>
      <c r="C62"/>
      <c r="D62"/>
      <c r="E62"/>
      <c r="F62"/>
    </row>
    <row r="63" spans="2:6" x14ac:dyDescent="0.25">
      <c r="B63"/>
      <c r="C63"/>
      <c r="D63"/>
      <c r="E63"/>
      <c r="F63"/>
    </row>
    <row r="64" spans="2:6" x14ac:dyDescent="0.25">
      <c r="B64"/>
      <c r="C64"/>
      <c r="D64"/>
      <c r="E64"/>
      <c r="F64"/>
    </row>
    <row r="65" spans="2:6" x14ac:dyDescent="0.25">
      <c r="B65"/>
      <c r="C65"/>
      <c r="D65"/>
      <c r="E65"/>
      <c r="F65"/>
    </row>
    <row r="66" spans="2:6" x14ac:dyDescent="0.25">
      <c r="B66"/>
      <c r="C66"/>
      <c r="D66"/>
      <c r="E66"/>
      <c r="F66"/>
    </row>
    <row r="67" spans="2:6" x14ac:dyDescent="0.25">
      <c r="B67"/>
      <c r="C67"/>
      <c r="D67"/>
      <c r="E67"/>
      <c r="F67"/>
    </row>
    <row r="68" spans="2:6" x14ac:dyDescent="0.25">
      <c r="B68"/>
      <c r="C68"/>
      <c r="D68"/>
      <c r="E68"/>
      <c r="F68"/>
    </row>
    <row r="69" spans="2:6" x14ac:dyDescent="0.25">
      <c r="B69"/>
      <c r="C69"/>
      <c r="D69"/>
      <c r="E69"/>
      <c r="F69"/>
    </row>
    <row r="70" spans="2:6" x14ac:dyDescent="0.25">
      <c r="B70"/>
      <c r="C70"/>
      <c r="D70"/>
      <c r="E70"/>
      <c r="F70"/>
    </row>
    <row r="71" spans="2:6" x14ac:dyDescent="0.25">
      <c r="B71"/>
      <c r="C71"/>
      <c r="D71"/>
      <c r="E71"/>
      <c r="F71"/>
    </row>
    <row r="72" spans="2:6" x14ac:dyDescent="0.25">
      <c r="B72"/>
      <c r="C72"/>
      <c r="D72"/>
      <c r="E72"/>
      <c r="F72"/>
    </row>
    <row r="73" spans="2:6" x14ac:dyDescent="0.25">
      <c r="B73"/>
      <c r="C73"/>
      <c r="D73"/>
      <c r="E73"/>
      <c r="F73"/>
    </row>
    <row r="74" spans="2:6" x14ac:dyDescent="0.25">
      <c r="B74"/>
      <c r="C74"/>
      <c r="D74"/>
      <c r="E74"/>
      <c r="F74"/>
    </row>
    <row r="75" spans="2:6" x14ac:dyDescent="0.25">
      <c r="B75"/>
      <c r="C75"/>
      <c r="D75"/>
      <c r="E75"/>
      <c r="F75"/>
    </row>
    <row r="76" spans="2:6" x14ac:dyDescent="0.25">
      <c r="B76"/>
      <c r="C76"/>
      <c r="D76"/>
      <c r="E76"/>
      <c r="F76"/>
    </row>
    <row r="77" spans="2:6" x14ac:dyDescent="0.25">
      <c r="B77"/>
      <c r="C77"/>
      <c r="D77"/>
      <c r="E77"/>
      <c r="F77"/>
    </row>
    <row r="78" spans="2:6" x14ac:dyDescent="0.25">
      <c r="B78"/>
      <c r="C78"/>
      <c r="D78"/>
      <c r="E78"/>
      <c r="F78"/>
    </row>
    <row r="79" spans="2:6" x14ac:dyDescent="0.25">
      <c r="B79"/>
      <c r="C79"/>
      <c r="D79"/>
      <c r="E79"/>
      <c r="F79"/>
    </row>
    <row r="80" spans="2:6" x14ac:dyDescent="0.25">
      <c r="B80"/>
      <c r="C80"/>
      <c r="D80"/>
      <c r="E80"/>
      <c r="F80"/>
    </row>
    <row r="81" spans="2:6" x14ac:dyDescent="0.25">
      <c r="B81"/>
      <c r="C81"/>
      <c r="D81"/>
      <c r="E81"/>
      <c r="F81"/>
    </row>
    <row r="82" spans="2:6" x14ac:dyDescent="0.25">
      <c r="B82"/>
      <c r="C82"/>
      <c r="D82"/>
      <c r="E82"/>
      <c r="F82"/>
    </row>
    <row r="83" spans="2:6" x14ac:dyDescent="0.25">
      <c r="B83"/>
      <c r="C83"/>
      <c r="D83"/>
      <c r="E83"/>
      <c r="F83"/>
    </row>
    <row r="84" spans="2:6" x14ac:dyDescent="0.25">
      <c r="B84"/>
      <c r="C84"/>
      <c r="D84"/>
      <c r="E84"/>
      <c r="F84"/>
    </row>
    <row r="85" spans="2:6" x14ac:dyDescent="0.25">
      <c r="B85"/>
      <c r="C85"/>
      <c r="D85"/>
      <c r="E85"/>
      <c r="F85"/>
    </row>
    <row r="86" spans="2:6" x14ac:dyDescent="0.25">
      <c r="B86"/>
      <c r="C86"/>
      <c r="D86"/>
      <c r="E86"/>
      <c r="F86"/>
    </row>
    <row r="87" spans="2:6" x14ac:dyDescent="0.25">
      <c r="B87"/>
      <c r="C87"/>
      <c r="D87"/>
      <c r="E87"/>
      <c r="F87"/>
    </row>
    <row r="88" spans="2:6" x14ac:dyDescent="0.25">
      <c r="B88"/>
      <c r="C88"/>
      <c r="D88"/>
      <c r="E88"/>
      <c r="F88"/>
    </row>
    <row r="89" spans="2:6" x14ac:dyDescent="0.25">
      <c r="B89"/>
      <c r="C89"/>
      <c r="D89"/>
      <c r="E89"/>
      <c r="F89"/>
    </row>
    <row r="90" spans="2:6" x14ac:dyDescent="0.25">
      <c r="B90"/>
      <c r="C90"/>
      <c r="D90"/>
      <c r="E90"/>
      <c r="F90"/>
    </row>
    <row r="91" spans="2:6" x14ac:dyDescent="0.25">
      <c r="B91"/>
      <c r="C91"/>
      <c r="D91"/>
      <c r="E91"/>
      <c r="F91"/>
    </row>
    <row r="92" spans="2:6" x14ac:dyDescent="0.25">
      <c r="B92"/>
      <c r="C92"/>
      <c r="D92"/>
      <c r="E92"/>
      <c r="F92"/>
    </row>
    <row r="93" spans="2:6" x14ac:dyDescent="0.25">
      <c r="B93"/>
      <c r="C93"/>
      <c r="D93"/>
      <c r="E93"/>
      <c r="F93"/>
    </row>
    <row r="94" spans="2:6" x14ac:dyDescent="0.25">
      <c r="B94"/>
      <c r="C94"/>
      <c r="D94"/>
      <c r="E94"/>
      <c r="F94"/>
    </row>
    <row r="95" spans="2:6" x14ac:dyDescent="0.25">
      <c r="B95"/>
      <c r="C95"/>
      <c r="D95"/>
      <c r="E95"/>
      <c r="F95"/>
    </row>
    <row r="96" spans="2:6"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C447"/>
      <c r="D447"/>
      <c r="E447"/>
      <c r="F447"/>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24"/>
  <sheetViews>
    <sheetView showGridLines="0" zoomScale="80" zoomScaleNormal="80" workbookViewId="0">
      <selection activeCell="A4" sqref="A4"/>
    </sheetView>
  </sheetViews>
  <sheetFormatPr defaultColWidth="8.85546875" defaultRowHeight="15" x14ac:dyDescent="0.25"/>
  <cols>
    <col min="1" max="1" width="6" customWidth="1"/>
    <col min="2" max="2" width="49.140625" style="29" customWidth="1"/>
    <col min="3" max="3" width="29.140625" style="28" customWidth="1"/>
    <col min="4" max="4" width="52" customWidth="1"/>
    <col min="5" max="5" width="47" customWidth="1"/>
    <col min="6" max="6" width="64" customWidth="1"/>
    <col min="7" max="7" width="42.85546875" customWidth="1"/>
    <col min="8" max="8" width="43.5703125" customWidth="1"/>
  </cols>
  <sheetData>
    <row r="1" spans="2:8" ht="42.75" customHeight="1" x14ac:dyDescent="0.25"/>
    <row r="2" spans="2:8" x14ac:dyDescent="0.25">
      <c r="B2" s="75" t="s">
        <v>17</v>
      </c>
      <c r="C2" s="75" t="s">
        <v>19</v>
      </c>
      <c r="D2" s="75" t="s">
        <v>297</v>
      </c>
      <c r="E2" s="75" t="s">
        <v>298</v>
      </c>
      <c r="F2" s="75" t="s">
        <v>299</v>
      </c>
      <c r="G2" s="75" t="s">
        <v>300</v>
      </c>
      <c r="H2" s="75" t="s">
        <v>301</v>
      </c>
    </row>
    <row r="3" spans="2:8" ht="30" customHeight="1" x14ac:dyDescent="0.25">
      <c r="B3" s="38" t="s">
        <v>4</v>
      </c>
      <c r="C3" s="38" t="s">
        <v>5</v>
      </c>
      <c r="D3" s="38" t="s">
        <v>285</v>
      </c>
      <c r="E3" s="38" t="s">
        <v>286</v>
      </c>
      <c r="F3" s="42" t="s">
        <v>302</v>
      </c>
      <c r="G3" s="38"/>
      <c r="H3" s="38"/>
    </row>
    <row r="4" spans="2:8" ht="30" customHeight="1" x14ac:dyDescent="0.25">
      <c r="B4" s="38" t="s">
        <v>7</v>
      </c>
      <c r="C4" s="38" t="s">
        <v>8</v>
      </c>
      <c r="D4" s="50" t="s">
        <v>283</v>
      </c>
      <c r="E4" s="70" t="s">
        <v>284</v>
      </c>
      <c r="F4" s="74" t="s">
        <v>303</v>
      </c>
      <c r="G4" s="78"/>
      <c r="H4" s="78"/>
    </row>
    <row r="5" spans="2:8" x14ac:dyDescent="0.25">
      <c r="B5"/>
      <c r="C5"/>
    </row>
    <row r="6" spans="2:8" x14ac:dyDescent="0.25">
      <c r="B6"/>
      <c r="C6"/>
    </row>
    <row r="7" spans="2:8" x14ac:dyDescent="0.25">
      <c r="B7"/>
      <c r="C7"/>
    </row>
    <row r="8" spans="2:8" x14ac:dyDescent="0.25">
      <c r="B8"/>
      <c r="C8"/>
    </row>
    <row r="9" spans="2:8" x14ac:dyDescent="0.25">
      <c r="B9"/>
      <c r="C9"/>
    </row>
    <row r="10" spans="2:8" x14ac:dyDescent="0.25">
      <c r="B10"/>
      <c r="C10"/>
    </row>
    <row r="11" spans="2:8" x14ac:dyDescent="0.25">
      <c r="B11"/>
      <c r="C11"/>
    </row>
    <row r="12" spans="2:8" x14ac:dyDescent="0.25">
      <c r="B12"/>
      <c r="C12"/>
    </row>
    <row r="13" spans="2:8" x14ac:dyDescent="0.25">
      <c r="B13"/>
      <c r="C13"/>
    </row>
    <row r="14" spans="2:8" x14ac:dyDescent="0.25">
      <c r="B14"/>
      <c r="C14"/>
    </row>
    <row r="15" spans="2:8" x14ac:dyDescent="0.25">
      <c r="B15"/>
      <c r="C15"/>
    </row>
    <row r="16" spans="2:8" x14ac:dyDescent="0.25">
      <c r="B16"/>
      <c r="C16"/>
    </row>
    <row r="17" spans="3:3" customFormat="1" x14ac:dyDescent="0.25"/>
    <row r="18" spans="3:3" customFormat="1" x14ac:dyDescent="0.25"/>
    <row r="19" spans="3:3" customFormat="1" x14ac:dyDescent="0.25"/>
    <row r="20" spans="3:3" customFormat="1" x14ac:dyDescent="0.25"/>
    <row r="21" spans="3:3" customFormat="1" x14ac:dyDescent="0.25"/>
    <row r="22" spans="3:3" customFormat="1" x14ac:dyDescent="0.25"/>
    <row r="23" spans="3:3" customFormat="1" x14ac:dyDescent="0.25"/>
    <row r="24" spans="3:3" customFormat="1" x14ac:dyDescent="0.25"/>
    <row r="25" spans="3:3" customFormat="1" x14ac:dyDescent="0.25"/>
    <row r="26" spans="3:3" customFormat="1" x14ac:dyDescent="0.25"/>
    <row r="27" spans="3:3" customFormat="1" x14ac:dyDescent="0.25"/>
    <row r="28" spans="3:3" customFormat="1" x14ac:dyDescent="0.25"/>
    <row r="29" spans="3:3" customFormat="1" x14ac:dyDescent="0.25"/>
    <row r="30" spans="3:3" customFormat="1" x14ac:dyDescent="0.25"/>
    <row r="31" spans="3:3" customFormat="1" x14ac:dyDescent="0.25"/>
    <row r="32" spans="3:3"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sheetData>
  <pageMargins left="0.7" right="0.7" top="0.75" bottom="0.75" header="0.3" footer="0.3"/>
  <pageSetup paperSize="9" orientation="portrait"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EA4F2-8CB0-4700-8051-DD3859D78158}">
  <sheetPr>
    <pageSetUpPr autoPageBreaks="0"/>
  </sheetPr>
  <dimension ref="A1:X18"/>
  <sheetViews>
    <sheetView showGridLines="0" zoomScale="80" zoomScaleNormal="80" workbookViewId="0">
      <selection activeCell="D6" sqref="D6"/>
    </sheetView>
  </sheetViews>
  <sheetFormatPr defaultColWidth="8.5703125" defaultRowHeight="15" customHeight="1" x14ac:dyDescent="0.25"/>
  <cols>
    <col min="1" max="1" width="3.140625" style="23" customWidth="1"/>
    <col min="2" max="2" width="40.28515625" style="29" bestFit="1" customWidth="1"/>
    <col min="3" max="3" width="43" style="28" bestFit="1" customWidth="1"/>
    <col min="4" max="4" width="31.85546875" style="28" bestFit="1" customWidth="1"/>
    <col min="5" max="5" width="17" style="28" customWidth="1"/>
    <col min="6" max="6" width="39.85546875" style="28" customWidth="1"/>
    <col min="7" max="8" width="40.85546875" style="28" customWidth="1"/>
    <col min="9" max="9" width="12.85546875" style="28" customWidth="1"/>
    <col min="10" max="10" width="11.85546875" style="28" customWidth="1"/>
    <col min="11" max="11" width="19.42578125" style="28" customWidth="1"/>
    <col min="12" max="12" width="17.140625" style="28" customWidth="1"/>
    <col min="13" max="13" width="67.7109375" style="25" customWidth="1"/>
    <col min="14" max="14" width="67.7109375" style="29" customWidth="1"/>
    <col min="15" max="15" width="17" style="26" customWidth="1"/>
    <col min="16" max="16" width="109.140625" style="27" customWidth="1"/>
    <col min="17" max="17" width="45.140625" style="28" customWidth="1"/>
    <col min="18" max="18" width="51.42578125" style="29" customWidth="1"/>
    <col min="19" max="19" width="39.28515625" style="28" customWidth="1"/>
    <col min="20" max="20" width="121.140625" style="29" customWidth="1"/>
    <col min="21" max="21" width="26.28515625" style="25" bestFit="1" customWidth="1"/>
    <col min="22" max="22" width="32.28515625" style="25" customWidth="1"/>
    <col min="23" max="23" width="80.85546875" style="28" customWidth="1"/>
    <col min="24" max="24" width="35" style="26" customWidth="1"/>
    <col min="25" max="25" width="24" style="23" customWidth="1"/>
    <col min="26" max="16384" width="8.5703125" style="23"/>
  </cols>
  <sheetData>
    <row r="1" spans="1:24" ht="36" customHeight="1" x14ac:dyDescent="0.25">
      <c r="R1" s="29" t="s">
        <v>10</v>
      </c>
    </row>
    <row r="3" spans="1:24" s="25" customFormat="1" ht="15.75" customHeight="1" x14ac:dyDescent="0.25">
      <c r="B3" s="99" t="s">
        <v>11</v>
      </c>
      <c r="C3" s="99"/>
      <c r="D3" s="99"/>
      <c r="E3" s="99"/>
      <c r="F3" s="99"/>
      <c r="G3" s="99"/>
      <c r="H3" s="99"/>
      <c r="I3" s="99"/>
      <c r="J3" s="99"/>
      <c r="K3" s="99"/>
      <c r="L3" s="99"/>
      <c r="M3" s="99"/>
      <c r="N3" s="99"/>
      <c r="O3" s="99"/>
      <c r="P3" s="100"/>
      <c r="Q3" s="105" t="s">
        <v>12</v>
      </c>
      <c r="R3" s="106"/>
      <c r="S3" s="106"/>
      <c r="T3" s="107"/>
      <c r="U3" s="98" t="s">
        <v>13</v>
      </c>
      <c r="V3" s="98"/>
      <c r="W3" s="98"/>
      <c r="X3" s="98"/>
    </row>
    <row r="4" spans="1:24" ht="15.75" customHeight="1" x14ac:dyDescent="0.25">
      <c r="B4" s="101" t="s">
        <v>14</v>
      </c>
      <c r="C4" s="101"/>
      <c r="D4" s="101"/>
      <c r="E4" s="101"/>
      <c r="F4" s="101"/>
      <c r="G4" s="101"/>
      <c r="H4" s="101"/>
      <c r="I4" s="101"/>
      <c r="J4" s="101"/>
      <c r="K4" s="101"/>
      <c r="L4" s="101"/>
      <c r="M4" s="101"/>
      <c r="N4" s="101"/>
      <c r="O4" s="101"/>
      <c r="P4" s="102"/>
      <c r="Q4" s="46"/>
      <c r="R4" s="103" t="s">
        <v>15</v>
      </c>
      <c r="S4" s="103"/>
      <c r="T4" s="104"/>
      <c r="U4" s="97" t="s">
        <v>16</v>
      </c>
      <c r="V4" s="97"/>
      <c r="W4" s="97"/>
      <c r="X4" s="97"/>
    </row>
    <row r="5" spans="1:24" s="43" customFormat="1" x14ac:dyDescent="0.25">
      <c r="A5" s="28"/>
      <c r="B5" s="37" t="s">
        <v>17</v>
      </c>
      <c r="C5" s="37" t="s">
        <v>18</v>
      </c>
      <c r="D5" s="37" t="s">
        <v>19</v>
      </c>
      <c r="E5" s="37" t="s">
        <v>20</v>
      </c>
      <c r="F5" s="37" t="s">
        <v>21</v>
      </c>
      <c r="G5" s="37" t="s">
        <v>22</v>
      </c>
      <c r="H5" s="87" t="s">
        <v>23</v>
      </c>
      <c r="I5" s="37" t="s">
        <v>24</v>
      </c>
      <c r="J5" s="52" t="s">
        <v>25</v>
      </c>
      <c r="K5" s="37" t="s">
        <v>26</v>
      </c>
      <c r="L5" s="37" t="s">
        <v>27</v>
      </c>
      <c r="M5" s="37" t="s">
        <v>28</v>
      </c>
      <c r="N5" s="37" t="s">
        <v>29</v>
      </c>
      <c r="O5" s="37" t="s">
        <v>30</v>
      </c>
      <c r="P5" s="37" t="s">
        <v>31</v>
      </c>
      <c r="Q5" s="37" t="s">
        <v>32</v>
      </c>
      <c r="R5" s="37" t="s">
        <v>33</v>
      </c>
      <c r="S5" s="37" t="s">
        <v>34</v>
      </c>
      <c r="T5" s="56" t="s">
        <v>35</v>
      </c>
      <c r="U5" s="37" t="s">
        <v>36</v>
      </c>
      <c r="V5" s="37" t="s">
        <v>37</v>
      </c>
      <c r="W5" s="37" t="s">
        <v>38</v>
      </c>
      <c r="X5" s="45" t="s">
        <v>39</v>
      </c>
    </row>
    <row r="6" spans="1:24" ht="89.25" customHeight="1" x14ac:dyDescent="0.25">
      <c r="B6" s="50" t="s">
        <v>7</v>
      </c>
      <c r="C6" s="50" t="s">
        <v>40</v>
      </c>
      <c r="D6" s="50" t="s">
        <v>8</v>
      </c>
      <c r="E6" s="49">
        <v>0</v>
      </c>
      <c r="F6" s="54" t="s">
        <v>41</v>
      </c>
      <c r="G6" s="54" t="s">
        <v>42</v>
      </c>
      <c r="H6" s="54"/>
      <c r="I6" s="39">
        <v>1</v>
      </c>
      <c r="J6" s="41" t="s">
        <v>43</v>
      </c>
      <c r="K6" s="39"/>
      <c r="L6" s="39"/>
      <c r="M6" s="58" t="s">
        <v>44</v>
      </c>
      <c r="N6" s="58" t="s">
        <v>45</v>
      </c>
      <c r="O6" s="39"/>
      <c r="P6" s="48"/>
      <c r="Q6" s="48" t="s">
        <v>46</v>
      </c>
      <c r="R6" s="44" t="s">
        <v>47</v>
      </c>
      <c r="S6" s="44" t="s">
        <v>48</v>
      </c>
      <c r="T6" s="89" t="s">
        <v>304</v>
      </c>
      <c r="U6" s="48" t="s">
        <v>50</v>
      </c>
      <c r="V6" s="44" t="s">
        <v>47</v>
      </c>
      <c r="W6" s="44" t="s">
        <v>48</v>
      </c>
      <c r="X6" s="49" t="s">
        <v>51</v>
      </c>
    </row>
    <row r="7" spans="1:24" ht="89.25" customHeight="1" x14ac:dyDescent="0.25">
      <c r="B7" s="50" t="s">
        <v>7</v>
      </c>
      <c r="C7" s="50" t="s">
        <v>40</v>
      </c>
      <c r="D7" s="50" t="s">
        <v>8</v>
      </c>
      <c r="E7" s="49">
        <v>0</v>
      </c>
      <c r="F7" s="54" t="s">
        <v>52</v>
      </c>
      <c r="G7" s="54" t="s">
        <v>53</v>
      </c>
      <c r="H7" s="54"/>
      <c r="I7" s="39">
        <v>2</v>
      </c>
      <c r="J7" s="41" t="s">
        <v>43</v>
      </c>
      <c r="K7" s="39"/>
      <c r="L7" s="39"/>
      <c r="M7" s="53" t="s">
        <v>54</v>
      </c>
      <c r="N7" s="80" t="s">
        <v>55</v>
      </c>
      <c r="O7" s="39"/>
      <c r="P7" s="48"/>
      <c r="Q7" s="42" t="s">
        <v>56</v>
      </c>
      <c r="R7" s="41" t="s">
        <v>57</v>
      </c>
      <c r="S7" s="41" t="s">
        <v>58</v>
      </c>
      <c r="T7" s="89" t="s">
        <v>305</v>
      </c>
      <c r="U7" s="42" t="s">
        <v>60</v>
      </c>
      <c r="V7" s="40" t="s">
        <v>61</v>
      </c>
      <c r="W7" s="47" t="s">
        <v>62</v>
      </c>
      <c r="X7" s="49" t="s">
        <v>51</v>
      </c>
    </row>
    <row r="8" spans="1:24" ht="89.25" customHeight="1" x14ac:dyDescent="0.25">
      <c r="B8" s="50" t="s">
        <v>7</v>
      </c>
      <c r="C8" s="50" t="s">
        <v>40</v>
      </c>
      <c r="D8" s="50" t="s">
        <v>8</v>
      </c>
      <c r="E8" s="49">
        <v>0</v>
      </c>
      <c r="F8" s="54" t="s">
        <v>63</v>
      </c>
      <c r="G8" s="54" t="s">
        <v>64</v>
      </c>
      <c r="H8" s="41" t="s">
        <v>65</v>
      </c>
      <c r="I8" s="39">
        <v>3</v>
      </c>
      <c r="J8" s="38" t="s">
        <v>43</v>
      </c>
      <c r="K8" s="39"/>
      <c r="L8" s="39"/>
      <c r="M8" s="53" t="s">
        <v>66</v>
      </c>
      <c r="N8" s="40" t="s">
        <v>67</v>
      </c>
      <c r="O8" s="39"/>
      <c r="P8" s="47" t="s">
        <v>68</v>
      </c>
      <c r="Q8" s="42" t="s">
        <v>69</v>
      </c>
      <c r="R8" s="41" t="s">
        <v>70</v>
      </c>
      <c r="S8" s="41" t="s">
        <v>71</v>
      </c>
      <c r="T8" s="89" t="s">
        <v>306</v>
      </c>
      <c r="U8" s="48" t="s">
        <v>50</v>
      </c>
      <c r="V8" s="44" t="s">
        <v>47</v>
      </c>
      <c r="W8" s="41" t="s">
        <v>73</v>
      </c>
      <c r="X8" s="49" t="s">
        <v>51</v>
      </c>
    </row>
    <row r="9" spans="1:24" ht="89.25" customHeight="1" x14ac:dyDescent="0.25">
      <c r="B9" s="50" t="s">
        <v>7</v>
      </c>
      <c r="C9" s="50" t="s">
        <v>40</v>
      </c>
      <c r="D9" s="50" t="s">
        <v>8</v>
      </c>
      <c r="E9" s="49">
        <v>0</v>
      </c>
      <c r="F9" s="54" t="s">
        <v>74</v>
      </c>
      <c r="G9" s="54" t="s">
        <v>75</v>
      </c>
      <c r="H9" s="44" t="s">
        <v>76</v>
      </c>
      <c r="I9" s="39">
        <v>4</v>
      </c>
      <c r="J9" s="41" t="s">
        <v>43</v>
      </c>
      <c r="K9" s="39"/>
      <c r="L9" s="39"/>
      <c r="M9" s="53" t="s">
        <v>77</v>
      </c>
      <c r="N9" s="40" t="s">
        <v>78</v>
      </c>
      <c r="O9" s="39" t="s">
        <v>79</v>
      </c>
      <c r="P9" s="48"/>
      <c r="Q9" s="42" t="s">
        <v>69</v>
      </c>
      <c r="R9" s="41" t="s">
        <v>70</v>
      </c>
      <c r="S9" s="41" t="s">
        <v>71</v>
      </c>
      <c r="T9" s="89" t="s">
        <v>307</v>
      </c>
      <c r="U9" s="38" t="s">
        <v>51</v>
      </c>
      <c r="V9" s="38" t="s">
        <v>51</v>
      </c>
      <c r="W9" s="38" t="s">
        <v>51</v>
      </c>
      <c r="X9" s="49" t="s">
        <v>81</v>
      </c>
    </row>
    <row r="10" spans="1:24" ht="89.25" customHeight="1" x14ac:dyDescent="0.25">
      <c r="B10" s="50" t="s">
        <v>7</v>
      </c>
      <c r="C10" s="50" t="s">
        <v>40</v>
      </c>
      <c r="D10" s="50" t="s">
        <v>8</v>
      </c>
      <c r="E10" s="49">
        <v>0</v>
      </c>
      <c r="F10" s="54" t="s">
        <v>82</v>
      </c>
      <c r="G10" s="54" t="s">
        <v>83</v>
      </c>
      <c r="H10" s="44" t="s">
        <v>76</v>
      </c>
      <c r="I10" s="39">
        <v>5</v>
      </c>
      <c r="J10" s="41" t="s">
        <v>43</v>
      </c>
      <c r="K10" s="39"/>
      <c r="L10" s="39"/>
      <c r="M10" s="53" t="s">
        <v>84</v>
      </c>
      <c r="N10" s="40" t="s">
        <v>85</v>
      </c>
      <c r="O10" s="39" t="s">
        <v>79</v>
      </c>
      <c r="P10" s="48"/>
      <c r="Q10" s="42" t="s">
        <v>56</v>
      </c>
      <c r="R10" s="41" t="s">
        <v>57</v>
      </c>
      <c r="S10" s="41" t="s">
        <v>86</v>
      </c>
      <c r="T10" s="89" t="s">
        <v>308</v>
      </c>
      <c r="U10" s="42" t="s">
        <v>88</v>
      </c>
      <c r="V10" s="41" t="s">
        <v>57</v>
      </c>
      <c r="W10" s="47" t="s">
        <v>89</v>
      </c>
      <c r="X10" s="49" t="s">
        <v>51</v>
      </c>
    </row>
    <row r="11" spans="1:24" ht="89.25" customHeight="1" x14ac:dyDescent="0.25">
      <c r="B11" s="50" t="s">
        <v>7</v>
      </c>
      <c r="C11" s="50" t="s">
        <v>40</v>
      </c>
      <c r="D11" s="50" t="s">
        <v>8</v>
      </c>
      <c r="E11" s="49">
        <v>0</v>
      </c>
      <c r="F11" s="54" t="s">
        <v>90</v>
      </c>
      <c r="G11" s="54" t="s">
        <v>91</v>
      </c>
      <c r="H11" s="54"/>
      <c r="I11" s="39">
        <v>6</v>
      </c>
      <c r="J11" s="41" t="s">
        <v>43</v>
      </c>
      <c r="K11" s="39"/>
      <c r="L11" s="39"/>
      <c r="M11" s="53" t="s">
        <v>92</v>
      </c>
      <c r="N11" s="53" t="s">
        <v>92</v>
      </c>
      <c r="O11" s="39" t="s">
        <v>79</v>
      </c>
      <c r="P11" s="48"/>
      <c r="Q11" s="42" t="s">
        <v>51</v>
      </c>
      <c r="R11" s="41" t="s">
        <v>51</v>
      </c>
      <c r="S11" s="41" t="s">
        <v>51</v>
      </c>
      <c r="T11" s="89" t="s">
        <v>309</v>
      </c>
      <c r="U11" s="42" t="s">
        <v>51</v>
      </c>
      <c r="V11" s="41" t="s">
        <v>51</v>
      </c>
      <c r="W11" s="41" t="s">
        <v>51</v>
      </c>
      <c r="X11" s="49" t="s">
        <v>51</v>
      </c>
    </row>
    <row r="12" spans="1:24" ht="89.25" customHeight="1" x14ac:dyDescent="0.25">
      <c r="B12" s="50" t="s">
        <v>7</v>
      </c>
      <c r="C12" s="50" t="s">
        <v>40</v>
      </c>
      <c r="D12" s="50" t="s">
        <v>8</v>
      </c>
      <c r="E12" s="49">
        <v>0</v>
      </c>
      <c r="F12" s="54" t="s">
        <v>94</v>
      </c>
      <c r="G12" s="54" t="s">
        <v>95</v>
      </c>
      <c r="H12" s="41" t="s">
        <v>96</v>
      </c>
      <c r="I12" s="39">
        <v>7</v>
      </c>
      <c r="J12" s="41" t="s">
        <v>97</v>
      </c>
      <c r="K12" s="39"/>
      <c r="L12" s="39"/>
      <c r="M12" s="53" t="s">
        <v>98</v>
      </c>
      <c r="N12" s="40" t="s">
        <v>99</v>
      </c>
      <c r="O12" s="39" t="s">
        <v>79</v>
      </c>
      <c r="P12" s="48"/>
      <c r="Q12" s="42" t="s">
        <v>56</v>
      </c>
      <c r="R12" s="41" t="s">
        <v>57</v>
      </c>
      <c r="S12" s="41" t="s">
        <v>100</v>
      </c>
      <c r="T12" s="89" t="s">
        <v>310</v>
      </c>
      <c r="U12" s="42" t="s">
        <v>88</v>
      </c>
      <c r="V12" s="41" t="s">
        <v>57</v>
      </c>
      <c r="W12" s="41" t="s">
        <v>100</v>
      </c>
      <c r="X12" s="49" t="s">
        <v>51</v>
      </c>
    </row>
    <row r="13" spans="1:24" ht="89.25" customHeight="1" x14ac:dyDescent="0.25">
      <c r="B13" s="50" t="s">
        <v>7</v>
      </c>
      <c r="C13" s="50" t="s">
        <v>40</v>
      </c>
      <c r="D13" s="50" t="s">
        <v>8</v>
      </c>
      <c r="E13" s="49">
        <v>0</v>
      </c>
      <c r="F13" s="54" t="s">
        <v>102</v>
      </c>
      <c r="G13" s="54" t="s">
        <v>103</v>
      </c>
      <c r="H13" s="41" t="s">
        <v>96</v>
      </c>
      <c r="I13" s="39">
        <v>8</v>
      </c>
      <c r="J13" s="38" t="s">
        <v>97</v>
      </c>
      <c r="K13" s="39"/>
      <c r="L13" s="39"/>
      <c r="M13" s="53" t="s">
        <v>104</v>
      </c>
      <c r="N13" s="40" t="s">
        <v>105</v>
      </c>
      <c r="O13" s="39" t="s">
        <v>79</v>
      </c>
      <c r="P13" s="48"/>
      <c r="Q13" s="42" t="s">
        <v>69</v>
      </c>
      <c r="R13" s="41" t="s">
        <v>70</v>
      </c>
      <c r="S13" s="41" t="s">
        <v>71</v>
      </c>
      <c r="T13" s="89" t="s">
        <v>311</v>
      </c>
      <c r="U13" s="38" t="s">
        <v>51</v>
      </c>
      <c r="V13" s="38" t="s">
        <v>51</v>
      </c>
      <c r="W13" s="38" t="s">
        <v>51</v>
      </c>
      <c r="X13" s="39" t="s">
        <v>51</v>
      </c>
    </row>
    <row r="14" spans="1:24" ht="89.25" customHeight="1" x14ac:dyDescent="0.25">
      <c r="B14" s="50" t="s">
        <v>7</v>
      </c>
      <c r="C14" s="50" t="s">
        <v>40</v>
      </c>
      <c r="D14" s="50" t="s">
        <v>8</v>
      </c>
      <c r="E14" s="49">
        <v>0</v>
      </c>
      <c r="F14" s="54" t="s">
        <v>107</v>
      </c>
      <c r="G14" s="54" t="s">
        <v>108</v>
      </c>
      <c r="H14" s="54"/>
      <c r="I14" s="39">
        <v>9</v>
      </c>
      <c r="J14" s="41" t="s">
        <v>43</v>
      </c>
      <c r="K14" s="39"/>
      <c r="L14" s="39"/>
      <c r="M14" s="57" t="s">
        <v>109</v>
      </c>
      <c r="N14" s="57" t="s">
        <v>110</v>
      </c>
      <c r="O14" s="39" t="s">
        <v>79</v>
      </c>
      <c r="P14" s="48"/>
      <c r="Q14" s="42" t="s">
        <v>56</v>
      </c>
      <c r="R14" s="41" t="s">
        <v>57</v>
      </c>
      <c r="S14" s="41" t="s">
        <v>111</v>
      </c>
      <c r="T14" s="89" t="s">
        <v>312</v>
      </c>
      <c r="U14" s="42" t="s">
        <v>88</v>
      </c>
      <c r="V14" s="41" t="s">
        <v>57</v>
      </c>
      <c r="W14" s="41" t="s">
        <v>111</v>
      </c>
      <c r="X14" s="49" t="s">
        <v>51</v>
      </c>
    </row>
    <row r="15" spans="1:24" ht="89.25" customHeight="1" x14ac:dyDescent="0.25">
      <c r="B15" s="50" t="s">
        <v>7</v>
      </c>
      <c r="C15" s="50" t="s">
        <v>40</v>
      </c>
      <c r="D15" s="50" t="s">
        <v>8</v>
      </c>
      <c r="E15" s="49">
        <v>0</v>
      </c>
      <c r="F15" s="54" t="s">
        <v>113</v>
      </c>
      <c r="G15" s="54" t="s">
        <v>114</v>
      </c>
      <c r="H15" s="54"/>
      <c r="I15" s="39">
        <v>10</v>
      </c>
      <c r="J15" s="41" t="s">
        <v>43</v>
      </c>
      <c r="K15" s="39"/>
      <c r="L15" s="39"/>
      <c r="M15" s="53" t="s">
        <v>115</v>
      </c>
      <c r="N15" s="40" t="s">
        <v>116</v>
      </c>
      <c r="O15" s="39" t="s">
        <v>79</v>
      </c>
      <c r="P15" s="48"/>
      <c r="Q15" s="42" t="s">
        <v>56</v>
      </c>
      <c r="R15" s="41" t="s">
        <v>57</v>
      </c>
      <c r="S15" s="64" t="s">
        <v>117</v>
      </c>
      <c r="T15" s="89" t="s">
        <v>313</v>
      </c>
      <c r="U15" s="42" t="s">
        <v>88</v>
      </c>
      <c r="V15" s="41" t="s">
        <v>57</v>
      </c>
      <c r="W15" s="48" t="s">
        <v>117</v>
      </c>
      <c r="X15" s="49" t="s">
        <v>51</v>
      </c>
    </row>
    <row r="16" spans="1:24" ht="89.25" customHeight="1" x14ac:dyDescent="0.25">
      <c r="B16" s="50" t="s">
        <v>7</v>
      </c>
      <c r="C16" s="50" t="s">
        <v>40</v>
      </c>
      <c r="D16" s="50" t="s">
        <v>8</v>
      </c>
      <c r="E16" s="49">
        <v>0</v>
      </c>
      <c r="F16" s="54" t="s">
        <v>119</v>
      </c>
      <c r="G16" s="54" t="s">
        <v>120</v>
      </c>
      <c r="H16" s="54"/>
      <c r="I16" s="39">
        <v>11</v>
      </c>
      <c r="J16" s="41" t="s">
        <v>43</v>
      </c>
      <c r="K16" s="39"/>
      <c r="L16" s="39"/>
      <c r="M16" s="40" t="s">
        <v>121</v>
      </c>
      <c r="N16" s="40" t="s">
        <v>122</v>
      </c>
      <c r="O16" s="39" t="s">
        <v>79</v>
      </c>
      <c r="P16" s="48"/>
      <c r="Q16" s="42" t="s">
        <v>56</v>
      </c>
      <c r="R16" s="41" t="s">
        <v>57</v>
      </c>
      <c r="S16" s="64" t="s">
        <v>123</v>
      </c>
      <c r="T16" s="89" t="s">
        <v>314</v>
      </c>
      <c r="U16" s="42" t="s">
        <v>88</v>
      </c>
      <c r="V16" s="41" t="s">
        <v>57</v>
      </c>
      <c r="W16" s="64" t="s">
        <v>123</v>
      </c>
      <c r="X16" s="49" t="s">
        <v>51</v>
      </c>
    </row>
    <row r="17" spans="2:24" ht="89.25" customHeight="1" x14ac:dyDescent="0.25">
      <c r="B17" s="50" t="s">
        <v>7</v>
      </c>
      <c r="C17" s="50" t="s">
        <v>40</v>
      </c>
      <c r="D17" s="50" t="s">
        <v>8</v>
      </c>
      <c r="E17" s="49">
        <v>0</v>
      </c>
      <c r="F17" s="54" t="s">
        <v>125</v>
      </c>
      <c r="G17" s="54" t="s">
        <v>126</v>
      </c>
      <c r="H17" s="38" t="s">
        <v>127</v>
      </c>
      <c r="I17" s="39">
        <v>12</v>
      </c>
      <c r="J17" s="38" t="s">
        <v>43</v>
      </c>
      <c r="K17" s="39"/>
      <c r="L17" s="39"/>
      <c r="M17" s="40" t="s">
        <v>128</v>
      </c>
      <c r="N17" s="40" t="s">
        <v>129</v>
      </c>
      <c r="O17" s="39" t="s">
        <v>79</v>
      </c>
      <c r="P17" s="48"/>
      <c r="Q17" s="42" t="s">
        <v>56</v>
      </c>
      <c r="R17" s="41" t="s">
        <v>57</v>
      </c>
      <c r="S17" s="41" t="s">
        <v>130</v>
      </c>
      <c r="T17" s="94" t="s">
        <v>315</v>
      </c>
      <c r="U17" s="48" t="s">
        <v>51</v>
      </c>
      <c r="V17" s="48" t="s">
        <v>51</v>
      </c>
      <c r="W17" s="48" t="s">
        <v>51</v>
      </c>
      <c r="X17" s="49" t="s">
        <v>51</v>
      </c>
    </row>
    <row r="18" spans="2:24" ht="89.25" customHeight="1" x14ac:dyDescent="0.25">
      <c r="B18" s="50" t="s">
        <v>7</v>
      </c>
      <c r="C18" s="50" t="s">
        <v>40</v>
      </c>
      <c r="D18" s="50" t="s">
        <v>8</v>
      </c>
      <c r="E18" s="49">
        <v>0</v>
      </c>
      <c r="F18" s="54" t="s">
        <v>132</v>
      </c>
      <c r="G18" s="54" t="s">
        <v>133</v>
      </c>
      <c r="H18" s="38" t="s">
        <v>134</v>
      </c>
      <c r="I18" s="39">
        <v>13</v>
      </c>
      <c r="J18" s="38" t="s">
        <v>135</v>
      </c>
      <c r="K18" s="39"/>
      <c r="L18" s="39"/>
      <c r="M18" s="40" t="s">
        <v>136</v>
      </c>
      <c r="N18" s="81" t="s">
        <v>137</v>
      </c>
      <c r="O18" s="39"/>
      <c r="P18" s="48"/>
      <c r="Q18" s="42" t="s">
        <v>51</v>
      </c>
      <c r="R18" s="41" t="s">
        <v>51</v>
      </c>
      <c r="S18" s="41" t="s">
        <v>51</v>
      </c>
      <c r="T18" s="89" t="s">
        <v>316</v>
      </c>
      <c r="U18" s="48" t="s">
        <v>51</v>
      </c>
      <c r="V18" s="48" t="s">
        <v>51</v>
      </c>
      <c r="W18" s="48" t="s">
        <v>51</v>
      </c>
      <c r="X18" s="49" t="s">
        <v>51</v>
      </c>
    </row>
  </sheetData>
  <mergeCells count="6">
    <mergeCell ref="B3:P3"/>
    <mergeCell ref="Q3:T3"/>
    <mergeCell ref="U3:X3"/>
    <mergeCell ref="B4:P4"/>
    <mergeCell ref="R4:T4"/>
    <mergeCell ref="U4:X4"/>
  </mergeCells>
  <pageMargins left="0.7" right="0.7" top="0.75" bottom="0.75" header="0.3" footer="0.3"/>
  <pageSetup paperSize="9" orientation="landscape"/>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45FCC-DF3E-404C-A613-F69596FC3B2A}">
  <dimension ref="B1:I448"/>
  <sheetViews>
    <sheetView showGridLines="0" topLeftCell="C1" zoomScale="80" zoomScaleNormal="80" workbookViewId="0">
      <selection activeCell="E5" sqref="D5:E5"/>
    </sheetView>
  </sheetViews>
  <sheetFormatPr defaultColWidth="8.85546875" defaultRowHeight="15" x14ac:dyDescent="0.25"/>
  <cols>
    <col min="2" max="2" width="46.7109375" style="29" customWidth="1"/>
    <col min="3" max="3" width="28" style="28" customWidth="1"/>
    <col min="4" max="4" width="51.28515625" style="28" customWidth="1"/>
    <col min="5" max="5" width="34" style="28" customWidth="1"/>
    <col min="6" max="6" width="50.42578125" style="28" customWidth="1"/>
    <col min="7" max="7" width="39.28515625" customWidth="1"/>
    <col min="8" max="8" width="104" style="69" customWidth="1"/>
    <col min="9" max="9" width="25.85546875" customWidth="1"/>
  </cols>
  <sheetData>
    <row r="1" spans="2:9" ht="40.5" customHeight="1" x14ac:dyDescent="0.25"/>
    <row r="2" spans="2:9" ht="30" x14ac:dyDescent="0.25">
      <c r="B2" s="75" t="s">
        <v>276</v>
      </c>
      <c r="C2" s="75" t="s">
        <v>19</v>
      </c>
      <c r="D2" s="75" t="s">
        <v>277</v>
      </c>
      <c r="E2" s="75" t="s">
        <v>278</v>
      </c>
      <c r="F2" s="75" t="s">
        <v>279</v>
      </c>
      <c r="G2" s="75" t="s">
        <v>280</v>
      </c>
      <c r="H2" s="76" t="s">
        <v>281</v>
      </c>
      <c r="I2" s="77" t="s">
        <v>282</v>
      </c>
    </row>
    <row r="3" spans="2:9" ht="30" customHeight="1" x14ac:dyDescent="0.25">
      <c r="B3" s="50" t="s">
        <v>7</v>
      </c>
      <c r="C3" s="38" t="s">
        <v>317</v>
      </c>
      <c r="D3" s="50" t="s">
        <v>283</v>
      </c>
      <c r="E3" s="70" t="s">
        <v>318</v>
      </c>
      <c r="F3" s="48" t="s">
        <v>285</v>
      </c>
      <c r="G3" s="38" t="s">
        <v>319</v>
      </c>
      <c r="H3" s="42" t="s">
        <v>320</v>
      </c>
      <c r="I3" s="38" t="s">
        <v>292</v>
      </c>
    </row>
    <row r="4" spans="2:9" ht="30" customHeight="1" x14ac:dyDescent="0.25">
      <c r="B4" s="50" t="s">
        <v>7</v>
      </c>
      <c r="C4" s="38" t="s">
        <v>317</v>
      </c>
      <c r="D4" s="50" t="s">
        <v>283</v>
      </c>
      <c r="E4" s="38" t="s">
        <v>284</v>
      </c>
      <c r="F4" s="50" t="s">
        <v>283</v>
      </c>
      <c r="G4" s="70" t="s">
        <v>318</v>
      </c>
      <c r="H4" s="42" t="s">
        <v>321</v>
      </c>
      <c r="I4" s="38" t="s">
        <v>288</v>
      </c>
    </row>
    <row r="5" spans="2:9" ht="30" customHeight="1" x14ac:dyDescent="0.25">
      <c r="B5" s="50" t="s">
        <v>7</v>
      </c>
      <c r="C5" s="38" t="s">
        <v>8</v>
      </c>
      <c r="D5" s="50" t="s">
        <v>289</v>
      </c>
      <c r="E5" s="70" t="s">
        <v>290</v>
      </c>
      <c r="F5" s="50" t="s">
        <v>283</v>
      </c>
      <c r="G5" s="70" t="s">
        <v>284</v>
      </c>
      <c r="H5" s="72" t="s">
        <v>322</v>
      </c>
      <c r="I5" s="38" t="s">
        <v>292</v>
      </c>
    </row>
    <row r="6" spans="2:9" ht="30" customHeight="1" x14ac:dyDescent="0.25">
      <c r="B6" s="50" t="s">
        <v>7</v>
      </c>
      <c r="C6" s="38" t="s">
        <v>8</v>
      </c>
      <c r="D6" s="50" t="s">
        <v>289</v>
      </c>
      <c r="E6" s="70" t="s">
        <v>290</v>
      </c>
      <c r="F6" s="50" t="s">
        <v>283</v>
      </c>
      <c r="G6" s="70" t="s">
        <v>284</v>
      </c>
      <c r="H6" s="74" t="s">
        <v>323</v>
      </c>
      <c r="I6" s="38" t="s">
        <v>292</v>
      </c>
    </row>
    <row r="7" spans="2:9" ht="30" customHeight="1" x14ac:dyDescent="0.25">
      <c r="B7" s="50" t="s">
        <v>7</v>
      </c>
      <c r="C7" s="38" t="s">
        <v>8</v>
      </c>
      <c r="D7" s="50" t="s">
        <v>289</v>
      </c>
      <c r="E7" s="70" t="s">
        <v>290</v>
      </c>
      <c r="F7" s="50" t="s">
        <v>283</v>
      </c>
      <c r="G7" s="70" t="s">
        <v>284</v>
      </c>
      <c r="H7" s="42" t="s">
        <v>324</v>
      </c>
      <c r="I7" s="38" t="s">
        <v>292</v>
      </c>
    </row>
    <row r="8" spans="2:9" ht="30" customHeight="1" x14ac:dyDescent="0.25">
      <c r="B8" s="50" t="s">
        <v>7</v>
      </c>
      <c r="C8" s="38" t="s">
        <v>8</v>
      </c>
      <c r="D8" s="50" t="s">
        <v>289</v>
      </c>
      <c r="E8" s="70" t="s">
        <v>290</v>
      </c>
      <c r="F8" s="50" t="s">
        <v>283</v>
      </c>
      <c r="G8" s="70" t="s">
        <v>284</v>
      </c>
      <c r="H8" s="74" t="s">
        <v>325</v>
      </c>
      <c r="I8" s="38" t="s">
        <v>292</v>
      </c>
    </row>
    <row r="9" spans="2:9" ht="30" customHeight="1" x14ac:dyDescent="0.25">
      <c r="B9" s="50" t="s">
        <v>7</v>
      </c>
      <c r="C9" s="38" t="s">
        <v>8</v>
      </c>
      <c r="D9" s="50" t="s">
        <v>289</v>
      </c>
      <c r="E9" s="70" t="s">
        <v>290</v>
      </c>
      <c r="F9" s="50" t="s">
        <v>283</v>
      </c>
      <c r="G9" s="70" t="s">
        <v>284</v>
      </c>
      <c r="H9" s="74" t="s">
        <v>326</v>
      </c>
      <c r="I9" s="38" t="s">
        <v>292</v>
      </c>
    </row>
    <row r="10" spans="2:9" x14ac:dyDescent="0.25">
      <c r="B10"/>
      <c r="C10"/>
      <c r="D10"/>
      <c r="E10"/>
      <c r="F10"/>
    </row>
    <row r="11" spans="2:9" x14ac:dyDescent="0.25">
      <c r="B11"/>
      <c r="C11"/>
      <c r="D11"/>
      <c r="E11"/>
      <c r="F11"/>
    </row>
    <row r="12" spans="2:9" x14ac:dyDescent="0.25">
      <c r="B12"/>
      <c r="C12"/>
      <c r="D12"/>
      <c r="E12"/>
      <c r="F12"/>
    </row>
    <row r="13" spans="2:9" x14ac:dyDescent="0.25">
      <c r="B13"/>
      <c r="C13"/>
      <c r="D13"/>
      <c r="E13"/>
      <c r="F13"/>
    </row>
    <row r="14" spans="2:9" x14ac:dyDescent="0.25">
      <c r="B14"/>
      <c r="C14"/>
      <c r="D14"/>
      <c r="E14"/>
      <c r="F14"/>
    </row>
    <row r="15" spans="2:9" x14ac:dyDescent="0.25">
      <c r="B15"/>
      <c r="C15"/>
      <c r="D15"/>
      <c r="E15"/>
      <c r="F15"/>
    </row>
    <row r="16" spans="2:9" x14ac:dyDescent="0.25">
      <c r="B16"/>
      <c r="C16"/>
      <c r="D16"/>
      <c r="E16"/>
      <c r="F16"/>
    </row>
    <row r="17" spans="2:6" x14ac:dyDescent="0.25">
      <c r="B17"/>
      <c r="C17"/>
      <c r="D17"/>
      <c r="E17"/>
      <c r="F17"/>
    </row>
    <row r="18" spans="2:6" x14ac:dyDescent="0.25">
      <c r="B18"/>
      <c r="C18"/>
      <c r="D18"/>
      <c r="E18"/>
      <c r="F18"/>
    </row>
    <row r="19" spans="2:6" x14ac:dyDescent="0.25">
      <c r="B19"/>
      <c r="C19"/>
      <c r="D19"/>
      <c r="E19"/>
      <c r="F19"/>
    </row>
    <row r="20" spans="2:6" x14ac:dyDescent="0.25">
      <c r="B20"/>
      <c r="C20"/>
      <c r="D20"/>
      <c r="E20"/>
      <c r="F20"/>
    </row>
    <row r="21" spans="2:6" x14ac:dyDescent="0.25">
      <c r="B21"/>
      <c r="C21"/>
      <c r="D21"/>
      <c r="E21"/>
      <c r="F21"/>
    </row>
    <row r="22" spans="2:6" x14ac:dyDescent="0.25">
      <c r="B22"/>
      <c r="C22"/>
      <c r="D22"/>
      <c r="E22"/>
      <c r="F22"/>
    </row>
    <row r="23" spans="2:6" x14ac:dyDescent="0.25">
      <c r="B23"/>
      <c r="C23"/>
      <c r="D23"/>
      <c r="E23"/>
      <c r="F23"/>
    </row>
    <row r="24" spans="2:6" x14ac:dyDescent="0.25">
      <c r="B24"/>
      <c r="C24"/>
      <c r="D24"/>
      <c r="E24"/>
      <c r="F24"/>
    </row>
    <row r="25" spans="2:6" x14ac:dyDescent="0.25">
      <c r="B25"/>
      <c r="C25"/>
      <c r="D25"/>
      <c r="E25"/>
      <c r="F25"/>
    </row>
    <row r="26" spans="2:6" x14ac:dyDescent="0.25">
      <c r="B26"/>
      <c r="C26"/>
      <c r="D26"/>
      <c r="E26"/>
      <c r="F26"/>
    </row>
    <row r="27" spans="2:6" x14ac:dyDescent="0.25">
      <c r="B27"/>
      <c r="C27"/>
      <c r="D27"/>
      <c r="E27"/>
      <c r="F27"/>
    </row>
    <row r="28" spans="2:6" x14ac:dyDescent="0.25">
      <c r="B28"/>
      <c r="C28"/>
      <c r="D28"/>
      <c r="E28"/>
      <c r="F28"/>
    </row>
    <row r="29" spans="2:6" x14ac:dyDescent="0.25">
      <c r="B29"/>
      <c r="C29"/>
      <c r="D29"/>
      <c r="E29"/>
      <c r="F29"/>
    </row>
    <row r="30" spans="2:6" x14ac:dyDescent="0.25">
      <c r="B30"/>
      <c r="C30"/>
      <c r="D30"/>
      <c r="E30"/>
      <c r="F30"/>
    </row>
    <row r="31" spans="2:6" x14ac:dyDescent="0.25">
      <c r="B31"/>
      <c r="C31"/>
      <c r="D31"/>
      <c r="E31"/>
      <c r="F31"/>
    </row>
    <row r="32" spans="2:6" x14ac:dyDescent="0.25">
      <c r="B32"/>
      <c r="C32"/>
      <c r="D32"/>
      <c r="E32"/>
      <c r="F32"/>
    </row>
    <row r="33" spans="2:6" x14ac:dyDescent="0.25">
      <c r="B33"/>
      <c r="C33"/>
      <c r="D33"/>
      <c r="E33"/>
      <c r="F33"/>
    </row>
    <row r="34" spans="2:6" x14ac:dyDescent="0.25">
      <c r="B34"/>
      <c r="C34"/>
      <c r="D34"/>
      <c r="E34"/>
      <c r="F34"/>
    </row>
    <row r="35" spans="2:6" x14ac:dyDescent="0.25">
      <c r="B35"/>
      <c r="C35"/>
      <c r="D35"/>
      <c r="E35"/>
      <c r="F35"/>
    </row>
    <row r="36" spans="2:6" x14ac:dyDescent="0.25">
      <c r="B36"/>
      <c r="C36"/>
      <c r="D36"/>
      <c r="E36"/>
      <c r="F36"/>
    </row>
    <row r="37" spans="2:6" x14ac:dyDescent="0.25">
      <c r="B37"/>
      <c r="C37"/>
      <c r="D37"/>
      <c r="E37"/>
      <c r="F37"/>
    </row>
    <row r="38" spans="2:6" x14ac:dyDescent="0.25">
      <c r="B38"/>
      <c r="C38"/>
      <c r="D38"/>
      <c r="E38"/>
      <c r="F38"/>
    </row>
    <row r="39" spans="2:6" x14ac:dyDescent="0.25">
      <c r="B39"/>
      <c r="C39"/>
      <c r="D39"/>
      <c r="E39"/>
      <c r="F39"/>
    </row>
    <row r="40" spans="2:6" x14ac:dyDescent="0.25">
      <c r="B40"/>
      <c r="C40"/>
      <c r="D40"/>
      <c r="E40"/>
      <c r="F40"/>
    </row>
    <row r="41" spans="2:6" x14ac:dyDescent="0.25">
      <c r="B41"/>
      <c r="C41"/>
      <c r="D41"/>
      <c r="E41"/>
      <c r="F41"/>
    </row>
    <row r="42" spans="2:6" x14ac:dyDescent="0.25">
      <c r="B42"/>
      <c r="C42"/>
      <c r="D42"/>
      <c r="E42"/>
      <c r="F42"/>
    </row>
    <row r="43" spans="2:6" x14ac:dyDescent="0.25">
      <c r="B43"/>
      <c r="C43"/>
      <c r="D43"/>
      <c r="E43"/>
      <c r="F43"/>
    </row>
    <row r="44" spans="2:6" x14ac:dyDescent="0.25">
      <c r="B44"/>
      <c r="C44"/>
      <c r="D44"/>
      <c r="E44"/>
      <c r="F44"/>
    </row>
    <row r="45" spans="2:6" x14ac:dyDescent="0.25">
      <c r="B45"/>
      <c r="C45"/>
      <c r="D45"/>
      <c r="E45"/>
      <c r="F45"/>
    </row>
    <row r="46" spans="2:6" x14ac:dyDescent="0.25">
      <c r="B46"/>
      <c r="C46"/>
      <c r="D46"/>
      <c r="E46"/>
      <c r="F46"/>
    </row>
    <row r="47" spans="2:6" x14ac:dyDescent="0.25">
      <c r="B47"/>
      <c r="C47"/>
      <c r="D47"/>
      <c r="E47"/>
      <c r="F47"/>
    </row>
    <row r="48" spans="2:6" x14ac:dyDescent="0.25">
      <c r="B48"/>
      <c r="C48"/>
      <c r="D48"/>
      <c r="E48"/>
      <c r="F48"/>
    </row>
    <row r="49" spans="2:6" x14ac:dyDescent="0.25">
      <c r="B49"/>
      <c r="C49"/>
      <c r="D49"/>
      <c r="E49"/>
      <c r="F49"/>
    </row>
    <row r="50" spans="2:6" x14ac:dyDescent="0.25">
      <c r="B50"/>
      <c r="C50"/>
      <c r="D50"/>
      <c r="E50"/>
      <c r="F50"/>
    </row>
    <row r="51" spans="2:6" x14ac:dyDescent="0.25">
      <c r="B51"/>
      <c r="C51"/>
      <c r="D51"/>
      <c r="E51"/>
      <c r="F51"/>
    </row>
    <row r="52" spans="2:6" x14ac:dyDescent="0.25">
      <c r="B52"/>
      <c r="C52"/>
      <c r="D52"/>
      <c r="E52"/>
      <c r="F52"/>
    </row>
    <row r="53" spans="2:6" x14ac:dyDescent="0.25">
      <c r="B53"/>
      <c r="C53"/>
      <c r="D53"/>
      <c r="E53"/>
      <c r="F53"/>
    </row>
    <row r="54" spans="2:6" x14ac:dyDescent="0.25">
      <c r="B54"/>
      <c r="C54"/>
      <c r="D54"/>
      <c r="E54"/>
      <c r="F54"/>
    </row>
    <row r="55" spans="2:6" x14ac:dyDescent="0.25">
      <c r="B55"/>
      <c r="C55"/>
      <c r="D55"/>
      <c r="E55"/>
      <c r="F55"/>
    </row>
    <row r="56" spans="2:6" x14ac:dyDescent="0.25">
      <c r="B56"/>
      <c r="C56"/>
      <c r="D56"/>
      <c r="E56"/>
      <c r="F56"/>
    </row>
    <row r="57" spans="2:6" x14ac:dyDescent="0.25">
      <c r="B57"/>
      <c r="C57"/>
      <c r="D57"/>
      <c r="E57"/>
      <c r="F57"/>
    </row>
    <row r="58" spans="2:6" x14ac:dyDescent="0.25">
      <c r="B58"/>
      <c r="C58"/>
      <c r="D58"/>
      <c r="E58"/>
      <c r="F58"/>
    </row>
    <row r="59" spans="2:6" x14ac:dyDescent="0.25">
      <c r="B59"/>
      <c r="C59"/>
      <c r="D59"/>
      <c r="E59"/>
      <c r="F59"/>
    </row>
    <row r="60" spans="2:6" x14ac:dyDescent="0.25">
      <c r="B60"/>
      <c r="C60"/>
      <c r="D60"/>
      <c r="E60"/>
      <c r="F60"/>
    </row>
    <row r="61" spans="2:6" x14ac:dyDescent="0.25">
      <c r="B61"/>
      <c r="C61"/>
      <c r="D61"/>
      <c r="E61"/>
      <c r="F61"/>
    </row>
    <row r="62" spans="2:6" x14ac:dyDescent="0.25">
      <c r="B62"/>
      <c r="C62"/>
      <c r="D62"/>
      <c r="E62"/>
      <c r="F62"/>
    </row>
    <row r="63" spans="2:6" x14ac:dyDescent="0.25">
      <c r="B63"/>
      <c r="C63"/>
      <c r="D63"/>
      <c r="E63"/>
      <c r="F63"/>
    </row>
    <row r="64" spans="2:6" x14ac:dyDescent="0.25">
      <c r="B64"/>
      <c r="C64"/>
      <c r="D64"/>
      <c r="E64"/>
      <c r="F64"/>
    </row>
    <row r="65" spans="2:6" x14ac:dyDescent="0.25">
      <c r="B65"/>
      <c r="C65"/>
      <c r="D65"/>
      <c r="E65"/>
      <c r="F65"/>
    </row>
    <row r="66" spans="2:6" x14ac:dyDescent="0.25">
      <c r="B66"/>
      <c r="C66"/>
      <c r="D66"/>
      <c r="E66"/>
      <c r="F66"/>
    </row>
    <row r="67" spans="2:6" x14ac:dyDescent="0.25">
      <c r="B67"/>
      <c r="C67"/>
      <c r="D67"/>
      <c r="E67"/>
      <c r="F67"/>
    </row>
    <row r="68" spans="2:6" x14ac:dyDescent="0.25">
      <c r="B68"/>
      <c r="C68"/>
      <c r="D68"/>
      <c r="E68"/>
      <c r="F68"/>
    </row>
    <row r="69" spans="2:6" x14ac:dyDescent="0.25">
      <c r="B69"/>
      <c r="C69"/>
      <c r="D69"/>
      <c r="E69"/>
      <c r="F69"/>
    </row>
    <row r="70" spans="2:6" x14ac:dyDescent="0.25">
      <c r="B70"/>
      <c r="C70"/>
      <c r="D70"/>
      <c r="E70"/>
      <c r="F70"/>
    </row>
    <row r="71" spans="2:6" x14ac:dyDescent="0.25">
      <c r="B71"/>
      <c r="C71"/>
      <c r="D71"/>
      <c r="E71"/>
      <c r="F71"/>
    </row>
    <row r="72" spans="2:6" x14ac:dyDescent="0.25">
      <c r="B72"/>
      <c r="C72"/>
      <c r="D72"/>
      <c r="E72"/>
      <c r="F72"/>
    </row>
    <row r="73" spans="2:6" x14ac:dyDescent="0.25">
      <c r="B73"/>
      <c r="C73"/>
      <c r="D73"/>
      <c r="E73"/>
      <c r="F73"/>
    </row>
    <row r="74" spans="2:6" x14ac:dyDescent="0.25">
      <c r="B74"/>
      <c r="C74"/>
      <c r="D74"/>
      <c r="E74"/>
      <c r="F74"/>
    </row>
    <row r="75" spans="2:6" x14ac:dyDescent="0.25">
      <c r="B75"/>
      <c r="C75"/>
      <c r="D75"/>
      <c r="E75"/>
      <c r="F75"/>
    </row>
    <row r="76" spans="2:6" x14ac:dyDescent="0.25">
      <c r="B76"/>
      <c r="C76"/>
      <c r="D76"/>
      <c r="E76"/>
      <c r="F76"/>
    </row>
    <row r="77" spans="2:6" x14ac:dyDescent="0.25">
      <c r="B77"/>
      <c r="C77"/>
      <c r="D77"/>
      <c r="E77"/>
      <c r="F77"/>
    </row>
    <row r="78" spans="2:6" x14ac:dyDescent="0.25">
      <c r="B78"/>
      <c r="C78"/>
      <c r="D78"/>
      <c r="E78"/>
      <c r="F78"/>
    </row>
    <row r="79" spans="2:6" x14ac:dyDescent="0.25">
      <c r="B79"/>
      <c r="C79"/>
      <c r="D79"/>
      <c r="E79"/>
      <c r="F79"/>
    </row>
    <row r="80" spans="2:6" x14ac:dyDescent="0.25">
      <c r="B80"/>
      <c r="C80"/>
      <c r="D80"/>
      <c r="E80"/>
      <c r="F80"/>
    </row>
    <row r="81" spans="2:6" x14ac:dyDescent="0.25">
      <c r="B81"/>
      <c r="C81"/>
      <c r="D81"/>
      <c r="E81"/>
      <c r="F81"/>
    </row>
    <row r="82" spans="2:6" x14ac:dyDescent="0.25">
      <c r="B82"/>
      <c r="C82"/>
      <c r="D82"/>
      <c r="E82"/>
      <c r="F82"/>
    </row>
    <row r="83" spans="2:6" x14ac:dyDescent="0.25">
      <c r="B83"/>
      <c r="C83"/>
      <c r="D83"/>
      <c r="E83"/>
      <c r="F83"/>
    </row>
    <row r="84" spans="2:6" x14ac:dyDescent="0.25">
      <c r="B84"/>
      <c r="C84"/>
      <c r="D84"/>
      <c r="E84"/>
      <c r="F84"/>
    </row>
    <row r="85" spans="2:6" x14ac:dyDescent="0.25">
      <c r="B85"/>
      <c r="C85"/>
      <c r="D85"/>
      <c r="E85"/>
      <c r="F85"/>
    </row>
    <row r="86" spans="2:6" x14ac:dyDescent="0.25">
      <c r="B86"/>
      <c r="C86"/>
      <c r="D86"/>
      <c r="E86"/>
      <c r="F86"/>
    </row>
    <row r="87" spans="2:6" x14ac:dyDescent="0.25">
      <c r="B87"/>
      <c r="C87"/>
      <c r="D87"/>
      <c r="E87"/>
      <c r="F87"/>
    </row>
    <row r="88" spans="2:6" x14ac:dyDescent="0.25">
      <c r="B88"/>
      <c r="C88"/>
      <c r="D88"/>
      <c r="E88"/>
      <c r="F88"/>
    </row>
    <row r="89" spans="2:6" x14ac:dyDescent="0.25">
      <c r="B89"/>
      <c r="C89"/>
      <c r="D89"/>
      <c r="E89"/>
      <c r="F89"/>
    </row>
    <row r="90" spans="2:6" x14ac:dyDescent="0.25">
      <c r="B90"/>
      <c r="C90"/>
      <c r="D90"/>
      <c r="E90"/>
      <c r="F90"/>
    </row>
    <row r="91" spans="2:6" x14ac:dyDescent="0.25">
      <c r="B91"/>
      <c r="C91"/>
      <c r="D91"/>
      <c r="E91"/>
      <c r="F91"/>
    </row>
    <row r="92" spans="2:6" x14ac:dyDescent="0.25">
      <c r="B92"/>
      <c r="C92"/>
      <c r="D92"/>
      <c r="E92"/>
      <c r="F92"/>
    </row>
    <row r="93" spans="2:6" x14ac:dyDescent="0.25">
      <c r="B93"/>
      <c r="C93"/>
      <c r="D93"/>
      <c r="E93"/>
      <c r="F93"/>
    </row>
    <row r="94" spans="2:6" x14ac:dyDescent="0.25">
      <c r="B94"/>
      <c r="C94"/>
      <c r="D94"/>
      <c r="E94"/>
      <c r="F94"/>
    </row>
    <row r="95" spans="2:6" x14ac:dyDescent="0.25">
      <c r="B95"/>
      <c r="C95"/>
      <c r="D95"/>
      <c r="E95"/>
      <c r="F95"/>
    </row>
    <row r="96" spans="2:6"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C448"/>
      <c r="D448"/>
      <c r="E448"/>
      <c r="F448"/>
    </row>
  </sheetData>
  <pageMargins left="0.7" right="0.7" top="0.75" bottom="0.75" header="0.3" footer="0.3"/>
  <pageSetup paperSize="9" orientation="portrait"/>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4DE99-2418-4343-8B71-AE8D192452D1}">
  <dimension ref="B3:G5"/>
  <sheetViews>
    <sheetView topLeftCell="D1" workbookViewId="0">
      <selection activeCell="G4" sqref="G4"/>
    </sheetView>
  </sheetViews>
  <sheetFormatPr defaultRowHeight="15" x14ac:dyDescent="0.25"/>
  <cols>
    <col min="2" max="2" width="46" customWidth="1"/>
    <col min="3" max="3" width="41.28515625" customWidth="1"/>
    <col min="4" max="4" width="34.140625" customWidth="1"/>
    <col min="5" max="6" width="48.85546875" customWidth="1"/>
    <col min="7" max="7" width="94.85546875" customWidth="1"/>
    <col min="8" max="8" width="26" customWidth="1"/>
    <col min="9" max="9" width="24.7109375" customWidth="1"/>
  </cols>
  <sheetData>
    <row r="3" spans="2:7" ht="30" customHeight="1" x14ac:dyDescent="0.25">
      <c r="B3" s="91" t="s">
        <v>17</v>
      </c>
      <c r="C3" s="90" t="s">
        <v>19</v>
      </c>
      <c r="D3" s="90" t="s">
        <v>297</v>
      </c>
      <c r="E3" s="90" t="s">
        <v>298</v>
      </c>
      <c r="F3" s="92" t="s">
        <v>327</v>
      </c>
      <c r="G3" s="92" t="s">
        <v>328</v>
      </c>
    </row>
    <row r="4" spans="2:7" ht="154.5" customHeight="1" x14ac:dyDescent="0.25">
      <c r="B4" s="71" t="s">
        <v>7</v>
      </c>
      <c r="C4" s="78" t="s">
        <v>8</v>
      </c>
      <c r="D4" s="50" t="s">
        <v>283</v>
      </c>
      <c r="E4" s="78" t="s">
        <v>284</v>
      </c>
      <c r="F4" s="93" t="s">
        <v>329</v>
      </c>
      <c r="G4" s="72" t="s">
        <v>330</v>
      </c>
    </row>
    <row r="5" spans="2:7" ht="154.5" customHeight="1" x14ac:dyDescent="0.25">
      <c r="B5" s="71" t="s">
        <v>7</v>
      </c>
      <c r="C5" s="78" t="s">
        <v>8</v>
      </c>
      <c r="D5" s="50" t="s">
        <v>289</v>
      </c>
      <c r="E5" s="70" t="str">
        <f>MID(LEFT(Table68[[#This Row],[BLOCOS TEMPORAIS CORRIDOS]], FIND("{token}", SUBSTITUTE(Table68[[#This Row],[BLOCOS TEMPORAIS CORRIDOS]], ".", "{token}", 10)) - 1), FIND("{token}", SUBSTITUTE(Table68[[#This Row],[BLOCOS TEMPORAIS CORRIDOS]], " ", "{token}", 66)) + 1, LEN(Table68[[#This Row],[BLOCOS TEMPORAIS CORRIDOS]]))</f>
        <v>movimentos_consolidados</v>
      </c>
      <c r="F5" s="93" t="s">
        <v>331</v>
      </c>
      <c r="G5" s="72" t="s">
        <v>332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E67D3EEC-2781-4942-AB74-089C7EBD38BC}"/>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d0a304b7-9eaa-486b-a31e-7435950b811b"/>
    <ds:schemaRef ds:uri="218c8cf0-c44c-4363-8468-530bf05c9d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Capa</vt:lpstr>
      <vt:lpstr>Lista</vt:lpstr>
      <vt:lpstr>Tabelas</vt:lpstr>
      <vt:lpstr>Regras de Cruzamento</vt:lpstr>
      <vt:lpstr>Restrições de Universo</vt:lpstr>
      <vt:lpstr>OneOFF</vt:lpstr>
      <vt:lpstr>Regras de Cruzamento OneOFF</vt:lpstr>
      <vt:lpstr>Datas OneoFF</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Hélder Filipe Felicidade Fernandes</cp:lastModifiedBy>
  <cp:revision/>
  <dcterms:created xsi:type="dcterms:W3CDTF">2023-01-24T18:52:31Z</dcterms:created>
  <dcterms:modified xsi:type="dcterms:W3CDTF">2026-03-05T14:50:45Z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0c2abd79-57a9-4473-8700-c843f76a1e37_Enabled">
    <vt:lpwstr>true</vt:lpwstr>
  </property>
  <property fmtid="{D5CDD505-2E9C-101B-9397-08002B2CF9AE}" pid="7" name="MSIP_Label_0c2abd79-57a9-4473-8700-c843f76a1e37_SetDate">
    <vt:lpwstr>2025-09-16T11:03:03Z</vt:lpwstr>
  </property>
  <property fmtid="{D5CDD505-2E9C-101B-9397-08002B2CF9AE}" pid="8" name="MSIP_Label_0c2abd79-57a9-4473-8700-c843f76a1e37_Method">
    <vt:lpwstr>Privileged</vt:lpwstr>
  </property>
  <property fmtid="{D5CDD505-2E9C-101B-9397-08002B2CF9AE}" pid="9" name="MSIP_Label_0c2abd79-57a9-4473-8700-c843f76a1e37_Name">
    <vt:lpwstr>Internal</vt:lpwstr>
  </property>
  <property fmtid="{D5CDD505-2E9C-101B-9397-08002B2CF9AE}" pid="10" name="MSIP_Label_0c2abd79-57a9-4473-8700-c843f76a1e37_SiteId">
    <vt:lpwstr>35595a02-4d6d-44ac-99e1-f9ab4cd872db</vt:lpwstr>
  </property>
  <property fmtid="{D5CDD505-2E9C-101B-9397-08002B2CF9AE}" pid="11" name="MSIP_Label_0c2abd79-57a9-4473-8700-c843f76a1e37_ActionId">
    <vt:lpwstr>464294ab-9bf2-4cc4-ad12-abfa893d35d4</vt:lpwstr>
  </property>
  <property fmtid="{D5CDD505-2E9C-101B-9397-08002B2CF9AE}" pid="12" name="MSIP_Label_0c2abd79-57a9-4473-8700-c843f76a1e37_ContentBits">
    <vt:lpwstr>0</vt:lpwstr>
  </property>
  <property fmtid="{D5CDD505-2E9C-101B-9397-08002B2CF9AE}" pid="13" name="MSIP_Label_0c2abd79-57a9-4473-8700-c843f76a1e37_Tag">
    <vt:lpwstr>10, 0, 1, 2</vt:lpwstr>
  </property>
  <property fmtid="{D5CDD505-2E9C-101B-9397-08002B2CF9AE}" pid="14" name="Estado">
    <vt:lpwstr>9;#Active|5fac735a-6c3d-4db3-a5ea-62b32a9e77ff</vt:lpwstr>
  </property>
</Properties>
</file>