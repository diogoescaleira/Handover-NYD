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aveExternalLinkValues="0" updateLinks="always"/>
  <mc:AlternateContent xmlns:mc="http://schemas.openxmlformats.org/markup-compatibility/2006">
    <mc:Choice Requires="x15">
      <x15ac:absPath xmlns:x15ac="http://schemas.microsoft.com/office/spreadsheetml/2010/11/ac" url="https://santandernet.sharepoint.com/sites/DocumentacaoAplicacional/Shared Documents/General/APMF0001036535-CDM-Payments-Transfer SWIFT/"/>
    </mc:Choice>
  </mc:AlternateContent>
  <xr:revisionPtr revIDLastSave="270" documentId="13_ncr:1_{F813C323-14DD-4E65-B7BF-5D1E5C9EBBAD}" xr6:coauthVersionLast="47" xr6:coauthVersionMax="47" xr10:uidLastSave="{25F8E852-EEA9-41A7-97C2-73206077EB41}"/>
  <bookViews>
    <workbookView xWindow="15" yWindow="-16320" windowWidth="29040" windowHeight="1572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s>
  <externalReferences>
    <externalReference r:id="rId12"/>
    <externalReference r:id="rId13"/>
    <externalReference r:id="rId14"/>
    <externalReference r:id="rId15"/>
    <externalReference r:id="rId16"/>
    <externalReference r:id="rId17"/>
    <externalReference r:id="rId18"/>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78" authorId="0" shapeId="0" xr:uid="{A0C332B1-8720-4334-A76C-1AD82429A842}">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80" authorId="0" shapeId="0" xr:uid="{5D4EC1EF-F5CD-42E8-9B53-73CB883E3F63}">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<sst xmlns="http://schemas.openxmlformats.org/spreadsheetml/2006/main" count="2195" uniqueCount="1102">
  <si>
    <t>Common Data Model - Payments - Transfer Swift</t>
  </si>
  <si>
    <t>SCHEMA</t>
  </si>
  <si>
    <t>TABELA</t>
  </si>
  <si>
    <t>DESCRIÇÃO</t>
  </si>
  <si>
    <t>common_payments_transferswift</t>
  </si>
  <si>
    <t>swift_message</t>
  </si>
  <si>
    <t>Contains the information about the raw format of the messages associated with the swift transfers.</t>
  </si>
  <si>
    <t>transfer_swift</t>
  </si>
  <si>
    <t>Contains the information about the sent and received swift transfers.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</si>
  <si>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</si>
  <si>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</si>
  <si>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</si>
  <si>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</si>
  <si>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</si>
  <si>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</si>
  <si>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</si>
  <si>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</si>
  <si>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</si>
  <si>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</si>
  <si>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</si>
  <si>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</si>
  <si>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</si>
  <si>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</si>
  <si>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</si>
  <si>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</si>
  <si>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</si>
  <si>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</si>
  <si>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</si>
  <si>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</si>
  <si>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</si>
  <si>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</si>
  <si>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</si>
  <si>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</si>
  <si>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</si>
  <si>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</si>
  <si>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</si>
  <si>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</si>
  <si>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</si>
  <si>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</si>
  <si>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</si>
  <si>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</si>
  <si>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</si>
  <si>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</si>
  <si>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</si>
  <si>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</si>
  <si>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</si>
  <si>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</si>
  <si>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</si>
  <si>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</si>
  <si>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</si>
  <si>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</si>
  <si>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</si>
  <si>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</si>
  <si>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</si>
  <si>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</si>
  <si>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</si>
  <si>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</si>
  <si>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</si>
  <si>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</si>
  <si>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</si>
  <si>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</si>
  <si>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</si>
  <si>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</si>
  <si>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</si>
  <si>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</si>
  <si>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</si>
  <si>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</si>
  <si>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</si>
  <si>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</si>
  <si>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</si>
  <si>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</si>
  <si>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</si>
  <si>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</si>
  <si>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</si>
  <si>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</si>
  <si>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</si>
  <si>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</si>
  <si>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</si>
  <si>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</si>
  <si>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</si>
  <si>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</si>
  <si>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</si>
  <si>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</si>
  <si>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</si>
  <si>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</si>
  <si>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</si>
  <si>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</si>
  <si>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</si>
  <si>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</si>
  <si>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</si>
  <si>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</si>
  <si>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</si>
  <si>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</si>
  <si>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</si>
  <si>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</si>
  <si>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</si>
  <si>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</si>
  <si>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</si>
  <si>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</si>
  <si>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</si>
  <si>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</si>
  <si>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</si>
  <si>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</si>
  <si>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</si>
  <si>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</si>
  <si>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</si>
  <si>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</si>
  <si>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</si>
  <si>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</si>
  <si>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</si>
  <si>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</si>
  <si>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</si>
  <si>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</si>
  <si>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</si>
  <si>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</si>
  <si>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</si>
  <si>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</si>
  <si>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</si>
  <si>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</si>
  <si>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</si>
  <si>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</si>
  <si>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</si>
  <si>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</si>
  <si>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</si>
  <si>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</si>
  <si>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</si>
  <si>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</si>
  <si>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</si>
  <si>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</si>
  <si>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</si>
  <si>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</si>
  <si>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</si>
  <si>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</si>
  <si>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</si>
  <si>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</si>
  <si>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</si>
  <si>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</si>
  <si>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</si>
  <si>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</si>
  <si>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</si>
  <si>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</si>
  <si>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</si>
  <si>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</si>
  <si>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</si>
  <si>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</si>
  <si>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</si>
  <si>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</si>
  <si>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</si>
  <si>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</si>
  <si>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</si>
  <si>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</si>
  <si>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</si>
  <si>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</si>
  <si>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</si>
  <si>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</si>
  <si>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</si>
  <si>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</si>
  <si>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</si>
  <si>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</si>
  <si>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</si>
  <si>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</si>
  <si>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</si>
  <si>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</si>
  <si>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</si>
  <si>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</si>
  <si>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</si>
  <si>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</si>
  <si>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</si>
  <si>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</si>
  <si>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</si>
  <si>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</si>
  <si>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</si>
  <si>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</si>
  <si>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</si>
  <si>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</si>
  <si>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</si>
  <si>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</si>
  <si>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</si>
  <si>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</si>
  <si>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</si>
  <si>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</si>
  <si>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</si>
  <si>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</si>
  <si>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</si>
  <si>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</si>
  <si>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</si>
  <si>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</si>
  <si>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</si>
  <si>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</si>
  <si>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</si>
  <si>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</si>
  <si>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</si>
  <si>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</si>
  <si>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</si>
  <si>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</si>
  <si>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</si>
  <si>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</si>
  <si>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</si>
  <si>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</si>
  <si>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</si>
  <si>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</si>
  <si>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</si>
  <si>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</si>
  <si>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</si>
  <si>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</si>
  <si>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</si>
  <si>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</si>
  <si>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</si>
  <si>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</si>
  <si>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</si>
  <si>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</si>
  <si>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</si>
  <si>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</si>
  <si>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</si>
  <si>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</si>
  <si>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</si>
  <si>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</si>
  <si>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</si>
  <si>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</si>
  <si>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</si>
  <si>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</si>
  <si>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</si>
  <si>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</si>
  <si>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</si>
  <si>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</si>
  <si>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</si>
  <si>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</si>
  <si>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</si>
  <si>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</si>
  <si>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</si>
  <si>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</si>
  <si>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</si>
  <si>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</si>
  <si>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</si>
  <si>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</si>
  <si>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</si>
  <si>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</si>
  <si>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</si>
  <si>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</si>
  <si>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</si>
  <si>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</si>
  <si>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</si>
  <si>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</si>
  <si>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</si>
  <si>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</si>
  <si>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</si>
  <si>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</si>
  <si>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</si>
  <si>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</si>
  <si>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</si>
  <si>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</si>
  <si>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</si>
  <si>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</si>
  <si>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</si>
  <si>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</si>
  <si>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</si>
  <si>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</si>
  <si>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</si>
  <si>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</si>
  <si>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</si>
  <si>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</si>
  <si>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</si>
  <si>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</si>
  <si>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</si>
  <si>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</si>
  <si>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</si>
  <si>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</si>
  <si>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</si>
  <si>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</si>
  <si>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</si>
  <si>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</si>
  <si>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</si>
  <si>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</si>
  <si>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</si>
  <si>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</si>
  <si>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</si>
  <si>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</si>
  <si>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</si>
  <si>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</si>
  <si>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</si>
  <si>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</si>
  <si>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</si>
  <si>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</si>
  <si>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</si>
  <si>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</si>
  <si>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</si>
  <si>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</si>
  <si>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</si>
  <si>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</si>
  <si>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</si>
  <si>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</si>
  <si>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</si>
  <si>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</si>
  <si>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</si>
  <si>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</si>
  <si>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</si>
  <si>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</si>
  <si>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</si>
  <si>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</si>
  <si>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</si>
  <si>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</si>
  <si>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</si>
  <si>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</si>
  <si>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</si>
  <si>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</si>
  <si>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</si>
  <si>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</si>
  <si>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</si>
  <si>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</si>
  <si>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</si>
  <si>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</si>
  <si>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</si>
  <si>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</si>
  <si>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</si>
  <si>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</si>
  <si>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</si>
  <si>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</si>
  <si>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</si>
  <si>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</si>
  <si>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</si>
  <si>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</si>
  <si>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</si>
  <si>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</si>
  <si>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</si>
  <si>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</si>
  <si>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</si>
  <si>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</si>
  <si>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</si>
  <si>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</si>
  <si>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</si>
  <si>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</si>
  <si>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</si>
  <si>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</si>
  <si>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</si>
  <si>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</si>
  <si>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</si>
  <si>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</si>
  <si>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</si>
  <si>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</si>
  <si>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</si>
  <si>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</si>
  <si>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</si>
  <si>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</si>
  <si>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</si>
  <si>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</si>
  <si>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</si>
  <si>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</si>
  <si>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</si>
  <si>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</si>
  <si>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</si>
  <si>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</si>
  <si>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</si>
  <si>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</si>
  <si>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</si>
  <si>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</si>
  <si>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</si>
  <si>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</si>
  <si>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</si>
  <si>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</si>
  <si>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</si>
  <si>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</si>
  <si>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</si>
  <si>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</si>
  <si>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</si>
  <si>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</si>
  <si>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</si>
  <si>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</si>
  <si>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</si>
  <si>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</si>
  <si>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</si>
  <si>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</si>
  <si>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</si>
  <si>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</si>
  <si>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</si>
  <si>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</si>
  <si>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</si>
  <si>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</si>
  <si>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</si>
  <si>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</si>
  <si>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</si>
  <si>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</si>
  <si>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</si>
  <si>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</si>
  <si>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</si>
  <si>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</si>
  <si>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</si>
  <si>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</si>
  <si>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</si>
  <si>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</si>
  <si>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</si>
  <si>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</si>
  <si>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</si>
  <si>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</si>
  <si>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</si>
  <si>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</si>
  <si>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</si>
  <si>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</si>
  <si>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</si>
  <si>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</si>
  <si>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</si>
  <si>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</si>
  <si>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</si>
  <si>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</si>
  <si>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</si>
  <si>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</si>
  <si>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</si>
  <si>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</si>
  <si>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</si>
  <si>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</si>
  <si>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</si>
  <si>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</si>
  <si>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</si>
  <si>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</si>
  <si>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</si>
  <si>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</si>
  <si>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</si>
  <si>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</si>
  <si>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</si>
  <si>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</si>
  <si>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</si>
  <si>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</si>
  <si>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</si>
  <si>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</si>
  <si>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</si>
  <si>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</si>
  <si>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</si>
  <si>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</si>
  <si>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</si>
  <si>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</si>
  <si>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</si>
  <si>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</si>
  <si>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</si>
  <si>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</si>
  <si>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</si>
  <si>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</si>
  <si>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</si>
  <si>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</si>
  <si>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</si>
  <si>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</si>
  <si>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</si>
  <si>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</si>
  <si>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</si>
  <si>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</si>
  <si>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</si>
  <si>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</si>
  <si>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</si>
  <si>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</si>
  <si>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</si>
  <si>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</si>
  <si>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</si>
  <si>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</si>
  <si>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</si>
  <si>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</si>
  <si>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</si>
  <si>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</si>
  <si>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</si>
  <si>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</si>
  <si>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</si>
  <si>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</si>
  <si>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</si>
  <si>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</si>
  <si>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</si>
  <si>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</si>
  <si>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</si>
  <si>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</si>
  <si>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</si>
  <si>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</si>
  <si>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</si>
  <si>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</si>
  <si>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</si>
  <si>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</si>
  <si>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</si>
  <si>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</si>
  <si>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</si>
  <si>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</si>
  <si>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</si>
  <si>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</si>
  <si>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</si>
  <si>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</si>
  <si>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</si>
  <si>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</si>
  <si>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</si>
  <si>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</si>
  <si>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</si>
  <si>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</si>
  <si>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</si>
  <si>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</si>
  <si>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</si>
  <si>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</si>
  <si>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</si>
  <si>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</si>
  <si>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</si>
  <si>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</si>
  <si>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</si>
  <si>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</si>
  <si>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</si>
  <si>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</si>
  <si>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</si>
  <si>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</si>
  <si>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</si>
  <si>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</si>
  <si>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</si>
  <si>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</si>
  <si>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</si>
  <si>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</si>
  <si>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</si>
  <si>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</si>
  <si>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</si>
  <si>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</si>
  <si>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</si>
  <si>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</si>
  <si>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</si>
  <si>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</si>
  <si>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</si>
  <si>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</si>
  <si>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</si>
  <si>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</si>
  <si>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</si>
  <si>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</si>
  <si>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</si>
  <si>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</si>
  <si>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</si>
  <si>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</si>
  <si>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</si>
  <si>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</si>
  <si>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</si>
  <si>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</si>
  <si>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</si>
  <si>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</si>
  <si>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</si>
  <si>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</si>
  <si>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</si>
  <si>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</si>
  <si>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</si>
  <si>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</si>
  <si>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</si>
  <si>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</si>
  <si>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</si>
  <si>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</si>
  <si>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</si>
  <si>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</si>
  <si>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</si>
  <si>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</si>
  <si>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</si>
  <si>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</si>
  <si>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</si>
  <si>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</si>
  <si>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</si>
  <si>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</si>
  <si>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</si>
  <si>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</si>
  <si>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</si>
  <si>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</si>
  <si>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</si>
  <si>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</si>
  <si>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</si>
  <si>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</si>
  <si>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</si>
  <si>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</si>
  <si>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</si>
  <si>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</si>
  <si>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</si>
  <si>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</si>
  <si>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</si>
  <si>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</si>
  <si>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</si>
  <si>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</si>
  <si>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</si>
  <si>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</si>
  <si>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</si>
  <si>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</si>
  <si>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</si>
  <si>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</si>
  <si>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</si>
  <si>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</si>
  <si>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</si>
  <si>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</si>
  <si>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</si>
  <si>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</si>
  <si>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</si>
  <si>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</si>
  <si>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</si>
  <si>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</si>
  <si>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</si>
  <si>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</si>
  <si>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</si>
  <si>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</si>
  <si>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</si>
  <si>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</si>
  <si>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</si>
  <si>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</si>
  <si>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</si>
  <si>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</si>
  <si>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</si>
  <si>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</si>
  <si>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</si>
  <si>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</si>
  <si>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</si>
  <si>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</si>
  <si>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</si>
  <si>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</si>
  <si>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</si>
  <si>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</si>
  <si>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</si>
  <si>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</si>
  <si>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</si>
  <si>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</si>
  <si>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</si>
  <si>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</si>
  <si>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</si>
  <si>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</si>
  <si>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</si>
  <si>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</si>
  <si>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</si>
  <si>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</si>
  <si>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</si>
  <si>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</si>
  <si>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</si>
  <si>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</si>
  <si>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</si>
  <si>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</si>
  <si>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</si>
  <si>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</si>
  <si>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</si>
  <si>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</si>
  <si>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</si>
  <si>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</si>
  <si>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</si>
  <si>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</si>
  <si>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</si>
  <si>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</si>
  <si>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</si>
  <si>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</si>
  <si>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</si>
  <si>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</si>
  <si>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</si>
  <si>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</si>
  <si>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</si>
  <si>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</si>
  <si>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</si>
  <si>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</si>
  <si>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</si>
  <si>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</si>
  <si>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</si>
  <si>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</si>
  <si>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</si>
  <si>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</si>
  <si>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</si>
  <si>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</si>
  <si>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</si>
  <si>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</si>
  <si>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</si>
  <si>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</si>
  <si>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</si>
  <si>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DATALAKE</t>
  </si>
  <si>
    <t>RASTREABILIDADE SISTEMA ORIGEM</t>
  </si>
  <si>
    <t>MODELO COMUM DE DADOS</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</si>
  <si>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</si>
  <si>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</si>
  <si>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</si>
  <si>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</si>
  <si>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</si>
  <si>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</si>
  <si>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</si>
  <si>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</si>
  <si>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</si>
  <si>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</si>
  <si>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</si>
  <si>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</si>
  <si>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</si>
  <si>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</si>
  <si>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</si>
  <si>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</si>
  <si>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</si>
  <si>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</si>
  <si>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</si>
  <si>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</si>
  <si>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</si>
  <si>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</si>
  <si>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</si>
  <si>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</si>
  <si>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</si>
  <si>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</si>
  <si>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</si>
  <si>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</si>
  <si>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Swift Message</t>
  </si>
  <si>
    <t>Message User Reference Identifier</t>
  </si>
  <si>
    <t>message_user_reference_id</t>
  </si>
  <si>
    <t>STRING</t>
  </si>
  <si>
    <t xml:space="preserve">Unique identifier of the message. </t>
  </si>
  <si>
    <t xml:space="preserve">Identificador único da mensagem. </t>
  </si>
  <si>
    <t>X</t>
  </si>
  <si>
    <t>CURATED_INTERNAL_MAINFRAME_ESTRANGEIRO</t>
  </si>
  <si>
    <t>EST94_HISMSGSW</t>
  </si>
  <si>
    <t xml:space="preserve">ESYD94A5_CMUR </t>
  </si>
  <si>
    <r>
      <rPr>
        <b/>
        <sz val="11"/>
        <color rgb="FF000000"/>
        <rFont val="Calibri"/>
        <family val="2"/>
      </rPr>
      <t xml:space="preserve">SELECT </t>
    </r>
    <r>
      <rPr>
        <sz val="11"/>
        <color rgb="FF000000"/>
        <rFont val="Calibri"/>
        <family val="2"/>
      </rPr>
      <t xml:space="preserve">EST94_HISMSGSW.ESYD94A5_CMUR
</t>
    </r>
    <r>
      <rPr>
        <b/>
        <sz val="11"/>
        <color rgb="FF000000"/>
        <rFont val="Calibri"/>
        <family val="2"/>
      </rPr>
      <t>WHERE</t>
    </r>
    <r>
      <rPr>
        <sz val="11"/>
        <color rgb="FF000000"/>
        <rFont val="Calibri"/>
        <family val="2"/>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</si>
  <si>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ES - Estrangeiro</t>
  </si>
  <si>
    <t>CMUR</t>
  </si>
  <si>
    <t xml:space="preserve">Filter by TIPMTMX = pacs008 or pacs009 or pain001 or MT103 or MT202 </t>
  </si>
  <si>
    <t>Reference ID</t>
  </si>
  <si>
    <t>reference_id</t>
  </si>
  <si>
    <t xml:space="preserve">Unique identifier of a specific transfer.  </t>
  </si>
  <si>
    <t xml:space="preserve">Identificador único da transferência.  </t>
  </si>
  <si>
    <t>ESYD94A5_CREFER</t>
  </si>
  <si>
    <r>
      <rPr>
        <b/>
        <sz val="11"/>
        <color rgb="FF000000"/>
        <rFont val="Calibri"/>
        <family val="2"/>
        <scheme val="minor"/>
      </rPr>
      <t>SELECT</t>
    </r>
    <r>
      <rPr>
        <sz val="11"/>
        <color rgb="FF000000"/>
        <rFont val="Calibri"/>
        <family val="2"/>
        <scheme val="minor"/>
      </rPr>
      <t xml:space="preserve"> IF(TRIM(EST94_HISMSGSW.ESYD94A5_CREFER) = '', NULL, EST94_HISMSGSW.ESYD94A5_CREFER)
</t>
    </r>
    <r>
      <rPr>
        <b/>
        <sz val="11"/>
        <color rgb="FF000000"/>
        <rFont val="Calibri"/>
        <family val="2"/>
        <scheme val="minor"/>
      </rPr>
      <t xml:space="preserve">WHERE </t>
    </r>
    <r>
      <rPr>
        <sz val="11"/>
        <color rgb="FF000000"/>
        <rFont val="Calibri"/>
        <family val="2"/>
        <scheme val="minor"/>
      </rPr>
      <t>SUBSTRING(EST94_HISMSGSW.ESYD94A5_HTIMEST, 1, 10) &gt;= EST94_HISMSGSW.DATA_DATE_PART
AND EST94_HISMSGSW.ESYD94A5_TIPMTMX IN ('pacs.008', 'pacs.009', 'pain.001', 'MT103', 'MT202')</t>
    </r>
  </si>
  <si>
    <t>CREFER</t>
  </si>
  <si>
    <t>Unique End to End Transaction Reference Identifier</t>
  </si>
  <si>
    <t>unique_end_end_trans_ref_id</t>
  </si>
  <si>
    <t xml:space="preserve">End-to-end reference id. </t>
  </si>
  <si>
    <t xml:space="preserve">Identificador de referência end-to-end. </t>
  </si>
  <si>
    <t>ESYD94A5_CUETR</t>
  </si>
  <si>
    <r>
      <rPr>
        <b/>
        <sz val="11"/>
        <color rgb="FF000000"/>
        <rFont val="Calibri"/>
        <scheme val="minor"/>
      </rPr>
      <t>SELECT</t>
    </r>
    <r>
      <rPr>
        <sz val="11"/>
        <color rgb="FF000000"/>
        <rFont val="Calibri"/>
        <scheme val="minor"/>
      </rPr>
      <t xml:space="preserve"> IF(TRIM(EST94_HISMSGSW.ESYD94A5_CUETR) = '', NULL, EST94_HISMSGSW.ESYD94A5_CUETR)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</si>
  <si>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CUETR</t>
  </si>
  <si>
    <t>Sender Identifier</t>
  </si>
  <si>
    <t>sender_identifier</t>
  </si>
  <si>
    <t xml:space="preserve">Unique identifier of the transaction sender. </t>
  </si>
  <si>
    <t xml:space="preserve">Identificador único do emitente/originador da transação.  </t>
  </si>
  <si>
    <t>EST95_HISTXMSG</t>
  </si>
  <si>
    <t>ESYD95A1_GTXTMSG</t>
  </si>
  <si>
    <r>
      <rPr>
        <b/>
        <sz val="11"/>
        <color rgb="FF000000"/>
        <rFont val="Calibri"/>
      </rPr>
      <t>SELECT</t>
    </r>
    <r>
      <rPr>
        <sz val="11"/>
        <color rgb="FF000000"/>
        <rFont val="Calibri"/>
      </rPr>
      <t xml:space="preserve"> CASE
    WHEN TRIM( LEFT( TRIM(EST95_HISTXMSG.ESYD95A1_GTXTMSG ), LENGTH( TRIM( EST95_HISTXMSG.ESYD95A1_GTXTMSG ) ) - 1 ) ) IS NULL OR TRIM( TRIM( LEFT( TRIM( EST95_HISTXMSG.ESYD95A1_GTXTMSG ), LENGTH( TRIM( EST95_HISTXMSG.ESYD95A1_GTXTMSG ) ) - 1 ) ) ) = '' THEN NULL
    ELSE TRIM( RIGHT( TRIM( LEFT( TRIM( EST95_HISTXMSG.ESYD95A1_GTXTMSG ), LENGTH( TRIM( EST95_HISTXMSG.ESYD95A1_GTXTMSG ) ) - 1 ) ), LENGTH( TRIM( LEFT( TRIM( EST95_HISTXMSG.ESYD95A1_GTXTMSG ), LENGTH( TRIM( EST95_HISTXMSG.ESYD95A1_GTXTMSG ) ) - 1 ) ) ) - 3 ) )
    END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UPPER(EST95_HISTXMSG.ESYD95A1_GTXTMSG) LIKE '20%'</t>
    </r>
  </si>
  <si>
    <t>GTXTMSG</t>
  </si>
  <si>
    <t>TAG 20A</t>
  </si>
  <si>
    <t>Sender Bank Swift</t>
  </si>
  <si>
    <t>sender_bank_swift</t>
  </si>
  <si>
    <t xml:space="preserve">Unique identifier of the originator bank. </t>
  </si>
  <si>
    <t xml:space="preserve">Identificador único do banco originador / emitente. </t>
  </si>
  <si>
    <t>ESYD94A5_IOUTINC
ESYD94A5_CENDSWI</t>
  </si>
  <si>
    <r>
      <rPr>
        <b/>
        <sz val="11"/>
        <color rgb="FF000000"/>
        <rFont val="Calibri"/>
        <family val="2"/>
        <scheme val="minor"/>
      </rPr>
      <t xml:space="preserve">SELECT </t>
    </r>
    <r>
      <rPr>
        <sz val="11"/>
        <color rgb="FF000000"/>
        <rFont val="Calibri"/>
        <family val="2"/>
        <scheme val="minor"/>
      </rPr>
      <t xml:space="preserve">IF(TRIM(EST94_HISMSGSW.esyd94a5_ioutinc) = '', NULL, IF(EST94_HISMSGSW.esyd94a5_ioutinc = 'I', PARAM_GENERAL_CODE_CONVERTER.TARGET_VALUE, IF(TRIM(EST94_HISMSGSW.esyd94a5_cendswi) = '', NULL,  EST94_HISMSGSW.esyd94a5_cendswi)))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AND PARAM_GENERAL_CODE_CONVERTER.source_code = 'ES'
    AND PARAM_GENERAL_CODE_CONVERTER.target_field = 'sender_bank_swift'
    AND PARAM_GENERAL_CODE_CONVERTER.source_value = ''
    AND PARAM_GENERAL_CODE_CONVERTER.option_number = 1</t>
    </r>
  </si>
  <si>
    <t>CENDSWI</t>
  </si>
  <si>
    <t>IF IOUTINC = O then "TOTTAPTPL" else CENDSWI</t>
  </si>
  <si>
    <t>Intermediate Sender Bank Swift</t>
  </si>
  <si>
    <t>intermediate_sen_bank_swift</t>
  </si>
  <si>
    <t xml:space="preserve">Unique identifier of the intermediate sender bank. </t>
  </si>
  <si>
    <t xml:space="preserve">Identificador único do banco emitente intermediário. </t>
  </si>
  <si>
    <t>CURATED_INTERNAL_MAINFRAME_ESTRANGEIRO
CURATED_INTERNAL_MAINFRAME_ESTRANGEIRO
CURATED_INTERNAL_MAINFRAME_ESTRANGEIRO
CURATED_INTERNAL_MAINFRAME_ESTRANGEIRO</t>
  </si>
  <si>
    <t>EST94_HISMSGSW
EST95_HISTXMSG
EST95_HISTXMSG (FILTRO_53)
EST95_HISTXMSG (FILTRO_54)</t>
  </si>
  <si>
    <t>ESYD94A5_IOUTINC
ESYD95A1_GTXTMSG</t>
  </si>
  <si>
    <r>
      <rPr>
        <b/>
        <sz val="11"/>
        <color rgb="FF000000"/>
        <rFont val="Calibri"/>
      </rPr>
      <t>SELECT</t>
    </r>
    <r>
      <rPr>
        <sz val="11"/>
        <color rgb="FF000000"/>
        <rFont val="Calibri"/>
      </rPr>
      <t xml:space="preserve"> IF(TRIM(EST94_HISMSGSW.ESYD94A5_IOUTINC) = '', NULL, IF(EST94_HISMSGSW.ESYD94A5_IOUTINC = 'I',  IF(TRIM(IF(FILTRO_53.ESYD95A1_GTXTMSG= '', NULL, TRIM(LEFT(TRIM(FILTRO_53.ESYD95A1_GTXTMSG), LENGTH(TRIM(FILTRO_53.ESYD95A1_GTXTMSG)) - 1)))) = '', NULL, IF(FILTRO_53.ESYD95A1_GTXTMSG= '', NULL, TRIM(LEFT(TRIM(FILTRO_53.ESYD95A1_GTXTMSG), LENGTH(TRIM(FILTRO_53.ESYD95A1_GTXTMSG)) - 1)))), IF(TRIM(IF(FILTRO_54.ESYD95A1_GTXTMSG= '', NULL, TRIM(LEFT(TRIM(FILTRO_54.ESYD95A1_GTXTMSG), LENGTH(TRIM(FILTRO_54.ESYD95A1_GTXTMSG)) - 1)))) = '', NULL, IF(FILTRO_54.ESYD95A1_GTXTMSG= '', NULL, TRIM(LEFT(TRIM(FILTRO_54.ESYD95A1_GTXTMSG), LENGTH(TRIM(FILTRO_54.ESYD95A1_GTXTMSG)) - 1))))))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</si>
  <si>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I then 
get the BIC from 53A line
else
get the BIC from 54A line</t>
  </si>
  <si>
    <t>Receiver Identifier</t>
  </si>
  <si>
    <t>receiver_identifier</t>
  </si>
  <si>
    <t xml:space="preserve">Unique identifier of the transactions receiver.  </t>
  </si>
  <si>
    <t xml:space="preserve">Identificador único do receptor/destinatário da transação.  </t>
  </si>
  <si>
    <t>EST95_HISTXMSG (RECEIVER_REF)</t>
  </si>
  <si>
    <r>
      <rPr>
        <b/>
        <sz val="11"/>
        <color rgb="FF000000"/>
        <rFont val="Calibri"/>
        <family val="2"/>
        <scheme val="minor"/>
      </rPr>
      <t xml:space="preserve">SELECT </t>
    </r>
    <r>
      <rPr>
        <sz val="11"/>
        <color rgb="FF000000"/>
        <rFont val="Calibri"/>
        <family val="2"/>
        <scheme val="minor"/>
      </rPr>
      <t xml:space="preserve">CASE WHEN IF(RECEIVER_REF.ESYD95A1_GTXTMSG= '', NULL, TRIM(LEFT(TRIM(RECEIVER_REF.ESYD95A1_GTXTMSG), LENGTH(TRIM(RECEIVER_REF.ESYD95A1_GTXTMSG)) - 1))) IS NULL OR TRIM(IF(RECEIVER_REF.ESYD95A1_GTXTMSG= '', NULL, TRIM(LEFT(TRIM(RECEIVER_REF.ESYD95A1_GTXTMSG), LENGTH(TRIM(RECEIVER_REF.ESYD95A1_GTXTMSG)) - 1)))) = '' THEN NULL ELSE TRIM(RIGHT(IF(RECEIVER_REF.ESYD95A1_GTXTMSG= '', NULL, TRIM(LEFT(TRIM(RECEIVER_REF.ESYD95A1_GTXTMSG), LENGTH(TRIM(RECEIVER_REF.ESYD95A1_GTXTMSG)) - 1))), LENGTH(IF(RECEIVER_REF.ESYD95A1_GTXTMSG= '', NULL, TRIM(LEFT(TRIM(RECEIVER_REF.ESYD95A1_GTXTMSG), LENGTH(TRIM(RECEIVER_REF.ESYD95A1_GTXTMSG)) - 1)))) - 3)) END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EST95_HISTXMSG.ESYD95A1_GTXTMSG LIKE '21%' AND RIGHT(TRIM(RECEIVER_REF.ESYD95A1_GTXTMSG), 1) = '1'</t>
    </r>
  </si>
  <si>
    <t>TAG 21A</t>
  </si>
  <si>
    <t>Receiver Bank Swift</t>
  </si>
  <si>
    <t>receiver_bank_swift</t>
  </si>
  <si>
    <t xml:space="preserve">Unique identifier of the beneficiary bank. </t>
  </si>
  <si>
    <t xml:space="preserve">Identificador único do banco beneficiário / destinatário.  </t>
  </si>
  <si>
    <r>
      <rPr>
        <b/>
        <sz val="11"/>
        <color rgb="FF000000"/>
        <rFont val="Calibri"/>
        <family val="2"/>
        <scheme val="minor"/>
      </rPr>
      <t>SELECT</t>
    </r>
    <r>
      <rPr>
        <sz val="11"/>
        <color rgb="FF000000"/>
        <rFont val="Calibri"/>
        <family val="2"/>
        <scheme val="minor"/>
      </rPr>
      <t xml:space="preserve"> IF(TRIM(EST94_HISMSGSW.esyd94a5_ioutinc) = '', NULL, IF(EST94_HISMSGSW.esyd94a5_ioutinc = 'O', PARAM_GENERAL_CODE_CONVERTER.TARGET_VALUE, IF(TRIM(EST94_HISMSGSW.esyd94a5_cendswi) = '', NULL,  EST94_HISMSGSW.esyd94a5_cendswi)))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
AND PARAM_GENERAL_CODE_CONVERTER.source_code = 'ES'
    AND PARAM_GENERAL_CODE_CONVERTER.target_field = 'receiver_bank_swift'
    AND PARAM_GENERAL_CODE_CONVERTER.source_value = ''
    AND PARAM_GENERAL_CODE_CONVERTER.option_number = 1</t>
    </r>
  </si>
  <si>
    <t>IF IOUTINC = I then "TOTTAPTPL" else CENDSWI</t>
  </si>
  <si>
    <t>Intermediate Receiver Bank Swift</t>
  </si>
  <si>
    <t>intermediate_rec_bank_swift</t>
  </si>
  <si>
    <t xml:space="preserve">Unique identifier of the intermediate receiver bank. </t>
  </si>
  <si>
    <t xml:space="preserve">Identificador único do banco destinatário intermediário. </t>
  </si>
  <si>
    <r>
      <rPr>
        <b/>
        <sz val="11"/>
        <color rgb="FF000000"/>
        <rFont val="Calibri"/>
        <scheme val="minor"/>
      </rPr>
      <t xml:space="preserve">SELECT </t>
    </r>
    <r>
      <rPr>
        <sz val="11"/>
        <color rgb="FF000000"/>
        <rFont val="Calibri"/>
        <scheme val="minor"/>
      </rPr>
      <t xml:space="preserve">IF(TRIM(EST94_HISMSGSW.ESYD94A5_IOUTINC) = '', NULL, IF(EST94_HISMSGSW.ESYD94A5_IOUTINC= 'I', IF(TRIM(IF(FILTRO_54.ESYD95A1_GTXTMSG = '', NULL, TRIM(LEFT(TRIM(FILTRO_54.ESYD95A1_GTXTMSG), LENGTH(TRIM(FILTRO_54.ESYD95A1_GTXTMSG)) - 1)))) = '', NULL,  IF(FILTRO_54.ESYD95A1_GTXTMSG = '', NULL, TRIM(LEFT(TRIM(FILTRO_54.ESYD95A1_GTXTMSG), LENGTH(TRIM(FILTRO_54.ESYD95A1_GTXTMSG)) - 1)))),  IF(TRIM(IF(FILTRO_53.ESYD95A1_GTXTMSG = '', NULL, TRIM(LEFT(TRIM(FILTRO_53.ESYD95A1_GTXTMSG), LENGTH(TRIM(FILTRO_53.ESYD95A1_GTXTMSG)) - 1)))) = '', NULL, IF(FILTRO_53.ESYD95A1_GTXTMSG= '', NULL, TRIM(LEFT(TRIM(FILTRO_53.ESYD95A1_GTXTMSG), LENGTH(TRIM(FILTRO_53.ESYD95A1_GTXTMSG)) - 1))))))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</si>
  <si>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o then 
get the BIC from 54A line
else
get the BIC from 53A line</t>
  </si>
  <si>
    <t>Message Creation Date</t>
  </si>
  <si>
    <t>message_creation_date</t>
  </si>
  <si>
    <t xml:space="preserve">Date and time of the transfer/payment. </t>
  </si>
  <si>
    <t xml:space="preserve">Data e hora da transferência / pagamento. </t>
  </si>
  <si>
    <t>ESYD94A5_DTCRIACAO
ESYD94A5_HRCRIACAO</t>
  </si>
  <si>
    <r>
      <rPr>
        <b/>
        <sz val="11"/>
        <color rgb="FF000000"/>
        <rFont val="Calibri"/>
        <family val="2"/>
        <scheme val="minor"/>
      </rPr>
      <t xml:space="preserve">SELECT </t>
    </r>
    <r>
      <rPr>
        <sz val="11"/>
        <color rgb="FF000000"/>
        <rFont val="Calibri"/>
        <family val="2"/>
        <scheme val="minor"/>
      </rPr>
      <t xml:space="preserve">IF(TRIM(CONCAT(EST94_HISMSGSW.ESYD94A5_DTCRIACAO, EST94_HISMSGSW.ESYD94A5_HRCRIACAO)) = '', NULL, CONCAT(EST94_HISMSGSW.ESYD94A5_DTCRIACAO, ' ', REPLACE(EST94_HISMSGSW.ESYD94A5_HRCRIACAO, '.', ':')))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</si>
  <si>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CONCAT( DTCRIACAO, HRCRIACAO )</t>
  </si>
  <si>
    <t>Message Schema</t>
  </si>
  <si>
    <t>message_schema</t>
  </si>
  <si>
    <t>Message schema such as SWIFT, SEPA, Faster Payment, Chaps</t>
  </si>
  <si>
    <t>Schema da mensagem isto é, SWIFT, SEPA, Faster Payment, Chaps</t>
  </si>
  <si>
    <t>TAT91_TABELAS - CTABELA 749; CURATED_INTERNAL_MAINFRAME_ESTRUTURAIS.TAT91_TABELAS - TAYD91C0_CTABELA 749; COMMON_REFERENCEDATA_CORE.REFERENCE_DATA_TABLE - DATA_TABLE_CODE 000749;</t>
  </si>
  <si>
    <t>ESYD94A5_TIPMTMX</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</si>
  <si>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AND PARAM_GENERAL_CODE_CONVERTER.SOURCE_CODE = 'ES'
    AND PARAM_GENERAL_CODE_CONVERTER.TARGET_FIELD = 'message_schema'
    AND PARAM_GENERAL_CODE_CONVERTER.SOURCE_VALUE = IF(TRIM(EST94_HISMSGSW.esyd94a5_tipmtmx) = '', NULL, IF(TRIM(EST94_HISMSGSW.esyd94a5_tipmtmx) IN ('MT103', 'MT202'), EST94_HISMSGSW.esyd94a5_tipmtmx, ''))
    AND PARAM_GENERAL_CODE_CONVERTER.OPTION_NUMBER = 1</t>
    </r>
  </si>
  <si>
    <t>TIPMTMX</t>
  </si>
  <si>
    <t>Case when TIPMTMX = MT103 or MT202 : SWIFT
else : ISO20022</t>
  </si>
  <si>
    <t>Message Format Type</t>
  </si>
  <si>
    <t>message_format_type</t>
  </si>
  <si>
    <t xml:space="preserve">Message format type such as MT103, MT202, etc. </t>
  </si>
  <si>
    <t xml:space="preserve">Classificação da tipologia de mensagem em MT103, MT202, entre outras </t>
  </si>
  <si>
    <r>
      <rPr>
        <b/>
        <sz val="11"/>
        <color rgb="FF000000"/>
        <rFont val="Calibri"/>
        <scheme val="minor"/>
      </rPr>
      <t xml:space="preserve">SELECT </t>
    </r>
    <r>
      <rPr>
        <sz val="11"/>
        <color rgb="FF000000"/>
        <rFont val="Calibri"/>
        <scheme val="minor"/>
      </rPr>
      <t xml:space="preserve">IF(TRIM(EST94_HISMSGSW.ESYD94A5_TIPMTMX) = '', NULL, EST94_HISMSGSW.ESYD94A5_TIPMTMX)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</si>
  <si>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 xml:space="preserve">Full Message </t>
  </si>
  <si>
    <t>full_message</t>
  </si>
  <si>
    <t>Full message text</t>
  </si>
  <si>
    <t xml:space="preserve">Descritivo completo da mensagem de transação / pagamento. </t>
  </si>
  <si>
    <t>EST95_HISTXMSG (FULL_MESSAGE)</t>
  </si>
  <si>
    <r>
      <rPr>
        <b/>
        <sz val="11"/>
        <color rgb="FF000000"/>
        <rFont val="Calibri"/>
        <scheme val="minor"/>
      </rPr>
      <t xml:space="preserve">SELECT </t>
    </r>
    <r>
      <rPr>
        <sz val="11"/>
        <color rgb="FF000000"/>
        <rFont val="Calibri"/>
        <scheme val="minor"/>
      </rPr>
      <t xml:space="preserve">IF(TRIM(CONCAT_WS(' ', COLLECT_LIST(TRIM(LEFT(TRIM(EST95_HISTXMSG.ESYD95A1_GTXTMSG), LENGTH(TRIM(EST95_HISTXMSG.ESYD95A1_GTXTMSG)) - 1)))))='', NULL, CONCAT_WS(' ', COLLECT_LIST(TRIM(LEFT(TRIM(EST95_HISTXMSG.ESYD95A1_GTXTMSG), LENGTH(TRIM(EST95_HISTXMSG.ESYD95A1_GTXTMSG)) - 1)))))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r>
      <rPr>
        <b/>
        <sz val="11"/>
        <color rgb="FF000000"/>
        <rFont val="Calibri"/>
        <scheme val="minor"/>
      </rPr>
      <t xml:space="preserve">GROUP BY </t>
    </r>
    <r>
      <rPr>
        <sz val="11"/>
        <color rgb="FF000000"/>
        <rFont val="Calibri"/>
        <scheme val="minor"/>
      </rPr>
      <t>TRIM(EST95_HISTXMSG.ESYD95A1_CMUR, TRIM(ESYD95A1_ZSN)</t>
    </r>
  </si>
  <si>
    <t>All lines with the same CMUR</t>
  </si>
  <si>
    <t xml:space="preserve">Data Date Part </t>
  </si>
  <si>
    <t>data_date_part</t>
  </si>
  <si>
    <t>Information reference date.</t>
  </si>
  <si>
    <t>Data de referência dos dados</t>
  </si>
  <si>
    <t>DATA_DATE_PART</t>
  </si>
  <si>
    <r>
      <rPr>
        <b/>
        <sz val="11"/>
        <color rgb="FF000000"/>
        <rFont val="Calibri"/>
        <family val="2"/>
        <scheme val="minor"/>
      </rPr>
      <t>SELECT</t>
    </r>
    <r>
      <rPr>
        <sz val="11"/>
        <color rgb="FF000000"/>
        <rFont val="Calibri"/>
        <family val="2"/>
        <scheme val="minor"/>
      </rPr>
      <t xml:space="preserve"> EST94_HISMSGSW.DATA_DATE_PART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</si>
  <si>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N/A</t>
  </si>
  <si>
    <t>Data Timestamp Part</t>
  </si>
  <si>
    <t>data_timestamp_part</t>
  </si>
  <si>
    <t>TIMESTAMP</t>
  </si>
  <si>
    <t>Record's load timestamp in common layer.</t>
  </si>
  <si>
    <t>Timestamp da escrita dos dados na camada do modelo comum.</t>
  </si>
  <si>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</si>
  <si>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Transfers Swift</t>
  </si>
  <si>
    <t>Internal Reference ID</t>
  </si>
  <si>
    <t>internal_reference_id</t>
  </si>
  <si>
    <t>Unique identifier of a specific transfer.</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</si>
  <si>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t>
  </si>
  <si>
    <t>EST10_ORDENS
IGT05
RST03_MT101TRF
HH_TRANSF_EMIT
HH_TRANSF_EMIT
HH_SWIFT_RELAC
JK_ORDEN_ENVIAR
JK_ORDEN_CAMARA</t>
  </si>
  <si>
    <t>CKREFEST
CKREFEST
RSYD03A2_CREFMT101, RSYD03A2_ZREFTRF
IDCENT, CODPROD, NUMSOR
IDCENT, CODPROD, NUMSOR
IDCENT, CODPROD, NUMSOR
IDCENT, SERVAPLI, NUMECONT
IDCENT, SERVAPLI, NUMECONT</t>
  </si>
  <si>
    <r>
      <rPr>
        <b/>
        <sz val="11"/>
        <color rgb="FF000000"/>
        <rFont val="Calibri"/>
        <family val="2"/>
      </rPr>
      <t xml:space="preserve">SELECT </t>
    </r>
    <r>
      <rPr>
        <sz val="11"/>
        <color rgb="FF000000"/>
        <rFont val="Calibri"/>
        <family val="2"/>
      </rPr>
      <t xml:space="preserve">EST10_ORDENS.CKREFEST
</t>
    </r>
    <r>
      <rPr>
        <b/>
        <sz val="11"/>
        <color rgb="FF000000"/>
        <rFont val="Calibri"/>
        <family val="2"/>
      </rPr>
      <t xml:space="preserve">WHERE </t>
    </r>
    <r>
      <rPr>
        <sz val="11"/>
        <color rgb="FF000000"/>
        <rFont val="Calibri"/>
        <family val="2"/>
      </rPr>
      <t xml:space="preserve">SUBSTRING( EST10_ORDENS.HTIMEST, 1, 10) &gt; SUBSTRING( LAST_DATA_DATE_PART, 1, 10 ) AND SUBSTRING( EST10_ORDENS.HTIMEST, 1, 10 ) &lt;= SUBSTRING( LAST_DATA_DATE_PART, 11, 10 )
</t>
    </r>
    <r>
      <rPr>
        <b/>
        <sz val="11"/>
        <color rgb="FF000000"/>
        <rFont val="Calibri"/>
        <family val="2"/>
      </rPr>
      <t xml:space="preserve">SELECT </t>
    </r>
    <r>
      <rPr>
        <sz val="11"/>
        <color rgb="FF000000"/>
        <rFont val="Calibri"/>
        <family val="2"/>
      </rPr>
      <t xml:space="preserve">IGT05.CKREFEST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CONCAT( RST03_MT101TRF.RSYD03A2_CREFMT101, LPAD( RST03_MT101TRF.RSYD03A2_ZREFTRF, 6, '0' ) )
</t>
    </r>
    <r>
      <rPr>
        <b/>
        <sz val="11"/>
        <color rgb="FF000000"/>
        <rFont val="Calibri"/>
        <family val="2"/>
      </rPr>
      <t xml:space="preserve">WHERE </t>
    </r>
    <r>
      <rPr>
        <sz val="11"/>
        <color rgb="FF000000"/>
        <rFont val="Calibri"/>
        <family val="2"/>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 xml:space="preserve">SELECT </t>
    </r>
    <r>
      <rPr>
        <sz val="11"/>
        <color rgb="FF000000"/>
        <rFont val="Calibri"/>
        <family val="2"/>
      </rPr>
      <t xml:space="preserve">CONCAT( HH_TRANSF_EMIT.IDCENT, HH_TRANSF_EMIT.CODPROD, HH_TRANSF_EMIT.NUMSOR)
</t>
    </r>
    <r>
      <rPr>
        <b/>
        <sz val="11"/>
        <color rgb="FF000000"/>
        <rFont val="Calibri"/>
        <family val="2"/>
      </rPr>
      <t xml:space="preserve">WHERE </t>
    </r>
    <r>
      <rPr>
        <sz val="11"/>
        <color rgb="FF000000"/>
        <rFont val="Calibri"/>
        <family val="2"/>
      </rPr>
      <t xml:space="preserve">HH_TRANSF_EMIT.IDCENT != '9635'
</t>
    </r>
    <r>
      <rPr>
        <b/>
        <sz val="11"/>
        <color rgb="FF000000"/>
        <rFont val="Calibri"/>
        <family val="2"/>
      </rPr>
      <t xml:space="preserve">SELECT </t>
    </r>
    <r>
      <rPr>
        <sz val="11"/>
        <color rgb="FF000000"/>
        <rFont val="Calibri"/>
        <family val="2"/>
      </rPr>
      <t xml:space="preserve">CONCAT(HH_TRANSF_EMIT.IDCENT, HH_TRANSF_EMIT.CODPROD, HH_TRANSF_EMIT.CODSPROD, HH_TRANSF_EMIT.NUMSOR)
</t>
    </r>
    <r>
      <rPr>
        <b/>
        <sz val="11"/>
        <color rgb="FF000000"/>
        <rFont val="Calibri"/>
        <family val="2"/>
      </rPr>
      <t xml:space="preserve">WHERE </t>
    </r>
    <r>
      <rPr>
        <sz val="11"/>
        <color rgb="FF000000"/>
        <rFont val="Calibri"/>
        <family val="2"/>
      </rPr>
      <t xml:space="preserve">HH_TRANSF_EMIT.IDCENT = '9635'
</t>
    </r>
    <r>
      <rPr>
        <b/>
        <sz val="11"/>
        <color rgb="FF000000"/>
        <rFont val="Calibri"/>
        <family val="2"/>
      </rPr>
      <t xml:space="preserve">SELECT </t>
    </r>
    <r>
      <rPr>
        <sz val="11"/>
        <color rgb="FF000000"/>
        <rFont val="Calibri"/>
        <family val="2"/>
      </rPr>
      <t xml:space="preserve">CONCAT( HH_SWIFT_RELAC.IDCENT, HH_SWIFT_RELAC.CODPROD, HH_SWIFT_RELAC.NUMSOR)
</t>
    </r>
    <r>
      <rPr>
        <b/>
        <sz val="11"/>
        <color rgb="FF000000"/>
        <rFont val="Calibri"/>
        <family val="2"/>
      </rPr>
      <t xml:space="preserve">SELECT </t>
    </r>
    <r>
      <rPr>
        <sz val="11"/>
        <color rgb="FF000000"/>
        <rFont val="Calibri"/>
        <family val="2"/>
      </rPr>
      <t xml:space="preserve">CONCAT( JK_ORDEN_ENVIAR.IDCENT, JK_ORDEN_ENVIAR.SERVAPLI, JK_ORDEN_ENVIAR.NUMECONT )
</t>
    </r>
    <r>
      <rPr>
        <b/>
        <sz val="11"/>
        <color rgb="FF000000"/>
        <rFont val="Calibri"/>
        <family val="2"/>
      </rPr>
      <t xml:space="preserve">WHERE </t>
    </r>
    <r>
      <rPr>
        <sz val="11"/>
        <color rgb="FF000000"/>
        <rFont val="Calibri"/>
        <family val="2"/>
      </rPr>
      <t xml:space="preserve">CONCAT( JK_ORDEN_ENVIAR.TIPMSJ, JK_ORDEN_ENVIAR.INDMSJ, JK_ORDEN_ENVIAR.NUMMSJ) != 'MT103'
</t>
    </r>
    <r>
      <rPr>
        <b/>
        <sz val="11"/>
        <color rgb="FF000000"/>
        <rFont val="Calibri"/>
        <family val="2"/>
      </rPr>
      <t xml:space="preserve">SELECT </t>
    </r>
    <r>
      <rPr>
        <sz val="11"/>
        <color rgb="FF000000"/>
        <rFont val="Calibri"/>
        <family val="2"/>
      </rPr>
      <t xml:space="preserve">CONCAT( JK_ORDEN_CAMARA.IDCENT, JK_ORDEN_CAMARA.SERVAPLI, JK_ORDEN_CAMARA.NUMECONT )
</t>
    </r>
    <r>
      <rPr>
        <b/>
        <sz val="11"/>
        <color rgb="FF000000"/>
        <rFont val="Calibri"/>
        <family val="2"/>
      </rPr>
      <t xml:space="preserve">WHERE </t>
    </r>
    <r>
      <rPr>
        <sz val="11"/>
        <color rgb="FF000000"/>
        <rFont val="Calibri"/>
        <family val="2"/>
      </rPr>
      <t>CONCAT( JK_ORDEN_CAMARA.TIPMSJ, JK_ORDEN_CAMARA.INDMSJ, JK_ORDEN_CAMARA.NUMMSJ) != 'MT103'</t>
    </r>
  </si>
  <si>
    <t xml:space="preserve">ES - Estrangeiro
IG - 
RS -
HH - 
HH - 
JK - </t>
  </si>
  <si>
    <t>EST10_ORDENS
IGT05_CONFIRMA
RST03_MT101TRF
HH_TRANSF_EMIT
HH_SWIFT_RELAC
JK_ORDEN_ENVIAR
JK_ORDEN_CAMARA</t>
  </si>
  <si>
    <t>CKREFEST
CKREFEST
CONCAT( CREFMT101, ZREFTRF )
CONCAT( IDCENT, CODPROD, NUMSOR)
NUMTRN
CONCAT(IDCENT, SERVAPLI, NUMECONT)
CONCAT(IDCENT, SERVAPLI, NUMECONT)</t>
  </si>
  <si>
    <t>N\A 
N\A
N\A
N\A
N\A
N\A
N\A</t>
  </si>
  <si>
    <t>Transfer Direction Code</t>
  </si>
  <si>
    <t>transfer_direction_code</t>
  </si>
  <si>
    <t xml:space="preserve">Transfer/payment direction indicator which evaluates if the transaction is sent or received. </t>
  </si>
  <si>
    <t xml:space="preserve">Indicador da direção/sentido da transferência/pagamento avaliando se a transação é enviada ou recebida. </t>
  </si>
  <si>
    <t>Transfer_direction:
N\A; N\A; COMMON_REFERENCEDATA_CORE.REFERENCE_DATA_TABLE - DATA_TABLE_CODE 010009;
Transfer_direction:
N\A; N\A; COMMON_REFERENCEDATA_CORE.REFERENCE_DATA_TABLE - DATA_TABLE_CODE 010009;
Transfer_direction:
N\A; N\A; COMMON_REFERENCEDATA_CORE.REFERENCE_DATA_TABLE - DATA_TABLE_CODE 010009;
Transfer_direction:
N\A; N\A; COMMON_REFERENCEDATA_CORE.REFERENCE_DATA_TABLE - DATA_TABLE_CODE 010009;
Transfer_direction:
N\A; N\A; COMMON_REFERENCEDATA_CORE.REFERENCE_DATA_TABLE - DATA_TABLE_CODE 010009;
Transfer_direction:
N\A; N\A; COMMON_REFERENCEDATA_CORE.REFERENCE_DATA_TABLE - DATA_TABLE_CODE 010009;
Transfer_direction:
N\A; N\A; COMMON_REFERENCEDATA_CORE.REFERENCE_DATA_TABLE - DATA_TABLE_CODE 010009;</t>
  </si>
  <si>
    <t>N/A
CURATED_INTERNAL_MAINFRAME_ESTRANGEIRO
N/A
N/A
N/A
N/A
N/A
N/A</t>
  </si>
  <si>
    <t>N/A
IGT05
N/A
N/A
N/A
N/A
N/A
N/A</t>
  </si>
  <si>
    <t>N/A
N/A
N/A
N/A
N/A
N/A
N/A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</si>
  <si>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PARAM_GENERAL_CODE_CONVERTER.SOURCE_CODE = 'ES' 
    AND PARAM_GENERAL_CODE_CONVERTER.TARGET_FIELD = 'transfer_direction_code' 
    AND PARAM_GENERAL_CODE_CONVERTER.SOURCE_VALUE = '' 
    AND PARAM_GENERAL_CODE_CONVERTER.OPTION_NUMBER = 2
    AND SUBSTRING( EST10_ORDENS.HTIMEST, 1, 10) &gt; SUBSTRING( LAST_DATA_DATE_PART, 1, 10 ) AND SUBSTRING( EST10_ORDENS.HTIMEST, 1, 10 ) &lt;= SUBSTRING( LAST_DATA_DATE_PART, 11, 10 )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IGT05.PRODUTO IN ( 'TRR', 'TNR', 'TRE', 'TNE' )
    AND PARAM_GENERAL_CODE_CONVERTER.SOURCE_CODE = 'IG' 
    AND PARAM_GENERAL_CODE_CONVERTER.TARGET_FIELD = 'transfer_direction_code' 
    AND PARAM_GENERAL_CODE_CONVERTER.SOURCE_VALUE = '' 
    AND PARAM_GENERAL_CODE_CONVERTER.OPTION_NUMBER = CASE 
    WHEN SUBSTRING( IGT05.ENDERECO_SWIFT_DEB, 1, 8 ) = 'TOTAPTPL' AND SUBSTRING( IGT05.ENDER_SWIFT_CRED, 1, 8) = 'TOTAPTPL' THEN 3
    WHEN SUBSTRING( IGT05.ENDERECO_SWIFT_DEB, 1, 8 ) = 'TOTAPTPL' AND SUBSTRING( IGT05.ENDER_SWIFT_CRED, 1, 8) != 'TOTAPTPL' THEN 1
    WHEN SUBSTRING( IGT05.ENDERECO_SWIFT_DEB, 1, 8 ) != 'TOTAPTPL' AND SUBSTRING( IGT05.ENDER_SWIFT_CRED, 1, 8) = 'TOTAPTPL' THEN 2
    ELSE NULL
END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PARAM_GENERAL_CODE_CONVERTER.SOURCE_CODE = 'RS' 
    AND PARAM_GENERAL_CODE_CONVERTER.TARGET_FIELD = 'transfer_direction_code' 
    AND PARAM_GENERAL_CODE_CONVERTER.SOURCE_VALUE = '' 
    AND PARAM_GENERAL_CODE_CONVERTER.OPTION_NUMBER = 3
    AND 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 xml:space="preserve">PARAM_GENERAL_CODE_CONVERTER.SOURCE_CODE = 'HH' 
    AND PARAM_GENERAL_CODE_CONVERTER.TARGET_FIELD = 'transfer_direction_code' 
    AND PARAM_GENERAL_CODE_CONVERTER.SOURCE_VALUE = '' 
    AND PARAM_GENERAL_CODE_CONVERTER.OPTION_NUMBER = 1
    AND HH_TRANSF_EMIT.IDCENT != '9635'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PARAM_GENERAL_CODE_CONVERTER.SOURCE_CODE = 'HH' 
    AND PARAM_GENERAL_CODE_CONVERTER.TARGET_FIELD = 'transfer_direction_code' 
    AND PARAM_GENERAL_CODE_CONVERTER.SOURCE_VALUE = '' 
    AND PARAM_GENERAL_CODE_CONVERTER.OPTION_NUMBER = 1
    AND HH_TRANSF_EMIT.IDCENT = '9635'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PARAM_GENERAL_CODE_CONVERTER.SOURCE_CODE = 'HH' 
    AND PARAM_GENERAL_CODE_CONVERTER.TARGET_FIELD = 'transfer_direction_code' 
    AND PARAM_GENERAL_CODE_CONVERTER.SOURCE_VALUE = '' 
    AND PARAM_GENERAL_CODE_CONVERTER.OPTION_NUMBER = 2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PARAM_GENERAL_CODE_CONVERTER.SOURCE_CODE = 'JK' 
    AND PARAM_GENERAL_CODE_CONVERTER.TARGET_FIELD = 'transfer_direction_code' 
    AND PARAM_GENERAL_CODE_CONVERTER.SOURCE_VALUE = '' 
    AND PARAM_GENERAL_CODE_CONVERTER.OPTION_NUMBER = 1
    AND CONCAT( JK_ORDEN_ENVIAR.TIPMSJ, JK_ORDEN_ENVIAR.INDMSJ, JK_ORDEN_ENVIAR.NUMMSJ) != 'MT103'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PARAM_GENERAL_CODE_CONVERTER.SOURCE_CODE = 'JK' 
    AND PARAM_GENERAL_CODE_CONVERTER.TARGET_FIELD = 'transfer_direction_code' 
    AND PARAM_GENERAL_CODE_CONVERTER.SOURCE_VALUE = '' 
    AND PARAM_GENERAL_CODE_CONVERTER.OPTION_NUMBER = 2
    AND CONCAT( JK_ORDEN_ENVIAR.TIPMSJ, JK_ORDEN_ENVIAR.INDMSJ, JK_ORDEN_ENVIAR.NUMMSJ) != 'MT103'
</t>
    </r>
  </si>
  <si>
    <t>N\A
N\A
N\A
N\A
N\A
N\A
N\A</t>
  </si>
  <si>
    <t>fixed 'Received' || If BANCO_RECEPTOR='TOTAPTPLIBO' THEN 'Recebido' else 'Emitido' || N/A || IF TRANSFER_ID IN HH_OPERAC_TRANS then 'Emitida' else 'Recebida'</t>
  </si>
  <si>
    <t>"REC"
N\A
"INT"
"SEN "
"REC"
"SEN" 
"REC"</t>
  </si>
  <si>
    <t>Sender Account Identification</t>
  </si>
  <si>
    <t xml:space="preserve">sender_account_identification </t>
  </si>
  <si>
    <t>International bank account number of the sender's main current account involved to the transfer/payment.</t>
  </si>
  <si>
    <t xml:space="preserve">Número de conta bancária internacional da conta à ordem do emitente envolvido na transferência/pagamento. </t>
  </si>
  <si>
    <t>CURATED_INTERNAL_MAINFRAME_ESTRANGEIRO
CURATED_INTERNAL_MAINFRAME_ESTRANGEIRO
CURATED_INTERNAL_MAINFRAME_ESTRANGEIRO
N/A
CURATED_INTERNAL_MAINFRAME_TRANSFERENCIAS
CURATED_INTERNAL_MAINFRAME_TRANSFERENCIAS
CURATED_INTERNAL_MAINFRAME_TRANSFERENCIAS
CURATED_INTERNAL_MAINFRAME_TRANSFERENCIAS
CURATED_INTERNAL_MAINFRAME_TRANSFERENCIAS</t>
  </si>
  <si>
    <t>EST10_ORDENS
IGT05
RST03_MT101TRF  || RST02_MT101MSG
N/A
HH_OPER_REFER
JK_ORDEN_ENVIAR
JK_DATOS_CAMPOS (SEN ID) || JK_ORDEN_CAMPOS (SEN ID)
JK_ORDEN_CAMARA
JK_DATOS_CAMPOS (SEN ID) || JK_ORDEN_CAMPOS (SEN ID)</t>
  </si>
  <si>
    <t>CNTCA50
NR_CTA_IBOS_DEB
RSYD03A2_CIBANORD || RSYD02A0_CIBANORD
N/A
TEXTO50
N/A
JKDCP_DATOSVA_TEXT || JKOCP_DATOSVA_TEXT
N/A
JKDCP_DATOSVA_TEXT || JKOCP_DATOSVA_TEXT</t>
  </si>
  <si>
    <r>
      <rPr>
        <b/>
        <sz val="11"/>
        <color rgb="FF000000"/>
        <rFont val="Calibri"/>
      </rPr>
      <t xml:space="preserve">SELECT </t>
    </r>
    <r>
      <rPr>
        <sz val="11"/>
        <color rgb="FF000000"/>
        <rFont val="Calibri"/>
      </rPr>
      <t xml:space="preserve">IF(TRIM(EST10_ORDENS.CNTCA50) = '', NULL, EST10_ORDENS.CNTCA50)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IF( TRIM( IGT05.NR_CTA_IBOS_DEB ) = '', NULL, IGT05.NR_CTA_IBOS_DEB )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IF(RST03_MT101TRF.RSYD03A2_CIBANORD IS NOT NULL AND TRIM(RST03_MT101TRF.RSYD03A2_CIBANORD) != '', RST03_MT101TRF.RSYD03A2_CIBANORD, IF(RST02_MT101MSG.RSYD02A0_CIBANORD IS NOT NULL AND TRIM(RST02_MT101MSG.RSYD02A0_CIBANORD) != '', RST02_MT101MSG.RSYD02A0_CIBANORD, NULL))
</t>
    </r>
    <r>
      <rPr>
        <b/>
        <sz val="11"/>
        <color rgb="FF000000"/>
        <rFont val="Calibri"/>
      </rPr>
      <t xml:space="preserve">WHERE </t>
    </r>
    <r>
      <rPr>
        <sz val="11"/>
        <color rgb="FF000000"/>
        <rFont val="Calibri"/>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NULL
WHERE HH_TRANSF_EMIT.IDCENT != '9635'
SELECT NULL
WHERE HH_TRANSF_EMIT.IDCENT = '9635'
</t>
    </r>
    <r>
      <rPr>
        <b/>
        <sz val="11"/>
        <color rgb="FF000000"/>
        <rFont val="Calibri"/>
      </rPr>
      <t xml:space="preserve">SELECT </t>
    </r>
    <r>
      <rPr>
        <sz val="11"/>
        <color rgb="FF000000"/>
        <rFont val="Calibri"/>
      </rPr>
      <t xml:space="preserve">IF( TRIM( HH_OPER_REFER.TEXTO50 ) = '', NULL, RTRIM(HH_OPER_REFER.TEXTO50 ) )
</t>
    </r>
    <r>
      <rPr>
        <b/>
        <sz val="11"/>
        <color rgb="FF000000"/>
        <rFont val="Calibri"/>
      </rPr>
      <t xml:space="preserve">WHERE </t>
    </r>
    <r>
      <rPr>
        <sz val="11"/>
        <color rgb="FF000000"/>
        <rFont val="Calibri"/>
      </rPr>
      <t xml:space="preserve">HH_OPER_REFER.TIPREL = 'K'
</t>
    </r>
    <r>
      <rPr>
        <b/>
        <sz val="11"/>
        <color rgb="FF000000"/>
        <rFont val="Calibri"/>
      </rPr>
      <t xml:space="preserve">SELECT </t>
    </r>
    <r>
      <rPr>
        <sz val="11"/>
        <color rgb="FF000000"/>
        <rFont val="Calibri"/>
      </rPr>
      <t xml:space="preserve">CASE
      WHEN TRIM( JK_ORDEN_CAMPOS.JKOCP_DATOSVA_TEXT) != '' AND JK_ORDEN_CAMPOS.JKOCP_DATOSVA_TEXT 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rPr>
      <t xml:space="preserve">WHERE </t>
    </r>
    <r>
      <rPr>
        <sz val="11"/>
        <color rgb="FF000000"/>
        <rFont val="Calibri"/>
      </rPr>
      <t xml:space="preserve">CONCAT( JK_ORDEN_ENVIAR.TIPMSJ, JK_ORDEN_ENVIAR.INDMSJ, JK_ORDEN_ENVIAR.NUMMSJ) != 'MT103' AND JK_DATOS_CAMPOS .JKDCP_CAMPO IN ( '521', '523' ) AND JK_ORDEN_CAMPOS.JKOCP_CAMPO IN ( '521', '523')
</t>
    </r>
    <r>
      <rPr>
        <b/>
        <sz val="11"/>
        <color rgb="FF000000"/>
        <rFont val="Calibri"/>
      </rPr>
      <t xml:space="preserve">SELECT </t>
    </r>
    <r>
      <rPr>
        <sz val="11"/>
        <color rgb="FF000000"/>
        <rFont val="Calibri"/>
      </rPr>
      <t xml:space="preserve">CASE
      WHEN TRIM( JK_ORDEN_CAMPOS.JKOCP_DATOSVA_TEXT) != '' AND JK_ORDEN_CAMPOS.JKOCP_DATOSVA_TEXT 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rPr>
      <t xml:space="preserve">WHERE </t>
    </r>
    <r>
      <rPr>
        <sz val="11"/>
        <color rgb="FF000000"/>
        <rFont val="Calibri"/>
      </rPr>
      <t>CONCAT( JK_ORDEN_CAMARA.TIPMSJ, JK_ORDEN_CAMARA.INDMSJ, JK_ORDEN_CAMARA.NUMMSJ) != 'MT103' AND JK_DATOS_CAMPOS.JKDCP_CAMPO IN ( '521', '523' ) AND JK_ORDEN_CAMPOS.JKOCP_CAMPO IN ( '521', '523')</t>
    </r>
  </si>
  <si>
    <t>EST10_ORDENS
IGT05_CONFIRMA
RST03_MT101TRF
HH_TRANSF_EMIT -&gt; CP_ORDEN_CONTR
HH_SWIFT_RELAC -&gt; HH_DAT_SW_COBRO -&gt; HH_OPER_REFER
JK_ORDEN_ENVIAR -&gt; JK_DATOS_CAMPOS (SEN ID) || JK_ORDEN_CAMPOS (SEN ID)
JK_ORDEN_CAMARA -&gt; JK_DATOS_CAMPOS (SEN ID) || JK_ORDEN_CAMPOS (SEN ID)</t>
  </si>
  <si>
    <t>CNT_CA_50
NR_CTA_IBOS_DEB 
CIBANORD
N/A
TEXTO50
DATOSVA( 1, 34 ) || DATOSVA( 1, 34 )
DATOSVA( 1, 34 ) || DATOSVA( 1, 34 )</t>
  </si>
  <si>
    <t>N/A || IF BANCO_RECEPTOR=ENDER_SWIFT_CRED then NR_CTA_IBOS_DEB else NR_CTA_IBOS_CRE
JK - CAMP = 501</t>
  </si>
  <si>
    <t>N\A 
N\A
N\A
NULL
N\A
N\A
N\A</t>
  </si>
  <si>
    <t xml:space="preserve">Sender Swift </t>
  </si>
  <si>
    <t>sender_swift</t>
  </si>
  <si>
    <t xml:space="preserve">Represents the sender´s financial institution identification. </t>
  </si>
  <si>
    <t xml:space="preserve">Representa a identificação da instituição financeira do remetente.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</si>
  <si>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</si>
  <si>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RST02_MT101MSG
HH_TRANSF_EMIT
HH_DATOS_BANCOS (SEN)
PRSW_DIRECCION (SEN)
JK_ORDEN_ENVIAR
PRSW_DIRECCION (SEN)
JK_ORDEN_CAMARA
PRSW_DIRECCION (SEN)</t>
  </si>
  <si>
    <t>SWBORD
ENDERECO_SWIFT_DEB
RSYD02A0_CBIC
N/A
N/A
IDEMEXSW, IDOFEXSW
N/A
IDEMEXSW, IDOFEXSW
N/A
IDEMEXSW, IDOFEXSW</t>
  </si>
  <si>
    <r>
      <rPr>
        <b/>
        <sz val="11"/>
        <color rgb="FF000000"/>
        <rFont val="Calibri"/>
        <family val="2"/>
      </rPr>
      <t xml:space="preserve">SELECT </t>
    </r>
    <r>
      <rPr>
        <sz val="11"/>
        <color rgb="FF000000"/>
        <rFont val="Calibri"/>
        <family val="2"/>
      </rPr>
      <t xml:space="preserve">IF(TRIM(EST10_ORDENS.SWBORD) = '', NULL, EST10_ORDENS.SWBORD )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t>
    </r>
    <r>
      <rPr>
        <b/>
        <sz val="11"/>
        <color rgb="FF000000"/>
        <rFont val="Calibri"/>
        <family val="2"/>
      </rPr>
      <t xml:space="preserve">SELECT </t>
    </r>
    <r>
      <rPr>
        <sz val="11"/>
        <color rgb="FF000000"/>
        <rFont val="Calibri"/>
        <family val="2"/>
      </rPr>
      <t xml:space="preserve">IF(TRIM(IGT05.ENDERECO_SWIFT_DEB) = '', NULL, IGT05.ENDERECO_SWIFT_DEB)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IF(TRIM(RST02_MT101MSG.RSYD02A0_CBIC) = '', NULL, RST02_MT101MSG.RSYD02A0_CBIC)
</t>
    </r>
    <r>
      <rPr>
        <b/>
        <sz val="11"/>
        <color rgb="FF000000"/>
        <rFont val="Calibri"/>
        <family val="2"/>
      </rPr>
      <t xml:space="preserve">WHERE </t>
    </r>
    <r>
      <rPr>
        <sz val="11"/>
        <color rgb="FF000000"/>
        <rFont val="Calibri"/>
        <family val="2"/>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WHERE </t>
    </r>
    <r>
      <rPr>
        <sz val="11"/>
        <color rgb="FF000000"/>
        <rFont val="Calibri"/>
        <family val="2"/>
      </rPr>
      <t xml:space="preserve">HH_TRANSF_EMIT.IDCENT != '9635'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WHERE </t>
    </r>
    <r>
      <rPr>
        <sz val="11"/>
        <color rgb="FF000000"/>
        <rFont val="Calibri"/>
        <family val="2"/>
      </rPr>
      <t xml:space="preserve">HH_TRANSF_EMIT.IDCENT = '9635'
</t>
    </r>
    <r>
      <rPr>
        <b/>
        <sz val="11"/>
        <color rgb="FF000000"/>
        <rFont val="Calibri"/>
        <family val="2"/>
      </rPr>
      <t xml:space="preserve">SELECT </t>
    </r>
    <r>
      <rPr>
        <sz val="11"/>
        <color rgb="FF000000"/>
        <rFont val="Calibri"/>
        <family val="2"/>
      </rPr>
      <t xml:space="preserve">IF( TRIM( CONCAT( PRSW_DIRECCION.IDEMEXSW, PRSW_DIRECCION.IDOFEXSW ) ) = '', NULL, CONCAT( PRSW_DIRECCION.IDEMEXSW, PRSW_DIRECCION.IDOFEXSW ) )
WHERE HH_DATOS_BANCOS.HHF_INDBAN1 = 'O'
</t>
    </r>
    <r>
      <rPr>
        <b/>
        <sz val="11"/>
        <color rgb="FF000000"/>
        <rFont val="Calibri"/>
        <family val="2"/>
      </rPr>
      <t xml:space="preserve">SELECT </t>
    </r>
    <r>
      <rPr>
        <sz val="11"/>
        <color rgb="FF000000"/>
        <rFont val="Calibri"/>
        <family val="2"/>
      </rPr>
      <t xml:space="preserve">IF( TRIM( CONCAT( PRSW_DIRECCION.IDEMEXSW, PRSW_DIRECCION.IDOFEXSW ) ) = '', NULL, CONCAT( PRSW_DIRECCION.IDEMEXSW, PRSW_DIRECCION.IDOFEXSW ) )
</t>
    </r>
    <r>
      <rPr>
        <b/>
        <sz val="11"/>
        <color rgb="FF000000"/>
        <rFont val="Calibri"/>
        <family val="2"/>
      </rPr>
      <t xml:space="preserve">WHERE </t>
    </r>
    <r>
      <rPr>
        <sz val="11"/>
        <color rgb="FF000000"/>
        <rFont val="Calibri"/>
        <family val="2"/>
      </rPr>
      <t xml:space="preserve">CONCAT( JK_ORDEN_ENVIAR.TIPMSJ, JK_ORDEN_ENVIAR.INDMSJ, JK_ORDEN_ENVIAR.NUMMSJ) != 'MT103'
</t>
    </r>
    <r>
      <rPr>
        <b/>
        <sz val="11"/>
        <color rgb="FF000000"/>
        <rFont val="Calibri"/>
        <family val="2"/>
      </rPr>
      <t xml:space="preserve">SELECT </t>
    </r>
    <r>
      <rPr>
        <sz val="11"/>
        <color rgb="FF000000"/>
        <rFont val="Calibri"/>
        <family val="2"/>
      </rPr>
      <t xml:space="preserve">IF( TRIM( CONCAT( PRSW_DIRECCION.IDEMEXSW, PRSW_DIRECCION.IDOFEXSW ) ) = '', NULL, CONCAT( PRSW_DIRECCION.IDEMEXSW, PRSW_DIRECCION.IDOFEXSW ) )
</t>
    </r>
    <r>
      <rPr>
        <b/>
        <sz val="11"/>
        <color rgb="FF000000"/>
        <rFont val="Calibri"/>
        <family val="2"/>
      </rPr>
      <t xml:space="preserve">WHERE </t>
    </r>
    <r>
      <rPr>
        <sz val="11"/>
        <color rgb="FF000000"/>
        <rFont val="Calibri"/>
        <family val="2"/>
      </rPr>
      <t>CONCAT( JK_ORDEN_CAMARA.TIPMSJ, JK_ORDEN_CAMARA.INDMSJ, JK_ORDEN_CAMARA.NUMMSJ) != 'MT103'</t>
    </r>
  </si>
  <si>
    <t>EST10_ORDENS
IGT05_CONFIRMA
RST02_MT101MSG
HH_TRANSF_EMIT
HH_SWIFT_RELAC -&gt; HH_DAT_SW_COBRO -&gt; HH_DATOS_BANCOS (SEN) -&gt; PRSW_DIRECCION (SEN)
JK_ORDEN_ENVIAR -&gt; PRSW_DIRECCION (SEN)
JK_ORDEN_CAMARA -&gt; PRSW_DIRECCION (SEN)</t>
  </si>
  <si>
    <t>SWBORD
ENDERECO_SWIFT_DEB
CBIC
N/A
CONCAT( IDEMEXSW, IDOFEXSW)
CONCAT( IDEMEXSW, IDOFEXSW)
CONCAT( IDEMEXSW, IDOFEXSW)</t>
  </si>
  <si>
    <t>N/A || IF BANCO_RECEPTOR=ENDER_SWIFT_CRED then ENDERECO_SWIFT_DEB else ENDER_SWIFT_CRED || N/A || fixed 'TOTAPTPL'
INDBAN1 -&gt; ?
JK - CAMP = 501 \ 504</t>
  </si>
  <si>
    <t>N\A
N\A
N\A
NULL
N\A
N\A
N\A
N\A</t>
  </si>
  <si>
    <t xml:space="preserve">Sender Name </t>
  </si>
  <si>
    <t>sender_name</t>
  </si>
  <si>
    <t xml:space="preserve">Name of the sender involved in the transfer/payment. </t>
  </si>
  <si>
    <t xml:space="preserve">Nome do emitente envolvido na transferência/pagamento. </t>
  </si>
  <si>
    <t>EST51_INF_DET (ENV)
IGT05
RST03_MT101TRF || RST02_MT101MSG
HH_DAT_SW_COBRO
JK_ORDEN_ENVIAR
JK_DATOS_CAMPOS (SEN NAME) || JK_ORDEN_CAMPOS (SEN NAME)
JK_ORDEN_CAMARA
JK_DATOS_CAMPOS (SEN NAME) || JK_ORDEN_CAMPOS (SEN NAME)</t>
  </si>
  <si>
    <t>DETPAGAM
NOME_CTA_1_DEB
RSYD03A2_CORDEN02 || RSYD02A0_CORDEN02
HH1_DATORD
N/A
JKDCP_DATOSVA_TEXT || JKOCP_DATOSVA_TEXT
N/A
JKDCP_DATOSVA_TEXT || JKOCP_DATOSVA_TEXT</t>
  </si>
  <si>
    <r>
      <rPr>
        <b/>
        <sz val="11"/>
        <color rgb="FF000000"/>
        <rFont val="Calibri"/>
        <family val="2"/>
      </rPr>
      <t xml:space="preserve">SELECT </t>
    </r>
    <r>
      <rPr>
        <sz val="11"/>
        <color rgb="FF000000"/>
        <rFont val="Calibri"/>
        <family val="2"/>
      </rPr>
      <t xml:space="preserve">IF(TRIM(EST51_INF_DET.DETPAGAM) = '', NULL, EST51_INF_DET.DETPAGAM)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AND EST51_INF_DET.TIPMSG = '00103' AND (EST51_INF_DET.TIPINFOR = '00050' OR EST51_INF_DET.TIPINFOR = '00501') AND EST51_INF_DET.NCAMPO = '00001'
</t>
    </r>
    <r>
      <rPr>
        <b/>
        <sz val="11"/>
        <color rgb="FF000000"/>
        <rFont val="Calibri"/>
        <family val="2"/>
      </rPr>
      <t xml:space="preserve">SELECT </t>
    </r>
    <r>
      <rPr>
        <sz val="11"/>
        <color rgb="FF000000"/>
        <rFont val="Calibri"/>
        <family val="2"/>
      </rPr>
      <t xml:space="preserve">IF(TRIM(IGT05.NOME_CTA_1_DEB) = '', NULL, IGT05.NOME_CTA_1_DEB)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 RST03_MT101TRF.RSYD03A2_CORDEN02 IS NOT NULL AND TRIM( RST03_MT101TRF.RSYD03A2_CORDEN02 ) != '', RST03_MT101TRF.RSYD03A2_CORDEN02, IF( RST02_MT101MSG.RSYD02A0_CORDEN02 IS NOT NULL AND TRIM(RST02_MT101MSG.RSYD02A0_CORDEN02 ) != '', RST02_MT101MSG.RSYD02A0_CORDEN02,  NULL ) )
</t>
    </r>
    <r>
      <rPr>
        <b/>
        <sz val="11"/>
        <color rgb="FF000000"/>
        <rFont val="Calibri"/>
        <family val="2"/>
      </rPr>
      <t xml:space="preserve">WHERE </t>
    </r>
    <r>
      <rPr>
        <sz val="11"/>
        <color rgb="FF000000"/>
        <rFont val="Calibri"/>
        <family val="2"/>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 xml:space="preserve">SELECT </t>
    </r>
    <r>
      <rPr>
        <sz val="11"/>
        <color rgb="FF000000"/>
        <rFont val="Calibri"/>
        <family val="2"/>
      </rPr>
      <t xml:space="preserve">NULL
WHERE HH_TRANSF_EMIT.IDCENT != '9635'
SELECT NULL
WHERE HH_TRANSF_EMIT.IDCENT = '9635'
</t>
    </r>
    <r>
      <rPr>
        <b/>
        <sz val="11"/>
        <color rgb="FF000000"/>
        <rFont val="Calibri"/>
        <family val="2"/>
      </rPr>
      <t xml:space="preserve">SELECT </t>
    </r>
    <r>
      <rPr>
        <sz val="11"/>
        <color rgb="FF000000"/>
        <rFont val="Calibri"/>
        <family val="2"/>
      </rPr>
      <t xml:space="preserve">IF( TRIM( HH_DAT_SW_COBRO.HH1_DATORD) = '', NULL, RTRIM( SUBSTRING( HH_DAT_SW_COBRO.HH1_DATORD, 1, 35 ) ) ) 
</t>
    </r>
    <r>
      <rPr>
        <b/>
        <sz val="11"/>
        <color rgb="FF000000"/>
        <rFont val="Calibri"/>
        <family val="2"/>
      </rPr>
      <t xml:space="preserve">SELECT </t>
    </r>
    <r>
      <rPr>
        <sz val="11"/>
        <color rgb="FF000000"/>
        <rFont val="Calibri"/>
        <family val="2"/>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family val="2"/>
      </rPr>
      <t xml:space="preserve">WHERE </t>
    </r>
    <r>
      <rPr>
        <sz val="11"/>
        <color rgb="FF000000"/>
        <rFont val="Calibri"/>
        <family val="2"/>
      </rPr>
      <t xml:space="preserve">CONCAT( JK_ORDEN_ENVIAR.TIPMSJ, JK_ORDEN_ENVIAR.INDMSJ, JK_ORDEN_ENVIAR.NUMMSJ) != 'MT103' AND JK_DATOS_CAMPOS .JKDCP_CAMPO IN ( '523', '526' ) AND JK_ORDEN_CAMPOS.JKOCP_campo in ( '523', '526')
</t>
    </r>
    <r>
      <rPr>
        <b/>
        <sz val="11"/>
        <color rgb="FF000000"/>
        <rFont val="Calibri"/>
        <family val="2"/>
      </rPr>
      <t xml:space="preserve">SELECT </t>
    </r>
    <r>
      <rPr>
        <sz val="11"/>
        <color rgb="FF000000"/>
        <rFont val="Calibri"/>
        <family val="2"/>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family val="2"/>
      </rPr>
      <t xml:space="preserve">WHERE </t>
    </r>
    <r>
      <rPr>
        <sz val="11"/>
        <color rgb="FF000000"/>
        <rFont val="Calibri"/>
        <family val="2"/>
      </rPr>
      <t>CONCAT( JK_ORDEN_CAMARA.TIPMSJ, JK_ORDEN_CAMARA.INDMSJ, JK_ORDEN_CAMARA.NUMMSJ) != 'MT103' AND JK_DATOS_CAMPOS .JKDCP_CAMPO IN ( '523', '526' ) AND JK_ORDEN_CAMPOS.JKOCP_campo in ( '523', '526')</t>
    </r>
  </si>
  <si>
    <t>EST10_ORDENS -&gt; EST51_INF_DEF
IGT05_CONFIRMA
RST02_MT101MSG
HH_TRANSF_EMIT
HH_SWIFT_RELAC  -&gt; HH_DAT_SW_COBRO
JK_ORDEN_ENVIAR -&gt; JK_DATOS_CAMPOS (SEN NAME) || JK_ORDEN_CAMPOS (SEN NAME)
JK_ORDEN_CAMARA -&gt; JK_DATOS_CAMPOS</t>
  </si>
  <si>
    <t>DETPAGAM
NOME_CTA_1_DEB
CORDEN02
N/A
DATORD( 1, 35 )
SUBSTR( DATOSVA, 35, 35 ) || SUBSTR( DATOSVA, 35, 35 ) || SUBSTR( DATOSVA, 1, 35 ) || SUBSTR( DATOSVA, 1, 35 )
SUBSTR( DATOSVA, 35, 36 )</t>
  </si>
  <si>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</si>
  <si>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Receiver Account Identification</t>
  </si>
  <si>
    <t>receiver_account_identification</t>
  </si>
  <si>
    <t xml:space="preserve">
</t>
  </si>
  <si>
    <t>International bank account number of the receiver's main current account involved in the transfer/payment.</t>
  </si>
  <si>
    <t xml:space="preserve">Número de conta bancária internacional da conta à ordem do destinatário envolvido na transferência/pagamento. </t>
  </si>
  <si>
    <t>EST12_MOVORDEM
IGT05
RST03_MT101TRF
HH_BENEFIC_SW
HH_BENEFIC_SW
HH_BENEFIC_SW
JK_ORDEN_ENVIAR
JK_DATOS_CAMPOS (REC ID) || JK_ORDEN_CAMPOS (REC ID)
JK_ORDEN_CAMARA
JK_DATOS_CAMPOS (REC ID) || JK_ORDEN_CAMPOS (REC ID)</t>
  </si>
  <si>
    <t>CKBALDO, CKCTADO
NR_CTA_IBOS_CRED
RSYD03A2_CIBANBNF
CTA_BENS
CTA_BENS
CTA_BENS
N/A
JKDCP_DATOSVA_TEXT || JKOCP_DATOSVA_TEXT
N/A
JKDCP_DATOSVA_TEXT || JKOCP_DATOSVA_TEXT</t>
  </si>
  <si>
    <r>
      <rPr>
        <b/>
        <sz val="11"/>
        <color rgb="FF000000"/>
        <rFont val="Calibri"/>
      </rPr>
      <t xml:space="preserve">SELECT </t>
    </r>
    <r>
      <rPr>
        <sz val="11"/>
        <color rgb="FF000000"/>
        <rFont val="Calibri"/>
      </rPr>
      <t xml:space="preserve">IF(TRIM(CONCAT(EST12_MOVORDEM.CKBALDO, EST12_MOVORDEM.CKCTADO)) = '', NULL, CONCAT(EST12_MOVORDEM.CKBALDO, EST12_MOVORDEM.CKCTADO, '000000000000000'))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IF(TRIM(IGT05.NR_CTA_IBOS_CRED) = '', NULL, IGT05.NR_CTA_IBOS_CRED)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IF(TRIM(RST03_MT101TRF.RSYD03A2_CIBANBNF) = '', NULL, RST03_MT101TRF.RSYD03A2_CIBANBNF)
</t>
    </r>
    <r>
      <rPr>
        <b/>
        <sz val="11"/>
        <color rgb="FF000000"/>
        <rFont val="Calibri"/>
      </rPr>
      <t>WHERE</t>
    </r>
    <r>
      <rPr>
        <sz val="11"/>
        <color rgb="FF000000"/>
        <rFont val="Calibri"/>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IF( TRIM( HH_BENEFIC_SW.CTABENS ) = '', NULL, RTRIM( HH_BENEFIC_SW.CTABENS) )
WHERE HH_TRANSF_EMIT.IDCENT != '9635'
SELECT IF( TRIM( HH_BENEFIC_SW.CTABENS ) = '', NULL, RTRIM( HH_BENEFIC_SW.CTABENS) )
WHERE HH_TRANSF_EMIT.IDCENT = '9635'
</t>
    </r>
    <r>
      <rPr>
        <b/>
        <sz val="11"/>
        <color rgb="FF000000"/>
        <rFont val="Calibri"/>
      </rPr>
      <t xml:space="preserve">SELECT </t>
    </r>
    <r>
      <rPr>
        <sz val="11"/>
        <color rgb="FF000000"/>
        <rFont val="Calibri"/>
      </rPr>
      <t xml:space="preserve">IF( TRIM( HH_BENEFIC_SW.CTABENS ) = '', NULL, RTRIM( HH_BENEFIC_SW.CTABENS) )
</t>
    </r>
    <r>
      <rPr>
        <b/>
        <sz val="11"/>
        <color rgb="FF000000"/>
        <rFont val="Calibri"/>
      </rPr>
      <t xml:space="preserve">SELECT </t>
    </r>
    <r>
      <rPr>
        <sz val="11"/>
        <color rgb="FF000000"/>
        <rFont val="Calibri"/>
      </rPr>
      <t xml:space="preserve">CASE
      WHEN TRIM( JK_ORDEN_CAMPOS.JKOCP_DATOSVA_TEXT) != '' AND JK_ORDEN_CAMPOS.JKOCP_DATOSVA_TEXT IS NOT NULL THEN RTRIM( SUBSTRING( JK_ORDEN_CAMPOS.JKOCP_DATOSVA_TEXT, 1, 34 ) )
      WHEN TRIM( JK_DATOS_CAMPOS.JKDCP_DATOSVA_TEXT ) != '' AND JK_DATOS_CAMPOS .JKDCP_DATOSVA_TEXT IS NOT NULL THEN RTRIM( SUBSTRING( JK_DATOS_CAMPOS .JKDCP_DATOSVA_TEXT , 1, 34 ) )
      ELSE NULL
END
</t>
    </r>
    <r>
      <rPr>
        <b/>
        <sz val="11"/>
        <color rgb="FF000000"/>
        <rFont val="Calibri"/>
      </rPr>
      <t xml:space="preserve">WHERE </t>
    </r>
    <r>
      <rPr>
        <sz val="11"/>
        <color rgb="FF000000"/>
        <rFont val="Calibri"/>
      </rPr>
      <t xml:space="preserve">CONCAT( JK_ORDEN_ENVIAR.TIPMSJ, JK_ORDEN_ENVIAR.INDMSJ, JK_ORDEN_ENVIAR.NUMMSJ) != 'MT103' AND JK_DATOS_CAMPOS.JKDCP_CAMPO IN ( '571', '573' ) AND JK_ORDEN_CAMPOS.JKOCP_campo in ( '571', '573')
</t>
    </r>
    <r>
      <rPr>
        <b/>
        <sz val="11"/>
        <color rgb="FF000000"/>
        <rFont val="Calibri"/>
      </rPr>
      <t xml:space="preserve">SELECT </t>
    </r>
    <r>
      <rPr>
        <sz val="11"/>
        <color rgb="FF000000"/>
        <rFont val="Calibri"/>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t>
    </r>
    <r>
      <rPr>
        <b/>
        <sz val="11"/>
        <color rgb="FF000000"/>
        <rFont val="Calibri"/>
      </rPr>
      <t xml:space="preserve">END
</t>
    </r>
    <r>
      <rPr>
        <sz val="11"/>
        <color rgb="FF000000"/>
        <rFont val="Calibri"/>
      </rPr>
      <t>WHERE CONCAT( JK_ORDEN_CAMARA.TIPMSJ, JK_ORDEN_CAMARA.INDMSJ, JK_ORDEN_CAMARA.NUMMSJ) != 'MT103' AND JK_DATOS_CAMPOS.JKDCP_CAMPO IN ( '571', '573' ) AND JK_ORDEN_CAMPOS.JKOCP_campo in ( '571', '573')</t>
    </r>
  </si>
  <si>
    <t>EST10_ORDENS -&gt; EST12_MOVORDEM
IGT05_CONFIRMA
RST03_MT101TRF
HH_TRANSF_EMIT -&gt; HH_BENEFIC_SW
HH_SWIFT_RELAC -&gt; HH_DAT_SW_COBRO  -&gt; HH_BENEFIC_SW
JK_ORDEN_ENVIAR -&gt; JK_DATOS_CAMPOS (REC ID) || JK_ORDEN_CAMPOS (REC ID)
JK_ORDEN_CAMARA-&gt; JK_DATOS_CAMPOS (REC ID) || JK_ORDEN_CAMPOS (REC ID)</t>
  </si>
  <si>
    <t>CONCAT( CKBALDO, CKCTADO, "000000000000000")
NR_CTA_IBOS_CRE
CIBANBNF
CTABENS
CTABENS
DATOSVA( 1, 34 ) || DATOSVA( 1, 34 )
DATOSVA( 1, 34 ) || DATOSVA( 1, 34 )</t>
  </si>
  <si>
    <t>N/A || IF BANCO_RECEPTOR=ENDER_SWIFT_CRED then NR_CTA_IBOS_CRE else NR_CTA_IBOS_DEB
IPMSG = '00103' and TIPINFOR = '00059' ou '00501' and NCAMPO = '00001'</t>
  </si>
  <si>
    <t>Receiver Swfit</t>
  </si>
  <si>
    <t>receiver_swift</t>
  </si>
  <si>
    <t xml:space="preserve">Represents the receiver´s financial institution identification. </t>
  </si>
  <si>
    <t xml:space="preserve">Representa a identificação da instituição financeira do destinatário.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</si>
  <si>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</si>
  <si>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RST03_MT101TRF
HH_TRANSF_EMIT
HH_TRANSF_EMIT
PRSW_DIRECCION
HH_DATOS_BANCOS (REC)
PRSW_DIRECCION (REC)
JK_ORDEN_ENVIAR
PRSW_DIRECCION (REC DAT 581) || PRSW_DIRECCION (REC DAT 584) || PRSW_DIRECCION (REC ORD 581) || PRSW_DIRECCION (REC ORD 584)
JK_ORDEN_ENVIAR
PRSW_DIRECCION (REC DAT 581) || PRSW_DIRECCION (REC DAT 584) || PRSW_DIRECCION (REC ORD 581) || PRSW_DIRECCION (REC ORD 584)</t>
  </si>
  <si>
    <t>SWBBENEF
ENDER_SWIFT_CRED
RSYD03A2_CBICBNF
N/A
IDEMEXSW, IDOFEXSW
N/A
IDEMEXSW, IDOFEXSW
N/A
IDEMEXSW, IDOFEXSW
N/A
IDEMEXSW, IDOFEXSW
N/A
IDEMEXSW, IDOFEXSW</t>
  </si>
  <si>
    <r>
      <rPr>
        <b/>
        <sz val="11"/>
        <color rgb="FF000000"/>
        <rFont val="Calibri"/>
        <family val="2"/>
      </rPr>
      <t xml:space="preserve">SELECT </t>
    </r>
    <r>
      <rPr>
        <sz val="11"/>
        <color rgb="FF000000"/>
        <rFont val="Calibri"/>
        <family val="2"/>
      </rPr>
      <t xml:space="preserve">IF(TRIM(EST10_ORDENS.SWBBENEF) = '', NULL, EST10_ORDENS.SWBBENEF)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t>
    </r>
    <r>
      <rPr>
        <b/>
        <sz val="11"/>
        <color rgb="FF000000"/>
        <rFont val="Calibri"/>
        <family val="2"/>
      </rPr>
      <t xml:space="preserve">SELECT </t>
    </r>
    <r>
      <rPr>
        <sz val="11"/>
        <color rgb="FF000000"/>
        <rFont val="Calibri"/>
        <family val="2"/>
      </rPr>
      <t xml:space="preserve">IF(TRIM(IGT05.ENDER_SWIFT_CRED) = '',NULL, IGT05.ENDER_SWIFT_CRED)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IF(TRIM(RST03_MT101TRF.RSYD03A2_CBICBNF) = '', NULL, RST03_MT101TRF.RSYD03A2_CBICBNF)
</t>
    </r>
    <r>
      <rPr>
        <b/>
        <sz val="11"/>
        <color rgb="FF000000"/>
        <rFont val="Calibri"/>
        <family val="2"/>
      </rPr>
      <t>WHERE</t>
    </r>
    <r>
      <rPr>
        <sz val="11"/>
        <color rgb="FF000000"/>
        <rFont val="Calibri"/>
        <family val="2"/>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 xml:space="preserve">SELECT </t>
    </r>
    <r>
      <rPr>
        <sz val="11"/>
        <color rgb="FF000000"/>
        <rFont val="Calibri"/>
        <family val="2"/>
      </rPr>
      <t xml:space="preserve">IF( TRIM( CONCAT( PRSW_DIRECCION.IDEMEXSW, PRSW_DIRECCION.IDOFEXSW ) )  = '', NULL, CONCAT( PRSW_DIRECCION.IDEMEXSW, PRSW_DIRECCION.IDOFEXSW ) )
</t>
    </r>
    <r>
      <rPr>
        <b/>
        <sz val="11"/>
        <color rgb="FF000000"/>
        <rFont val="Calibri"/>
        <family val="2"/>
      </rPr>
      <t xml:space="preserve">WHERE </t>
    </r>
    <r>
      <rPr>
        <sz val="11"/>
        <color rgb="FF000000"/>
        <rFont val="Calibri"/>
        <family val="2"/>
      </rPr>
      <t xml:space="preserve">HH_TRANSF_EMIT.IDCENT != '9635'  AND HH_DATOS_BANCOS.HHF_INDBAN1 = 'B'
SELECT IF( TRIM( CONCAT( PRSW_DIRECCION.IDEMEXSW, PRSW_DIRECCION.IDOFEXSW ) )  = '', NULL, CONCAT( PRSW_DIRECCION.IDEMEXSW, PRSW_DIRECCION.IDOFEXSW ) )
WHERE HH_TRANSF_EMIT.IDCENT = '9635'  AND HH_DATOS_BANCOS.HHF_INDBAN1 = 'B'
</t>
    </r>
    <r>
      <rPr>
        <b/>
        <sz val="11"/>
        <color rgb="FF000000"/>
        <rFont val="Calibri"/>
        <family val="2"/>
      </rPr>
      <t xml:space="preserve">SELECT </t>
    </r>
    <r>
      <rPr>
        <sz val="11"/>
        <color rgb="FF000000"/>
        <rFont val="Calibri"/>
        <family val="2"/>
      </rPr>
      <t xml:space="preserve">IF( TRIM( CONCAT( PRSW_DIRECCION.IDEMEXSW, PRSW_DIRECCION.IDOFEXSW ) ) = '', NULL, CONCAT( PRSW_DIRECCION.IDEMEXSW, PRSW_DIRECCION.IDOFEXSW ) )
WHERE HH_DATOS_BANCOS.HHF_INDBAN1 = 'B'
</t>
    </r>
    <r>
      <rPr>
        <b/>
        <sz val="11"/>
        <color rgb="FF000000"/>
        <rFont val="Calibri"/>
        <family val="2"/>
      </rPr>
      <t xml:space="preserve">SELECT </t>
    </r>
    <r>
      <rPr>
        <sz val="11"/>
        <color rgb="FF000000"/>
        <rFont val="Calibri"/>
        <family val="2"/>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family val="2"/>
      </rPr>
      <t xml:space="preserve">WHERE </t>
    </r>
    <r>
      <rPr>
        <sz val="11"/>
        <color rgb="FF000000"/>
        <rFont val="Calibri"/>
        <family val="2"/>
      </rPr>
      <t xml:space="preserve">CONCAT( JK_ORDEN_ENVIAR.TIPMSJ, JK_ORDEN_ENVIAR.INDMSJ, JK_ORDEN_ENVIAR.NUMMSJ) != 'MT103' AND JK_DATOS_CAMPOS.JKDCP_CAMPO IN ('581', '584') AND JK_ORDEN_CAMPOS.JKOCP_CAMPO IN ('581', '584')
</t>
    </r>
    <r>
      <rPr>
        <b/>
        <sz val="11"/>
        <color rgb="FF000000"/>
        <rFont val="Calibri"/>
        <family val="2"/>
      </rPr>
      <t xml:space="preserve">SELECT </t>
    </r>
    <r>
      <rPr>
        <sz val="11"/>
        <color rgb="FF000000"/>
        <rFont val="Calibri"/>
        <family val="2"/>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family val="2"/>
      </rPr>
      <t>WHERE</t>
    </r>
    <r>
      <rPr>
        <sz val="11"/>
        <color rgb="FF000000"/>
        <rFont val="Calibri"/>
        <family val="2"/>
      </rPr>
      <t xml:space="preserve"> CONCAT( JK_ORDEN_CAMARA.TIPMSJ, JK_ORDEN_CAMARA.INDMSJ, JK_ORDEN_CAMARA.NUMMSJ) != 'MT103' AND JK_DATOS_CAMPOS.JKDCP_CAMPO IN ('581', '584') AND JK_ORDEN_CAMPOS.JKOCP_CAMPO IN ('581', '584')</t>
    </r>
  </si>
  <si>
    <t xml:space="preserve">EST10_ORDENS
IGT05_CONFIRMA
RST03_MT101TRF
HH_TRANSF_EMIT -&gt; HH_DATOS_BANCOS -&gt; PRWS_DIRECCION
HH_SWIFT_RELAC -&gt; HH_DAT_SW_COBRO -&gt; HH_DATOS_BANCOS (REC) -&gt; PRSW_DIRECCION (REC)
JK_ORDEN_ENVIAR -&gt; JK_DATOS_CAMPOS || JK_ORDEN_CAMPOS -&gt; PRSW_DIRECCION || PRSW_DIRECCION 
JK_ORDEN_CAMARA-&gt; JK_DATOS_CAMPOS || JK_ORDEN_CAMPOS -&gt; PRSW_DIRECCION || PRSW_DIRECCION </t>
  </si>
  <si>
    <t>SWBBENEF
ENDER_SWIFT_CRE
CBICBNF
CONCAT( IDEMEXSW, IDOFEXSW)
CONCAT( IDEMEXSW, IDOFEXSW)
CONCAT( IDEMEXSW, IDOFEXSW) || CONCAT( IDEMEXSW, IDOFEXSW)
CONCAT( IDEMEXSW, IDOFEXSW) || CONCAT( IDEMEXSW, IDOFEXSW)</t>
  </si>
  <si>
    <t>N/A ||  IF BANCO_RECEPTOR=ENDER_SWIFT_CRED then ENDER_SWIFT_CRE else ENDERECO_SWIFT_DEB
INDBAN1 = B
JK - CAMP = 594\596 REC</t>
  </si>
  <si>
    <t>Receiver Name</t>
  </si>
  <si>
    <t>receiver_name</t>
  </si>
  <si>
    <t xml:space="preserve">Name of the receiver involved in the transfer/payment. </t>
  </si>
  <si>
    <t xml:space="preserve">Nome do destinatário envolvido na transferência/pagamento.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</si>
  <si>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</si>
  <si>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EST51_INF_DET (REC)
IGT05
RST03_MT101TRF
HH_TRANSF_EMIT
HH_TRANSF_EMIT
HH_BENEFIC_SW
HH_BENEFIC_SW
JK_ORDEN_ENVIAR
JK_DATOS_CAMPOS (REC NAME) || JK_ORDEN_CAMPOS (REC NAME)
JK_ORDEN_ENVIAR
JK_DATOS_CAMPOS (REC NAME) || JK_ORDEN_CAMPOS (REC NAME)</t>
  </si>
  <si>
    <t>DETPAGAM
NOME_CTA_1_DEB
RSYD03A2_CNOMEBNF
N/A
NOMBENSW
NOMBENSW
NOMBENSW
N/A
JKDCP_DATOSVA_TEXT || JKOCP_DATOSVA_TEXT
N/A
JKDCP_DATOSVA_TEXT || JKOCP_DATOSVA_TEXT</t>
  </si>
  <si>
    <r>
      <rPr>
        <b/>
        <sz val="11"/>
        <color rgb="FF000000"/>
        <rFont val="Calibri"/>
        <family val="2"/>
      </rPr>
      <t xml:space="preserve">SELECT </t>
    </r>
    <r>
      <rPr>
        <sz val="11"/>
        <color rgb="FF000000"/>
        <rFont val="Calibri"/>
        <family val="2"/>
      </rPr>
      <t xml:space="preserve">IF(TRIM(EST51_INF_DET.DETPAGAM) = '', NULL, EST51_INF_DET.DETPAGAM)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AND EST51_INF_DET.TIPMSG = '00103' AND EST51_INF_DET.TIPINFOR = '00059' AND EST51_INF_DET.NCAMPO = '00001'
</t>
    </r>
    <r>
      <rPr>
        <b/>
        <sz val="11"/>
        <color rgb="FF000000"/>
        <rFont val="Calibri"/>
        <family val="2"/>
      </rPr>
      <t xml:space="preserve">SELECT </t>
    </r>
    <r>
      <rPr>
        <sz val="11"/>
        <color rgb="FF000000"/>
        <rFont val="Calibri"/>
        <family val="2"/>
      </rPr>
      <t xml:space="preserve">IF(TRIM(IGT05.NOME_CTA_1_CRED) = '', NULL, IGT05.NOME_CTA_1_CRED)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IF(TRIM(RST03_MT101TRF.RSYD03A2_CNOMEBNF) = '', NULL, RST03_MT101TRF.RSYD03A2_CNOMEBNF) 
</t>
    </r>
    <r>
      <rPr>
        <b/>
        <sz val="11"/>
        <color rgb="FF000000"/>
        <rFont val="Calibri"/>
        <family val="2"/>
      </rPr>
      <t xml:space="preserve">WHERE </t>
    </r>
    <r>
      <rPr>
        <sz val="11"/>
        <color rgb="FF000000"/>
        <rFont val="Calibri"/>
        <family val="2"/>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SELECT</t>
    </r>
    <r>
      <rPr>
        <sz val="11"/>
        <color rgb="FF000000"/>
        <rFont val="Calibri"/>
        <family val="2"/>
      </rPr>
      <t xml:space="preserve"> IF( TRIM( HH_BENEFIC_SW.NOMBENSW ) = '', NULL, RTRIM( HH_BENEFIC_SW.NOMBENSW ) )
</t>
    </r>
    <r>
      <rPr>
        <b/>
        <sz val="11"/>
        <color rgb="FF000000"/>
        <rFont val="Calibri"/>
        <family val="2"/>
      </rPr>
      <t xml:space="preserve">WHERE </t>
    </r>
    <r>
      <rPr>
        <sz val="11"/>
        <color rgb="FF000000"/>
        <rFont val="Calibri"/>
        <family val="2"/>
      </rPr>
      <t xml:space="preserve">HH_TRANSF_EMIT.IDCENT != '9635' 
SELECT IF( TRIM( HH_BENEFIC_SW.NOMBENSW ) = '', NULL, RTRIM( HH_BENEFIC_SW.NOMBENSW ) )
WHERE HH_TRANSF_EMIT.IDCENT = '9635' 
</t>
    </r>
    <r>
      <rPr>
        <b/>
        <sz val="11"/>
        <color rgb="FF000000"/>
        <rFont val="Calibri"/>
        <family val="2"/>
      </rPr>
      <t xml:space="preserve">SELECT </t>
    </r>
    <r>
      <rPr>
        <sz val="11"/>
        <color rgb="FF000000"/>
        <rFont val="Calibri"/>
        <family val="2"/>
      </rPr>
      <t xml:space="preserve">IF( TRIM( HH_BENEFIC_SW.NOMBENSW ) = '', NULL, RTRIM( HH_BENEFIC_SW.NOMBENSW ) )
</t>
    </r>
    <r>
      <rPr>
        <b/>
        <sz val="11"/>
        <color rgb="FF000000"/>
        <rFont val="Calibri"/>
        <family val="2"/>
      </rPr>
      <t xml:space="preserve">SELECT </t>
    </r>
    <r>
      <rPr>
        <sz val="11"/>
        <color rgb="FF000000"/>
        <rFont val="Calibri"/>
        <family val="2"/>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family val="2"/>
      </rPr>
      <t xml:space="preserve">WHERE </t>
    </r>
    <r>
      <rPr>
        <sz val="11"/>
        <color rgb="FF000000"/>
        <rFont val="Calibri"/>
        <family val="2"/>
      </rPr>
      <t xml:space="preserve">CONCAT( JK_ORDEN_ENVIAR.TIPMSJ, JK_ORDEN_ENVIAR.INDMSJ, JK_ORDEN_ENVIAR.NUMMSJ) != 'MT103' AND JK_DATOS_CAMPOS .JKDCP_CAMPO IN ( '573', '576' ) AND JK_ORDEN_CAMPOS.JKOCP_campo in ( '573', '576')
</t>
    </r>
    <r>
      <rPr>
        <b/>
        <sz val="11"/>
        <color rgb="FF000000"/>
        <rFont val="Calibri"/>
        <family val="2"/>
      </rPr>
      <t xml:space="preserve">SELECT </t>
    </r>
    <r>
      <rPr>
        <sz val="11"/>
        <color rgb="FF000000"/>
        <rFont val="Calibri"/>
        <family val="2"/>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family val="2"/>
      </rPr>
      <t xml:space="preserve">WHERE </t>
    </r>
    <r>
      <rPr>
        <sz val="11"/>
        <color rgb="FF000000"/>
        <rFont val="Calibri"/>
        <family val="2"/>
      </rPr>
      <t>CONCAT( JK_ORDEN_ENVIAR.TIPMSJ, JK_ORDEN_ENVIAR.INDMSJ, JK_ORDEN_ENVIAR.NUMMSJ) != 'MT103' AND JK_DATOS_CAMPOS .JKDCP_CAMPO IN ( '573', '576' ) AND JK_ORDEN_CAMPOS.JKOCP_campo in ( '573', '576')</t>
    </r>
  </si>
  <si>
    <t>EST10_ORDENS -&gt; EST51_INF_DEF
IGT05_CONFIRMA
RST03_MT101TRF
HH_TRANSF_EMIT -&gt; HH_BENEFIC_SW
HH_SWIFT_RELAC  -&gt; HH_DAT_SW_COBRO  -&gt; HH_BENEFIC_SW
JK_ORDEN_ENVIAR  -&gt; JK_DATOS_CAMPOS (REC NAME) || JK_ORDEN_CAMPOS (REC NAME)
JK_ORDEN_CAMARA-&gt; JK_DATOS_CAMPOS (REC NAME) || JK_ORDEN_CAMPOS (REC NAME)</t>
  </si>
  <si>
    <t>DETPAGAM
NOME_CTA_1_CRE
CNOMEBNF
NOMBENSW
NOMBENSW
DATOSVA( 35, 35 ) || DATOSVA( 1, 35 )
DATOSVA( 35, 35 ) || DATOSVA( 1, 35 )</t>
  </si>
  <si>
    <t>N/A || IF BANCO_RECEPTOR=ENDER_SWIFT_CRED then NOME_CTA_1_CRE else NOME_CTA_1_DEB
TIPINFOR = '00059' and TIPMSG = '00103' and NCAMPO = '00001'
JK - CAMP = 593\ 596\597\598</t>
  </si>
  <si>
    <t>N\A 
N\A
N\A
N\A
N\A
N\A || N\A
N\A || N\A</t>
  </si>
  <si>
    <t>Currency Code</t>
  </si>
  <si>
    <t>currency_code</t>
  </si>
  <si>
    <t xml:space="preserve">Currency code related to the amount received in the transfer/payment.  </t>
  </si>
  <si>
    <t xml:space="preserve">Código da moeda relativo ao montante recebido na transferência/pagamento. </t>
  </si>
  <si>
    <t>Currency:
TAT91_TABELAS - CTABELA 206; CURATED_INTERNAL_MAINFRAME_ESTRUTURAIS.TAT91_TABELAS - TAYD91C0_CTABELA 206; COMMON_REFERENCEDATA_CORE.REFERENCE_DATA_TABLE - DATA_TABLE_CODE 000206;
Currency:
TAT91_TABELAS - CTABELA 206; CURATED_INTERNAL_MAINFRAME_ESTRUTURAIS.TAT91_TABELAS - TAYD91C0_CTABELA 206; COMMON_REFERENCEDATA_CORE.REFERENCE_DATA_TABLE - DATA_TABLE_CODE 000206;
Currency:
TAT91_TABELAS - CTABELA 206; CURATED_INTERNAL_MAINFRAME_ESTRUTURAIS.TAT91_TABELAS - TAYD91C0_CTABELA 206; COMMON_REFERENCEDATA_CORE.REFERENCE_DATA_TABLE - DATA_TABLE_CODE 000206;
Currency:
TAT91_TABELAS - CTABELA 206; CURATED_INTERNAL_MAINFRAME_ESTRUTURAIS.TAT91_TABELAS - TAYD91C0_CTABELA 206; COMMON_REFERENCEDATA_CORE.REFERENCE_DATA_TABLE - DATA_TABLE_CODE 000206;
Currency:
TAT91_TABELAS - CTABELA 206; CURATED_INTERNAL_MAINFRAME_ESTRUTURAIS.TAT91_TABELAS - TAYD91C0_CTABELA 206; COMMON_REFERENCEDATA_CORE.REFERENCE_DATA_TABLE - DATA_TABLE_CODE 000206;
Currency:
TAT91_TABELAS - CTABELA 206; CURATED_INTERNAL_MAINFRAME_ESTRUTURAIS.TAT91_TABELAS - TAYD91C0_CTABELA 206; COMMON_REFERENCEDATA_CORE.REFERENCE_DATA_TABLE - DATA_TABLE_CODE 000206;
Currency:
TAT91_TABELAS - CTABELA 206; CURATED_INTERNAL_MAINFRAME_ESTRUTURAIS.TAT91_TABELAS - TAYD91C0_CTABELA 206; COMMON_REFERENCEDATA_CORE.REFERENCE_DATA_TABLE - DATA_TABLE_CODE 000206;</t>
  </si>
  <si>
    <t>CURATED_INTERNAL_MAINFRAME_ESTRANGEIRO
CURATED_INTERNAL_MAINFRAME_ESTRUTURAIS
CURATED_INTERNAL_MAINFRAME_ESTRANGEIRO
CURATED_INTERNAL_MAINFRAME_ESTRUTURAIS
CURATED_INTERNAL_MAINFRAME_ESTRANGEIRO
CURATED_INTERNAL_MAINFRAME_ESTRUTURAIS
CURATED_INTERNAL_MAINFRAME_ESTRUTURAIS
CURATED_INTERNAL_MAINFRAME_ESTRUTURAIS
CURATED_INTERNAL_MAINFRAME_ESTRUTURAIS
CURATED_INTERNAL_MAINFRAME_TRANSFERENCIAS
CURATED_INTERNAL_MAINFRAME_ESTRUTURAIS
CURATED_INTERNAL_MAINFRAME_TRANSFERENCIAS
CURATED_INTERNAL_MAINFRAME_ESTRUTURAIS</t>
  </si>
  <si>
    <t>EST10_ORDENS
TAT91_TABELAS_NEW
IGT05
TAT91_TABELAS_NEW
RST03_MT101TRF
TAT91_TABELAS_NEW
TAT91_TABELAS_NEW
TAT91_TABELAS_NEW
TAT91_TABELAS_NEW
JK_ORDEN_ENVIAR
TAT91_TABELAS_NEW
JK_ORDEN_ENVIAR
TAT91_TABELAS_NEW</t>
  </si>
  <si>
    <t>N/A
TAYD91C0_CELEMTAB
N/A
TAYD91C0_CELEMTAB
N/A
TAYD91C0_CELEMTAB
TAYD91C0_CELEMTAB
TAYD91C0_CELEMTAB
TAYD91C0_CELEMTAB
N/A
TAYD91C0_CELEMTAB
N/A
TAYD91C0_CELEMTAB</t>
  </si>
  <si>
    <r>
      <rPr>
        <b/>
        <sz val="11"/>
        <color rgb="FF000000"/>
        <rFont val="Calibri"/>
        <family val="2"/>
      </rPr>
      <t xml:space="preserve">SELECT </t>
    </r>
    <r>
      <rPr>
        <sz val="11"/>
        <color rgb="FF000000"/>
        <rFont val="Calibri"/>
        <family val="2"/>
      </rPr>
      <t xml:space="preserve">IF(TRIM( TAT91_TABELAS_NEW.TAYD91C0_CELEMTAB) = '', NULL, TRIM(TAT91_TABELAS_NEW.TAYD91C0_CELEMTAB ) )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AND TAT91_TABELAS_NEW.TAYD91C0_CTABELA = '206'
</t>
    </r>
    <r>
      <rPr>
        <b/>
        <sz val="11"/>
        <color rgb="FF000000"/>
        <rFont val="Calibri"/>
        <family val="2"/>
      </rPr>
      <t>SELECT</t>
    </r>
    <r>
      <rPr>
        <sz val="11"/>
        <color rgb="FF000000"/>
        <rFont val="Calibri"/>
        <family val="2"/>
      </rPr>
      <t xml:space="preserve"> IF(TRIM( TAT91_TABELAS_NEW.TAYD91C0_CELEMTAB) = '', NULL, TRIM(TAT91_TABELAS_NEW.TAYD91C0_CELEMTAB ) ) 
</t>
    </r>
    <r>
      <rPr>
        <b/>
        <sz val="11"/>
        <color rgb="FF000000"/>
        <rFont val="Calibri"/>
        <family val="2"/>
      </rPr>
      <t xml:space="preserve">WHERE </t>
    </r>
    <r>
      <rPr>
        <sz val="11"/>
        <color rgb="FF000000"/>
        <rFont val="Calibri"/>
        <family val="2"/>
      </rPr>
      <t xml:space="preserve">IGT05.PRODUTO IN ( 'TRR', 'TNR', 'TRE', 'TNE' ) AND TAT91_TABELAS_NEW.TAYD91C0_CTABELA = '206'
</t>
    </r>
    <r>
      <rPr>
        <b/>
        <sz val="11"/>
        <color rgb="FF000000"/>
        <rFont val="Calibri"/>
        <family val="2"/>
      </rPr>
      <t xml:space="preserve">SELECT </t>
    </r>
    <r>
      <rPr>
        <sz val="11"/>
        <color rgb="FF000000"/>
        <rFont val="Calibri"/>
        <family val="2"/>
      </rPr>
      <t xml:space="preserve">IF(TRIM( TAT91_TABELAS_NEW.TAYD91C0_CELEMTAB) = '', NULL, TRIM(TAT91_TABELAS_NEW.TAYD91C0_CELEMTAB ) ) 
</t>
    </r>
    <r>
      <rPr>
        <b/>
        <sz val="11"/>
        <color rgb="FF000000"/>
        <rFont val="Calibri"/>
        <family val="2"/>
      </rPr>
      <t xml:space="preserve">WHERE </t>
    </r>
    <r>
      <rPr>
        <sz val="11"/>
        <color rgb="FF000000"/>
        <rFont val="Calibri"/>
        <family val="2"/>
      </rPr>
      <t xml:space="preserve">SUBSTRING( RST03_MT101TRF.RSYD03A2_HMODIFI, 1, 10 ) &gt; SUBSTRING( LAST_DATA_DATE_PART, 1, 10 ) AND SUBSTRING( RST03_MT101TRF.RSYD03A2_HMODIFI, 1, 10 ) &lt;= SUBSTRING( LAST_DATA_DATE_PART, 11, 10)
   AND RST03_MT101TRF.RSYD03A2_CAPLICDST = 'RS' AND TAT91_TABELAS_NEW.TAYD91C0_CTABELA = '206'
</t>
    </r>
    <r>
      <rPr>
        <b/>
        <sz val="11"/>
        <color rgb="FF000000"/>
        <rFont val="Calibri"/>
        <family val="2"/>
      </rPr>
      <t xml:space="preserve">SELECT </t>
    </r>
    <r>
      <rPr>
        <sz val="11"/>
        <color rgb="FF000000"/>
        <rFont val="Calibri"/>
        <family val="2"/>
      </rPr>
      <t xml:space="preserve">IF( TRIM( TAT91_TABELAS_NEW.TAYD91C0_CELEMTAB ) = '', NULL, TRIM( TAT91_TABELAS_NEW.TAYD91C0_CELEMTAB ) )
</t>
    </r>
    <r>
      <rPr>
        <b/>
        <sz val="11"/>
        <color rgb="FF000000"/>
        <rFont val="Calibri"/>
        <family val="2"/>
      </rPr>
      <t xml:space="preserve">WHERE </t>
    </r>
    <r>
      <rPr>
        <sz val="11"/>
        <color rgb="FF000000"/>
        <rFont val="Calibri"/>
        <family val="2"/>
      </rPr>
      <t xml:space="preserve">TAT91_TABELAS_NEW.TAYD91C0_CTABELA = '206' AND HH_TRANSF_EMIT.IDCENT != '9635'
SELECT IF( TRIM( TAT91_TABELAS_NEW.TAYD91C0_CELEMTAB ) = '', NULL, TRIM( TAT91_TABELAS_NEW.TAYD91C0_CELEMTAB ) )
WHERE TAT91_TABELAS_NEW.TAYD91C0_CTABELA = '206' AND HH_TRANSF_EMIT.IDCENT = '9635'
</t>
    </r>
    <r>
      <rPr>
        <b/>
        <sz val="11"/>
        <color rgb="FF000000"/>
        <rFont val="Calibri"/>
        <family val="2"/>
      </rPr>
      <t xml:space="preserve">SELECT </t>
    </r>
    <r>
      <rPr>
        <sz val="11"/>
        <color rgb="FF000000"/>
        <rFont val="Calibri"/>
        <family val="2"/>
      </rPr>
      <t xml:space="preserve">IF( TRIM( TAT91_TABELAS_NEW.TAYD91C0_CELEMTAB ) = '', NULL, TRIM( TAT91_TABELAS_NEW.TAYD91C0_CELEMTAB ) )
</t>
    </r>
    <r>
      <rPr>
        <b/>
        <sz val="11"/>
        <color rgb="FF000000"/>
        <rFont val="Calibri"/>
        <family val="2"/>
      </rPr>
      <t xml:space="preserve">WHERE </t>
    </r>
    <r>
      <rPr>
        <sz val="11"/>
        <color rgb="FF000000"/>
        <rFont val="Calibri"/>
        <family val="2"/>
      </rPr>
      <t xml:space="preserve">TAT91_TABELAS_NEW.TAYD91C0_CTABELA = '206' 
</t>
    </r>
    <r>
      <rPr>
        <b/>
        <sz val="11"/>
        <color rgb="FF000000"/>
        <rFont val="Calibri"/>
        <family val="2"/>
      </rPr>
      <t xml:space="preserve">SELECT </t>
    </r>
    <r>
      <rPr>
        <sz val="11"/>
        <color rgb="FF000000"/>
        <rFont val="Calibri"/>
        <family val="2"/>
      </rPr>
      <t xml:space="preserve">IF( TRIM( TAT91_TABELAS_NEW.TAYD91C0_CELEMTAB) = '', NULL, TRIM( TAT91_TABELAS_NEW.TAYD91C0_CELEMTAB ) )
</t>
    </r>
    <r>
      <rPr>
        <b/>
        <sz val="11"/>
        <color rgb="FF000000"/>
        <rFont val="Calibri"/>
        <family val="2"/>
      </rPr>
      <t xml:space="preserve">WHERE </t>
    </r>
    <r>
      <rPr>
        <sz val="11"/>
        <color rgb="FF000000"/>
        <rFont val="Calibri"/>
        <family val="2"/>
      </rPr>
      <t xml:space="preserve">CONCAT( JK_ORDEN_ENVIAR.TIPMSJ, JK_ORDEN_ENVIAR.INDMSJ, JK_ORDEN_ENVIAR.NUMMSJ) != 'MT103' AND TAT91_TABELAS_NEW.TAYD91C0_CTABELA = '206'
</t>
    </r>
    <r>
      <rPr>
        <b/>
        <sz val="11"/>
        <color rgb="FF000000"/>
        <rFont val="Calibri"/>
        <family val="2"/>
      </rPr>
      <t xml:space="preserve">SELECT </t>
    </r>
    <r>
      <rPr>
        <sz val="11"/>
        <color rgb="FF000000"/>
        <rFont val="Calibri"/>
        <family val="2"/>
      </rPr>
      <t xml:space="preserve">IF( TRIM( TAT91_TABELAS_NEW.TAYD91C0_CELEMTAB) = '', NULL, TRIM( TAT91_TABELAS_NEW.TAYD91C0_CELEMTAB ) )
</t>
    </r>
    <r>
      <rPr>
        <b/>
        <sz val="11"/>
        <color rgb="FF000000"/>
        <rFont val="Calibri"/>
        <family val="2"/>
      </rPr>
      <t xml:space="preserve">WHERE </t>
    </r>
    <r>
      <rPr>
        <sz val="11"/>
        <color rgb="FF000000"/>
        <rFont val="Calibri"/>
        <family val="2"/>
      </rPr>
      <t>CONCAT( JK_ORDEN_CAMARA.TIPMSJ, JK_ORDEN_CAMARA.INDMSJ, JK_ORDEN_CAMARA.NUMMSJ) != 'MT103' AND TAT91_TABELAS_NEW.TAYD91C0_CTABELA = '206'</t>
    </r>
  </si>
  <si>
    <t>EST10_ORDENS -&gt; TAT91_TABELAS_NEW
IGT05_CONFIRMA -&gt; TAT91_TABELAS_NEW
RST03_MT101TRF -&gt; TAT91_TABELAS_NEW
HH_TRANSF_EMIT -&gt; TAT91_TABELAS_NEW
HH_SWIFT_RELAC -&gt; HH_ESTADO_DECRE  -&gt; TAT91_TABELAS_NEW
JK_ORDEN_ENVIAR -&gt; TAT91_TABELAS_NEW
JK_ORDEN_CAMARA -&gt; TAT91_TABELAS_NEW</t>
  </si>
  <si>
    <t>TAYD91C0_CELEMTAB
TAYD91C0_CELEMTAB
TAYD91C0_CELEMTAB
TAYD91C0_CELEMTAB
TAYD91C0_CELEMTAB
TAYD91C0_CELEMTAB
TAYD91C0_CELEMTAB</t>
  </si>
  <si>
    <t>Amount</t>
  </si>
  <si>
    <t>amount</t>
  </si>
  <si>
    <t>DECIMAL</t>
  </si>
  <si>
    <t xml:space="preserve">Transfer / payment amount exchanged. </t>
  </si>
  <si>
    <t xml:space="preserve">Montante envolvido na transferência / pagamento. </t>
  </si>
  <si>
    <t>EST10_ORDENS
IGT05
RST03_MT101TRF
HH_TRANSF_EMIT
HH_TRANSF_EMIT
HH_ESTADO_DECRE
JK_ORDEN_ENVIAR
JK_ORDEN_CAMARA</t>
  </si>
  <si>
    <t>MONTTRF
IMPORTANCIA_TRA 
RSYD03A2_MONTANTE 
IMPDIVPG 
IMPDIVPG 
HHW_IMPORDEX
IMPORDOR
IMPORDOR</t>
  </si>
  <si>
    <r>
      <rPr>
        <b/>
        <sz val="11"/>
        <color rgb="FF000000"/>
        <rFont val="Calibri"/>
      </rPr>
      <t xml:space="preserve">SELECT </t>
    </r>
    <r>
      <rPr>
        <sz val="11"/>
        <color rgb="FF000000"/>
        <rFont val="Calibri"/>
      </rPr>
      <t xml:space="preserve">IF(TRIM(EST10_ORDENS.MONTTRF) = '', NULL, EST10_ORDENS.MONTTRF)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CAST(IGT05.IMPORTANCIA_TRA AS DECIMAL(23, 6))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CAST( RST03_MT101TRF.RSYD03A2_MONTANTE AS DECIMAL( 23, 6 ) )
</t>
    </r>
    <r>
      <rPr>
        <b/>
        <sz val="11"/>
        <color rgb="FF000000"/>
        <rFont val="Calibri"/>
      </rPr>
      <t xml:space="preserve">WHERE </t>
    </r>
    <r>
      <rPr>
        <sz val="11"/>
        <color rgb="FF000000"/>
        <rFont val="Calibri"/>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IF( TRIM( HH_TRANSF_EMIT.IMPDIVPG ) = '', NULL, HH_TRANSF_EMIT.IMPDIVPG)
WHERE HH_TRANSF_EMIT.IDCENT != '9635'
SELECT IF( TRIM( HH_TRANSF_EMIT.IMPDIVPG ) = '', NULL, HH_TRANSF_EMIT.IMPDIVPG)
WHERE HH_TRANSF_EMIT.IDCENT = '9635'
</t>
    </r>
    <r>
      <rPr>
        <b/>
        <sz val="11"/>
        <color rgb="FF000000"/>
        <rFont val="Calibri"/>
      </rPr>
      <t xml:space="preserve">SELECT </t>
    </r>
    <r>
      <rPr>
        <sz val="11"/>
        <color rgb="FF000000"/>
        <rFont val="Calibri"/>
      </rPr>
      <t xml:space="preserve">IF( TRIM( HH_ESTADO_DECRE.HHW_IMPORDEX ) = '', NULL, HH_ESTADO_DECRE.HHW_IMPORDEX)
</t>
    </r>
    <r>
      <rPr>
        <b/>
        <sz val="11"/>
        <color rgb="FF000000"/>
        <rFont val="Calibri"/>
      </rPr>
      <t xml:space="preserve">SELECT </t>
    </r>
    <r>
      <rPr>
        <sz val="11"/>
        <color rgb="FF000000"/>
        <rFont val="Calibri"/>
      </rPr>
      <t xml:space="preserve">IF(TRIM(JK_ORDEN_ENVIAR.IMPORDOR) = '', NULL, JK_ORDEN_ENVIAR.IMPORDOR)
</t>
    </r>
    <r>
      <rPr>
        <b/>
        <sz val="11"/>
        <color rgb="FF000000"/>
        <rFont val="Calibri"/>
      </rPr>
      <t xml:space="preserve">WHERE </t>
    </r>
    <r>
      <rPr>
        <sz val="11"/>
        <color rgb="FF000000"/>
        <rFont val="Calibri"/>
      </rPr>
      <t xml:space="preserve">CONCAT( JK_ORDEN_ENVIAR.TIPMSJ, JK_ORDEN_ENVIAR.INDMSJ, JK_ORDEN_ENVIAR.NUMMSJ) != 'MT103'
</t>
    </r>
    <r>
      <rPr>
        <b/>
        <sz val="11"/>
        <color rgb="FF000000"/>
        <rFont val="Calibri"/>
      </rPr>
      <t xml:space="preserve">SELECT </t>
    </r>
    <r>
      <rPr>
        <sz val="11"/>
        <color rgb="FF000000"/>
        <rFont val="Calibri"/>
      </rPr>
      <t xml:space="preserve">IF(TRIM(JK_ORDEN_CAMARA.IMPORDOR) = '', NULL, JK_ORDEN_CAMARA.IMPORDOR)
</t>
    </r>
    <r>
      <rPr>
        <b/>
        <sz val="11"/>
        <color rgb="FF000000"/>
        <rFont val="Calibri"/>
      </rPr>
      <t xml:space="preserve">WHERE </t>
    </r>
    <r>
      <rPr>
        <sz val="11"/>
        <color rgb="FF000000"/>
        <rFont val="Calibri"/>
      </rPr>
      <t>CONCAT( JK_ORDEN_CAMARA.TIPMSJ, JK_ORDEN_CAMARA.INDMSJ, JK_ORDEN_CAMARA.NUMMSJ) != 'MT103'</t>
    </r>
  </si>
  <si>
    <t>EST10_ORDENS
IGT05_CONFIRMA
RST03_MT101TRF
HH_TRANSF_EMIT
HH_ESTADO_DECRE
JK_ORDEN_ENVIAR
JK_ORDEN_CAMARA</t>
  </si>
  <si>
    <t>MONTTRF
IMPORTANCIA_TRA
MONTANTE
IMPCTR
IMPORDEX
IMPORDOR
IMPORDOR</t>
  </si>
  <si>
    <t xml:space="preserve">Transaction Date </t>
  </si>
  <si>
    <t>transaction_date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</si>
  <si>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</si>
  <si>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</si>
  <si>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DTVALTRF
DTVALCLI
RSYD03A2_DTVALTRF
FECVAL
FECVAL
FECVAL
FCHVADE
FCHVAL</t>
  </si>
  <si>
    <r>
      <rPr>
        <b/>
        <sz val="11"/>
        <color rgb="FF000000"/>
        <rFont val="Calibri"/>
        <family val="2"/>
      </rPr>
      <t xml:space="preserve">SELECT </t>
    </r>
    <r>
      <rPr>
        <sz val="11"/>
        <color rgb="FF000000"/>
        <rFont val="Calibri"/>
        <family val="2"/>
      </rPr>
      <t xml:space="preserve">IF(TRIM(EST10_ORDENS.DTVALTRF) = '', NULL, EST10_ORDENS.DTVALTRF)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t>
    </r>
    <r>
      <rPr>
        <b/>
        <sz val="11"/>
        <color rgb="FF000000"/>
        <rFont val="Calibri"/>
        <family val="2"/>
      </rPr>
      <t xml:space="preserve">SELECT </t>
    </r>
    <r>
      <rPr>
        <sz val="11"/>
        <color rgb="FF000000"/>
        <rFont val="Calibri"/>
        <family val="2"/>
      </rPr>
      <t xml:space="preserve">IF(TRIM(IGT05.DTVALCLI) = '', NULL, IGT05.DTVALCLI)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IF(TRIM(RST03_MT101TRF.RSYD03A2_DTVALTRF) = '', NULL, RST03_MT101TRF.RSYD03A2_DTVALTRF)
</t>
    </r>
    <r>
      <rPr>
        <b/>
        <sz val="11"/>
        <color rgb="FF000000"/>
        <rFont val="Calibri"/>
        <family val="2"/>
      </rPr>
      <t xml:space="preserve">WHERE </t>
    </r>
    <r>
      <rPr>
        <sz val="11"/>
        <color rgb="FF000000"/>
        <rFont val="Calibri"/>
        <family val="2"/>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 xml:space="preserve">SELECT </t>
    </r>
    <r>
      <rPr>
        <sz val="11"/>
        <color rgb="FF000000"/>
        <rFont val="Calibri"/>
        <family val="2"/>
      </rPr>
      <t xml:space="preserve">IF( TRIM( HH_TRANSF_EMIT.FECVAL ) = '', NULL, HH_TRANSF_EMIT.FECVAL )
WHERE HH_TRANSF_EMIT.IDCENT != '9635'
SELECT IF( TRIM( HH_TRANSF_EMIT.FECVAL ) = '', NULL, HH_TRANSF_EMIT.FECVAL )
WHERE HH_TRANSF_EMIT.IDCENT = '9635'
</t>
    </r>
    <r>
      <rPr>
        <b/>
        <sz val="11"/>
        <color rgb="FF000000"/>
        <rFont val="Calibri"/>
        <family val="2"/>
      </rPr>
      <t xml:space="preserve">SELECT </t>
    </r>
    <r>
      <rPr>
        <sz val="11"/>
        <color rgb="FF000000"/>
        <rFont val="Calibri"/>
        <family val="2"/>
      </rPr>
      <t xml:space="preserve">IF( TRIM( HH_ESTADO_DECRE.HHW_FECVAL) = '', NULL, HH_ESTADO_DECRE.HHW_FECVAL)
</t>
    </r>
    <r>
      <rPr>
        <b/>
        <sz val="11"/>
        <color rgb="FF000000"/>
        <rFont val="Calibri"/>
        <family val="2"/>
      </rPr>
      <t xml:space="preserve">SELECT </t>
    </r>
    <r>
      <rPr>
        <sz val="11"/>
        <color rgb="FF000000"/>
        <rFont val="Calibri"/>
        <family val="2"/>
      </rPr>
      <t xml:space="preserve">IF(TRIM(JK_ORDEN_ENVIAR.FCHVADE) = '', NULL, JK_ORDEN_ENVIAR.FCHVADE)
</t>
    </r>
    <r>
      <rPr>
        <b/>
        <sz val="11"/>
        <color rgb="FF000000"/>
        <rFont val="Calibri"/>
        <family val="2"/>
      </rPr>
      <t xml:space="preserve">WHERE </t>
    </r>
    <r>
      <rPr>
        <sz val="11"/>
        <color rgb="FF000000"/>
        <rFont val="Calibri"/>
        <family val="2"/>
      </rPr>
      <t xml:space="preserve">CONCAT( JK_ORDEN_ENVIAR.TIPMSJ, JK_ORDEN_ENVIAR.INDMSJ, JK_ORDEN_ENVIAR.NUMMSJ) != 'MT103'
</t>
    </r>
    <r>
      <rPr>
        <b/>
        <sz val="11"/>
        <color rgb="FF000000"/>
        <rFont val="Calibri"/>
        <family val="2"/>
      </rPr>
      <t xml:space="preserve">SELECT </t>
    </r>
    <r>
      <rPr>
        <sz val="11"/>
        <color rgb="FF000000"/>
        <rFont val="Calibri"/>
        <family val="2"/>
      </rPr>
      <t xml:space="preserve">IF(TRIM(JK_ORDEN_CAMARA.FCHVAL) = '', NULL, JK_ORDEN_CAMARA.FCHVAL)
</t>
    </r>
    <r>
      <rPr>
        <b/>
        <sz val="11"/>
        <color rgb="FF000000"/>
        <rFont val="Calibri"/>
        <family val="2"/>
      </rPr>
      <t>WHERE</t>
    </r>
    <r>
      <rPr>
        <sz val="11"/>
        <color rgb="FF000000"/>
        <rFont val="Calibri"/>
        <family val="2"/>
      </rPr>
      <t xml:space="preserve"> CONCAT( JK_ORDEN_CAMARA.TIPMSJ, JK_ORDEN_CAMARA.INDMSJ, JK_ORDEN_CAMARA.NUMMSJ) != 'MT103'</t>
    </r>
  </si>
  <si>
    <t>DTVALTRF
DTVALCLI
DTVALTRF
FECVAL
FECVAL
FCHVADE
FCHVAL</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</si>
  <si>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</si>
  <si>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</si>
  <si>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</si>
  <si>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</si>
  <si>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DTENTRAD
DT_OPER
RSYD03A2_DTPROCTRF
FECVAL
FECVAL
FECVAL
FCHCAM
FCHCAM</t>
  </si>
  <si>
    <r>
      <rPr>
        <b/>
        <sz val="11"/>
        <color rgb="FF000000"/>
        <rFont val="Calibri"/>
        <family val="2"/>
      </rPr>
      <t xml:space="preserve">SELECT </t>
    </r>
    <r>
      <rPr>
        <sz val="11"/>
        <color rgb="FF000000"/>
        <rFont val="Calibri"/>
        <family val="2"/>
      </rPr>
      <t xml:space="preserve">IF(TRIM(EST10_ORDENS.DTENTRAD) = '', NULL, EST10_ORDENS.DTENTRAD)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t>
    </r>
    <r>
      <rPr>
        <b/>
        <sz val="11"/>
        <color rgb="FF000000"/>
        <rFont val="Calibri"/>
        <family val="2"/>
      </rPr>
      <t xml:space="preserve">SELECT </t>
    </r>
    <r>
      <rPr>
        <sz val="11"/>
        <color rgb="FF000000"/>
        <rFont val="Calibri"/>
        <family val="2"/>
      </rPr>
      <t xml:space="preserve">IF(TRIM(IGT05.DT_OPER) = '', NULL, IGT05.DT_OPER)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IF(TRIM(RST03_MT101TRF.RSYD03A2_DTPROCTRF) = '', NULL, RST03_MT101TRF.RSYD03A2_DTPROCTRF)
</t>
    </r>
    <r>
      <rPr>
        <b/>
        <sz val="11"/>
        <color rgb="FF000000"/>
        <rFont val="Calibri"/>
        <family val="2"/>
      </rPr>
      <t xml:space="preserve">WHERE </t>
    </r>
    <r>
      <rPr>
        <sz val="11"/>
        <color rgb="FF000000"/>
        <rFont val="Calibri"/>
        <family val="2"/>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SELECT</t>
    </r>
    <r>
      <rPr>
        <sz val="11"/>
        <color rgb="FF000000"/>
        <rFont val="Calibri"/>
        <family val="2"/>
      </rPr>
      <t xml:space="preserve"> IF( TRIM( HH_TRANSF_EMIT.FECVAL ) = '', NULL, HH_TRANSF_EMIT.FECVAL )
WHERE HH_TRANSF_EMIT.IDCENT != '9635'
</t>
    </r>
    <r>
      <rPr>
        <b/>
        <sz val="11"/>
        <color rgb="FF000000"/>
        <rFont val="Calibri"/>
        <family val="2"/>
      </rPr>
      <t xml:space="preserve">SELECT </t>
    </r>
    <r>
      <rPr>
        <sz val="11"/>
        <color rgb="FF000000"/>
        <rFont val="Calibri"/>
        <family val="2"/>
      </rPr>
      <t xml:space="preserve">IF( TRIM( HH_TRANSF_EMIT.FECVAL ) = '', NULL, HH_TRANSF_EMIT.FECVAL )
</t>
    </r>
    <r>
      <rPr>
        <b/>
        <sz val="11"/>
        <color rgb="FF000000"/>
        <rFont val="Calibri"/>
        <family val="2"/>
      </rPr>
      <t xml:space="preserve">WHERE </t>
    </r>
    <r>
      <rPr>
        <sz val="11"/>
        <color rgb="FF000000"/>
        <rFont val="Calibri"/>
        <family val="2"/>
      </rPr>
      <t xml:space="preserve">HH_TRANSF_EMIT.IDCENT = '9635'
</t>
    </r>
    <r>
      <rPr>
        <b/>
        <sz val="11"/>
        <color rgb="FF000000"/>
        <rFont val="Calibri"/>
        <family val="2"/>
      </rPr>
      <t xml:space="preserve">SELECT </t>
    </r>
    <r>
      <rPr>
        <sz val="11"/>
        <color rgb="FF000000"/>
        <rFont val="Calibri"/>
        <family val="2"/>
      </rPr>
      <t xml:space="preserve">IF( TRIM( HH_ESTADO_DECRE.HHW_FECVAL) = '', NULL, HH_ESTADO_DECRE.HHW_FECVAL)
</t>
    </r>
    <r>
      <rPr>
        <b/>
        <sz val="11"/>
        <color rgb="FF000000"/>
        <rFont val="Calibri"/>
        <family val="2"/>
      </rPr>
      <t xml:space="preserve">SELECT </t>
    </r>
    <r>
      <rPr>
        <sz val="11"/>
        <color rgb="FF000000"/>
        <rFont val="Calibri"/>
        <family val="2"/>
      </rPr>
      <t xml:space="preserve">IF(TRIM(JK_ORDEN_ENVIAR.FCHCAM) = '', NULL, JK_ORDEN_ENVIAR.FCHCAM)
</t>
    </r>
    <r>
      <rPr>
        <b/>
        <sz val="11"/>
        <color rgb="FF000000"/>
        <rFont val="Calibri"/>
        <family val="2"/>
      </rPr>
      <t xml:space="preserve">WHERE </t>
    </r>
    <r>
      <rPr>
        <sz val="11"/>
        <color rgb="FF000000"/>
        <rFont val="Calibri"/>
        <family val="2"/>
      </rPr>
      <t xml:space="preserve">CONCAT( JK_ORDEN_ENVIAR.TIPMSJ, JK_ORDEN_ENVIAR.INDMSJ, JK_ORDEN_ENVIAR.NUMMSJ) != 'MT103'
</t>
    </r>
    <r>
      <rPr>
        <b/>
        <sz val="11"/>
        <color rgb="FF000000"/>
        <rFont val="Calibri"/>
        <family val="2"/>
      </rPr>
      <t xml:space="preserve">SELECT </t>
    </r>
    <r>
      <rPr>
        <sz val="11"/>
        <color rgb="FF000000"/>
        <rFont val="Calibri"/>
        <family val="2"/>
      </rPr>
      <t xml:space="preserve">IF(TRIM(JK_ORDEN_CAMARA.FCHCAM) = '', NULL, JK_ORDEN_CAMARA.FCHCAM)
</t>
    </r>
    <r>
      <rPr>
        <b/>
        <sz val="11"/>
        <color rgb="FF000000"/>
        <rFont val="Calibri"/>
        <family val="2"/>
      </rPr>
      <t xml:space="preserve">WHERE </t>
    </r>
    <r>
      <rPr>
        <sz val="11"/>
        <color rgb="FF000000"/>
        <rFont val="Calibri"/>
        <family val="2"/>
      </rPr>
      <t>CONCAT( JK_ORDEN_CAMARA.TIPMSJ, JK_ORDEN_CAMARA.INDMSJ, JK_ORDEN_CAMARA.NUMMSJ) != 'MT103'</t>
    </r>
  </si>
  <si>
    <t xml:space="preserve">DTENTRADA
DT_OPER
DTPROCTRF
FECVAL
FECVAL
FCHACAM
FCHACAM </t>
  </si>
  <si>
    <t>Source Code</t>
  </si>
  <si>
    <t>source_code</t>
  </si>
  <si>
    <t>Identifier of the Santander's application that generated the information. For example, EP for loans, CR for cards, etc.</t>
  </si>
  <si>
    <t>Identificador da aplicação do Santander que gerou a informação. Por exemplo, EP para empréstimos, CR para cartões, etc.</t>
  </si>
  <si>
    <t>N/A
N/A
N/A
N/A
N/A
N/A
N/A
JK</t>
  </si>
  <si>
    <r>
      <rPr>
        <b/>
        <sz val="11"/>
        <color rgb="FF000000"/>
        <rFont val="Calibri"/>
        <family val="2"/>
      </rPr>
      <t xml:space="preserve">SELECT </t>
    </r>
    <r>
      <rPr>
        <sz val="11"/>
        <color rgb="FF000000"/>
        <rFont val="Calibri"/>
        <family val="2"/>
      </rPr>
      <t xml:space="preserve">'ES'
WHERE SUBSTRING( HTIMEST, 1, 10) &gt; SUBSTRING( LAST_DATA_DATE_PART, 1, 10 ) AND SUBSTRING( HTIMEST, 1, 10 ) &lt;= SUBSTRING( LAST_DATA_DATE_PART, 11, 10 )
</t>
    </r>
    <r>
      <rPr>
        <b/>
        <sz val="11"/>
        <color rgb="FF000000"/>
        <rFont val="Calibri"/>
        <family val="2"/>
      </rPr>
      <t xml:space="preserve">SELECT </t>
    </r>
    <r>
      <rPr>
        <sz val="11"/>
        <color rgb="FF000000"/>
        <rFont val="Calibri"/>
        <family val="2"/>
      </rPr>
      <t xml:space="preserve">'IG'
WHERE IGT05.PRODUTO IN ( 'TRR', 'TNR', 'TRE', 'TNE' ) 
</t>
    </r>
    <r>
      <rPr>
        <b/>
        <sz val="11"/>
        <color rgb="FF000000"/>
        <rFont val="Calibri"/>
        <family val="2"/>
      </rPr>
      <t xml:space="preserve">SELECT </t>
    </r>
    <r>
      <rPr>
        <sz val="11"/>
        <color rgb="FF000000"/>
        <rFont val="Calibri"/>
        <family val="2"/>
      </rPr>
      <t xml:space="preserve">'RS'
WHERE 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 xml:space="preserve">SELECT </t>
    </r>
    <r>
      <rPr>
        <sz val="11"/>
        <color rgb="FF000000"/>
        <rFont val="Calibri"/>
        <family val="2"/>
      </rPr>
      <t xml:space="preserve">'HH'
WHERE HH_TRANSF_EMIT.IDCENT != '9635'
</t>
    </r>
    <r>
      <rPr>
        <b/>
        <sz val="11"/>
        <color rgb="FF000000"/>
        <rFont val="Calibri"/>
        <family val="2"/>
      </rPr>
      <t xml:space="preserve">SELECT </t>
    </r>
    <r>
      <rPr>
        <sz val="11"/>
        <color rgb="FF000000"/>
        <rFont val="Calibri"/>
        <family val="2"/>
      </rPr>
      <t xml:space="preserve">'HH'
WHERE HH_TRANSF_EMIT.IDCENT = '9635'
</t>
    </r>
    <r>
      <rPr>
        <b/>
        <sz val="11"/>
        <color rgb="FF000000"/>
        <rFont val="Calibri"/>
        <family val="2"/>
      </rPr>
      <t xml:space="preserve">SELECT </t>
    </r>
    <r>
      <rPr>
        <sz val="11"/>
        <color rgb="FF000000"/>
        <rFont val="Calibri"/>
        <family val="2"/>
      </rPr>
      <t xml:space="preserve">'HH'
</t>
    </r>
    <r>
      <rPr>
        <b/>
        <sz val="11"/>
        <color rgb="FF000000"/>
        <rFont val="Calibri"/>
        <family val="2"/>
      </rPr>
      <t xml:space="preserve">SELECT </t>
    </r>
    <r>
      <rPr>
        <sz val="11"/>
        <color rgb="FF000000"/>
        <rFont val="Calibri"/>
        <family val="2"/>
      </rPr>
      <t xml:space="preserve">'JK'
WHERE CONCAT( JK_ORDEN_ENVIAR.TIPMSJ, JK_ORDEN_ENVIAR.INDMSJ, JK_ORDEN_ENVIAR.NUMMSJ) != 'MT103'
</t>
    </r>
    <r>
      <rPr>
        <b/>
        <sz val="11"/>
        <color rgb="FF000000"/>
        <rFont val="Calibri"/>
        <family val="2"/>
      </rPr>
      <t>SELECT '</t>
    </r>
    <r>
      <rPr>
        <sz val="11"/>
        <color rgb="FF000000"/>
        <rFont val="Calibri"/>
        <family val="2"/>
      </rPr>
      <t>JK'
WHERE CONCAT( JK_ORDEN_CAMARA.TIPMSJ, JK_ORDEN_CAMARA.INDMSJ, JK_ORDEN_CAMARA.NUMMSJ) != 'MT103'</t>
    </r>
  </si>
  <si>
    <t>"ES"
"IG"
"RS"
"HH"
"HH"
 "JK"
"JK"</t>
  </si>
  <si>
    <t>Key - Date</t>
  </si>
  <si>
    <t>DATA_DATE_PART
DATA_DATE_PART
DATA_DATE_PART
DATA_DATE_PART
DATA_DATE_PART
DATA_DATE_PART
DATA_DATE_PART
DATA_DATE_PART</t>
  </si>
  <si>
    <r>
      <rPr>
        <b/>
        <sz val="11"/>
        <color rgb="FF000000"/>
        <rFont val="Calibri"/>
        <family val="2"/>
      </rPr>
      <t xml:space="preserve">SELECT </t>
    </r>
    <r>
      <rPr>
        <sz val="11"/>
        <color rgb="FF000000"/>
        <rFont val="Calibri"/>
        <family val="2"/>
      </rPr>
      <t xml:space="preserve">EST10_ORDENS.DATA_DATE_PART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t>
    </r>
    <r>
      <rPr>
        <b/>
        <sz val="11"/>
        <color rgb="FF000000"/>
        <rFont val="Calibri"/>
        <family val="2"/>
      </rPr>
      <t xml:space="preserve">SELECT </t>
    </r>
    <r>
      <rPr>
        <sz val="11"/>
        <color rgb="FF000000"/>
        <rFont val="Calibri"/>
        <family val="2"/>
      </rPr>
      <t xml:space="preserve">IGT05.DATA_DATE_PART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RST03_MT101TRF.DATA_DATE_PART
</t>
    </r>
    <r>
      <rPr>
        <b/>
        <sz val="11"/>
        <color rgb="FF000000"/>
        <rFont val="Calibri"/>
        <family val="2"/>
      </rPr>
      <t xml:space="preserve">WHERE </t>
    </r>
    <r>
      <rPr>
        <sz val="11"/>
        <color rgb="FF000000"/>
        <rFont val="Calibri"/>
        <family val="2"/>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 xml:space="preserve">SELECT </t>
    </r>
    <r>
      <rPr>
        <sz val="11"/>
        <color rgb="FF000000"/>
        <rFont val="Calibri"/>
        <family val="2"/>
      </rPr>
      <t xml:space="preserve">HH_TRANSF_EMIT.DATA_DATE_PART
</t>
    </r>
    <r>
      <rPr>
        <b/>
        <sz val="11"/>
        <color rgb="FF000000"/>
        <rFont val="Calibri"/>
        <family val="2"/>
      </rPr>
      <t xml:space="preserve">WHERE </t>
    </r>
    <r>
      <rPr>
        <sz val="11"/>
        <color rgb="FF000000"/>
        <rFont val="Calibri"/>
        <family val="2"/>
      </rPr>
      <t xml:space="preserve">HH_TRANSF_EMIT.IDCENT != '9635'
</t>
    </r>
    <r>
      <rPr>
        <b/>
        <sz val="11"/>
        <color rgb="FF000000"/>
        <rFont val="Calibri"/>
        <family val="2"/>
      </rPr>
      <t xml:space="preserve">SELECT </t>
    </r>
    <r>
      <rPr>
        <sz val="11"/>
        <color rgb="FF000000"/>
        <rFont val="Calibri"/>
        <family val="2"/>
      </rPr>
      <t xml:space="preserve">HH_TRANSF_EMIT.DATA_DATE_PART
</t>
    </r>
    <r>
      <rPr>
        <b/>
        <sz val="11"/>
        <color rgb="FF000000"/>
        <rFont val="Calibri"/>
        <family val="2"/>
      </rPr>
      <t xml:space="preserve">WHERE </t>
    </r>
    <r>
      <rPr>
        <sz val="11"/>
        <color rgb="FF000000"/>
        <rFont val="Calibri"/>
        <family val="2"/>
      </rPr>
      <t xml:space="preserve">HH_TRANSF_EMIT.IDCENT = '9635'
</t>
    </r>
    <r>
      <rPr>
        <b/>
        <sz val="11"/>
        <color rgb="FF000000"/>
        <rFont val="Calibri"/>
        <family val="2"/>
      </rPr>
      <t xml:space="preserve">SELECT </t>
    </r>
    <r>
      <rPr>
        <sz val="11"/>
        <color rgb="FF000000"/>
        <rFont val="Calibri"/>
        <family val="2"/>
      </rPr>
      <t xml:space="preserve">HH_SWIFT_RELAC.DATA_DATE_PART
</t>
    </r>
    <r>
      <rPr>
        <b/>
        <sz val="11"/>
        <color rgb="FF000000"/>
        <rFont val="Calibri"/>
        <family val="2"/>
      </rPr>
      <t xml:space="preserve">SELECT </t>
    </r>
    <r>
      <rPr>
        <sz val="11"/>
        <color rgb="FF000000"/>
        <rFont val="Calibri"/>
        <family val="2"/>
      </rPr>
      <t xml:space="preserve">JK_ORDEN_ENVIAR.DATA_DATE_PART
</t>
    </r>
    <r>
      <rPr>
        <b/>
        <sz val="11"/>
        <color rgb="FF000000"/>
        <rFont val="Calibri"/>
        <family val="2"/>
      </rPr>
      <t xml:space="preserve">WHERE </t>
    </r>
    <r>
      <rPr>
        <sz val="11"/>
        <color rgb="FF000000"/>
        <rFont val="Calibri"/>
        <family val="2"/>
      </rPr>
      <t xml:space="preserve">CONCAT( JK_ORDEN_ENVIAR.TIPMSJ, JK_ORDEN_ENVIAR.INDMSJ, JK_ORDEN_ENVIAR.NUMMSJ) != 'MT103'
</t>
    </r>
    <r>
      <rPr>
        <b/>
        <sz val="11"/>
        <color rgb="FF000000"/>
        <rFont val="Calibri"/>
        <family val="2"/>
      </rPr>
      <t xml:space="preserve">SELECT </t>
    </r>
    <r>
      <rPr>
        <sz val="11"/>
        <color rgb="FF000000"/>
        <rFont val="Calibri"/>
        <family val="2"/>
      </rPr>
      <t xml:space="preserve">JK_ORDEN_CAMARA.DATA_DATE_PART
</t>
    </r>
    <r>
      <rPr>
        <b/>
        <sz val="11"/>
        <color rgb="FF000000"/>
        <rFont val="Calibri"/>
        <family val="2"/>
      </rPr>
      <t xml:space="preserve">WHERE </t>
    </r>
    <r>
      <rPr>
        <sz val="11"/>
        <color rgb="FF000000"/>
        <rFont val="Calibri"/>
        <family val="2"/>
      </rPr>
      <t xml:space="preserve">CONCAT( JK_ORDEN_CAMARA.TIPMSJ, JK_ORDEN_CAMARA.INDMSJ, JK_ORDEN_CAMARA.NUMMSJ) != 'MT103'
</t>
    </r>
  </si>
  <si>
    <t>Tec - Date</t>
  </si>
  <si>
    <t>N/A
N/A
N/A
N/A
N/A
HH
N/A
JK</t>
  </si>
  <si>
    <r>
      <rPr>
        <b/>
        <sz val="11"/>
        <color rgb="FF000000"/>
        <rFont val="Calibri"/>
        <family val="2"/>
      </rPr>
      <t xml:space="preserve">SELECT </t>
    </r>
    <r>
      <rPr>
        <sz val="11"/>
        <color rgb="FF000000"/>
        <rFont val="Calibri"/>
        <family val="2"/>
      </rPr>
      <t xml:space="preserve">NOW()
</t>
    </r>
    <r>
      <rPr>
        <b/>
        <sz val="11"/>
        <color rgb="FF000000"/>
        <rFont val="Calibri"/>
        <family val="2"/>
      </rPr>
      <t>SELECT</t>
    </r>
    <r>
      <rPr>
        <sz val="11"/>
        <color rgb="FF000000"/>
        <rFont val="Calibri"/>
        <family val="2"/>
      </rPr>
      <t xml:space="preserve"> 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NOW()
SELECT NOW()</t>
    </r>
  </si>
  <si>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</si>
  <si>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</si>
  <si>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</si>
  <si>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</si>
  <si>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</si>
  <si>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</si>
  <si>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</si>
  <si>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</si>
  <si>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</si>
  <si>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</si>
  <si>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</si>
  <si>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</si>
  <si>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</si>
  <si>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</si>
  <si>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</si>
  <si>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</si>
  <si>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</si>
  <si>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</si>
  <si>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</si>
  <si>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</si>
  <si>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</si>
  <si>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</si>
  <si>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</si>
  <si>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common_payments_transfersswift</t>
  </si>
  <si>
    <t>curated_internal_mainframe_estrangeiro</t>
  </si>
  <si>
    <t>est10_ordens</t>
  </si>
  <si>
    <t>est51_inf_det</t>
  </si>
  <si>
    <t>est10_ordens.ckrefest = est51_inf_det.ckrefest</t>
  </si>
  <si>
    <t>left</t>
  </si>
  <si>
    <t>est12_movordem</t>
  </si>
  <si>
    <t>est10_ordens.ckrefest = est12_movordem.ckrefest AND est10_ordens.zseqmov = est12_movordem.zseqmov</t>
  </si>
  <si>
    <t>curated_internal_mainframe_estruturais</t>
  </si>
  <si>
    <t>tat91_tabelas_new</t>
  </si>
  <si>
    <t>est10_ordens.cmoetrf = SUBSTRING(tat91_tabelas_new.tayd91c0_nelemc01, 1, 3)</t>
  </si>
  <si>
    <t>igt05</t>
  </si>
  <si>
    <t>igt05.moeda_tra= SUBSTRING(tat91_tabelas_new.tayd91c0_nelemc01, 1, 3)</t>
  </si>
  <si>
    <t>rst03_mt101trf</t>
  </si>
  <si>
    <t>rst02_mt101msg</t>
  </si>
  <si>
    <t>rst02_mt101msg.rsyd02a0_crefmt101 = rst03_mt101trf.rsyd03a2_crefmt101 AND rst02_mt101msg.rsyd02a0_zindex = rst03_mt101trf.rsyd03a2_zindex</t>
  </si>
  <si>
    <t>rst03_mt101trf.rsyd03a2_cmoeda = SUBSTRING(tat91_tabelas_new.tayd91c0_nelemc01, 1, 3)</t>
  </si>
  <si>
    <t>curated_internal_mainframe_transferencias</t>
  </si>
  <si>
    <t>hh_transf_emit</t>
  </si>
  <si>
    <t>hh_benefic_sw</t>
  </si>
  <si>
    <t>hh_benefic_sw.idcent = hh_transf_emit.idcent AND hh_benefic_sw.codprod = hh_transf_emit.codprod AND hh_benefic_sw.numsor = hh_transf_emit.numsor</t>
  </si>
  <si>
    <t>hh_datos_bancos</t>
  </si>
  <si>
    <t>hh_datos_bancos.hhf_idcent = hh_transf_emit.idcent AND hh_datos_bancos.hhf_codprod = hh_transf_emit.codprod AND hh_datos_bancos.hhf_numsor = hh_transf_emit.numsor AND hh_datos_banco.hhf_indban1 = 'B'</t>
  </si>
  <si>
    <t>prsw_direccion</t>
  </si>
  <si>
    <t>prsw_direccion.idemex = hh_datos_bancos.hhf_idemex AND prsw_direccion.idofex = hh_datos_bancos.hhf_idofex</t>
  </si>
  <si>
    <t>hh_transf_emit.codmonsw = SUBSTRING(tat91_tabelas_new.tayd91c0_nelemc01, 1, 3)</t>
  </si>
  <si>
    <t>hh_swift_relac</t>
  </si>
  <si>
    <t>hh_estado_decre</t>
  </si>
  <si>
    <t>hh_estado_decre.hhw_numtrn = hh_swift_relac.numtrn AND hh_estado_decre.hhw_usuaul = hh_swift_relac.usuaul</t>
  </si>
  <si>
    <t>inner</t>
  </si>
  <si>
    <t>hh_dat_sw_cobro</t>
  </si>
  <si>
    <t xml:space="preserve">hh_dat_sw_cobro.hh1_idempr = hh_swift_relac.idempr  AND hh_dat_sw_cobro.hh1_idcent = hh_swift_relac.idcent AND hh_dat_sw_cobro.hh1_codprod = hh_swift_relac.codprod AND hh_dat_sw_cobro.hh1_numsor = hh_swift_relac.numsor </t>
  </si>
  <si>
    <t>hh_oper_refer</t>
  </si>
  <si>
    <t>hh_oper_refer.idempr = hh_dat_sw_cobro.hh1_idempr  AND hh_oper_refer.idcent = hh_dat_sw_cobro.hh1_idcent AND hh_oper_refer.codprod = hh_dat_sw_cobro.hh1_codprod AND hh_oper_refer.numsor = hh_dat_sw_cobro.hh1_numsor</t>
  </si>
  <si>
    <t>hh_benefic_sw.idempr = hh_dat_sw_cobro.hh1_idempr AND hh_benefic_sw.idcent = hh_dat_sw_cobro.hh1_idcent AND hh_benefic_sw.codprod = hh_dat_sw_cobro.hh1_codprod  AND hh_benefic_sw.numsor = hh_dat_sw_cobro.hh1_numsor</t>
  </si>
  <si>
    <t>hh_datos_bancos (SEN)</t>
  </si>
  <si>
    <t>hh_datos_bancos.hhf_idempr = hh_dat_sw_cobro.hh1_idempr AND hh_datos_bancos.hhf_idcent = hh_dat_sw_cobro.hh1_idcent AND hh_datos_bancos .hhf_codprod = hh_dat_sw_cobro.hh1_codprod AND hh_datos_bancos.hhf_numsor = hh_dat_sw_cobro.hh1_numsor AND hh_datos_bancos.hhf_indban1 = 'O'</t>
  </si>
  <si>
    <t>hh_datos_bancos (REC)</t>
  </si>
  <si>
    <t>hh_datos_bancos.hhf_idempr = hh_dat_sw_cobro.hh1_idempr AND hh_datos_bancos.hhf_idcent = hh_dat_sw_cobro.hh1_idcent AND hh_datos_bancos .hhf_codprod = hh_dat_sw_cobro.hh1_codprod AND hh_datos_bancos.hhf_numsor = hh_dat_sw_cobro.hh1_numsor AND hh_datos_bancos.hhf_indban1 = 'B'</t>
  </si>
  <si>
    <t>prsw_direccion (SEN)</t>
  </si>
  <si>
    <t>prsw_direccion (REC)</t>
  </si>
  <si>
    <t>hh_estado_decre.hhw_moneda = SUBSTRING(tat91_tabelas_new.tayd91c0_nelemc01, 1, 3)</t>
  </si>
  <si>
    <t>jk_orden_enviar</t>
  </si>
  <si>
    <t>jk_datos_campos (SEN ID)</t>
  </si>
  <si>
    <t>jk_datos_campos.jkdcp_reftrn = jk_orden_enviar.reftrn AND jk_datos_campos.jkdcp_campo IN ('521', '523')</t>
  </si>
  <si>
    <t>jk_orden_campos (SEN ID)</t>
  </si>
  <si>
    <t>jk_orden_campos.jkocp_idempr = jk_orden_enviar.idempr AND jk_orden_campos.jkocp_idcent = jk_orden_enviar.idcent AND jk_orden_campos.jkocp_servapli = jk_orden_enviar.servapli AND jk_orden_campos.jkocp_numecont = jk_orden_enviar.numecont AND jk_orden_campos.jkocp_campo IN ('521', '523')</t>
  </si>
  <si>
    <t>prsw_direccion.idemex = SUBSTRING(jk_orden_enviar.bicade, 1, 4) AND prsw_direccion.idofex = SUBSTRING(jk_orden_enviar.bicade, 5, 4)</t>
  </si>
  <si>
    <t>jk_datos_campos (SEN NAME)</t>
  </si>
  <si>
    <t>jk_datos_campos.jkdcp_reftrn = jk_orden_enviar.reftrn AND jk_datos_campos.jkdcp_campo IN ('523', '526')</t>
  </si>
  <si>
    <t>jk_orden_campos (SEN NAME)</t>
  </si>
  <si>
    <t>jk_orden_campos.jkocp_idempr = jk_orden_enviar.idempr AND jk_orden_campos.jkocp_idcent = jk_orden_enviar.idcent AND jk_orden_campos.jkocp_servapli = jk_orden_enviar.servapli AND jk_orden_campos.jkocp_numecont = jk_orden_enviar.numecont AND jk_orden_campos.jkocp_campo IN ('523', '526')</t>
  </si>
  <si>
    <t>jk_datos_campos (REC ID)</t>
  </si>
  <si>
    <t>jk_datos_campos.jkdcp_reftrn = jk_orden_enviar.reftrn AND jk_datos_campos.jkdcp_campo IN ('571', '573')</t>
  </si>
  <si>
    <t>jk_orden_campos (REC ID)</t>
  </si>
  <si>
    <t>jk_orden_campos.jkocp_idempr = jk_orden_enviar.idempr AND jk_orden_campos.jkocp_idcent = jk_orden_enviar.idcent AND jk_orden_campos.jkocp_servapli = jk_orden_enviar.servapli AND jk_orden_campos.jkocp_numecont = jk_orden_enviar.numecont AND jk_orden_campos.jkocp_campo IN ('571', '573')</t>
  </si>
  <si>
    <t>jk_datos_campos (REC 581)</t>
  </si>
  <si>
    <t>jk_datos_campos.jkdcp_reftrn = jk_orden_enviar.reftrn AND jk_datos_campos.jkdcp_campo IN ('581')</t>
  </si>
  <si>
    <t>prsw_direccion (REC 581)</t>
  </si>
  <si>
    <t>prsw_direccion.idemex = SUBSTRING(jk_datos_campos.jkdcp_datosva_text, 34, 4) AND prsw_direccion.idofex = SUBSTRING(jk_datos_campos.jkdcp_datosva_text, 39, 4)</t>
  </si>
  <si>
    <t>jk_datos_campos (REC 584)</t>
  </si>
  <si>
    <t>jk_datos_campos.jkdcp_reftrn = jk_orden_enviar.reftrn AND jk_datos_campos.jkdcp_campo IN ('584')</t>
  </si>
  <si>
    <t>prsw_direccion (REC 584)</t>
  </si>
  <si>
    <t>prsw_direccion.idemex = SUBSTRING(jk_datos_campos.jkdcp_datosva_text, 1, 4) AND prsw_direccion.idofex = SUBSTRING(jk_datos_campos.jkdcp_datosva_text, 5, 4)</t>
  </si>
  <si>
    <t>jk_orden_campos (REC 581)</t>
  </si>
  <si>
    <t>jk_orden_campos.jkocp_idempr = jk_orden_enviar.idempr AND jk_orden_campos.jkocp_idcent = jk_orden_enviar.idcent AND jk_orden_campos.jkocp_servapli = jk_orden_enviar.servapli AND jk_orden_campos.jkocp_numecont = jk_orden_enviar.numecont AND jk_orden_campos.jkocp_campo IN ('581')</t>
  </si>
  <si>
    <t>prsw_direccion.idemex = SUBSTRING(jk_orden_campos.jkocp_datosva_text, 34, 4) AND prsw_direccion.idofex = SUBSTRING(jk_orden_campos.jkocp_datosva_text, 39, 4)</t>
  </si>
  <si>
    <t>jk_orden_campos (REC 584)</t>
  </si>
  <si>
    <t>jk_orden_campos.jkocp_idempr = jk_orden_enviar.idempr AND jk_orden_campos.jkocp_idcent = jk_orden_enviar.idcent AND jk_orden_campos.jkocp_servapli = jk_orden_enviar.servapli AND jk_orden_campos.jkocp_numecont = jk_orden_enviar.numecont AND jk_orden_campos.jkocp_campo IN ('584')</t>
  </si>
  <si>
    <t>prsw_direccion.idemex = SUBSTRING(jk_orden_campos.jkocp_datosva_text, 1, 4) AND prsw_direccion.idofex = SUBSTRING(jk_orden_campos.jkocp_datosva_text, 5, 4)</t>
  </si>
  <si>
    <t>jk_datos_campos (REC NAME)</t>
  </si>
  <si>
    <t>jk_datos_campos.jkdcp_reftrn = jk_orden_enviar.reftrn AND jk_datos_campos.jkdcp_campo IN ('573', '576')</t>
  </si>
  <si>
    <t>jk_orden_campos (REC NAME)</t>
  </si>
  <si>
    <t>jk_orden_campos.jkocp_idempr = jk_orden_enviar.idempr AND jk_orden_campos.jkocp_idcent = jk_orden_enviar.idcent AND jk_orden_campos.jkocp_servapli = jk_orden_enviar.servapli AND jk_orden_campos.jkocp_numecont = jk_orden_enviar.numecont AND jk_orden_campos.jkocp_campo IN ('573', '576')</t>
  </si>
  <si>
    <t>jk_orden_enviar.codmon = SUBSTRING(tat91_tabelas_new.tayd91c0_nelemc01, 1, 3)</t>
  </si>
  <si>
    <t>jk_orden_camara</t>
  </si>
  <si>
    <t>jk_datos_campos.jkdcp_reftrn = jk_orden_camara.numecont AND jk_datos_campos.jkdcp_campo IN ('521', '523')</t>
  </si>
  <si>
    <t>jk_orden_campos.jkocp_idempr = jk_orden_camara.idempr AND jk_orden_enviar.jkocp_idcent = jk_orden_camara.idcent AND jk_orden_campos.jkocp_servapli = jk_orden_camara.servapli AND jk_orden_campos.jkocp_numecont = jk_orden_camara.numecont AND jk_orden_campos.jkocp_campo IN ('521', '523')</t>
  </si>
  <si>
    <t>prsw_direccion.idemex = jk_orden_camara.bcoemi AND prsw_direccion.idofex = jk_orden_camara.sucemi</t>
  </si>
  <si>
    <t>jk_datos_campos.jkdcp_reftrn = jk_orden_camara.numecont AND jk_datos_campos.jkdcp_campo IN ('523', '526')</t>
  </si>
  <si>
    <t>jk_orden_campos.jkocp_idempr = jk_orden_camara.idempr AND jk_orden_campos.jkocp_idcent = jk_orden_camara.idcent AND jk_orden_campos.jkocp_servapli = jk_orden_camara.servapli AND jk_orden_campos.jkocp_numecont = jk_orden_camara.numecont AND jk_orden_campos.jkocp_campo IN ('523', '526')</t>
  </si>
  <si>
    <t>jk_datos_campos.jkdcp_reftrn = jk_orden_camara.numecont AND jk_datos_campos.jkdcp_campo IN ('571', '573')</t>
  </si>
  <si>
    <t>jk_orden_campos.jkocp_idempr = jk_orden_camara.idempr AND jk_orden_campos.jkocp_idcent = jk_orden_camara.idcent AND jk_orden_campos.jkocp_servapli = jk_orden_camara.servapli AND jk_orden_campos.jkocp_numecont = jk_orden_camara.numecont AND jk_orden_campos.jkocp_campo IN ('571', '573')</t>
  </si>
  <si>
    <t>jk_datos_campos.jkdcp_reftrn = jk_orden_camara.numecont AND jk_datos_campos.jkdcp_campo IN ('581')</t>
  </si>
  <si>
    <t>jk_orden_campos.jkocp_idempr = jk_orden_camara.idempr AND jk_orden_campos.jkocp_idcent = jk_orden_camara.idcent AND jk_orden_campos.jkocp_servapli = jk_orden_camara.servapli AND jk_orden_campos.jkocp_numecont = jk_orden_camara.numecont AND jk_orden_campos.jkocp_campo IN ('581')</t>
  </si>
  <si>
    <t>jk_datos_campos.jkdcp_reftrn = jk_orden_camara.numecont AND jk_datos_campos.jkdcp_campo IN ('584')</t>
  </si>
  <si>
    <t>jk_orden_campos  (REC 584)</t>
  </si>
  <si>
    <t>jk_orden_campos.jkocp_idempr = jk_orden_camara.idempr AND jk_orden_campos.jkocp_idcent = jk_orden_camara.idcent AND jk_orden_campos.jkocp_servapli = jk_orden_camara.servapli AND jk_orden_campos.jkocp_numecont = jk_orden_camara.numecont AND jk_orden_campos.jkocp_campo IN ('584')</t>
  </si>
  <si>
    <t>jk_datos_campos.jkdcp_reftrn = jk_orden_camara.numecont AND jk_datos_campos.jkdcp_campo IN ('573', '576')</t>
  </si>
  <si>
    <t>jk_orden_campos.jkocp_idempr = jk_orden_camara.idempr AND jk_orden_campos.jkocp_idcent = jk_orden_camara.idcent AND jk_orden_campos.jkocp_servapli = jk_orden_camara.servapli AND jk_orden_campos.jkocp_numecont = jk_orden_camara.numecont AND jk_orden_campos.jkocp_campo IN ('573', '576')</t>
  </si>
  <si>
    <t>jk_orden_camara.codmon = SUBSTRING(tat91_tabelas_new.tayd91c0_nelemc01, 1, 3)</t>
  </si>
  <si>
    <t>est94_hismsgsw</t>
  </si>
  <si>
    <t>est95_histxmsg</t>
  </si>
  <si>
    <t>TRIM(est94_hismsgsw.esyd94a5_zsn) = TRIM(est95_histxmsg.esyd95a1_zsn) AND
TRIM(est94_hismsgsw.esyd94a5_cmur) = TRIM(est95_histxmsg.esyd95a1_cmur)</t>
  </si>
  <si>
    <t>est95_histxmsg (FILTRO_53)</t>
  </si>
  <si>
    <t>TRIM(est95_histxmsg .esyd95a1_cmur) = TRIM(FILTRO_53.esyd95a1_cmur)</t>
  </si>
  <si>
    <t>est95_histxmsg (FILTRO_54)</t>
  </si>
  <si>
    <t>TRIM(est95_histxmsg .esyd95a1_cmur) = TRIM(FILTRO_54.esyd95a1_cmur)</t>
  </si>
  <si>
    <t>est95_histxmsg (FULL_MESSAGE)</t>
  </si>
  <si>
    <t>TRIM(est94_hismsgsw.esyd94a5_zsn) = TRIM(FULL_MESSAGE.esyd95a1_zsn) AND
TRIM(est94_hismsgsw.esyd94a5_cmur) = TRIM(FULL_MESSAGE.esyd95a1_cmur)</t>
  </si>
  <si>
    <t>est95_histxmsg (RECEIVER_REF)</t>
  </si>
  <si>
    <t>TRIM(est95_histxmsg .esyd95a1_cmur) = TRIM(RECEIVER_REF.esyd95a1_cmur)</t>
  </si>
  <si>
    <t>NOME FÍSICO BD FONTE</t>
  </si>
  <si>
    <t>NOME FÍSICO TABELA FONTE</t>
  </si>
  <si>
    <t>REGRA DE ATAQUE</t>
  </si>
  <si>
    <t>DESCRIÇÃO ESTADOS CONSIDERADOS</t>
  </si>
  <si>
    <t>DESCRIÇÃO ESTADOS DESCONSIDERADOS</t>
  </si>
  <si>
    <t>est51_inf_det (ENV)</t>
  </si>
  <si>
    <t>est51_inf_det.tipmsg = '00103' AND (est51_inf_det .tipinfor = '00050' OR est51_inf_det.tipinfor = '00503') AND est51_inf_det ncampo = '00001'</t>
  </si>
  <si>
    <t>est51_inf_det (REC)</t>
  </si>
  <si>
    <t>est51_inf_det.tipmsg = '00103' AND est51_inf_det.tipinfor = '00059' AND est51_inf_det.ncampo = '00001'</t>
  </si>
  <si>
    <t>tayd91c0_ctabela = '206'</t>
  </si>
  <si>
    <t>igt05.produto IN ('TRR', 'TNR', 'TRE', 'TNE')</t>
  </si>
  <si>
    <t>rst03_mt101trf.rsyd03a2_caplicdst = 'RS'</t>
  </si>
  <si>
    <t>hhf_indban1 = 'B'</t>
  </si>
  <si>
    <t>tiprel = 'K'</t>
  </si>
  <si>
    <t>hhf_indban1 = 'O'</t>
  </si>
  <si>
    <t>hh_transf_emit (hh_tr_not_9635_universe)</t>
  </si>
  <si>
    <t>hh_transf_emit.idcent != '9635'</t>
  </si>
  <si>
    <t>hh_transf_emit (hh_tr_9635_universe)</t>
  </si>
  <si>
    <t>hh_transf_emit.idcent = '9635'</t>
  </si>
  <si>
    <t>CONCAT(tipmsj, indmsj, nummsj) != 'MT103'</t>
  </si>
  <si>
    <t>jkdcp_campo IN ('521', '523')</t>
  </si>
  <si>
    <t>jkocp_campo IN ('521', '523')</t>
  </si>
  <si>
    <t>jkdcp_campo IN ('523', '526')</t>
  </si>
  <si>
    <t>jkocp_campo IN ('523', '526')</t>
  </si>
  <si>
    <t>jkdcp_campo IN ('571', '573')</t>
  </si>
  <si>
    <t>jkocp_campo IN ('571,', '573')</t>
  </si>
  <si>
    <t>jkdcp_campo IN ('581')</t>
  </si>
  <si>
    <t>jkocp_campo IN ('581')</t>
  </si>
  <si>
    <t>jkdcp_campo IN ('584')</t>
  </si>
  <si>
    <t>jkocp_campo IN ('584')</t>
  </si>
  <si>
    <t xml:space="preserve">jkdcp_campo IN ('573', '576')  </t>
  </si>
  <si>
    <t xml:space="preserve">jkocp_campo IN ('573', '576')  </t>
  </si>
  <si>
    <t>esyd94a5_tipmtmx IN ('pacs.008', 'pacs.009', 'pain.001', 'MT103', 'MT202')</t>
  </si>
  <si>
    <t>est95_histxmsg.esyd95a1_gtxtmsg LIKE '20%' AND RIGHT(TRIM(est95_histxmsg.esyd95a1_gtxtmsg), 1) = '1'</t>
  </si>
  <si>
    <t>GROUP BY TRIM(esyd95a1_cmur), TRIM(esyd95a1_zsn)</t>
  </si>
  <si>
    <t>est95_histxmsg .esyd95a1_gtxtmsg LIKE '21%' AND RIGHT(TRIM(est95_histxmsg .esyd95a1_gtxtmsg), 1) = '1'</t>
  </si>
  <si>
    <t>est95_histxmsg .esyd95a1_gtxtmsg LIKE '54A%' AND RIGHT(TRIM(est95_histxmsg .esyd95a1_gtxtmsg), 1) = '1'</t>
  </si>
  <si>
    <t>est95_histxmsg .esyd95a1_gtxtmsg LIKE '53A%' AND RIGHT(TRIM(est95_histxmsg .esyd95a1_gtxtmsg), 1)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</si>
</sst>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font>
    <font>
      <sz val="10"/>
      <color theme="1"/>
      <name val="Calibri"/>
      <family val="2"/>
      <scheme val="minor"/>
    </font>
    <font>
      <sz val="11"/>
      <color rgb="FF000000"/>
      <name val="Calibri"/>
      <family val="2"/>
      <scheme val="minor"/>
    </font>
    <font>
      <b/>
      <sz val="11"/>
      <color rgb="FF000000"/>
      <name val="Calibri"/>
      <family val="2"/>
      <scheme val="minor"/>
    </font>
    <font>
      <b/>
      <sz val="11"/>
      <color rgb="FF000000"/>
      <name val="Calibri"/>
      <family val="2"/>
    </font>
    <font>
      <b/>
      <sz val="11"/>
      <color rgb="FF000000"/>
      <name val="Calibri"/>
      <scheme val="minor"/>
    </font>
    <font>
      <sz val="11"/>
      <color rgb="FF000000"/>
      <name val="Calibri"/>
      <scheme val="minor"/>
    </font>
    <font>
      <b/>
      <sz val="11"/>
      <color rgb="FF000000"/>
      <name val="Calibri"/>
    </font>
    <font>
      <sz val="11"/>
      <color rgb="FF000000"/>
      <name val="Calibri"/>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FF"/>
        <bgColor rgb="FF000000"/>
      </patternFill>
    </fill>
  </fills>
  <borders count="22">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theme="6"/>
      </right>
      <top/>
      <bottom/>
      <diagonal/>
    </border>
    <border>
      <left style="thin">
        <color rgb="FF000000"/>
      </left>
      <right/>
      <top/>
      <bottom/>
      <diagonal/>
    </border>
    <border>
      <left/>
      <right style="thin">
        <color rgb="FF000000"/>
      </right>
      <top style="thin">
        <color rgb="FF000000"/>
      </top>
      <bottom/>
      <diagonal/>
    </border>
  </borders>
  <cellStyleXfs count="5">
    <xf numFmtId="0" fontId="0" fillId="0" borderId="0"/>
    <xf numFmtId="0" fontId="2" fillId="0" borderId="0"/>
    <xf numFmtId="0" fontId="5" fillId="0" borderId="0"/>
    <xf numFmtId="0" fontId="21" fillId="0" borderId="0" applyNumberFormat="0" applyFill="0" applyBorder="0" applyAlignment="0" applyProtection="0">
      <alignment vertical="top"/>
      <protection locked="0"/>
    </xf>
    <xf numFmtId="0" fontId="22" fillId="0" borderId="0"/>
  </cellStyleXfs>
  <cellXfs count="168">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7" borderId="2" xfId="0" applyFont="1" applyFill="1" applyBorder="1" applyProtection="1">
      <protection locked="0"/>
    </xf>
    <xf numFmtId="0" fontId="25" fillId="7" borderId="2" xfId="0" applyFont="1" applyFill="1" applyBorder="1" applyAlignment="1" applyProtection="1">
      <alignment wrapText="1"/>
      <protection locked="0"/>
    </xf>
    <xf numFmtId="0" fontId="25" fillId="0" borderId="2" xfId="0" applyFont="1" applyBorder="1" applyProtection="1">
      <protection locked="0"/>
    </xf>
    <xf numFmtId="0" fontId="25"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7"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4" fillId="5" borderId="7" xfId="0" applyFont="1" applyFill="1" applyBorder="1" applyAlignment="1">
      <alignment horizontal="center" vertical="center" wrapText="1"/>
    </xf>
    <xf numFmtId="0" fontId="28"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29"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2" fillId="0" borderId="8" xfId="0" applyFont="1" applyBorder="1" applyAlignment="1">
      <alignment horizontal="left" vertical="center" indent="1"/>
    </xf>
    <xf numFmtId="0" fontId="17" fillId="4" borderId="9" xfId="0" applyFont="1" applyFill="1" applyBorder="1" applyAlignment="1">
      <alignment horizontal="center" vertical="center"/>
    </xf>
    <xf numFmtId="0" fontId="24" fillId="5" borderId="7" xfId="0" applyFont="1" applyFill="1" applyBorder="1" applyAlignment="1">
      <alignment horizontal="center" vertical="center"/>
    </xf>
    <xf numFmtId="0" fontId="24" fillId="5" borderId="7" xfId="0" applyFont="1" applyFill="1" applyBorder="1" applyAlignment="1">
      <alignment horizontal="left" vertical="center" wrapText="1"/>
    </xf>
    <xf numFmtId="0" fontId="24" fillId="5" borderId="14" xfId="0" applyFont="1" applyFill="1" applyBorder="1" applyAlignment="1">
      <alignment horizontal="center" vertical="center" wrapText="1"/>
    </xf>
    <xf numFmtId="0" fontId="23" fillId="11" borderId="12" xfId="0" applyFont="1" applyFill="1" applyBorder="1" applyAlignment="1" applyProtection="1">
      <alignment horizontal="center" vertical="center" wrapText="1" readingOrder="1"/>
      <protection locked="0"/>
    </xf>
    <xf numFmtId="0" fontId="23"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8" xfId="0" applyBorder="1" applyAlignment="1">
      <alignment horizontal="left" vertical="center"/>
    </xf>
    <xf numFmtId="0" fontId="0" fillId="0" borderId="2" xfId="0" applyBorder="1" applyAlignment="1">
      <alignment horizontal="left" vertical="center"/>
    </xf>
    <xf numFmtId="0" fontId="24" fillId="5" borderId="0" xfId="0" applyFont="1" applyFill="1" applyAlignment="1">
      <alignment horizontal="center" vertical="center" wrapText="1"/>
    </xf>
    <xf numFmtId="0" fontId="30" fillId="0" borderId="2" xfId="0" applyFont="1" applyBorder="1" applyAlignment="1">
      <alignment horizontal="left" vertical="center"/>
    </xf>
    <xf numFmtId="0" fontId="0" fillId="0" borderId="2" xfId="0" applyBorder="1" applyAlignment="1">
      <alignment horizontal="left" vertical="center" wrapText="1"/>
    </xf>
    <xf numFmtId="0" fontId="0" fillId="0" borderId="8" xfId="0" applyBorder="1" applyAlignment="1">
      <alignment horizontal="center" vertical="center"/>
    </xf>
    <xf numFmtId="0" fontId="30" fillId="0" borderId="8" xfId="0" applyFont="1" applyBorder="1" applyAlignment="1">
      <alignment horizontal="left" vertical="center"/>
    </xf>
    <xf numFmtId="0" fontId="30" fillId="0" borderId="15" xfId="0" applyFont="1" applyBorder="1" applyAlignment="1">
      <alignment horizontal="left" vertical="center"/>
    </xf>
    <xf numFmtId="0" fontId="0" fillId="0" borderId="15" xfId="0" applyBorder="1" applyAlignment="1">
      <alignment horizontal="lef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0" fillId="0" borderId="15" xfId="0" applyFont="1" applyBorder="1" applyAlignment="1">
      <alignment horizontal="left" vertical="center" wrapText="1"/>
    </xf>
    <xf numFmtId="0" fontId="0" fillId="0" borderId="16" xfId="0" applyBorder="1" applyAlignment="1">
      <alignment vertical="center"/>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0" fillId="0" borderId="15" xfId="0" applyBorder="1" applyAlignment="1">
      <alignment horizontal="left" vertical="center" wrapText="1"/>
    </xf>
    <xf numFmtId="0" fontId="30" fillId="0" borderId="17" xfId="0" applyFont="1" applyBorder="1" applyAlignment="1">
      <alignment horizontal="lef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31" fillId="0" borderId="8" xfId="0" applyFont="1" applyBorder="1" applyAlignment="1">
      <alignment vertical="center" wrapText="1"/>
    </xf>
    <xf numFmtId="0" fontId="0" fillId="0" borderId="0" xfId="0" applyAlignment="1" applyProtection="1">
      <alignment horizontal="left" vertical="center" wrapText="1"/>
      <protection locked="0"/>
    </xf>
    <xf numFmtId="0" fontId="0" fillId="0" borderId="8" xfId="0" applyBorder="1" applyAlignment="1">
      <alignment horizontal="left" vertical="center" wrapText="1"/>
    </xf>
    <xf numFmtId="0" fontId="31" fillId="0" borderId="8" xfId="0" applyFont="1" applyBorder="1" applyAlignment="1" applyProtection="1">
      <alignment vertical="center" wrapText="1"/>
      <protection locked="0"/>
    </xf>
    <xf numFmtId="0" fontId="31" fillId="0" borderId="16" xfId="0" applyFont="1" applyBorder="1" applyAlignment="1">
      <alignment vertical="center" wrapText="1"/>
    </xf>
    <xf numFmtId="0" fontId="0" fillId="0" borderId="15" xfId="0" applyBorder="1" applyAlignment="1" applyProtection="1">
      <alignment horizontal="center" vertical="center"/>
      <protection locked="0"/>
    </xf>
    <xf numFmtId="0" fontId="0" fillId="0" borderId="16" xfId="0" applyBorder="1" applyAlignment="1" applyProtection="1">
      <alignment vertical="center"/>
      <protection locked="0"/>
    </xf>
    <xf numFmtId="0" fontId="0" fillId="0" borderId="16" xfId="0" applyBorder="1" applyAlignment="1" applyProtection="1">
      <alignment vertical="center" wrapText="1"/>
      <protection locked="0"/>
    </xf>
    <xf numFmtId="0" fontId="0" fillId="0" borderId="16" xfId="0" applyBorder="1" applyAlignment="1" applyProtection="1">
      <alignment horizontal="center" vertical="center" wrapText="1"/>
      <protection locked="0"/>
    </xf>
    <xf numFmtId="0" fontId="30" fillId="0" borderId="17" xfId="0" applyFont="1" applyBorder="1" applyAlignment="1" applyProtection="1">
      <alignment vertical="center" wrapText="1"/>
      <protection locked="0"/>
    </xf>
    <xf numFmtId="0" fontId="0" fillId="0" borderId="16" xfId="0" applyBorder="1" applyAlignment="1">
      <alignment horizontal="center" vertical="center"/>
    </xf>
    <xf numFmtId="0" fontId="27" fillId="2" borderId="16" xfId="0" applyFont="1" applyFill="1" applyBorder="1" applyAlignment="1">
      <alignment horizontal="left" vertical="center" wrapText="1"/>
    </xf>
    <xf numFmtId="0" fontId="0" fillId="0" borderId="16" xfId="0" applyBorder="1" applyAlignment="1" applyProtection="1">
      <alignment horizontal="left" vertical="center" wrapText="1"/>
      <protection locked="0"/>
    </xf>
    <xf numFmtId="0" fontId="31" fillId="0" borderId="16" xfId="0" applyFont="1" applyBorder="1" applyAlignment="1" applyProtection="1">
      <alignment vertical="center" wrapText="1"/>
      <protection locked="0"/>
    </xf>
    <xf numFmtId="0" fontId="31" fillId="0" borderId="16" xfId="0" applyFont="1" applyBorder="1" applyAlignment="1" applyProtection="1">
      <alignment horizontal="center" vertical="center" wrapText="1"/>
      <protection locked="0"/>
    </xf>
    <xf numFmtId="0" fontId="30" fillId="0" borderId="11" xfId="0" applyFont="1" applyBorder="1" applyAlignment="1">
      <alignment horizontal="left" vertical="center"/>
    </xf>
    <xf numFmtId="0" fontId="0" fillId="0" borderId="13" xfId="0" applyBorder="1" applyAlignment="1" applyProtection="1">
      <alignment horizontal="center" vertical="center"/>
      <protection locked="0"/>
    </xf>
    <xf numFmtId="0" fontId="30" fillId="0" borderId="6" xfId="0" applyFont="1" applyBorder="1" applyAlignment="1">
      <alignment horizontal="left" vertical="center"/>
    </xf>
    <xf numFmtId="0" fontId="30" fillId="0" borderId="8" xfId="0" applyFont="1" applyBorder="1" applyAlignment="1">
      <alignment horizontal="left" vertical="center" wrapText="1"/>
    </xf>
    <xf numFmtId="0" fontId="23" fillId="3" borderId="11" xfId="0" applyFont="1" applyFill="1" applyBorder="1" applyAlignment="1" applyProtection="1">
      <alignment horizontal="center" vertical="center" wrapText="1" readingOrder="1"/>
      <protection locked="0"/>
    </xf>
    <xf numFmtId="0" fontId="24" fillId="5" borderId="20" xfId="0" applyFont="1" applyFill="1" applyBorder="1" applyAlignment="1">
      <alignment horizontal="center" vertical="center" wrapText="1"/>
    </xf>
    <xf numFmtId="0" fontId="0" fillId="0" borderId="8" xfId="0" applyBorder="1" applyAlignment="1" applyProtection="1">
      <alignment horizontal="left" vertical="center"/>
      <protection locked="0"/>
    </xf>
    <xf numFmtId="0" fontId="0" fillId="0" borderId="8" xfId="0" applyBorder="1" applyAlignment="1" applyProtection="1">
      <alignment horizontal="left" vertical="center" wrapText="1"/>
      <protection locked="0"/>
    </xf>
    <xf numFmtId="0" fontId="0" fillId="0" borderId="16" xfId="0" applyBorder="1" applyAlignment="1" applyProtection="1">
      <alignment horizontal="left" vertical="center"/>
      <protection locked="0"/>
    </xf>
    <xf numFmtId="0" fontId="27" fillId="13" borderId="8" xfId="0" applyFont="1" applyFill="1" applyBorder="1" applyAlignment="1">
      <alignment horizontal="left" vertical="top" wrapText="1"/>
    </xf>
    <xf numFmtId="0" fontId="0" fillId="0" borderId="8" xfId="0" applyBorder="1" applyAlignment="1">
      <alignment vertical="top" wrapText="1"/>
    </xf>
    <xf numFmtId="0" fontId="30" fillId="0" borderId="8" xfId="0" applyFont="1" applyBorder="1" applyAlignment="1" applyProtection="1">
      <alignment vertical="center" wrapText="1"/>
      <protection locked="0"/>
    </xf>
    <xf numFmtId="0" fontId="0" fillId="0" borderId="18" xfId="0" applyBorder="1" applyAlignment="1" applyProtection="1">
      <alignment vertical="center" wrapText="1"/>
      <protection locked="0"/>
    </xf>
    <xf numFmtId="0" fontId="0" fillId="0" borderId="18" xfId="0" applyBorder="1" applyAlignment="1" applyProtection="1">
      <alignment horizontal="left" vertical="center" wrapText="1"/>
      <protection locked="0"/>
    </xf>
    <xf numFmtId="0" fontId="0" fillId="0" borderId="21" xfId="0" applyBorder="1" applyAlignment="1" applyProtection="1">
      <alignment horizontal="center" vertical="center" wrapText="1"/>
      <protection locked="0"/>
    </xf>
    <xf numFmtId="0" fontId="1" fillId="0" borderId="8" xfId="0" applyFont="1" applyBorder="1" applyAlignment="1">
      <alignment vertical="center"/>
    </xf>
    <xf numFmtId="0" fontId="1" fillId="0" borderId="8" xfId="0" applyFont="1" applyBorder="1" applyAlignment="1">
      <alignment horizontal="center" vertical="center"/>
    </xf>
    <xf numFmtId="0" fontId="1" fillId="0" borderId="8" xfId="0" applyFont="1" applyBorder="1" applyAlignment="1">
      <alignment horizontal="left" vertical="center"/>
    </xf>
    <xf numFmtId="0" fontId="1" fillId="0" borderId="8" xfId="0" applyFont="1" applyBorder="1" applyAlignment="1">
      <alignment vertical="center" wrapText="1"/>
    </xf>
    <xf numFmtId="0" fontId="1" fillId="0" borderId="16" xfId="0" applyFont="1" applyBorder="1" applyAlignment="1">
      <alignment horizontal="center" vertical="center"/>
    </xf>
    <xf numFmtId="0" fontId="1" fillId="0" borderId="11" xfId="0" applyFont="1" applyBorder="1" applyAlignment="1">
      <alignment vertical="center" wrapText="1"/>
    </xf>
    <xf numFmtId="0" fontId="1" fillId="0" borderId="15" xfId="0" applyFont="1" applyBorder="1" applyAlignment="1">
      <alignment horizontal="center" vertical="center"/>
    </xf>
    <xf numFmtId="0" fontId="1" fillId="0" borderId="16" xfId="0" applyFont="1" applyBorder="1" applyAlignment="1">
      <alignment vertical="center"/>
    </xf>
    <xf numFmtId="0" fontId="1" fillId="0" borderId="16" xfId="0" applyFont="1" applyBorder="1" applyAlignment="1">
      <alignment vertical="center" wrapText="1"/>
    </xf>
    <xf numFmtId="0" fontId="1" fillId="0" borderId="16" xfId="0" applyFont="1" applyBorder="1" applyAlignment="1">
      <alignment horizontal="left" vertical="center"/>
    </xf>
    <xf numFmtId="0" fontId="1" fillId="0" borderId="16" xfId="0" applyFont="1" applyBorder="1" applyAlignment="1">
      <alignment horizontal="center" vertical="center" wrapText="1"/>
    </xf>
    <xf numFmtId="0" fontId="1" fillId="0" borderId="8" xfId="0" applyFont="1" applyBorder="1" applyAlignment="1" applyProtection="1">
      <alignment horizontal="left" vertical="center"/>
      <protection locked="0"/>
    </xf>
    <xf numFmtId="0" fontId="29" fillId="0" borderId="8" xfId="0" applyFont="1" applyBorder="1" applyAlignment="1">
      <alignment vertical="center" wrapText="1"/>
    </xf>
    <xf numFmtId="0" fontId="29" fillId="0" borderId="16" xfId="0" applyFont="1" applyBorder="1" applyAlignment="1">
      <alignment vertical="center" wrapText="1"/>
    </xf>
    <xf numFmtId="0" fontId="35" fillId="0" borderId="8" xfId="0" applyFont="1" applyBorder="1" applyAlignment="1">
      <alignment vertical="center" wrapText="1"/>
    </xf>
    <xf numFmtId="0" fontId="37" fillId="0" borderId="8" xfId="0" applyFont="1" applyBorder="1" applyAlignment="1">
      <alignment vertical="center" wrapText="1"/>
    </xf>
    <xf numFmtId="0" fontId="23" fillId="3" borderId="18" xfId="0" applyFont="1" applyFill="1" applyBorder="1" applyAlignment="1" applyProtection="1">
      <alignment horizontal="center" vertical="center" wrapText="1" readingOrder="1"/>
      <protection locked="0"/>
    </xf>
    <xf numFmtId="0" fontId="24" fillId="5" borderId="4" xfId="0" applyFont="1" applyFill="1" applyBorder="1" applyAlignment="1" applyProtection="1">
      <alignment horizontal="center" vertical="center" wrapText="1"/>
      <protection locked="0"/>
    </xf>
    <xf numFmtId="0" fontId="25" fillId="0" borderId="17" xfId="0" applyFont="1" applyBorder="1" applyAlignment="1">
      <alignment horizontal="left" vertical="center" wrapText="1"/>
    </xf>
    <xf numFmtId="0" fontId="24" fillId="5" borderId="19" xfId="0" applyFont="1" applyFill="1" applyBorder="1" applyAlignment="1">
      <alignment horizontal="center" vertical="center" wrapText="1"/>
    </xf>
    <xf numFmtId="0" fontId="35" fillId="0" borderId="16" xfId="0" applyFont="1" applyBorder="1" applyAlignment="1">
      <alignment vertical="center" wrapText="1"/>
    </xf>
    <xf numFmtId="0" fontId="37" fillId="0" borderId="16"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2" borderId="11" xfId="0" applyFont="1" applyFill="1" applyBorder="1" applyAlignment="1" applyProtection="1">
      <alignment horizontal="center" vertical="center" wrapText="1"/>
      <protection locked="0"/>
    </xf>
    <xf numFmtId="0" fontId="23" fillId="12" borderId="12"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protection locked="0"/>
    </xf>
    <xf numFmtId="0" fontId="23" fillId="12" borderId="18" xfId="0" applyFont="1" applyFill="1" applyBorder="1" applyAlignment="1" applyProtection="1">
      <alignment horizontal="center" vertical="center" wrapText="1" readingOrder="1"/>
      <protection locked="0"/>
    </xf>
    <xf numFmtId="0" fontId="23" fillId="12" borderId="10"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8" xfId="0" applyFont="1" applyFill="1" applyBorder="1" applyAlignment="1" applyProtection="1">
      <alignment horizontal="center" vertical="center" wrapText="1" readingOrder="1"/>
      <protection locked="0"/>
    </xf>
    <xf numFmtId="0" fontId="23" fillId="11" borderId="11" xfId="0" applyFont="1" applyFill="1" applyBorder="1" applyAlignment="1" applyProtection="1">
      <alignment horizontal="center" vertical="center" wrapText="1" readingOrder="1"/>
      <protection locked="0"/>
    </xf>
    <xf numFmtId="0" fontId="23" fillId="11" borderId="12" xfId="0" applyFont="1" applyFill="1" applyBorder="1" applyAlignment="1" applyProtection="1">
      <alignment horizontal="center" vertical="center" wrapText="1" readingOrder="1"/>
      <protection locked="0"/>
    </xf>
    <xf numFmtId="0" fontId="23" fillId="11" borderId="1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0">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5:Z35" totalsRowShown="0" headerRowDxfId="59" dataDxfId="58" tableBorderDxfId="57">
  <autoFilter ref="B5:Z35" xr:uid="{00000000-0009-0000-0100-000002000000}"/>
  <tableColumns count="25">
    <tableColumn id="1" xr3:uid="{00000000-0010-0000-0000-000001000000}" name="NOME BD" dataDxfId="56"/>
    <tableColumn id="2" xr3:uid="{00000000-0010-0000-0000-000002000000}" name="NOME TABELA" dataDxfId="55"/>
    <tableColumn id="21" xr3:uid="{00000000-0010-0000-0000-000015000000}" name="NOME FÍSICO TABELA" dataDxfId="54"/>
    <tableColumn id="23" xr3:uid="{00000000-0010-0000-0000-000017000000}" name="NÍVEL TABELA" dataDxfId="53"/>
    <tableColumn id="3" xr3:uid="{00000000-0010-0000-0000-000003000000}" name="NOME CAMPO" dataDxfId="52"/>
    <tableColumn id="22" xr3:uid="{00000000-0010-0000-0000-000016000000}" name="NOME FÍSICO CAMPO" dataDxfId="51"/>
    <tableColumn id="25" xr3:uid="{00000000-0010-0000-0000-000019000000}" name="BLOCO" dataDxfId="50"/>
    <tableColumn id="4" xr3:uid="{00000000-0010-0000-0000-000004000000}" name="ORDEM" dataDxfId="49"/>
    <tableColumn id="5" xr3:uid="{00000000-0010-0000-0000-000005000000}" name="FORMATO" dataDxfId="48"/>
    <tableColumn id="6" xr3:uid="{00000000-0010-0000-0000-000006000000}" name="COMP_ CAMPO" dataDxfId="47"/>
    <tableColumn id="7" xr3:uid="{00000000-0010-0000-0000-000007000000}" name="NUM_ DECIMAIS" dataDxfId="46"/>
    <tableColumn id="8" xr3:uid="{00000000-0010-0000-0000-000008000000}" name="DESCRIÇÃO FUNCIONAL (ENG)" dataDxfId="45"/>
    <tableColumn id="9" xr3:uid="{00000000-0010-0000-0000-000009000000}" name="DESCRIÇÃO FUNCIONAL (PT)" dataDxfId="44"/>
    <tableColumn id="10" xr3:uid="{00000000-0010-0000-0000-00000A000000}" name="CHAVE PRIMÁRIA" dataDxfId="43"/>
    <tableColumn id="27" xr3:uid="{11E1998C-9409-4E55-97CF-FC43B43ACDD1}" name="DADOS REFERÊNCIA" dataDxfId="42"/>
    <tableColumn id="13" xr3:uid="{00000000-0010-0000-0000-00000D000000}" name="NOME BD CURATED" dataDxfId="41"/>
    <tableColumn id="14" xr3:uid="{00000000-0010-0000-0000-00000E000000}" name="NOME FISICO TABELA CURATED" dataDxfId="40"/>
    <tableColumn id="15" xr3:uid="{00000000-0010-0000-0000-00000F000000}" name="NOME FISICO CAMPO CURATED" dataDxfId="39"/>
    <tableColumn id="16" xr3:uid="{00000000-0010-0000-0000-000010000000}" name="CODIÇÃO CURATED - CDM" dataDxfId="38"/>
    <tableColumn id="17" xr3:uid="{00000000-0010-0000-0000-000011000000}" name="TABELA / FICHEIRO" dataDxfId="37"/>
    <tableColumn id="19" xr3:uid="{00000000-0010-0000-0000-000013000000}" name="ID APLICAÇÂO TÉCNICA" dataDxfId="36"/>
    <tableColumn id="20" xr3:uid="{00000000-0010-0000-0000-000014000000}" name="NOME FISICO TABELA FONTE" dataDxfId="35"/>
    <tableColumn id="11" xr3:uid="{00000000-0010-0000-0000-00000B000000}" name="NOME FISICO CAMPO FONTE" dataDxfId="34"/>
    <tableColumn id="18" xr3:uid="{00000000-0010-0000-0000-000012000000}" name="Regras" dataDxfId="33"/>
    <tableColumn id="12" xr3:uid="{00000000-0010-0000-0000-00000C000000}" name="VALOR MANUAL FONTE" dataDxfId="3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31" dataDxfId="30">
  <autoFilter ref="A1:B8" xr:uid="{00000000-0009-0000-0100-000001000000}"/>
  <tableColumns count="2">
    <tableColumn id="1" xr3:uid="{00000000-0010-0000-0100-000001000000}" name="Word" dataDxfId="29"/>
    <tableColumn id="2" xr3:uid="{00000000-0010-0000-0100-000002000000}" name="Abbreviation" dataDxfId="28"/>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146581-7632-4BE0-BD31-22FC02BAC62E}" name="Table7" displayName="Table7" ref="B2:I58" totalsRowShown="0" headerRowDxfId="27" dataDxfId="26" tableBorderDxfId="25">
  <autoFilter ref="B2:I58" xr:uid="{29146581-7632-4BE0-BD31-22FC02BAC62E}">
    <filterColumn colId="1">
      <filters>
        <filter val="transfer_swift"/>
      </filters>
    </filterColumn>
    <filterColumn colId="3">
      <filters>
        <filter val="est10_ordens"/>
        <filter val="jk_orden_camara"/>
      </filters>
    </filterColumn>
  </autoFilter>
  <sortState xmlns:xlrd2="http://schemas.microsoft.com/office/spreadsheetml/2017/richdata2" ref="B3:I58">
    <sortCondition ref="C2:C58"/>
  </sortState>
  <tableColumns count="8">
    <tableColumn id="1" xr3:uid="{EA8AFA05-A17F-483C-8794-36EA921A648D}" name="NOME BD " dataDxfId="24"/>
    <tableColumn id="2" xr3:uid="{88427B2D-8221-4D25-B732-8B450224B184}" name="NOME FÍSICO TABELA" dataDxfId="23"/>
    <tableColumn id="3" xr3:uid="{EFBDE27F-CE12-4ACB-953F-A7B2EE02EACA}" name="NOME FÍSICO BD FONTE ESQUERDA" dataDxfId="22"/>
    <tableColumn id="4" xr3:uid="{B3DA846E-8EC0-431F-8FA4-1951608404D2}" name="NOME FÍSICO TABELA FONTE ESQUERDA" dataDxfId="21"/>
    <tableColumn id="5" xr3:uid="{CD141E8F-3A6F-4BC9-85F4-9867A327896C}" name="NOME FÍSICO BD FONTE DIREITA" dataDxfId="20"/>
    <tableColumn id="6" xr3:uid="{550365F1-D5D0-42F3-9A86-03860D57B14F}" name="NOME FÍSICO TABELA FONTE DIREITA" dataDxfId="19"/>
    <tableColumn id="7" xr3:uid="{2229267A-92EC-4C6A-B710-BAD888549544}" name="REGRA DE CRUZAMENTO" dataDxfId="18"/>
    <tableColumn id="8" xr3:uid="{8200D16A-C61E-4C9A-BF1A-D2B1C9BA6158}" name="TIPO CRUZAMENTO" data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A21BB-937F-4224-B711-D3FA2E1F918E}" name="Table69" displayName="Table69" ref="B2:H32" totalsRowShown="0" headerRowDxfId="16" dataDxfId="15" tableBorderDxfId="14">
  <autoFilter ref="B2:H32" xr:uid="{91AA21BB-937F-4224-B711-D3FA2E1F918E}">
    <filterColumn colId="1">
      <filters>
        <filter val="transfer_swift"/>
      </filters>
    </filterColumn>
  </autoFilter>
  <sortState xmlns:xlrd2="http://schemas.microsoft.com/office/spreadsheetml/2017/richdata2" ref="B3:H26">
    <sortCondition ref="C2:C26"/>
  </sortState>
  <tableColumns count="7">
    <tableColumn id="1" xr3:uid="{79B341D1-695B-43AB-80D5-B77D68F92DF9}" name="NOME BD" dataDxfId="13" totalsRowDxfId="12"/>
    <tableColumn id="2" xr3:uid="{81772F1B-B49B-439B-956A-A5CE05A0EF19}" name="NOME FÍSICO TABELA" dataDxfId="11" totalsRowDxfId="10"/>
    <tableColumn id="5" xr3:uid="{27DA3368-F147-491F-A43A-269549972768}" name="NOME FÍSICO BD FONTE" dataDxfId="9" totalsRowDxfId="8"/>
    <tableColumn id="6" xr3:uid="{590F60E5-B793-4539-9DBC-D928E9E502E0}" name="NOME FÍSICO TABELA FONTE" dataDxfId="7" totalsRowDxfId="6"/>
    <tableColumn id="3" xr3:uid="{05BA70C4-D1D9-4F88-9D1E-A913AC1AF430}" name="REGRA DE ATAQUE" dataDxfId="5" totalsRowDxfId="4"/>
    <tableColumn id="4" xr3:uid="{4D3A6DC7-B137-4BF1-AC3C-691817FFCFC0}" name="DESCRIÇÃO ESTADOS CONSIDERADOS" dataDxfId="3" totalsRowDxfId="2"/>
    <tableColumn id="7" xr3:uid="{5A58B8CD-6C2B-430D-98F7-44377F43B2A9}"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8"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0"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0.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11.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E7" sqref="E7"/>
    </sheetView>
  </sheetViews>
  <sheetFormatPr defaultColWidth="9.42578125" defaultRowHeight="12.75" zeroHeight="1" x14ac:dyDescent="0.2"/>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30" x14ac:dyDescent="0.2">
      <c r="A3" s="5"/>
      <c r="B3" s="56" t="s">
        <v>0</v>
      </c>
      <c r="C3" s="5"/>
      <c r="D3" s="5"/>
      <c r="E3" s="5"/>
      <c r="F3" s="5"/>
      <c r="G3" s="5"/>
      <c r="H3" s="5"/>
      <c r="I3" s="5"/>
      <c r="J3" s="5"/>
      <c r="K3" s="5"/>
      <c r="L3" s="5"/>
      <c r="M3" s="5"/>
      <c r="N3" s="5"/>
      <c r="O3" s="5"/>
      <c r="P3" s="5"/>
    </row>
    <row r="4" spans="1:16" ht="18" x14ac:dyDescent="0.2">
      <c r="A4" s="5"/>
      <c r="B4" s="6"/>
      <c r="C4" s="5"/>
      <c r="D4" s="5"/>
      <c r="E4" s="5"/>
      <c r="F4" s="5"/>
      <c r="G4" s="5"/>
      <c r="H4" s="5"/>
      <c r="I4" s="5"/>
      <c r="J4" s="5"/>
      <c r="K4" s="5"/>
      <c r="L4" s="5"/>
      <c r="M4" s="5"/>
      <c r="N4" s="5"/>
      <c r="O4" s="5"/>
      <c r="P4" s="5"/>
    </row>
    <row r="5" spans="1:16" ht="13.5" thickBot="1" x14ac:dyDescent="0.25">
      <c r="A5" s="5"/>
      <c r="B5" s="7"/>
      <c r="C5" s="7"/>
      <c r="D5" s="7"/>
      <c r="E5" s="7"/>
      <c r="F5" s="7"/>
      <c r="G5" s="7"/>
      <c r="H5" s="7"/>
      <c r="I5" s="7"/>
      <c r="J5" s="5"/>
      <c r="K5" s="5"/>
      <c r="L5" s="5"/>
      <c r="M5" s="5"/>
      <c r="N5" s="5"/>
      <c r="O5" s="5"/>
      <c r="P5" s="5"/>
    </row>
    <row r="6" spans="1:16" ht="15" x14ac:dyDescent="0.3">
      <c r="A6" s="5"/>
      <c r="B6" s="5"/>
      <c r="C6" s="5"/>
      <c r="D6" s="5"/>
      <c r="E6" s="5"/>
      <c r="F6" s="8"/>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9"/>
      <c r="B16" s="9"/>
      <c r="C16" s="9"/>
      <c r="D16" s="9"/>
      <c r="E16" s="9"/>
      <c r="F16" s="9"/>
      <c r="G16" s="9"/>
      <c r="H16" s="9"/>
      <c r="I16" s="9"/>
      <c r="J16" s="9"/>
      <c r="K16" s="9"/>
      <c r="L16" s="9"/>
      <c r="M16" s="9"/>
      <c r="N16" s="9"/>
      <c r="O16" s="10"/>
      <c r="P16" s="9"/>
    </row>
    <row r="17" spans="1:16" s="3" customFormat="1" ht="25.5" x14ac:dyDescent="0.35">
      <c r="A17" s="11"/>
      <c r="B17" s="11"/>
      <c r="C17" s="11"/>
      <c r="D17" s="11"/>
      <c r="E17" s="11"/>
      <c r="F17" s="11"/>
      <c r="G17" s="11"/>
      <c r="H17" s="11"/>
      <c r="I17" s="11"/>
      <c r="J17" s="11"/>
      <c r="K17" s="11"/>
      <c r="L17" s="11"/>
      <c r="M17" s="11"/>
      <c r="N17" s="11"/>
      <c r="O17" s="12"/>
      <c r="P17" s="11"/>
    </row>
    <row r="18" spans="1:16" x14ac:dyDescent="0.2">
      <c r="A18" s="5"/>
      <c r="B18" s="5"/>
      <c r="C18" s="5"/>
      <c r="D18" s="5"/>
      <c r="E18" s="5"/>
      <c r="F18" s="5"/>
      <c r="G18" s="5"/>
      <c r="H18" s="5"/>
      <c r="I18" s="5"/>
      <c r="J18" s="5"/>
      <c r="K18" s="5"/>
      <c r="L18" s="5"/>
      <c r="M18" s="5"/>
      <c r="N18" s="5"/>
      <c r="O18" s="13"/>
      <c r="P18" s="5"/>
    </row>
    <row r="19" spans="1:16" x14ac:dyDescent="0.2">
      <c r="A19" s="5"/>
      <c r="B19" s="5"/>
      <c r="C19" s="5"/>
      <c r="D19" s="5"/>
      <c r="E19" s="5"/>
      <c r="F19" s="5"/>
      <c r="G19" s="5"/>
      <c r="H19" s="5"/>
      <c r="I19" s="5"/>
      <c r="J19" s="5"/>
      <c r="K19" s="5"/>
      <c r="L19" s="5"/>
      <c r="M19" s="5"/>
      <c r="N19" s="5"/>
      <c r="O19" s="13"/>
      <c r="P19" s="5"/>
    </row>
    <row r="20" spans="1:16" ht="15.75" x14ac:dyDescent="0.25">
      <c r="A20" s="5"/>
      <c r="B20" s="5"/>
      <c r="C20" s="5"/>
      <c r="D20" s="5"/>
      <c r="E20" s="5"/>
      <c r="F20" s="5"/>
      <c r="G20" s="5"/>
      <c r="H20" s="5"/>
      <c r="I20" s="5"/>
      <c r="J20" s="5"/>
      <c r="K20" s="5"/>
      <c r="L20" s="5"/>
      <c r="M20" s="5"/>
      <c r="N20" s="5"/>
      <c r="O20" s="14"/>
      <c r="P20" s="5"/>
    </row>
    <row r="21" spans="1:16" x14ac:dyDescent="0.2">
      <c r="A21" s="5"/>
      <c r="B21" s="5"/>
      <c r="C21" s="5"/>
      <c r="D21" s="5"/>
      <c r="E21" s="5"/>
      <c r="F21" s="5"/>
      <c r="G21" s="5"/>
      <c r="H21" s="5"/>
      <c r="I21" s="5"/>
      <c r="J21" s="5"/>
      <c r="K21" s="5"/>
      <c r="L21" s="5"/>
      <c r="M21" s="5"/>
      <c r="N21" s="5"/>
      <c r="O21" s="15"/>
      <c r="P21" s="5"/>
    </row>
    <row r="22" spans="1:16" x14ac:dyDescent="0.2">
      <c r="A22" s="5"/>
      <c r="B22" s="5"/>
      <c r="C22" s="5"/>
      <c r="D22" s="5"/>
      <c r="E22" s="5"/>
      <c r="F22" s="5"/>
      <c r="G22" s="5"/>
      <c r="H22" s="5"/>
      <c r="I22" s="5"/>
      <c r="J22" s="5"/>
      <c r="K22" s="5"/>
      <c r="L22" s="5"/>
      <c r="M22" s="5"/>
      <c r="N22" s="5"/>
      <c r="O22" s="15"/>
      <c r="P22" s="5"/>
    </row>
    <row r="23" spans="1:16" ht="15.75" x14ac:dyDescent="0.25">
      <c r="A23" s="5"/>
      <c r="B23" s="5"/>
      <c r="C23" s="5"/>
      <c r="D23" s="5"/>
      <c r="E23" s="5"/>
      <c r="F23" s="5"/>
      <c r="G23" s="5"/>
      <c r="H23" s="5"/>
      <c r="I23" s="5"/>
      <c r="J23" s="5"/>
      <c r="K23" s="5"/>
      <c r="L23" s="5"/>
      <c r="M23" s="5"/>
      <c r="N23" s="5"/>
      <c r="O23" s="16"/>
      <c r="P23" s="5"/>
    </row>
    <row r="24" spans="1:16" x14ac:dyDescent="0.2">
      <c r="A24" s="5"/>
      <c r="B24" s="5"/>
      <c r="C24" s="5"/>
      <c r="D24" s="5"/>
      <c r="E24" s="5"/>
      <c r="F24" s="5"/>
      <c r="G24" s="5"/>
      <c r="H24" s="5"/>
      <c r="I24" s="5"/>
      <c r="J24" s="5"/>
      <c r="K24" s="5"/>
      <c r="L24" s="5"/>
      <c r="M24" s="5"/>
      <c r="N24" s="5"/>
      <c r="O24" s="13"/>
      <c r="P24" s="5"/>
    </row>
    <row r="25" spans="1:16" x14ac:dyDescent="0.2">
      <c r="A25" s="5"/>
      <c r="B25" s="5"/>
      <c r="C25" s="5"/>
      <c r="D25" s="5"/>
      <c r="E25" s="5"/>
      <c r="F25" s="5"/>
      <c r="G25" s="5"/>
      <c r="H25" s="5"/>
      <c r="I25" s="5"/>
      <c r="J25" s="5"/>
      <c r="K25" s="5"/>
      <c r="L25" s="5"/>
      <c r="M25" s="5"/>
      <c r="N25" s="5"/>
      <c r="O25" s="13"/>
      <c r="P25" s="5"/>
    </row>
    <row r="26" spans="1:16" x14ac:dyDescent="0.2">
      <c r="A26" s="5"/>
      <c r="B26" s="5"/>
      <c r="C26" s="5"/>
      <c r="D26" s="5"/>
      <c r="E26" s="5"/>
      <c r="F26" s="5"/>
      <c r="G26" s="5"/>
      <c r="H26" s="5"/>
      <c r="I26" s="5"/>
      <c r="J26" s="5"/>
      <c r="K26" s="5"/>
      <c r="L26" s="5"/>
      <c r="M26" s="5"/>
      <c r="N26" s="5"/>
      <c r="O26" s="13"/>
      <c r="P26" s="5"/>
    </row>
    <row r="27" spans="1:16" x14ac:dyDescent="0.2">
      <c r="A27" s="5"/>
      <c r="B27" s="5"/>
      <c r="C27" s="5"/>
      <c r="D27" s="5"/>
      <c r="E27" s="5"/>
      <c r="F27" s="5"/>
      <c r="G27" s="5"/>
      <c r="H27" s="5"/>
      <c r="I27" s="5"/>
      <c r="J27" s="5"/>
      <c r="K27" s="5"/>
      <c r="L27" s="5"/>
      <c r="M27" s="5"/>
      <c r="N27" s="5"/>
      <c r="O27" s="13"/>
      <c r="P27" s="5"/>
    </row>
    <row r="28" spans="1:16" x14ac:dyDescent="0.2">
      <c r="A28" s="5"/>
      <c r="B28" s="5"/>
      <c r="C28" s="5"/>
      <c r="D28" s="5"/>
      <c r="E28" s="5"/>
      <c r="F28" s="5"/>
      <c r="G28" s="5"/>
      <c r="H28" s="5"/>
      <c r="I28" s="5"/>
      <c r="J28" s="5"/>
      <c r="K28" s="5"/>
      <c r="L28" s="5"/>
      <c r="M28" s="5"/>
      <c r="N28" s="5"/>
      <c r="O28" s="13"/>
      <c r="P28" s="5"/>
    </row>
    <row r="29" spans="1:16" x14ac:dyDescent="0.2">
      <c r="A29" s="5"/>
      <c r="B29" s="5"/>
      <c r="C29" s="5"/>
      <c r="D29" s="5"/>
      <c r="E29" s="5"/>
      <c r="F29" s="5"/>
      <c r="G29" s="5"/>
      <c r="H29" s="5"/>
      <c r="I29" s="5"/>
      <c r="J29" s="5"/>
      <c r="K29" s="5"/>
      <c r="L29" s="5"/>
      <c r="M29" s="5"/>
      <c r="N29" s="5"/>
      <c r="O29" s="13"/>
      <c r="P29" s="5"/>
    </row>
    <row r="30" spans="1:16" x14ac:dyDescent="0.2">
      <c r="A30" s="5"/>
      <c r="B30" s="5"/>
      <c r="C30" s="5"/>
      <c r="D30" s="5"/>
      <c r="E30" s="5"/>
      <c r="F30" s="5"/>
      <c r="G30" s="5"/>
      <c r="H30" s="5"/>
      <c r="I30" s="5"/>
      <c r="J30" s="5"/>
      <c r="K30" s="5"/>
      <c r="L30" s="5"/>
      <c r="M30" s="5"/>
      <c r="N30" s="5"/>
      <c r="O30" s="13"/>
      <c r="P30" s="5"/>
    </row>
    <row r="31" spans="1:16" x14ac:dyDescent="0.2">
      <c r="A31" s="5"/>
      <c r="B31" s="5"/>
      <c r="C31" s="5"/>
      <c r="D31" s="5"/>
      <c r="E31" s="5"/>
      <c r="F31" s="5"/>
      <c r="G31" s="5"/>
      <c r="H31" s="5"/>
      <c r="I31" s="5"/>
      <c r="J31" s="5"/>
      <c r="K31" s="5"/>
      <c r="L31" s="5"/>
      <c r="M31" s="17"/>
      <c r="N31" s="18"/>
      <c r="O31" s="19"/>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workbookViewId="0">
      <selection activeCell="D6" sqref="B6:D7"/>
    </sheetView>
  </sheetViews>
  <sheetFormatPr defaultColWidth="0" defaultRowHeight="15" x14ac:dyDescent="0.25"/>
  <cols>
    <col min="1" max="1" width="8.85546875" style="4" customWidth="1"/>
    <col min="2" max="2" width="36.5703125" bestFit="1" customWidth="1"/>
    <col min="3" max="3" width="40.5703125" bestFit="1" customWidth="1"/>
    <col min="4" max="4" width="91.5703125" customWidth="1"/>
    <col min="5" max="5" width="8.85546875" style="4" customWidth="1"/>
    <col min="6" max="16384" width="8.85546875" hidden="1"/>
  </cols>
  <sheetData>
    <row r="1" spans="1:5" x14ac:dyDescent="0.25">
      <c r="A1" s="20"/>
      <c r="B1" s="20"/>
      <c r="C1" s="20"/>
      <c r="D1" s="20"/>
      <c r="E1" s="20"/>
    </row>
    <row r="2" spans="1:5" x14ac:dyDescent="0.25">
      <c r="A2" s="20"/>
      <c r="B2" s="20"/>
      <c r="C2" s="20"/>
      <c r="D2" s="20"/>
      <c r="E2" s="20"/>
    </row>
    <row r="3" spans="1:5" ht="15.75" thickBot="1" x14ac:dyDescent="0.3">
      <c r="A3" s="22"/>
      <c r="B3" s="22"/>
      <c r="C3" s="22"/>
      <c r="D3" s="22"/>
      <c r="E3" s="22"/>
    </row>
    <row r="4" spans="1:5" x14ac:dyDescent="0.25">
      <c r="A4" s="21"/>
      <c r="B4" s="21"/>
      <c r="C4" s="21"/>
      <c r="D4" s="21"/>
      <c r="E4" s="21"/>
    </row>
    <row r="5" spans="1:5" x14ac:dyDescent="0.25">
      <c r="A5" s="21"/>
      <c r="B5" s="70" t="s">
        <v>1</v>
      </c>
      <c r="C5" s="70" t="s">
        <v>2</v>
      </c>
      <c r="D5" s="70" t="s">
        <v>3</v>
      </c>
      <c r="E5" s="21"/>
    </row>
    <row r="6" spans="1:5" x14ac:dyDescent="0.25">
      <c r="B6" s="69" t="s">
        <v>4</v>
      </c>
      <c r="C6" s="69" t="s">
        <v>5</v>
      </c>
      <c r="D6" s="69" t="s">
        <v>6</v>
      </c>
    </row>
    <row r="7" spans="1:5" x14ac:dyDescent="0.25">
      <c r="B7" s="69" t="s">
        <v>4</v>
      </c>
      <c r="C7" s="69" t="s">
        <v>7</v>
      </c>
      <c r="D7" s="69" t="s">
        <v>8</v>
      </c>
    </row>
    <row r="8" spans="1:5" s="4" customFormat="1" x14ac:dyDescent="0.25">
      <c r="B8" s="66"/>
      <c r="C8" s="66"/>
      <c r="D8" s="69"/>
    </row>
    <row r="9" spans="1:5" s="4" customFormat="1" x14ac:dyDescent="0.25">
      <c r="B9" s="66"/>
      <c r="C9" s="66"/>
      <c r="D9" s="69"/>
    </row>
    <row r="10" spans="1:5" s="4" customFormat="1" x14ac:dyDescent="0.25">
      <c r="B10" s="66"/>
      <c r="C10" s="66"/>
      <c r="D10" s="69"/>
    </row>
    <row r="11" spans="1:5" s="4" customFormat="1" x14ac:dyDescent="0.25">
      <c r="B11" s="66"/>
      <c r="C11" s="66"/>
      <c r="D11" s="69"/>
    </row>
    <row r="12" spans="1:5" s="4" customFormat="1" x14ac:dyDescent="0.25">
      <c r="B12" s="66"/>
      <c r="C12" s="66"/>
      <c r="D12" s="69"/>
    </row>
    <row r="13" spans="1:5" s="4" customFormat="1" x14ac:dyDescent="0.25">
      <c r="B13" s="66"/>
      <c r="C13" s="66"/>
      <c r="D13" s="69"/>
    </row>
    <row r="14" spans="1:5" s="4" customFormat="1" x14ac:dyDescent="0.25">
      <c r="B14" s="66"/>
      <c r="C14" s="66"/>
      <c r="D14" s="69"/>
    </row>
    <row r="15" spans="1:5" s="4" customFormat="1" x14ac:dyDescent="0.25">
      <c r="B15" s="66"/>
      <c r="C15" s="66"/>
      <c r="D15" s="69"/>
    </row>
    <row r="16" spans="1:5" s="4" customFormat="1" x14ac:dyDescent="0.25">
      <c r="B16" s="66"/>
      <c r="C16" s="66"/>
      <c r="D16" s="69"/>
    </row>
    <row r="17" spans="2:4" s="4" customFormat="1" x14ac:dyDescent="0.25">
      <c r="B17" s="66"/>
      <c r="C17" s="66"/>
      <c r="D17" s="69"/>
    </row>
    <row r="18" spans="2:4" s="4" customFormat="1" x14ac:dyDescent="0.25">
      <c r="B18" s="66"/>
      <c r="C18" s="66"/>
      <c r="D18" s="69"/>
    </row>
    <row r="19" spans="2:4" s="4" customFormat="1" x14ac:dyDescent="0.25">
      <c r="B19" s="66"/>
      <c r="C19" s="66"/>
      <c r="D19" s="69"/>
    </row>
    <row r="20" spans="2:4" s="4" customFormat="1" x14ac:dyDescent="0.25">
      <c r="B20" s="66"/>
      <c r="C20" s="66"/>
      <c r="D20" s="69"/>
    </row>
    <row r="21" spans="2:4" s="4" customFormat="1" x14ac:dyDescent="0.25">
      <c r="B21" s="66"/>
      <c r="C21" s="66"/>
      <c r="D21" s="69"/>
    </row>
    <row r="22" spans="2:4" s="4" customFormat="1" x14ac:dyDescent="0.25">
      <c r="B22" s="66"/>
      <c r="C22" s="66"/>
      <c r="D22" s="69"/>
    </row>
    <row r="23" spans="2:4" s="4" customFormat="1" x14ac:dyDescent="0.25">
      <c r="B23" s="66"/>
      <c r="C23" s="66"/>
      <c r="D23" s="69"/>
    </row>
    <row r="24" spans="2:4" s="4" customFormat="1" x14ac:dyDescent="0.25">
      <c r="B24" s="66"/>
      <c r="C24" s="66"/>
      <c r="D24" s="69"/>
    </row>
    <row r="25" spans="2:4" s="4" customFormat="1" x14ac:dyDescent="0.25">
      <c r="B25" s="66"/>
      <c r="C25" s="66"/>
      <c r="D25" s="69"/>
    </row>
    <row r="26" spans="2:4" s="4" customFormat="1" x14ac:dyDescent="0.25">
      <c r="B26" s="66"/>
      <c r="C26" s="66"/>
      <c r="D26" s="69"/>
    </row>
    <row r="27" spans="2:4" s="4" customFormat="1" x14ac:dyDescent="0.25">
      <c r="B27" s="66"/>
      <c r="C27" s="66"/>
      <c r="D27" s="69"/>
    </row>
    <row r="28" spans="2:4" s="4" customFormat="1" x14ac:dyDescent="0.25">
      <c r="B28" s="66"/>
      <c r="C28" s="66"/>
      <c r="D28" s="69"/>
    </row>
    <row r="29" spans="2:4" s="4" customFormat="1" x14ac:dyDescent="0.25">
      <c r="B29" s="66"/>
      <c r="C29" s="66"/>
      <c r="D29" s="69"/>
    </row>
    <row r="30" spans="2:4" s="4" customFormat="1" x14ac:dyDescent="0.25">
      <c r="B30" s="66"/>
      <c r="C30" s="66"/>
      <c r="D30" s="69"/>
    </row>
    <row r="31" spans="2:4" s="4" customFormat="1" x14ac:dyDescent="0.25">
      <c r="B31" s="66"/>
      <c r="C31" s="66"/>
      <c r="D31" s="69"/>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x14ac:dyDescent="0.2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x14ac:dyDescent="0.25">
      <c r="B1" s="23"/>
      <c r="C1" s="23"/>
      <c r="D1" s="23" t="s">
        <v>9</v>
      </c>
      <c r="E1" s="23"/>
      <c r="F1" s="23"/>
      <c r="G1" s="23"/>
      <c r="H1" s="23" t="s">
        <v>10</v>
      </c>
      <c r="I1" s="34"/>
      <c r="J1" s="23"/>
      <c r="K1" s="23"/>
      <c r="L1" s="23"/>
      <c r="M1" s="23"/>
      <c r="N1" s="23" t="s">
        <v>11</v>
      </c>
      <c r="O1" s="23"/>
      <c r="P1" s="23"/>
      <c r="Q1" s="23"/>
    </row>
    <row r="2" spans="2:17" x14ac:dyDescent="0.25">
      <c r="B2" s="23" t="s">
        <v>12</v>
      </c>
      <c r="C2" s="23" t="s">
        <v>13</v>
      </c>
      <c r="D2" s="23" t="s">
        <v>14</v>
      </c>
      <c r="E2" s="23">
        <v>1</v>
      </c>
      <c r="F2" s="23">
        <v>500</v>
      </c>
      <c r="G2" s="23">
        <v>500</v>
      </c>
      <c r="H2" s="23"/>
      <c r="I2" s="34"/>
      <c r="J2" s="23" t="s">
        <v>13</v>
      </c>
      <c r="K2" s="23">
        <v>1</v>
      </c>
      <c r="L2" s="23">
        <v>500</v>
      </c>
      <c r="M2" s="23">
        <v>500</v>
      </c>
      <c r="N2" s="23"/>
      <c r="O2" s="23"/>
      <c r="P2" s="23" t="s">
        <v>15</v>
      </c>
      <c r="Q2" s="23" t="s">
        <v>14</v>
      </c>
    </row>
    <row r="3" spans="2:17" x14ac:dyDescent="0.25">
      <c r="B3" s="23" t="s">
        <v>16</v>
      </c>
      <c r="C3" s="23" t="s">
        <v>13</v>
      </c>
      <c r="D3" s="23">
        <v>25</v>
      </c>
      <c r="E3" s="23">
        <v>25</v>
      </c>
      <c r="F3" s="23">
        <v>29</v>
      </c>
      <c r="G3" s="23">
        <v>5</v>
      </c>
      <c r="H3" s="23" t="s">
        <v>17</v>
      </c>
      <c r="I3" s="34"/>
      <c r="J3" s="23" t="s">
        <v>13</v>
      </c>
      <c r="K3" s="23">
        <v>224</v>
      </c>
      <c r="L3" s="23">
        <v>228</v>
      </c>
      <c r="M3" s="23">
        <v>5</v>
      </c>
      <c r="N3" s="23" t="s">
        <v>18</v>
      </c>
      <c r="O3" s="23"/>
      <c r="P3" s="23" t="s">
        <v>19</v>
      </c>
      <c r="Q3" s="23" t="s">
        <v>20</v>
      </c>
    </row>
    <row r="4" spans="2:17" x14ac:dyDescent="0.25">
      <c r="B4" s="23" t="s">
        <v>21</v>
      </c>
      <c r="C4" s="23" t="s">
        <v>13</v>
      </c>
      <c r="D4" s="23">
        <v>26</v>
      </c>
      <c r="E4" s="23">
        <v>69</v>
      </c>
      <c r="F4" s="23">
        <v>73</v>
      </c>
      <c r="G4" s="23">
        <v>5</v>
      </c>
      <c r="H4" s="23" t="s">
        <v>22</v>
      </c>
      <c r="I4" s="34"/>
      <c r="J4" s="23" t="s">
        <v>13</v>
      </c>
      <c r="K4" s="23">
        <v>241</v>
      </c>
      <c r="L4" s="23">
        <v>246</v>
      </c>
      <c r="M4" s="23">
        <v>6</v>
      </c>
      <c r="N4" s="23" t="s">
        <v>23</v>
      </c>
      <c r="O4" s="23"/>
      <c r="P4" s="23" t="s">
        <v>24</v>
      </c>
      <c r="Q4" s="23" t="s">
        <v>20</v>
      </c>
    </row>
    <row r="5" spans="2:17" x14ac:dyDescent="0.25">
      <c r="B5" s="23" t="s">
        <v>25</v>
      </c>
      <c r="C5" s="23" t="s">
        <v>13</v>
      </c>
      <c r="D5" s="23">
        <v>26</v>
      </c>
      <c r="E5" s="23">
        <v>74</v>
      </c>
      <c r="F5" s="23">
        <v>78</v>
      </c>
      <c r="G5" s="23">
        <v>5</v>
      </c>
      <c r="H5" s="23" t="s">
        <v>26</v>
      </c>
      <c r="I5" s="34"/>
      <c r="J5" s="23" t="s">
        <v>13</v>
      </c>
      <c r="K5" s="23">
        <v>241</v>
      </c>
      <c r="L5" s="23">
        <v>246</v>
      </c>
      <c r="M5" s="23">
        <v>6</v>
      </c>
      <c r="N5" s="23" t="s">
        <v>23</v>
      </c>
      <c r="O5" s="23"/>
      <c r="P5" s="23" t="s">
        <v>24</v>
      </c>
      <c r="Q5" s="23" t="s">
        <v>27</v>
      </c>
    </row>
    <row r="6" spans="2:17" x14ac:dyDescent="0.25">
      <c r="B6" s="23" t="s">
        <v>28</v>
      </c>
      <c r="C6" s="23" t="s">
        <v>13</v>
      </c>
      <c r="D6" s="23">
        <v>532</v>
      </c>
      <c r="E6" s="23">
        <v>79</v>
      </c>
      <c r="F6" s="23">
        <v>83</v>
      </c>
      <c r="G6" s="23">
        <v>5</v>
      </c>
      <c r="H6" s="23" t="s">
        <v>29</v>
      </c>
      <c r="I6" s="34"/>
      <c r="J6" s="23" t="s">
        <v>13</v>
      </c>
      <c r="K6" s="23">
        <v>247</v>
      </c>
      <c r="L6" s="23">
        <v>247</v>
      </c>
      <c r="M6" s="23">
        <v>1</v>
      </c>
      <c r="N6" s="23" t="s">
        <v>30</v>
      </c>
      <c r="O6" s="23" t="s">
        <v>31</v>
      </c>
      <c r="P6" s="23" t="s">
        <v>32</v>
      </c>
      <c r="Q6" s="23" t="s">
        <v>27</v>
      </c>
    </row>
    <row r="7" spans="2:17" x14ac:dyDescent="0.25">
      <c r="B7" s="23" t="s">
        <v>33</v>
      </c>
      <c r="C7" s="23" t="s">
        <v>13</v>
      </c>
      <c r="D7" s="23">
        <v>27</v>
      </c>
      <c r="E7" s="23">
        <v>85</v>
      </c>
      <c r="F7" s="23">
        <v>89</v>
      </c>
      <c r="G7" s="23">
        <v>5</v>
      </c>
      <c r="H7" s="23" t="s">
        <v>34</v>
      </c>
      <c r="I7" s="34"/>
      <c r="J7" s="23" t="s">
        <v>13</v>
      </c>
      <c r="K7" s="23">
        <v>248</v>
      </c>
      <c r="L7" s="23">
        <v>248</v>
      </c>
      <c r="M7" s="23">
        <v>1</v>
      </c>
      <c r="N7" s="23" t="s">
        <v>35</v>
      </c>
      <c r="O7" s="23"/>
      <c r="P7" s="23" t="s">
        <v>36</v>
      </c>
      <c r="Q7" s="23" t="s">
        <v>20</v>
      </c>
    </row>
    <row r="8" spans="2:17" x14ac:dyDescent="0.25">
      <c r="B8" s="23" t="s">
        <v>37</v>
      </c>
      <c r="C8" s="23" t="s">
        <v>13</v>
      </c>
      <c r="D8" s="23">
        <v>28</v>
      </c>
      <c r="E8" s="23">
        <v>90</v>
      </c>
      <c r="F8" s="23">
        <v>94</v>
      </c>
      <c r="G8" s="23">
        <v>5</v>
      </c>
      <c r="H8" s="23" t="s">
        <v>38</v>
      </c>
      <c r="I8" s="34"/>
      <c r="J8" s="23" t="s">
        <v>13</v>
      </c>
      <c r="K8" s="23">
        <v>249</v>
      </c>
      <c r="L8" s="23">
        <v>249</v>
      </c>
      <c r="M8" s="23">
        <v>1</v>
      </c>
      <c r="N8" s="23" t="s">
        <v>39</v>
      </c>
      <c r="O8" s="23"/>
      <c r="P8" s="23" t="s">
        <v>40</v>
      </c>
      <c r="Q8" s="23" t="s">
        <v>20</v>
      </c>
    </row>
    <row r="9" spans="2:17" x14ac:dyDescent="0.25">
      <c r="B9" s="23" t="s">
        <v>41</v>
      </c>
      <c r="C9" s="23" t="s">
        <v>13</v>
      </c>
      <c r="D9" s="23">
        <v>29</v>
      </c>
      <c r="E9" s="23">
        <v>95</v>
      </c>
      <c r="F9" s="23">
        <v>99</v>
      </c>
      <c r="G9" s="23">
        <v>5</v>
      </c>
      <c r="H9" s="23" t="s">
        <v>42</v>
      </c>
      <c r="I9" s="34"/>
      <c r="J9" s="23" t="s">
        <v>13</v>
      </c>
      <c r="K9" s="23">
        <v>250</v>
      </c>
      <c r="L9" s="23">
        <v>254</v>
      </c>
      <c r="M9" s="23">
        <v>5</v>
      </c>
      <c r="N9" s="23" t="s">
        <v>43</v>
      </c>
      <c r="O9" s="23"/>
      <c r="P9" s="23" t="s">
        <v>44</v>
      </c>
      <c r="Q9" s="23" t="s">
        <v>20</v>
      </c>
    </row>
    <row r="10" spans="2:17" x14ac:dyDescent="0.25">
      <c r="B10" s="23" t="s">
        <v>45</v>
      </c>
      <c r="C10" s="23" t="s">
        <v>13</v>
      </c>
      <c r="D10" s="23">
        <v>30</v>
      </c>
      <c r="E10" s="23">
        <v>152</v>
      </c>
      <c r="F10" s="23">
        <v>156</v>
      </c>
      <c r="G10" s="23">
        <v>5</v>
      </c>
      <c r="H10" s="23" t="s">
        <v>46</v>
      </c>
      <c r="I10" s="34"/>
      <c r="J10" s="23" t="s">
        <v>13</v>
      </c>
      <c r="K10" s="23">
        <v>255</v>
      </c>
      <c r="L10" s="23">
        <v>256</v>
      </c>
      <c r="M10" s="23">
        <v>2</v>
      </c>
      <c r="N10" s="23" t="s">
        <v>47</v>
      </c>
      <c r="O10" s="23" t="s">
        <v>48</v>
      </c>
      <c r="P10" s="23" t="s">
        <v>49</v>
      </c>
      <c r="Q10" s="23" t="s">
        <v>20</v>
      </c>
    </row>
    <row r="11" spans="2:17" x14ac:dyDescent="0.25">
      <c r="B11" s="26" t="s">
        <v>50</v>
      </c>
      <c r="C11" s="26" t="s">
        <v>51</v>
      </c>
      <c r="D11" s="26" t="s">
        <v>14</v>
      </c>
      <c r="E11" s="26">
        <v>1</v>
      </c>
      <c r="F11" s="26">
        <v>500</v>
      </c>
      <c r="G11" s="26">
        <v>500</v>
      </c>
      <c r="H11" s="26"/>
      <c r="I11" s="36"/>
      <c r="J11" s="26" t="s">
        <v>51</v>
      </c>
      <c r="K11" s="26">
        <v>1</v>
      </c>
      <c r="L11" s="26">
        <v>500</v>
      </c>
      <c r="M11" s="26">
        <v>500</v>
      </c>
      <c r="N11" s="26"/>
      <c r="O11" s="26"/>
      <c r="P11" s="26" t="s">
        <v>15</v>
      </c>
      <c r="Q11" s="26" t="s">
        <v>14</v>
      </c>
    </row>
    <row r="12" spans="2:17" x14ac:dyDescent="0.25">
      <c r="B12" s="26" t="s">
        <v>52</v>
      </c>
      <c r="C12" s="26" t="s">
        <v>51</v>
      </c>
      <c r="D12" s="26" t="s">
        <v>14</v>
      </c>
      <c r="E12" s="26">
        <v>501</v>
      </c>
      <c r="F12" s="26">
        <v>999</v>
      </c>
      <c r="G12" s="26">
        <v>500</v>
      </c>
      <c r="H12" s="26"/>
      <c r="I12" s="36"/>
      <c r="J12" s="26" t="s">
        <v>51</v>
      </c>
      <c r="K12" s="26">
        <v>501</v>
      </c>
      <c r="L12" s="26">
        <v>999</v>
      </c>
      <c r="M12" s="26">
        <v>500</v>
      </c>
      <c r="N12" s="26"/>
      <c r="O12" s="26"/>
      <c r="P12" s="26" t="s">
        <v>15</v>
      </c>
      <c r="Q12" s="26" t="s">
        <v>14</v>
      </c>
    </row>
    <row r="13" spans="2:17" x14ac:dyDescent="0.25">
      <c r="B13" s="26" t="s">
        <v>53</v>
      </c>
      <c r="C13" s="26" t="s">
        <v>51</v>
      </c>
      <c r="D13" s="26">
        <v>508</v>
      </c>
      <c r="E13" s="26">
        <v>39</v>
      </c>
      <c r="F13" s="26">
        <v>43</v>
      </c>
      <c r="G13" s="26">
        <v>5</v>
      </c>
      <c r="H13" s="26" t="s">
        <v>54</v>
      </c>
      <c r="I13" s="36"/>
      <c r="J13" s="26" t="s">
        <v>51</v>
      </c>
      <c r="K13" s="26">
        <v>474</v>
      </c>
      <c r="L13" s="26">
        <v>477</v>
      </c>
      <c r="M13" s="26">
        <v>4</v>
      </c>
      <c r="N13" s="26" t="s">
        <v>55</v>
      </c>
      <c r="O13" s="26"/>
      <c r="P13" s="26" t="s">
        <v>56</v>
      </c>
      <c r="Q13" s="26" t="s">
        <v>27</v>
      </c>
    </row>
    <row r="14" spans="2:17" x14ac:dyDescent="0.25">
      <c r="B14" s="26" t="s">
        <v>57</v>
      </c>
      <c r="C14" s="26" t="s">
        <v>51</v>
      </c>
      <c r="D14" s="26">
        <v>20</v>
      </c>
      <c r="E14" s="26">
        <v>86</v>
      </c>
      <c r="F14" s="26">
        <v>90</v>
      </c>
      <c r="G14" s="26">
        <v>5</v>
      </c>
      <c r="H14" s="26" t="s">
        <v>58</v>
      </c>
      <c r="I14" s="36"/>
      <c r="J14" s="26" t="s">
        <v>51</v>
      </c>
      <c r="K14" s="26">
        <v>478</v>
      </c>
      <c r="L14" s="26">
        <v>482</v>
      </c>
      <c r="M14" s="26">
        <v>5</v>
      </c>
      <c r="N14" s="26" t="s">
        <v>59</v>
      </c>
      <c r="O14" s="26"/>
      <c r="P14" s="26" t="s">
        <v>60</v>
      </c>
      <c r="Q14" s="26" t="s">
        <v>20</v>
      </c>
    </row>
    <row r="15" spans="2:17" x14ac:dyDescent="0.25">
      <c r="B15" s="26" t="s">
        <v>61</v>
      </c>
      <c r="C15" s="26" t="s">
        <v>51</v>
      </c>
      <c r="D15" s="26">
        <v>32</v>
      </c>
      <c r="E15" s="26">
        <v>91</v>
      </c>
      <c r="F15" s="26">
        <v>95</v>
      </c>
      <c r="G15" s="26">
        <v>5</v>
      </c>
      <c r="H15" s="26" t="s">
        <v>62</v>
      </c>
      <c r="I15" s="36"/>
      <c r="J15" s="26" t="s">
        <v>51</v>
      </c>
      <c r="K15" s="26">
        <v>483</v>
      </c>
      <c r="L15" s="26">
        <v>487</v>
      </c>
      <c r="M15" s="26">
        <v>5</v>
      </c>
      <c r="N15" s="26" t="s">
        <v>63</v>
      </c>
      <c r="O15" s="26"/>
      <c r="P15" s="26" t="s">
        <v>64</v>
      </c>
      <c r="Q15" s="26" t="s">
        <v>20</v>
      </c>
    </row>
    <row r="16" spans="2:17" x14ac:dyDescent="0.25">
      <c r="B16" s="26" t="s">
        <v>65</v>
      </c>
      <c r="C16" s="26" t="s">
        <v>51</v>
      </c>
      <c r="D16" s="26">
        <v>13</v>
      </c>
      <c r="E16" s="26">
        <v>96</v>
      </c>
      <c r="F16" s="26">
        <v>100</v>
      </c>
      <c r="G16" s="26">
        <v>5</v>
      </c>
      <c r="H16" s="26" t="s">
        <v>66</v>
      </c>
      <c r="I16" s="36"/>
      <c r="J16" s="26" t="s">
        <v>51</v>
      </c>
      <c r="K16" s="26">
        <v>488</v>
      </c>
      <c r="L16" s="26">
        <v>492</v>
      </c>
      <c r="M16" s="26">
        <v>5</v>
      </c>
      <c r="N16" s="26" t="s">
        <v>67</v>
      </c>
      <c r="O16" s="26"/>
      <c r="P16" s="26" t="s">
        <v>68</v>
      </c>
      <c r="Q16" s="26" t="s">
        <v>20</v>
      </c>
    </row>
    <row r="17" spans="2:17" x14ac:dyDescent="0.25">
      <c r="B17" s="26" t="s">
        <v>69</v>
      </c>
      <c r="C17" s="26" t="s">
        <v>51</v>
      </c>
      <c r="D17" s="26">
        <v>503</v>
      </c>
      <c r="E17" s="26">
        <v>119</v>
      </c>
      <c r="F17" s="26">
        <v>123</v>
      </c>
      <c r="G17" s="26">
        <v>5</v>
      </c>
      <c r="H17" s="26" t="s">
        <v>70</v>
      </c>
      <c r="I17" s="36"/>
      <c r="J17" s="26" t="s">
        <v>51</v>
      </c>
      <c r="K17" s="26">
        <v>493</v>
      </c>
      <c r="L17" s="26">
        <v>497</v>
      </c>
      <c r="M17" s="26">
        <v>5</v>
      </c>
      <c r="N17" s="26" t="s">
        <v>71</v>
      </c>
      <c r="O17" s="26"/>
      <c r="P17" s="26" t="s">
        <v>72</v>
      </c>
      <c r="Q17" s="26" t="s">
        <v>27</v>
      </c>
    </row>
    <row r="18" spans="2:17" x14ac:dyDescent="0.25">
      <c r="B18" s="26" t="s">
        <v>73</v>
      </c>
      <c r="C18" s="26" t="s">
        <v>51</v>
      </c>
      <c r="D18" s="26">
        <v>2</v>
      </c>
      <c r="E18" s="26">
        <v>124</v>
      </c>
      <c r="F18" s="26">
        <v>128</v>
      </c>
      <c r="G18" s="26">
        <v>5</v>
      </c>
      <c r="H18" s="26" t="s">
        <v>74</v>
      </c>
      <c r="I18" s="36"/>
      <c r="J18" s="26" t="s">
        <v>51</v>
      </c>
      <c r="K18" s="26">
        <v>498</v>
      </c>
      <c r="L18" s="26">
        <v>500</v>
      </c>
      <c r="M18" s="26">
        <v>3</v>
      </c>
      <c r="N18" s="26" t="s">
        <v>75</v>
      </c>
      <c r="O18" s="26"/>
      <c r="P18" s="26" t="s">
        <v>76</v>
      </c>
      <c r="Q18" s="26" t="s">
        <v>20</v>
      </c>
    </row>
    <row r="19" spans="2:17" x14ac:dyDescent="0.25">
      <c r="B19" s="26" t="s">
        <v>77</v>
      </c>
      <c r="C19" s="26" t="s">
        <v>51</v>
      </c>
      <c r="D19" s="26">
        <v>6</v>
      </c>
      <c r="E19" s="26">
        <v>146</v>
      </c>
      <c r="F19" s="26">
        <v>148</v>
      </c>
      <c r="G19" s="26">
        <v>3</v>
      </c>
      <c r="H19" s="26" t="s">
        <v>78</v>
      </c>
      <c r="I19" s="36"/>
      <c r="J19" s="26" t="s">
        <v>51</v>
      </c>
      <c r="K19" s="26">
        <v>501</v>
      </c>
      <c r="L19" s="26">
        <v>503</v>
      </c>
      <c r="M19" s="26">
        <v>3</v>
      </c>
      <c r="N19" s="26" t="s">
        <v>79</v>
      </c>
      <c r="O19" s="26"/>
      <c r="P19" s="26" t="s">
        <v>80</v>
      </c>
      <c r="Q19" s="26" t="s">
        <v>20</v>
      </c>
    </row>
    <row r="20" spans="2:17" x14ac:dyDescent="0.25">
      <c r="B20" s="26" t="s">
        <v>81</v>
      </c>
      <c r="C20" s="26" t="s">
        <v>51</v>
      </c>
      <c r="D20" s="26">
        <v>40</v>
      </c>
      <c r="E20" s="26">
        <v>199</v>
      </c>
      <c r="F20" s="26">
        <v>203</v>
      </c>
      <c r="G20" s="26">
        <v>5</v>
      </c>
      <c r="H20" s="26" t="s">
        <v>82</v>
      </c>
      <c r="I20" s="36"/>
      <c r="J20" s="26" t="s">
        <v>51</v>
      </c>
      <c r="K20" s="26">
        <v>504</v>
      </c>
      <c r="L20" s="26">
        <v>508</v>
      </c>
      <c r="M20" s="26">
        <v>5</v>
      </c>
      <c r="N20" s="26" t="s">
        <v>83</v>
      </c>
      <c r="O20" s="26"/>
      <c r="P20" s="26" t="s">
        <v>84</v>
      </c>
      <c r="Q20" s="26" t="s">
        <v>20</v>
      </c>
    </row>
    <row r="21" spans="2:17" x14ac:dyDescent="0.25">
      <c r="B21" s="26" t="s">
        <v>85</v>
      </c>
      <c r="C21" s="26" t="s">
        <v>51</v>
      </c>
      <c r="D21" s="26">
        <v>47</v>
      </c>
      <c r="E21" s="26">
        <v>253</v>
      </c>
      <c r="F21" s="26">
        <v>257</v>
      </c>
      <c r="G21" s="26">
        <v>5</v>
      </c>
      <c r="H21" s="26" t="s">
        <v>86</v>
      </c>
      <c r="I21" s="36"/>
      <c r="J21" s="26" t="s">
        <v>51</v>
      </c>
      <c r="K21" s="26">
        <v>509</v>
      </c>
      <c r="L21" s="26">
        <v>513</v>
      </c>
      <c r="M21" s="26">
        <v>5</v>
      </c>
      <c r="N21" s="26" t="s">
        <v>87</v>
      </c>
      <c r="O21" s="26"/>
      <c r="P21" s="26" t="s">
        <v>88</v>
      </c>
      <c r="Q21" s="26" t="s">
        <v>20</v>
      </c>
    </row>
    <row r="22" spans="2:17" x14ac:dyDescent="0.25">
      <c r="B22" s="26" t="s">
        <v>89</v>
      </c>
      <c r="C22" s="26" t="s">
        <v>51</v>
      </c>
      <c r="D22" s="26">
        <v>49</v>
      </c>
      <c r="E22" s="26">
        <v>258</v>
      </c>
      <c r="F22" s="26">
        <v>262</v>
      </c>
      <c r="G22" s="26">
        <v>5</v>
      </c>
      <c r="H22" s="26" t="s">
        <v>90</v>
      </c>
      <c r="I22" s="36"/>
      <c r="J22" s="26" t="s">
        <v>51</v>
      </c>
      <c r="K22" s="26">
        <v>514</v>
      </c>
      <c r="L22" s="26">
        <v>517</v>
      </c>
      <c r="M22" s="26">
        <v>4</v>
      </c>
      <c r="N22" s="26" t="s">
        <v>91</v>
      </c>
      <c r="O22" s="26"/>
      <c r="P22" s="26" t="s">
        <v>92</v>
      </c>
      <c r="Q22" s="26" t="s">
        <v>20</v>
      </c>
    </row>
    <row r="23" spans="2:17" x14ac:dyDescent="0.25">
      <c r="B23" s="26" t="s">
        <v>93</v>
      </c>
      <c r="C23" s="26" t="s">
        <v>51</v>
      </c>
      <c r="D23" s="26">
        <v>50</v>
      </c>
      <c r="E23" s="26">
        <v>280</v>
      </c>
      <c r="F23" s="26">
        <v>284</v>
      </c>
      <c r="G23" s="26">
        <v>5</v>
      </c>
      <c r="H23" s="26" t="s">
        <v>94</v>
      </c>
      <c r="I23" s="36"/>
      <c r="J23" s="26" t="s">
        <v>51</v>
      </c>
      <c r="K23" s="26">
        <v>518</v>
      </c>
      <c r="L23" s="26">
        <v>522</v>
      </c>
      <c r="M23" s="26">
        <v>5</v>
      </c>
      <c r="N23" s="26" t="s">
        <v>95</v>
      </c>
      <c r="O23" s="26"/>
      <c r="P23" s="26" t="s">
        <v>96</v>
      </c>
      <c r="Q23" s="26" t="s">
        <v>20</v>
      </c>
    </row>
    <row r="24" spans="2:17" x14ac:dyDescent="0.25">
      <c r="B24" s="26" t="s">
        <v>97</v>
      </c>
      <c r="C24" s="26" t="s">
        <v>51</v>
      </c>
      <c r="D24" s="26">
        <v>8</v>
      </c>
      <c r="E24" s="26">
        <v>285</v>
      </c>
      <c r="F24" s="26">
        <v>289</v>
      </c>
      <c r="G24" s="26">
        <v>5</v>
      </c>
      <c r="H24" s="26" t="s">
        <v>98</v>
      </c>
      <c r="I24" s="36"/>
      <c r="J24" s="26" t="s">
        <v>51</v>
      </c>
      <c r="K24" s="26">
        <v>523</v>
      </c>
      <c r="L24" s="26">
        <v>523</v>
      </c>
      <c r="M24" s="26">
        <v>1</v>
      </c>
      <c r="N24" s="26" t="s">
        <v>99</v>
      </c>
      <c r="O24" s="26"/>
      <c r="P24" s="26" t="s">
        <v>100</v>
      </c>
      <c r="Q24" s="26" t="s">
        <v>20</v>
      </c>
    </row>
    <row r="25" spans="2:17" x14ac:dyDescent="0.25">
      <c r="B25" s="26" t="s">
        <v>101</v>
      </c>
      <c r="C25" s="26" t="s">
        <v>51</v>
      </c>
      <c r="D25" s="26">
        <v>101</v>
      </c>
      <c r="E25" s="26">
        <v>589</v>
      </c>
      <c r="F25" s="26">
        <v>593</v>
      </c>
      <c r="G25" s="26">
        <v>5</v>
      </c>
      <c r="H25" s="26" t="s">
        <v>102</v>
      </c>
      <c r="I25" s="36"/>
      <c r="J25" s="26" t="s">
        <v>51</v>
      </c>
      <c r="K25" s="26">
        <v>594</v>
      </c>
      <c r="L25" s="26">
        <v>599</v>
      </c>
      <c r="M25" s="26">
        <v>6</v>
      </c>
      <c r="N25" s="26" t="s">
        <v>23</v>
      </c>
      <c r="O25" s="26"/>
      <c r="P25" s="26" t="s">
        <v>103</v>
      </c>
      <c r="Q25" s="26" t="s">
        <v>20</v>
      </c>
    </row>
    <row r="26" spans="2:17" x14ac:dyDescent="0.25">
      <c r="B26" s="23" t="s">
        <v>104</v>
      </c>
      <c r="C26" s="23" t="s">
        <v>105</v>
      </c>
      <c r="D26" s="23" t="s">
        <v>14</v>
      </c>
      <c r="E26" s="23">
        <v>1</v>
      </c>
      <c r="F26" s="23">
        <v>500</v>
      </c>
      <c r="G26" s="23">
        <v>500</v>
      </c>
      <c r="H26" s="23"/>
      <c r="I26" s="34"/>
      <c r="J26" s="23" t="s">
        <v>105</v>
      </c>
      <c r="K26" s="23">
        <v>1</v>
      </c>
      <c r="L26" s="23">
        <v>500</v>
      </c>
      <c r="M26" s="23">
        <v>500</v>
      </c>
      <c r="N26" s="23"/>
      <c r="O26" s="23"/>
      <c r="P26" s="23" t="s">
        <v>15</v>
      </c>
      <c r="Q26" s="23" t="s">
        <v>14</v>
      </c>
    </row>
    <row r="27" spans="2:17" x14ac:dyDescent="0.25">
      <c r="B27" s="23" t="s">
        <v>106</v>
      </c>
      <c r="C27" s="23" t="s">
        <v>105</v>
      </c>
      <c r="D27" s="23">
        <v>26</v>
      </c>
      <c r="E27" s="23">
        <v>169</v>
      </c>
      <c r="F27" s="23">
        <v>173</v>
      </c>
      <c r="G27" s="23">
        <v>5</v>
      </c>
      <c r="H27" s="23" t="s">
        <v>22</v>
      </c>
      <c r="I27" s="34"/>
      <c r="J27" s="23" t="s">
        <v>105</v>
      </c>
      <c r="K27" s="23">
        <v>175</v>
      </c>
      <c r="L27" s="23">
        <v>180</v>
      </c>
      <c r="M27" s="23">
        <v>6</v>
      </c>
      <c r="N27" s="23" t="s">
        <v>23</v>
      </c>
      <c r="O27" s="23"/>
      <c r="P27" s="23" t="s">
        <v>24</v>
      </c>
      <c r="Q27" s="23" t="s">
        <v>20</v>
      </c>
    </row>
    <row r="28" spans="2:17" ht="45" x14ac:dyDescent="0.25">
      <c r="B28" s="23" t="s">
        <v>107</v>
      </c>
      <c r="C28" s="23" t="s">
        <v>105</v>
      </c>
      <c r="D28" s="23">
        <v>81</v>
      </c>
      <c r="E28" s="23">
        <v>147</v>
      </c>
      <c r="F28" s="23">
        <v>151</v>
      </c>
      <c r="G28" s="23">
        <v>5</v>
      </c>
      <c r="H28" s="23" t="s">
        <v>108</v>
      </c>
      <c r="I28" s="34"/>
      <c r="J28" s="23" t="s">
        <v>105</v>
      </c>
      <c r="K28" s="23">
        <v>169</v>
      </c>
      <c r="L28" s="23">
        <v>180</v>
      </c>
      <c r="M28" s="23">
        <v>12</v>
      </c>
      <c r="N28" s="34" t="s">
        <v>109</v>
      </c>
      <c r="O28" s="23"/>
      <c r="P28" s="23" t="s">
        <v>110</v>
      </c>
      <c r="Q28" s="23" t="s">
        <v>20</v>
      </c>
    </row>
    <row r="31" spans="2:17" x14ac:dyDescent="0.25">
      <c r="B31" s="23" t="s">
        <v>111</v>
      </c>
      <c r="C31" s="23" t="s">
        <v>112</v>
      </c>
      <c r="D31" s="23" t="s">
        <v>14</v>
      </c>
      <c r="E31" s="23">
        <v>1</v>
      </c>
      <c r="F31" s="23">
        <v>500</v>
      </c>
      <c r="G31" s="23">
        <v>500</v>
      </c>
      <c r="H31" s="23"/>
      <c r="I31" s="34"/>
      <c r="J31" s="23" t="s">
        <v>112</v>
      </c>
      <c r="K31" s="23">
        <v>1</v>
      </c>
      <c r="L31" s="23">
        <v>500</v>
      </c>
      <c r="M31" s="23">
        <v>500</v>
      </c>
      <c r="N31" s="23"/>
      <c r="O31" s="23"/>
      <c r="P31" s="23" t="s">
        <v>15</v>
      </c>
      <c r="Q31" s="23" t="s">
        <v>14</v>
      </c>
    </row>
    <row r="32" spans="2:17" x14ac:dyDescent="0.25">
      <c r="B32" s="23" t="s">
        <v>113</v>
      </c>
      <c r="C32" s="23" t="s">
        <v>112</v>
      </c>
      <c r="D32" s="23" t="s">
        <v>14</v>
      </c>
      <c r="E32" s="23">
        <v>501</v>
      </c>
      <c r="F32" s="23">
        <v>500</v>
      </c>
      <c r="G32" s="23">
        <v>500</v>
      </c>
      <c r="H32" s="23"/>
      <c r="I32" s="34"/>
      <c r="J32" s="23" t="s">
        <v>112</v>
      </c>
      <c r="K32" s="23">
        <v>501</v>
      </c>
      <c r="L32" s="23">
        <v>500</v>
      </c>
      <c r="M32" s="23">
        <v>500</v>
      </c>
      <c r="N32" s="23"/>
      <c r="O32" s="23"/>
      <c r="P32" s="23" t="s">
        <v>15</v>
      </c>
      <c r="Q32" s="23" t="s">
        <v>14</v>
      </c>
    </row>
    <row r="33" spans="2:17" x14ac:dyDescent="0.25">
      <c r="B33" s="23" t="s">
        <v>114</v>
      </c>
      <c r="C33" s="23" t="s">
        <v>112</v>
      </c>
      <c r="D33" s="23">
        <v>159</v>
      </c>
      <c r="E33" s="23">
        <v>25</v>
      </c>
      <c r="F33" s="23">
        <v>29</v>
      </c>
      <c r="G33" s="23">
        <v>5</v>
      </c>
      <c r="H33" s="23" t="s">
        <v>115</v>
      </c>
      <c r="I33" s="34"/>
      <c r="J33" s="23" t="s">
        <v>112</v>
      </c>
      <c r="K33" s="23">
        <v>501</v>
      </c>
      <c r="L33" s="23">
        <v>505</v>
      </c>
      <c r="M33" s="23">
        <v>5</v>
      </c>
      <c r="N33" s="23" t="s">
        <v>116</v>
      </c>
      <c r="O33" s="23"/>
      <c r="P33" s="23" t="s">
        <v>117</v>
      </c>
      <c r="Q33" s="23" t="s">
        <v>20</v>
      </c>
    </row>
    <row r="34" spans="2:17" x14ac:dyDescent="0.25">
      <c r="B34" s="23" t="s">
        <v>118</v>
      </c>
      <c r="C34" s="23" t="s">
        <v>112</v>
      </c>
      <c r="D34" s="23">
        <v>160</v>
      </c>
      <c r="E34" s="23">
        <v>220</v>
      </c>
      <c r="F34" s="23">
        <v>224</v>
      </c>
      <c r="G34" s="23">
        <v>5</v>
      </c>
      <c r="H34" s="23" t="s">
        <v>119</v>
      </c>
      <c r="I34" s="34"/>
      <c r="J34" s="23" t="s">
        <v>112</v>
      </c>
      <c r="K34" s="23">
        <v>506</v>
      </c>
      <c r="L34" s="23">
        <v>510</v>
      </c>
      <c r="M34" s="23">
        <v>5</v>
      </c>
      <c r="N34" s="23" t="s">
        <v>120</v>
      </c>
      <c r="O34" s="23"/>
      <c r="P34" s="23" t="s">
        <v>121</v>
      </c>
      <c r="Q34" s="23" t="s">
        <v>20</v>
      </c>
    </row>
    <row r="35" spans="2:17" x14ac:dyDescent="0.25">
      <c r="B35" s="23" t="s">
        <v>122</v>
      </c>
      <c r="C35" s="23" t="s">
        <v>112</v>
      </c>
      <c r="D35" s="23">
        <v>124</v>
      </c>
      <c r="E35" s="23">
        <v>327</v>
      </c>
      <c r="F35" s="23">
        <v>331</v>
      </c>
      <c r="G35" s="23">
        <v>5</v>
      </c>
      <c r="H35" s="23" t="s">
        <v>123</v>
      </c>
      <c r="I35" s="34"/>
      <c r="J35" s="23" t="s">
        <v>112</v>
      </c>
      <c r="K35" s="23">
        <v>511</v>
      </c>
      <c r="L35" s="23">
        <v>515</v>
      </c>
      <c r="M35" s="23">
        <v>5</v>
      </c>
      <c r="N35" s="23" t="s">
        <v>124</v>
      </c>
      <c r="O35" s="23"/>
      <c r="P35" s="23" t="s">
        <v>125</v>
      </c>
      <c r="Q35" s="23" t="s">
        <v>20</v>
      </c>
    </row>
    <row r="36" spans="2:17" x14ac:dyDescent="0.25">
      <c r="B36" s="23" t="s">
        <v>126</v>
      </c>
      <c r="C36" s="23" t="s">
        <v>127</v>
      </c>
      <c r="D36" s="23" t="s">
        <v>14</v>
      </c>
      <c r="E36" s="23">
        <v>1</v>
      </c>
      <c r="F36" s="23">
        <v>250</v>
      </c>
      <c r="G36" s="23">
        <v>250</v>
      </c>
      <c r="H36" s="23" t="s">
        <v>128</v>
      </c>
      <c r="I36" s="34"/>
      <c r="J36" s="23" t="s">
        <v>127</v>
      </c>
      <c r="K36" s="23">
        <v>1</v>
      </c>
      <c r="L36" s="23">
        <v>250</v>
      </c>
      <c r="M36" s="23">
        <v>250</v>
      </c>
      <c r="N36" s="23"/>
      <c r="O36" s="23"/>
      <c r="P36" s="23" t="s">
        <v>15</v>
      </c>
      <c r="Q36" s="23" t="s">
        <v>14</v>
      </c>
    </row>
    <row r="37" spans="2:17" x14ac:dyDescent="0.25">
      <c r="B37" s="23" t="s">
        <v>129</v>
      </c>
      <c r="C37" s="23" t="s">
        <v>127</v>
      </c>
      <c r="D37" s="23">
        <v>161</v>
      </c>
      <c r="E37" s="23">
        <v>35</v>
      </c>
      <c r="F37" s="23">
        <v>39</v>
      </c>
      <c r="G37" s="23">
        <v>5</v>
      </c>
      <c r="H37" s="23" t="s">
        <v>130</v>
      </c>
      <c r="I37" s="34"/>
      <c r="J37" s="23" t="s">
        <v>127</v>
      </c>
      <c r="K37" s="23">
        <v>129</v>
      </c>
      <c r="L37" s="23">
        <v>133</v>
      </c>
      <c r="M37" s="23">
        <v>5</v>
      </c>
      <c r="N37" s="23" t="s">
        <v>131</v>
      </c>
      <c r="O37" s="23"/>
      <c r="P37" s="23" t="s">
        <v>132</v>
      </c>
      <c r="Q37" s="23" t="s">
        <v>27</v>
      </c>
    </row>
    <row r="38" spans="2:17" x14ac:dyDescent="0.25">
      <c r="B38" s="23" t="s">
        <v>133</v>
      </c>
      <c r="C38" s="23" t="s">
        <v>127</v>
      </c>
      <c r="D38" s="23">
        <v>161</v>
      </c>
      <c r="E38" s="23">
        <v>40</v>
      </c>
      <c r="F38" s="23">
        <v>44</v>
      </c>
      <c r="G38" s="23">
        <v>5</v>
      </c>
      <c r="H38" s="23" t="s">
        <v>134</v>
      </c>
      <c r="I38" s="34"/>
      <c r="J38" s="23" t="s">
        <v>127</v>
      </c>
      <c r="K38" s="23">
        <v>129</v>
      </c>
      <c r="L38" s="23">
        <v>133</v>
      </c>
      <c r="M38" s="23">
        <v>5</v>
      </c>
      <c r="N38" s="23" t="s">
        <v>131</v>
      </c>
      <c r="O38" s="23"/>
      <c r="P38" s="23" t="s">
        <v>132</v>
      </c>
      <c r="Q38" s="23" t="s">
        <v>20</v>
      </c>
    </row>
    <row r="39" spans="2:17" x14ac:dyDescent="0.25">
      <c r="B39" s="23"/>
      <c r="C39" s="23"/>
      <c r="D39" s="23"/>
      <c r="E39" s="23"/>
      <c r="F39" s="23"/>
      <c r="G39" s="23"/>
      <c r="H39" s="23"/>
      <c r="I39" s="34"/>
      <c r="J39" s="23"/>
      <c r="K39" s="23"/>
      <c r="L39" s="23"/>
      <c r="M39" s="23"/>
      <c r="N39" s="23"/>
      <c r="O39" s="23"/>
      <c r="P39" s="23"/>
      <c r="Q39" s="23"/>
    </row>
    <row r="43" spans="2:17" x14ac:dyDescent="0.25">
      <c r="B43" t="s">
        <v>135</v>
      </c>
      <c r="C43" t="s">
        <v>128</v>
      </c>
      <c r="E43">
        <v>1</v>
      </c>
      <c r="F43" t="s">
        <v>14</v>
      </c>
      <c r="G43">
        <v>500</v>
      </c>
      <c r="K43">
        <v>1</v>
      </c>
      <c r="L43" t="s">
        <v>14</v>
      </c>
      <c r="M43">
        <v>500</v>
      </c>
      <c r="P43" t="s">
        <v>15</v>
      </c>
      <c r="Q43" t="s">
        <v>14</v>
      </c>
    </row>
    <row r="44" spans="2:17" x14ac:dyDescent="0.25">
      <c r="B44" t="s">
        <v>136</v>
      </c>
      <c r="C44" t="s">
        <v>137</v>
      </c>
      <c r="E44">
        <v>25</v>
      </c>
      <c r="F44">
        <v>29</v>
      </c>
      <c r="G44">
        <v>5</v>
      </c>
      <c r="K44">
        <v>228</v>
      </c>
      <c r="L44">
        <v>232</v>
      </c>
      <c r="M44">
        <v>5</v>
      </c>
      <c r="N44" t="s">
        <v>138</v>
      </c>
      <c r="P44" t="s">
        <v>139</v>
      </c>
      <c r="Q44" t="s">
        <v>27</v>
      </c>
    </row>
    <row r="45" spans="2:17" x14ac:dyDescent="0.25">
      <c r="B45" t="s">
        <v>140</v>
      </c>
      <c r="C45" t="s">
        <v>141</v>
      </c>
      <c r="E45">
        <v>30</v>
      </c>
      <c r="F45">
        <v>34</v>
      </c>
      <c r="G45">
        <v>5</v>
      </c>
      <c r="K45">
        <v>228</v>
      </c>
      <c r="L45">
        <v>232</v>
      </c>
      <c r="M45">
        <v>5</v>
      </c>
      <c r="N45" t="s">
        <v>138</v>
      </c>
      <c r="P45" t="s">
        <v>139</v>
      </c>
      <c r="Q45" t="s">
        <v>20</v>
      </c>
    </row>
    <row r="48" spans="2:17" x14ac:dyDescent="0.25">
      <c r="B48" t="s">
        <v>142</v>
      </c>
      <c r="C48" t="s">
        <v>143</v>
      </c>
      <c r="D48" t="s">
        <v>14</v>
      </c>
      <c r="E48">
        <v>1</v>
      </c>
      <c r="F48">
        <v>300</v>
      </c>
      <c r="G48">
        <v>300</v>
      </c>
      <c r="K48">
        <v>1</v>
      </c>
      <c r="L48">
        <v>300</v>
      </c>
      <c r="M48">
        <v>300</v>
      </c>
      <c r="P48" t="s">
        <v>15</v>
      </c>
    </row>
    <row r="49" spans="2:17" x14ac:dyDescent="0.25">
      <c r="B49" t="s">
        <v>144</v>
      </c>
      <c r="C49" t="s">
        <v>143</v>
      </c>
      <c r="D49">
        <v>1</v>
      </c>
      <c r="E49">
        <v>1</v>
      </c>
      <c r="F49">
        <v>5</v>
      </c>
      <c r="G49">
        <v>5</v>
      </c>
      <c r="H49" t="s">
        <v>145</v>
      </c>
      <c r="K49">
        <v>160</v>
      </c>
      <c r="L49">
        <v>161</v>
      </c>
      <c r="M49">
        <v>2</v>
      </c>
      <c r="N49" t="s">
        <v>146</v>
      </c>
      <c r="P49" t="s">
        <v>147</v>
      </c>
      <c r="Q49" t="s">
        <v>20</v>
      </c>
    </row>
    <row r="50" spans="2:17" x14ac:dyDescent="0.25">
      <c r="B50" t="s">
        <v>148</v>
      </c>
      <c r="C50" t="s">
        <v>143</v>
      </c>
      <c r="D50">
        <v>12</v>
      </c>
      <c r="E50">
        <v>57</v>
      </c>
      <c r="F50">
        <v>61</v>
      </c>
      <c r="G50">
        <v>5</v>
      </c>
      <c r="H50" t="s">
        <v>149</v>
      </c>
      <c r="K50">
        <v>182</v>
      </c>
      <c r="L50">
        <v>185</v>
      </c>
      <c r="M50">
        <v>4</v>
      </c>
      <c r="N50" t="s">
        <v>150</v>
      </c>
      <c r="P50" t="s">
        <v>151</v>
      </c>
      <c r="Q50" t="s">
        <v>20</v>
      </c>
    </row>
    <row r="51" spans="2:17" x14ac:dyDescent="0.25">
      <c r="B51" t="s">
        <v>152</v>
      </c>
      <c r="C51" t="s">
        <v>143</v>
      </c>
      <c r="D51">
        <v>12</v>
      </c>
      <c r="E51">
        <v>62</v>
      </c>
      <c r="F51">
        <v>66</v>
      </c>
      <c r="G51">
        <v>5</v>
      </c>
      <c r="H51" t="s">
        <v>153</v>
      </c>
      <c r="K51">
        <v>182</v>
      </c>
      <c r="L51">
        <v>185</v>
      </c>
      <c r="M51">
        <v>4</v>
      </c>
      <c r="N51" t="s">
        <v>150</v>
      </c>
      <c r="P51" t="s">
        <v>151</v>
      </c>
      <c r="Q51" t="s">
        <v>27</v>
      </c>
    </row>
    <row r="55" spans="2:17" x14ac:dyDescent="0.25">
      <c r="B55" t="s">
        <v>154</v>
      </c>
      <c r="C55" t="s">
        <v>145</v>
      </c>
      <c r="D55">
        <v>1</v>
      </c>
      <c r="E55">
        <v>1</v>
      </c>
      <c r="F55">
        <v>5</v>
      </c>
      <c r="G55">
        <v>5</v>
      </c>
      <c r="K55">
        <v>264</v>
      </c>
      <c r="L55">
        <v>265</v>
      </c>
      <c r="M55">
        <v>2</v>
      </c>
      <c r="N55" t="s">
        <v>146</v>
      </c>
      <c r="P55" t="s">
        <v>147</v>
      </c>
    </row>
    <row r="56" spans="2:17" x14ac:dyDescent="0.25">
      <c r="B56" t="s">
        <v>155</v>
      </c>
      <c r="C56" t="s">
        <v>156</v>
      </c>
      <c r="D56">
        <v>2</v>
      </c>
      <c r="E56">
        <v>164</v>
      </c>
      <c r="F56">
        <v>168</v>
      </c>
      <c r="G56">
        <v>5</v>
      </c>
      <c r="K56">
        <v>276</v>
      </c>
      <c r="L56">
        <v>278</v>
      </c>
      <c r="M56">
        <v>3</v>
      </c>
      <c r="N56" t="s">
        <v>157</v>
      </c>
      <c r="P56" t="s">
        <v>158</v>
      </c>
    </row>
    <row r="57" spans="2:17" x14ac:dyDescent="0.25">
      <c r="B57" t="s">
        <v>159</v>
      </c>
      <c r="C57" t="s">
        <v>160</v>
      </c>
      <c r="D57">
        <v>18</v>
      </c>
      <c r="E57">
        <v>212</v>
      </c>
      <c r="F57">
        <v>216</v>
      </c>
      <c r="G57">
        <v>5</v>
      </c>
      <c r="K57">
        <v>279</v>
      </c>
      <c r="L57">
        <v>283</v>
      </c>
      <c r="M57">
        <v>5</v>
      </c>
      <c r="N57" t="s">
        <v>161</v>
      </c>
      <c r="P57" t="s">
        <v>162</v>
      </c>
    </row>
    <row r="58" spans="2:17" x14ac:dyDescent="0.25">
      <c r="B58" t="s">
        <v>163</v>
      </c>
      <c r="C58" t="s">
        <v>164</v>
      </c>
      <c r="D58">
        <v>18</v>
      </c>
      <c r="E58">
        <v>217</v>
      </c>
      <c r="F58">
        <v>221</v>
      </c>
      <c r="G58">
        <v>5</v>
      </c>
      <c r="K58">
        <v>284</v>
      </c>
      <c r="L58">
        <v>288</v>
      </c>
      <c r="M58">
        <v>5</v>
      </c>
      <c r="N58" t="s">
        <v>165</v>
      </c>
      <c r="P58" t="s">
        <v>162</v>
      </c>
    </row>
    <row r="59" spans="2:17" x14ac:dyDescent="0.25">
      <c r="B59" t="s">
        <v>166</v>
      </c>
      <c r="C59" t="s">
        <v>167</v>
      </c>
      <c r="D59">
        <v>18</v>
      </c>
      <c r="E59">
        <v>222</v>
      </c>
      <c r="F59">
        <v>226</v>
      </c>
      <c r="G59">
        <v>5</v>
      </c>
      <c r="K59">
        <v>289</v>
      </c>
      <c r="L59">
        <v>293</v>
      </c>
      <c r="M59">
        <v>5</v>
      </c>
      <c r="N59" t="s">
        <v>168</v>
      </c>
      <c r="P59" t="s">
        <v>162</v>
      </c>
    </row>
    <row r="62" spans="2:17" x14ac:dyDescent="0.25">
      <c r="B62" t="s">
        <v>169</v>
      </c>
      <c r="C62" t="s">
        <v>145</v>
      </c>
      <c r="D62">
        <v>1</v>
      </c>
      <c r="E62">
        <v>1</v>
      </c>
      <c r="F62">
        <v>5</v>
      </c>
      <c r="K62">
        <v>59</v>
      </c>
      <c r="L62">
        <v>60</v>
      </c>
      <c r="M62">
        <v>2</v>
      </c>
      <c r="N62" t="s">
        <v>146</v>
      </c>
      <c r="P62" t="s">
        <v>147</v>
      </c>
    </row>
    <row r="63" spans="2:17" x14ac:dyDescent="0.25">
      <c r="B63" t="s">
        <v>170</v>
      </c>
      <c r="C63" t="s">
        <v>171</v>
      </c>
      <c r="D63">
        <v>58</v>
      </c>
      <c r="E63">
        <v>34</v>
      </c>
      <c r="F63">
        <v>38</v>
      </c>
      <c r="K63">
        <v>91</v>
      </c>
      <c r="L63">
        <v>91</v>
      </c>
      <c r="M63">
        <v>1</v>
      </c>
      <c r="N63" t="s">
        <v>172</v>
      </c>
      <c r="P63" t="s">
        <v>173</v>
      </c>
    </row>
    <row r="65" spans="2:16" x14ac:dyDescent="0.25">
      <c r="B65" t="s">
        <v>174</v>
      </c>
      <c r="C65" t="s">
        <v>128</v>
      </c>
      <c r="D65" t="s">
        <v>14</v>
      </c>
      <c r="E65">
        <v>1</v>
      </c>
      <c r="F65">
        <v>250</v>
      </c>
      <c r="G65">
        <v>250</v>
      </c>
      <c r="K65">
        <v>1</v>
      </c>
      <c r="L65">
        <v>250</v>
      </c>
      <c r="M65">
        <v>250</v>
      </c>
      <c r="P65" t="s">
        <v>15</v>
      </c>
    </row>
    <row r="66" spans="2:16" x14ac:dyDescent="0.25">
      <c r="B66" t="s">
        <v>175</v>
      </c>
      <c r="C66" t="s">
        <v>145</v>
      </c>
      <c r="D66">
        <v>1</v>
      </c>
      <c r="E66">
        <v>1</v>
      </c>
      <c r="F66">
        <v>5</v>
      </c>
      <c r="G66">
        <v>5</v>
      </c>
      <c r="K66">
        <v>113</v>
      </c>
      <c r="L66">
        <v>114</v>
      </c>
      <c r="M66">
        <v>2</v>
      </c>
      <c r="N66" t="s">
        <v>146</v>
      </c>
      <c r="P66" t="s">
        <v>147</v>
      </c>
    </row>
    <row r="67" spans="2:16" x14ac:dyDescent="0.25">
      <c r="B67" t="s">
        <v>176</v>
      </c>
      <c r="C67" t="s">
        <v>160</v>
      </c>
      <c r="D67">
        <v>18</v>
      </c>
      <c r="E67">
        <v>88</v>
      </c>
      <c r="F67">
        <v>92</v>
      </c>
      <c r="G67">
        <v>5</v>
      </c>
      <c r="K67">
        <v>135</v>
      </c>
      <c r="L67">
        <v>139</v>
      </c>
      <c r="M67">
        <v>5</v>
      </c>
      <c r="N67" t="s">
        <v>161</v>
      </c>
      <c r="P67" t="s">
        <v>162</v>
      </c>
    </row>
    <row r="68" spans="2:16" x14ac:dyDescent="0.25">
      <c r="B68" t="s">
        <v>177</v>
      </c>
      <c r="C68" t="s">
        <v>164</v>
      </c>
      <c r="D68">
        <v>18</v>
      </c>
      <c r="E68">
        <v>93</v>
      </c>
      <c r="F68">
        <v>97</v>
      </c>
      <c r="G68">
        <v>5</v>
      </c>
      <c r="K68">
        <v>140</v>
      </c>
      <c r="L68">
        <v>144</v>
      </c>
      <c r="M68">
        <v>5</v>
      </c>
      <c r="N68" t="s">
        <v>165</v>
      </c>
      <c r="P68" t="s">
        <v>162</v>
      </c>
    </row>
    <row r="69" spans="2:16" x14ac:dyDescent="0.25">
      <c r="B69" t="s">
        <v>178</v>
      </c>
      <c r="C69" t="s">
        <v>167</v>
      </c>
      <c r="D69">
        <v>67</v>
      </c>
      <c r="E69">
        <v>98</v>
      </c>
      <c r="F69">
        <v>102</v>
      </c>
      <c r="G69">
        <v>5</v>
      </c>
      <c r="K69">
        <v>145</v>
      </c>
      <c r="L69">
        <v>149</v>
      </c>
      <c r="M69">
        <v>5</v>
      </c>
      <c r="N69" t="s">
        <v>168</v>
      </c>
      <c r="P69" t="s">
        <v>179</v>
      </c>
    </row>
    <row r="76" spans="2:16" x14ac:dyDescent="0.25">
      <c r="B76" t="s">
        <v>180</v>
      </c>
      <c r="C76" t="s">
        <v>181</v>
      </c>
    </row>
    <row r="77" spans="2:16" x14ac:dyDescent="0.25">
      <c r="B77" t="s">
        <v>182</v>
      </c>
      <c r="C77" t="s">
        <v>183</v>
      </c>
    </row>
    <row r="78" spans="2:16" x14ac:dyDescent="0.25">
      <c r="B78" t="s">
        <v>184</v>
      </c>
      <c r="C78" t="s">
        <v>185</v>
      </c>
    </row>
    <row r="82" spans="2:5" x14ac:dyDescent="0.25">
      <c r="B82" t="s">
        <v>186</v>
      </c>
      <c r="C82" t="s">
        <v>187</v>
      </c>
      <c r="D82" t="s">
        <v>188</v>
      </c>
      <c r="E82" t="s">
        <v>189</v>
      </c>
    </row>
    <row r="83" spans="2:5" x14ac:dyDescent="0.25">
      <c r="C83" t="s">
        <v>190</v>
      </c>
      <c r="D83" t="s">
        <v>191</v>
      </c>
    </row>
    <row r="85" spans="2:5" x14ac:dyDescent="0.25">
      <c r="B85" t="s">
        <v>192</v>
      </c>
      <c r="C85" t="s">
        <v>193</v>
      </c>
      <c r="D85" t="s">
        <v>194</v>
      </c>
    </row>
    <row r="86" spans="2:5" x14ac:dyDescent="0.25">
      <c r="C86" t="s">
        <v>195</v>
      </c>
      <c r="D86" t="s">
        <v>196</v>
      </c>
      <c r="E86" t="s">
        <v>197</v>
      </c>
    </row>
    <row r="88" spans="2:5" x14ac:dyDescent="0.25">
      <c r="B88" t="s">
        <v>198</v>
      </c>
      <c r="E88" t="s">
        <v>185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x14ac:dyDescent="0.2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x14ac:dyDescent="0.25">
      <c r="E1" t="s">
        <v>199</v>
      </c>
    </row>
    <row r="2" spans="1:5" x14ac:dyDescent="0.25">
      <c r="A2">
        <v>5</v>
      </c>
      <c r="B2" t="s">
        <v>14</v>
      </c>
      <c r="C2" s="37" t="s">
        <v>200</v>
      </c>
      <c r="D2" s="37" t="s">
        <v>201</v>
      </c>
    </row>
    <row r="3" spans="1:5" x14ac:dyDescent="0.25">
      <c r="A3">
        <v>9</v>
      </c>
      <c r="B3" t="s">
        <v>14</v>
      </c>
      <c r="C3" s="37" t="s">
        <v>202</v>
      </c>
      <c r="D3" s="37" t="s">
        <v>203</v>
      </c>
    </row>
    <row r="4" spans="1:5" x14ac:dyDescent="0.25">
      <c r="A4">
        <v>13</v>
      </c>
      <c r="B4" t="s">
        <v>14</v>
      </c>
      <c r="C4" s="37" t="s">
        <v>204</v>
      </c>
      <c r="D4" s="37" t="s">
        <v>205</v>
      </c>
    </row>
    <row r="5" spans="1:5" x14ac:dyDescent="0.25">
      <c r="A5">
        <v>17</v>
      </c>
      <c r="B5" t="s">
        <v>14</v>
      </c>
      <c r="C5" s="37" t="s">
        <v>206</v>
      </c>
      <c r="D5" s="37" t="s">
        <v>207</v>
      </c>
    </row>
    <row r="6" spans="1:5" x14ac:dyDescent="0.25">
      <c r="A6">
        <v>21</v>
      </c>
      <c r="B6" t="s">
        <v>14</v>
      </c>
      <c r="C6" s="37" t="s">
        <v>208</v>
      </c>
      <c r="D6" s="37" t="s">
        <v>209</v>
      </c>
    </row>
    <row r="7" spans="1:5" x14ac:dyDescent="0.25">
      <c r="A7">
        <v>25</v>
      </c>
      <c r="B7" t="s">
        <v>14</v>
      </c>
      <c r="C7" s="37" t="s">
        <v>210</v>
      </c>
      <c r="D7" s="37" t="s">
        <v>211</v>
      </c>
    </row>
    <row r="8" spans="1:5" x14ac:dyDescent="0.25">
      <c r="A8">
        <v>29</v>
      </c>
      <c r="B8" t="s">
        <v>14</v>
      </c>
      <c r="C8" s="37" t="s">
        <v>212</v>
      </c>
      <c r="D8" s="37" t="s">
        <v>213</v>
      </c>
    </row>
    <row r="9" spans="1:5" x14ac:dyDescent="0.25">
      <c r="A9">
        <v>33</v>
      </c>
      <c r="B9" t="s">
        <v>14</v>
      </c>
      <c r="C9" s="37" t="s">
        <v>214</v>
      </c>
      <c r="D9" s="37" t="s">
        <v>215</v>
      </c>
    </row>
    <row r="10" spans="1:5" x14ac:dyDescent="0.25">
      <c r="A10">
        <v>37</v>
      </c>
      <c r="B10" t="s">
        <v>14</v>
      </c>
      <c r="C10" s="37" t="s">
        <v>216</v>
      </c>
      <c r="D10" s="37" t="s">
        <v>217</v>
      </c>
    </row>
    <row r="11" spans="1:5" x14ac:dyDescent="0.25">
      <c r="A11">
        <v>41</v>
      </c>
      <c r="B11" t="s">
        <v>14</v>
      </c>
      <c r="C11" s="37" t="s">
        <v>218</v>
      </c>
      <c r="D11" s="37" t="s">
        <v>219</v>
      </c>
    </row>
    <row r="12" spans="1:5" x14ac:dyDescent="0.25">
      <c r="A12">
        <v>45</v>
      </c>
      <c r="B12" t="s">
        <v>14</v>
      </c>
      <c r="C12" s="37" t="s">
        <v>220</v>
      </c>
      <c r="D12" s="37" t="s">
        <v>221</v>
      </c>
    </row>
    <row r="13" spans="1:5" x14ac:dyDescent="0.25">
      <c r="A13">
        <v>49</v>
      </c>
      <c r="B13" t="s">
        <v>14</v>
      </c>
      <c r="C13" s="37" t="s">
        <v>222</v>
      </c>
      <c r="D13" s="37" t="s">
        <v>223</v>
      </c>
    </row>
    <row r="14" spans="1:5" x14ac:dyDescent="0.25">
      <c r="A14">
        <v>56</v>
      </c>
      <c r="B14" t="s">
        <v>14</v>
      </c>
      <c r="C14" s="37" t="s">
        <v>224</v>
      </c>
      <c r="D14" s="37" t="s">
        <v>225</v>
      </c>
    </row>
    <row r="15" spans="1:5" x14ac:dyDescent="0.25">
      <c r="A15">
        <v>60</v>
      </c>
      <c r="B15" t="s">
        <v>14</v>
      </c>
      <c r="C15" s="37" t="s">
        <v>226</v>
      </c>
      <c r="D15" s="37" t="s">
        <v>227</v>
      </c>
    </row>
    <row r="16" spans="1:5" x14ac:dyDescent="0.25">
      <c r="A16">
        <v>64</v>
      </c>
      <c r="B16" t="s">
        <v>14</v>
      </c>
      <c r="C16" s="37" t="s">
        <v>228</v>
      </c>
      <c r="D16" s="37" t="s">
        <v>229</v>
      </c>
    </row>
    <row r="17" spans="1:4" x14ac:dyDescent="0.25">
      <c r="A17">
        <v>68</v>
      </c>
      <c r="B17" t="s">
        <v>14</v>
      </c>
      <c r="C17" s="37" t="s">
        <v>230</v>
      </c>
      <c r="D17" s="37" t="s">
        <v>231</v>
      </c>
    </row>
    <row r="18" spans="1:4" x14ac:dyDescent="0.25">
      <c r="A18">
        <v>72</v>
      </c>
      <c r="B18" t="s">
        <v>14</v>
      </c>
      <c r="C18" s="37" t="s">
        <v>232</v>
      </c>
      <c r="D18" s="37" t="s">
        <v>233</v>
      </c>
    </row>
    <row r="19" spans="1:4" x14ac:dyDescent="0.25">
      <c r="A19">
        <v>73</v>
      </c>
      <c r="B19" t="s">
        <v>14</v>
      </c>
      <c r="C19" s="37" t="s">
        <v>14</v>
      </c>
      <c r="D19" s="37" t="s">
        <v>234</v>
      </c>
    </row>
    <row r="20" spans="1:4" x14ac:dyDescent="0.25">
      <c r="A20">
        <v>74</v>
      </c>
      <c r="B20" t="s">
        <v>14</v>
      </c>
      <c r="D20" s="37" t="s">
        <v>235</v>
      </c>
    </row>
    <row r="21" spans="1:4" x14ac:dyDescent="0.25">
      <c r="A21">
        <v>75</v>
      </c>
      <c r="B21" t="s">
        <v>14</v>
      </c>
      <c r="D21" s="37" t="s">
        <v>236</v>
      </c>
    </row>
    <row r="22" spans="1:4" x14ac:dyDescent="0.25">
      <c r="A22">
        <v>79</v>
      </c>
      <c r="B22" t="s">
        <v>14</v>
      </c>
      <c r="C22" s="37" t="s">
        <v>237</v>
      </c>
      <c r="D22" s="37" t="s">
        <v>238</v>
      </c>
    </row>
    <row r="23" spans="1:4" x14ac:dyDescent="0.25">
      <c r="A23">
        <v>83</v>
      </c>
      <c r="B23" t="s">
        <v>14</v>
      </c>
      <c r="C23" s="37" t="s">
        <v>239</v>
      </c>
      <c r="D23" s="37" t="s">
        <v>240</v>
      </c>
    </row>
    <row r="24" spans="1:4" x14ac:dyDescent="0.25">
      <c r="A24">
        <v>87</v>
      </c>
      <c r="B24" t="s">
        <v>14</v>
      </c>
      <c r="C24" s="37" t="s">
        <v>241</v>
      </c>
      <c r="D24" s="37" t="s">
        <v>242</v>
      </c>
    </row>
    <row r="25" spans="1:4" x14ac:dyDescent="0.25">
      <c r="A25">
        <v>91</v>
      </c>
      <c r="B25" t="s">
        <v>14</v>
      </c>
      <c r="C25" s="37" t="s">
        <v>243</v>
      </c>
      <c r="D25" s="37" t="s">
        <v>244</v>
      </c>
    </row>
    <row r="26" spans="1:4" x14ac:dyDescent="0.25">
      <c r="A26">
        <v>95</v>
      </c>
      <c r="B26" t="s">
        <v>14</v>
      </c>
      <c r="C26" s="37" t="s">
        <v>245</v>
      </c>
      <c r="D26" s="37" t="s">
        <v>246</v>
      </c>
    </row>
    <row r="27" spans="1:4" x14ac:dyDescent="0.25">
      <c r="A27">
        <v>96</v>
      </c>
      <c r="B27" t="s">
        <v>14</v>
      </c>
      <c r="C27" s="37" t="s">
        <v>14</v>
      </c>
      <c r="D27" s="37" t="s">
        <v>247</v>
      </c>
    </row>
    <row r="28" spans="1:4" x14ac:dyDescent="0.25">
      <c r="A28">
        <v>97</v>
      </c>
      <c r="B28" t="s">
        <v>14</v>
      </c>
      <c r="D28" s="37" t="s">
        <v>248</v>
      </c>
    </row>
    <row r="29" spans="1:4" x14ac:dyDescent="0.25">
      <c r="A29">
        <v>98</v>
      </c>
      <c r="B29" t="s">
        <v>14</v>
      </c>
      <c r="D29" s="37" t="s">
        <v>249</v>
      </c>
    </row>
    <row r="30" spans="1:4" x14ac:dyDescent="0.25">
      <c r="A30">
        <v>99</v>
      </c>
      <c r="B30" t="s">
        <v>14</v>
      </c>
      <c r="D30" s="37" t="s">
        <v>250</v>
      </c>
    </row>
    <row r="31" spans="1:4" x14ac:dyDescent="0.25">
      <c r="A31">
        <v>100</v>
      </c>
      <c r="B31" t="s">
        <v>14</v>
      </c>
      <c r="D31" s="37" t="s">
        <v>251</v>
      </c>
    </row>
    <row r="32" spans="1:4" x14ac:dyDescent="0.25">
      <c r="A32">
        <v>101</v>
      </c>
      <c r="B32" t="s">
        <v>14</v>
      </c>
      <c r="D32" s="37" t="s">
        <v>252</v>
      </c>
    </row>
    <row r="33" spans="1:4" x14ac:dyDescent="0.25">
      <c r="A33">
        <v>102</v>
      </c>
      <c r="B33" t="s">
        <v>14</v>
      </c>
      <c r="D33" s="37" t="s">
        <v>253</v>
      </c>
    </row>
    <row r="34" spans="1:4" x14ac:dyDescent="0.25">
      <c r="A34">
        <v>103</v>
      </c>
      <c r="B34" t="s">
        <v>14</v>
      </c>
      <c r="D34" s="37" t="s">
        <v>254</v>
      </c>
    </row>
    <row r="35" spans="1:4" x14ac:dyDescent="0.25">
      <c r="A35">
        <v>104</v>
      </c>
      <c r="B35" t="s">
        <v>14</v>
      </c>
      <c r="D35" s="37" t="s">
        <v>255</v>
      </c>
    </row>
    <row r="36" spans="1:4" x14ac:dyDescent="0.25">
      <c r="A36">
        <v>105</v>
      </c>
      <c r="B36" t="s">
        <v>14</v>
      </c>
      <c r="D36" s="37" t="s">
        <v>256</v>
      </c>
    </row>
    <row r="37" spans="1:4" x14ac:dyDescent="0.25">
      <c r="A37">
        <v>112</v>
      </c>
      <c r="B37" t="s">
        <v>14</v>
      </c>
      <c r="C37" s="37" t="s">
        <v>257</v>
      </c>
      <c r="D37" s="37" t="s">
        <v>258</v>
      </c>
    </row>
    <row r="38" spans="1:4" x14ac:dyDescent="0.25">
      <c r="A38">
        <v>116</v>
      </c>
      <c r="B38" t="s">
        <v>14</v>
      </c>
      <c r="C38" s="37" t="s">
        <v>259</v>
      </c>
      <c r="D38" s="37" t="s">
        <v>260</v>
      </c>
    </row>
    <row r="39" spans="1:4" x14ac:dyDescent="0.25">
      <c r="A39">
        <v>117</v>
      </c>
      <c r="B39" t="s">
        <v>14</v>
      </c>
      <c r="C39" s="37" t="s">
        <v>14</v>
      </c>
      <c r="D39" s="37" t="s">
        <v>261</v>
      </c>
    </row>
    <row r="40" spans="1:4" x14ac:dyDescent="0.25">
      <c r="A40">
        <v>118</v>
      </c>
      <c r="B40" t="s">
        <v>14</v>
      </c>
      <c r="D40" s="37" t="s">
        <v>262</v>
      </c>
    </row>
    <row r="41" spans="1:4" x14ac:dyDescent="0.25">
      <c r="A41">
        <v>119</v>
      </c>
      <c r="B41" t="s">
        <v>14</v>
      </c>
      <c r="D41" s="37" t="s">
        <v>263</v>
      </c>
    </row>
    <row r="42" spans="1:4" x14ac:dyDescent="0.25">
      <c r="A42">
        <v>120</v>
      </c>
      <c r="B42" t="s">
        <v>14</v>
      </c>
      <c r="D42" s="37" t="s">
        <v>264</v>
      </c>
    </row>
    <row r="43" spans="1:4" x14ac:dyDescent="0.25">
      <c r="A43">
        <v>121</v>
      </c>
      <c r="B43" t="s">
        <v>14</v>
      </c>
      <c r="D43" s="37" t="s">
        <v>265</v>
      </c>
    </row>
    <row r="44" spans="1:4" x14ac:dyDescent="0.25">
      <c r="A44">
        <v>122</v>
      </c>
      <c r="B44" t="s">
        <v>14</v>
      </c>
      <c r="D44" s="37" t="s">
        <v>266</v>
      </c>
    </row>
    <row r="45" spans="1:4" x14ac:dyDescent="0.25">
      <c r="A45">
        <v>123</v>
      </c>
      <c r="B45" t="s">
        <v>14</v>
      </c>
      <c r="D45" s="37" t="s">
        <v>267</v>
      </c>
    </row>
    <row r="46" spans="1:4" x14ac:dyDescent="0.25">
      <c r="A46">
        <v>124</v>
      </c>
      <c r="B46" t="s">
        <v>14</v>
      </c>
      <c r="D46" s="37" t="s">
        <v>268</v>
      </c>
    </row>
    <row r="47" spans="1:4" x14ac:dyDescent="0.25">
      <c r="A47">
        <v>125</v>
      </c>
      <c r="B47" t="s">
        <v>14</v>
      </c>
      <c r="D47" s="37" t="s">
        <v>269</v>
      </c>
    </row>
    <row r="48" spans="1:4" x14ac:dyDescent="0.25">
      <c r="A48">
        <v>129</v>
      </c>
      <c r="B48" t="s">
        <v>14</v>
      </c>
      <c r="C48" s="37" t="s">
        <v>270</v>
      </c>
      <c r="D48" s="37" t="s">
        <v>271</v>
      </c>
    </row>
    <row r="49" spans="1:4" x14ac:dyDescent="0.25">
      <c r="A49">
        <v>130</v>
      </c>
      <c r="B49" t="s">
        <v>14</v>
      </c>
      <c r="C49" s="37" t="s">
        <v>14</v>
      </c>
      <c r="D49" s="37" t="s">
        <v>272</v>
      </c>
    </row>
    <row r="50" spans="1:4" x14ac:dyDescent="0.25">
      <c r="A50">
        <v>134</v>
      </c>
      <c r="B50" t="s">
        <v>14</v>
      </c>
      <c r="C50" s="37" t="s">
        <v>273</v>
      </c>
      <c r="D50" s="37" t="s">
        <v>274</v>
      </c>
    </row>
    <row r="51" spans="1:4" x14ac:dyDescent="0.25">
      <c r="A51">
        <v>138</v>
      </c>
      <c r="B51" t="s">
        <v>14</v>
      </c>
      <c r="C51" s="37" t="s">
        <v>275</v>
      </c>
      <c r="D51" s="37" t="s">
        <v>276</v>
      </c>
    </row>
    <row r="52" spans="1:4" x14ac:dyDescent="0.25">
      <c r="A52">
        <v>142</v>
      </c>
      <c r="B52" t="s">
        <v>14</v>
      </c>
      <c r="C52" s="37" t="s">
        <v>277</v>
      </c>
      <c r="D52" s="37" t="s">
        <v>278</v>
      </c>
    </row>
    <row r="53" spans="1:4" x14ac:dyDescent="0.25">
      <c r="A53">
        <v>146</v>
      </c>
      <c r="B53" t="s">
        <v>14</v>
      </c>
      <c r="C53" s="37" t="s">
        <v>279</v>
      </c>
      <c r="D53" s="37" t="s">
        <v>280</v>
      </c>
    </row>
    <row r="54" spans="1:4" x14ac:dyDescent="0.25">
      <c r="A54">
        <v>150</v>
      </c>
      <c r="B54" t="s">
        <v>14</v>
      </c>
      <c r="C54" s="37" t="s">
        <v>281</v>
      </c>
      <c r="D54" s="37" t="s">
        <v>282</v>
      </c>
    </row>
    <row r="55" spans="1:4" x14ac:dyDescent="0.25">
      <c r="A55">
        <v>154</v>
      </c>
      <c r="B55" t="s">
        <v>14</v>
      </c>
      <c r="C55" s="37" t="s">
        <v>283</v>
      </c>
      <c r="D55" s="37" t="s">
        <v>284</v>
      </c>
    </row>
    <row r="56" spans="1:4" x14ac:dyDescent="0.25">
      <c r="A56">
        <v>158</v>
      </c>
      <c r="B56" t="s">
        <v>14</v>
      </c>
      <c r="C56" s="37" t="s">
        <v>285</v>
      </c>
      <c r="D56" s="37" t="s">
        <v>286</v>
      </c>
    </row>
    <row r="57" spans="1:4" x14ac:dyDescent="0.25">
      <c r="A57">
        <v>159</v>
      </c>
      <c r="B57" t="s">
        <v>14</v>
      </c>
      <c r="C57" s="37" t="s">
        <v>14</v>
      </c>
      <c r="D57" s="37" t="s">
        <v>287</v>
      </c>
    </row>
    <row r="58" spans="1:4" x14ac:dyDescent="0.25">
      <c r="A58">
        <v>166</v>
      </c>
      <c r="B58" t="s">
        <v>14</v>
      </c>
      <c r="C58" s="37" t="s">
        <v>288</v>
      </c>
      <c r="D58" s="37" t="s">
        <v>289</v>
      </c>
    </row>
    <row r="59" spans="1:4" x14ac:dyDescent="0.25">
      <c r="A59">
        <v>167</v>
      </c>
      <c r="B59" t="s">
        <v>14</v>
      </c>
      <c r="C59" s="37" t="s">
        <v>14</v>
      </c>
      <c r="D59" s="37" t="s">
        <v>290</v>
      </c>
    </row>
    <row r="60" spans="1:4" x14ac:dyDescent="0.25">
      <c r="A60">
        <v>171</v>
      </c>
      <c r="B60" t="s">
        <v>14</v>
      </c>
      <c r="C60" s="37" t="s">
        <v>291</v>
      </c>
      <c r="D60" s="37" t="s">
        <v>292</v>
      </c>
    </row>
    <row r="61" spans="1:4" x14ac:dyDescent="0.25">
      <c r="A61">
        <v>172</v>
      </c>
      <c r="B61" t="s">
        <v>14</v>
      </c>
      <c r="C61" s="37" t="s">
        <v>14</v>
      </c>
      <c r="D61" s="37" t="s">
        <v>293</v>
      </c>
    </row>
    <row r="62" spans="1:4" x14ac:dyDescent="0.25">
      <c r="A62">
        <v>173</v>
      </c>
      <c r="B62" t="s">
        <v>14</v>
      </c>
      <c r="D62" s="37" t="s">
        <v>294</v>
      </c>
    </row>
    <row r="63" spans="1:4" x14ac:dyDescent="0.25">
      <c r="A63">
        <v>177</v>
      </c>
      <c r="B63" t="s">
        <v>14</v>
      </c>
      <c r="C63" s="37" t="s">
        <v>295</v>
      </c>
      <c r="D63" s="37" t="s">
        <v>296</v>
      </c>
    </row>
    <row r="64" spans="1:4" x14ac:dyDescent="0.25">
      <c r="A64">
        <v>178</v>
      </c>
      <c r="B64" t="s">
        <v>14</v>
      </c>
      <c r="C64" s="37" t="s">
        <v>14</v>
      </c>
      <c r="D64" s="37" t="s">
        <v>297</v>
      </c>
    </row>
    <row r="65" spans="1:4" x14ac:dyDescent="0.25">
      <c r="A65">
        <v>182</v>
      </c>
      <c r="B65" t="s">
        <v>14</v>
      </c>
      <c r="C65" s="37" t="s">
        <v>298</v>
      </c>
      <c r="D65" s="37" t="s">
        <v>299</v>
      </c>
    </row>
    <row r="66" spans="1:4" x14ac:dyDescent="0.25">
      <c r="A66">
        <v>183</v>
      </c>
      <c r="B66" t="s">
        <v>14</v>
      </c>
      <c r="C66" s="37" t="s">
        <v>14</v>
      </c>
      <c r="D66" s="37" t="s">
        <v>300</v>
      </c>
    </row>
    <row r="67" spans="1:4" x14ac:dyDescent="0.25">
      <c r="A67">
        <v>184</v>
      </c>
      <c r="B67" t="s">
        <v>14</v>
      </c>
      <c r="D67" s="37" t="s">
        <v>301</v>
      </c>
    </row>
    <row r="68" spans="1:4" x14ac:dyDescent="0.25">
      <c r="A68">
        <v>185</v>
      </c>
      <c r="B68" t="s">
        <v>14</v>
      </c>
      <c r="D68" s="37" t="s">
        <v>302</v>
      </c>
    </row>
    <row r="69" spans="1:4" x14ac:dyDescent="0.25">
      <c r="A69">
        <v>186</v>
      </c>
      <c r="B69" t="s">
        <v>14</v>
      </c>
      <c r="D69" s="37" t="s">
        <v>303</v>
      </c>
    </row>
    <row r="70" spans="1:4" x14ac:dyDescent="0.25">
      <c r="A70">
        <v>190</v>
      </c>
      <c r="B70" t="s">
        <v>14</v>
      </c>
      <c r="C70" s="37" t="s">
        <v>304</v>
      </c>
      <c r="D70" s="37" t="s">
        <v>305</v>
      </c>
    </row>
    <row r="71" spans="1:4" x14ac:dyDescent="0.25">
      <c r="A71">
        <v>191</v>
      </c>
      <c r="B71" t="s">
        <v>14</v>
      </c>
      <c r="C71" s="37" t="s">
        <v>14</v>
      </c>
      <c r="D71" s="37" t="s">
        <v>306</v>
      </c>
    </row>
    <row r="72" spans="1:4" x14ac:dyDescent="0.25">
      <c r="A72">
        <v>192</v>
      </c>
      <c r="B72" t="s">
        <v>14</v>
      </c>
      <c r="D72" s="37" t="s">
        <v>307</v>
      </c>
    </row>
    <row r="73" spans="1:4" x14ac:dyDescent="0.25">
      <c r="A73">
        <v>196</v>
      </c>
      <c r="B73" t="s">
        <v>14</v>
      </c>
      <c r="C73" s="37" t="s">
        <v>308</v>
      </c>
      <c r="D73" s="37" t="s">
        <v>309</v>
      </c>
    </row>
    <row r="74" spans="1:4" x14ac:dyDescent="0.25">
      <c r="A74">
        <v>197</v>
      </c>
      <c r="B74" t="s">
        <v>14</v>
      </c>
      <c r="C74" s="37" t="s">
        <v>14</v>
      </c>
      <c r="D74" s="37" t="s">
        <v>310</v>
      </c>
    </row>
    <row r="75" spans="1:4" x14ac:dyDescent="0.25">
      <c r="A75">
        <v>198</v>
      </c>
      <c r="B75" t="s">
        <v>14</v>
      </c>
      <c r="D75" s="37" t="s">
        <v>311</v>
      </c>
    </row>
    <row r="76" spans="1:4" x14ac:dyDescent="0.25">
      <c r="A76">
        <v>202</v>
      </c>
      <c r="B76" t="s">
        <v>14</v>
      </c>
      <c r="C76" s="37" t="s">
        <v>312</v>
      </c>
      <c r="D76" s="37" t="s">
        <v>313</v>
      </c>
    </row>
    <row r="77" spans="1:4" x14ac:dyDescent="0.25">
      <c r="A77">
        <v>203</v>
      </c>
      <c r="B77" t="s">
        <v>14</v>
      </c>
      <c r="C77" s="37" t="s">
        <v>14</v>
      </c>
      <c r="D77" s="37" t="s">
        <v>314</v>
      </c>
    </row>
    <row r="78" spans="1:4" x14ac:dyDescent="0.25">
      <c r="A78">
        <v>207</v>
      </c>
      <c r="B78" t="s">
        <v>14</v>
      </c>
      <c r="C78" s="37" t="s">
        <v>315</v>
      </c>
      <c r="D78" s="37" t="s">
        <v>316</v>
      </c>
    </row>
    <row r="79" spans="1:4" x14ac:dyDescent="0.25">
      <c r="A79">
        <v>208</v>
      </c>
      <c r="B79" t="s">
        <v>14</v>
      </c>
      <c r="C79" s="37" t="s">
        <v>14</v>
      </c>
      <c r="D79" s="37" t="s">
        <v>317</v>
      </c>
    </row>
    <row r="80" spans="1:4" x14ac:dyDescent="0.25">
      <c r="A80">
        <v>209</v>
      </c>
      <c r="B80" t="s">
        <v>14</v>
      </c>
      <c r="D80" s="37" t="s">
        <v>318</v>
      </c>
    </row>
    <row r="81" spans="1:4" x14ac:dyDescent="0.25">
      <c r="A81">
        <v>210</v>
      </c>
      <c r="B81" t="s">
        <v>14</v>
      </c>
      <c r="D81" s="37" t="s">
        <v>319</v>
      </c>
    </row>
    <row r="82" spans="1:4" x14ac:dyDescent="0.25">
      <c r="A82">
        <v>211</v>
      </c>
      <c r="B82" t="s">
        <v>14</v>
      </c>
      <c r="D82" s="37" t="s">
        <v>320</v>
      </c>
    </row>
    <row r="83" spans="1:4" x14ac:dyDescent="0.25">
      <c r="A83">
        <v>212</v>
      </c>
      <c r="B83" t="s">
        <v>14</v>
      </c>
      <c r="D83" s="37" t="s">
        <v>321</v>
      </c>
    </row>
    <row r="84" spans="1:4" x14ac:dyDescent="0.25">
      <c r="A84">
        <v>213</v>
      </c>
      <c r="B84" t="s">
        <v>14</v>
      </c>
      <c r="D84" s="37" t="s">
        <v>322</v>
      </c>
    </row>
    <row r="85" spans="1:4" x14ac:dyDescent="0.25">
      <c r="A85">
        <v>214</v>
      </c>
      <c r="B85" t="s">
        <v>14</v>
      </c>
      <c r="D85" s="37" t="s">
        <v>323</v>
      </c>
    </row>
    <row r="86" spans="1:4" x14ac:dyDescent="0.25">
      <c r="A86">
        <v>215</v>
      </c>
      <c r="B86" t="s">
        <v>14</v>
      </c>
    </row>
    <row r="87" spans="1:4" x14ac:dyDescent="0.25">
      <c r="A87">
        <v>216</v>
      </c>
      <c r="B87" t="s">
        <v>14</v>
      </c>
    </row>
    <row r="88" spans="1:4" x14ac:dyDescent="0.25">
      <c r="A88">
        <v>217</v>
      </c>
      <c r="B88" t="s">
        <v>14</v>
      </c>
      <c r="C88" s="37" t="s">
        <v>14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x14ac:dyDescent="0.2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x14ac:dyDescent="0.25">
      <c r="A2" s="24" t="s">
        <v>324</v>
      </c>
      <c r="B2" s="24" t="s">
        <v>128</v>
      </c>
      <c r="C2" s="24" t="s">
        <v>14</v>
      </c>
      <c r="D2" s="24">
        <v>1</v>
      </c>
      <c r="E2" s="24" t="s">
        <v>14</v>
      </c>
      <c r="F2" s="24">
        <v>732</v>
      </c>
      <c r="I2">
        <v>1</v>
      </c>
      <c r="J2" t="s">
        <v>14</v>
      </c>
      <c r="K2">
        <v>732</v>
      </c>
      <c r="L2" t="s">
        <v>15</v>
      </c>
      <c r="M2" t="s">
        <v>14</v>
      </c>
    </row>
    <row r="3" spans="1:13" x14ac:dyDescent="0.25">
      <c r="A3" s="24" t="s">
        <v>325</v>
      </c>
      <c r="B3" s="24" t="s">
        <v>326</v>
      </c>
      <c r="C3" s="24">
        <v>1</v>
      </c>
      <c r="D3" s="24">
        <v>11</v>
      </c>
      <c r="E3" s="24">
        <v>15</v>
      </c>
      <c r="F3" s="24">
        <v>5</v>
      </c>
      <c r="I3">
        <v>542</v>
      </c>
      <c r="J3">
        <v>543</v>
      </c>
      <c r="K3">
        <v>2</v>
      </c>
      <c r="L3" t="s">
        <v>147</v>
      </c>
      <c r="M3" t="s">
        <v>20</v>
      </c>
    </row>
    <row r="4" spans="1:13" x14ac:dyDescent="0.25">
      <c r="A4" s="24" t="s">
        <v>327</v>
      </c>
      <c r="B4" s="24" t="s">
        <v>328</v>
      </c>
      <c r="C4" s="24">
        <v>3</v>
      </c>
      <c r="D4" s="24">
        <v>314</v>
      </c>
      <c r="E4" s="24">
        <v>318</v>
      </c>
      <c r="F4" s="24">
        <v>5</v>
      </c>
      <c r="H4" t="s">
        <v>75</v>
      </c>
      <c r="I4">
        <v>724</v>
      </c>
      <c r="J4">
        <v>726</v>
      </c>
      <c r="K4">
        <v>3</v>
      </c>
      <c r="L4" t="s">
        <v>76</v>
      </c>
      <c r="M4" t="s">
        <v>20</v>
      </c>
    </row>
    <row r="5" spans="1:13" x14ac:dyDescent="0.25">
      <c r="A5" s="24" t="s">
        <v>329</v>
      </c>
      <c r="B5" s="24" t="s">
        <v>330</v>
      </c>
      <c r="C5" s="24">
        <v>112</v>
      </c>
      <c r="D5" s="24">
        <v>358</v>
      </c>
      <c r="E5" s="24">
        <v>362</v>
      </c>
      <c r="F5" s="24">
        <v>5</v>
      </c>
      <c r="H5" t="s">
        <v>331</v>
      </c>
      <c r="I5">
        <v>727</v>
      </c>
      <c r="J5">
        <v>727</v>
      </c>
      <c r="K5">
        <v>1</v>
      </c>
      <c r="L5" t="s">
        <v>332</v>
      </c>
      <c r="M5" t="s">
        <v>20</v>
      </c>
    </row>
    <row r="6" spans="1:13" x14ac:dyDescent="0.25">
      <c r="A6" s="24" t="s">
        <v>333</v>
      </c>
      <c r="B6" s="24" t="s">
        <v>334</v>
      </c>
      <c r="C6" s="24">
        <v>113</v>
      </c>
      <c r="D6" s="24">
        <v>492</v>
      </c>
      <c r="E6" s="24">
        <v>496</v>
      </c>
      <c r="F6" s="24">
        <v>5</v>
      </c>
      <c r="H6" t="s">
        <v>335</v>
      </c>
      <c r="I6">
        <v>728</v>
      </c>
      <c r="J6">
        <v>729</v>
      </c>
      <c r="K6">
        <v>2</v>
      </c>
      <c r="L6" t="s">
        <v>336</v>
      </c>
      <c r="M6" t="s">
        <v>20</v>
      </c>
    </row>
    <row r="7" spans="1:13" x14ac:dyDescent="0.25">
      <c r="A7" s="24" t="s">
        <v>337</v>
      </c>
      <c r="B7" s="24" t="s">
        <v>338</v>
      </c>
      <c r="C7" s="24">
        <v>6</v>
      </c>
      <c r="D7" s="24">
        <v>598</v>
      </c>
      <c r="E7" s="24">
        <v>602</v>
      </c>
      <c r="F7" s="24">
        <v>3</v>
      </c>
      <c r="H7" t="s">
        <v>339</v>
      </c>
      <c r="I7">
        <v>730</v>
      </c>
      <c r="J7">
        <v>732</v>
      </c>
      <c r="K7">
        <v>3</v>
      </c>
      <c r="L7" t="s">
        <v>340</v>
      </c>
      <c r="M7" t="s">
        <v>20</v>
      </c>
    </row>
    <row r="9" spans="1:13" x14ac:dyDescent="0.25">
      <c r="D9" t="s">
        <v>341</v>
      </c>
    </row>
    <row r="10" spans="1:13" x14ac:dyDescent="0.25">
      <c r="A10" s="31" t="s">
        <v>342</v>
      </c>
      <c r="B10" s="43" t="s">
        <v>343</v>
      </c>
      <c r="C10" t="s">
        <v>343</v>
      </c>
      <c r="D10" t="s">
        <v>344</v>
      </c>
      <c r="E10" t="s">
        <v>345</v>
      </c>
    </row>
    <row r="11" spans="1:13" x14ac:dyDescent="0.25">
      <c r="A11" s="31" t="s">
        <v>346</v>
      </c>
      <c r="B11" t="s">
        <v>347</v>
      </c>
      <c r="C11" t="s">
        <v>348</v>
      </c>
      <c r="D11" t="s">
        <v>326</v>
      </c>
      <c r="E11" t="s">
        <v>349</v>
      </c>
    </row>
    <row r="12" spans="1:13" x14ac:dyDescent="0.25">
      <c r="A12" s="31" t="s">
        <v>350</v>
      </c>
      <c r="B12" t="s">
        <v>351</v>
      </c>
      <c r="C12" t="s">
        <v>352</v>
      </c>
      <c r="D12" t="s">
        <v>353</v>
      </c>
      <c r="E12" s="50" t="s">
        <v>354</v>
      </c>
    </row>
    <row r="13" spans="1:13" x14ac:dyDescent="0.25">
      <c r="A13" s="31" t="s">
        <v>355</v>
      </c>
      <c r="B13" t="s">
        <v>356</v>
      </c>
      <c r="C13" t="s">
        <v>335</v>
      </c>
      <c r="D13" t="s">
        <v>357</v>
      </c>
      <c r="E13" s="49" t="s">
        <v>358</v>
      </c>
    </row>
    <row r="14" spans="1:13" x14ac:dyDescent="0.25">
      <c r="A14" s="29" t="s">
        <v>359</v>
      </c>
      <c r="B14" t="s">
        <v>331</v>
      </c>
      <c r="C14" t="s">
        <v>331</v>
      </c>
      <c r="D14" t="s">
        <v>360</v>
      </c>
      <c r="E14" s="35" t="s">
        <v>361</v>
      </c>
    </row>
    <row r="15" spans="1:13" x14ac:dyDescent="0.25">
      <c r="A15" s="29" t="s">
        <v>362</v>
      </c>
      <c r="B15" t="s">
        <v>363</v>
      </c>
      <c r="C15" t="s">
        <v>364</v>
      </c>
      <c r="D15" t="s">
        <v>365</v>
      </c>
      <c r="E15" s="35" t="s">
        <v>366</v>
      </c>
    </row>
    <row r="16" spans="1:13" x14ac:dyDescent="0.25">
      <c r="A16" s="32" t="s">
        <v>367</v>
      </c>
      <c r="B16" t="s">
        <v>368</v>
      </c>
      <c r="C16" t="s">
        <v>369</v>
      </c>
      <c r="D16" t="s">
        <v>370</v>
      </c>
      <c r="E16" s="45" t="s">
        <v>371</v>
      </c>
      <c r="F16" s="45" t="s">
        <v>372</v>
      </c>
      <c r="G16" s="45"/>
    </row>
    <row r="17" spans="1:8" x14ac:dyDescent="0.25">
      <c r="A17" s="29" t="s">
        <v>373</v>
      </c>
      <c r="B17" t="s">
        <v>374</v>
      </c>
      <c r="C17" t="s">
        <v>374</v>
      </c>
      <c r="D17" t="s">
        <v>328</v>
      </c>
      <c r="E17" s="35" t="s">
        <v>375</v>
      </c>
    </row>
    <row r="18" spans="1:8" x14ac:dyDescent="0.25">
      <c r="A18" s="29" t="s">
        <v>376</v>
      </c>
      <c r="B18" t="s">
        <v>377</v>
      </c>
      <c r="C18" t="s">
        <v>378</v>
      </c>
      <c r="D18" t="s">
        <v>379</v>
      </c>
      <c r="E18" s="35" t="s">
        <v>380</v>
      </c>
    </row>
    <row r="19" spans="1:8" x14ac:dyDescent="0.25">
      <c r="A19" s="29" t="s">
        <v>381</v>
      </c>
      <c r="B19" t="s">
        <v>382</v>
      </c>
      <c r="C19" t="s">
        <v>383</v>
      </c>
      <c r="D19" t="s">
        <v>384</v>
      </c>
      <c r="E19" s="47" t="s">
        <v>385</v>
      </c>
    </row>
    <row r="20" spans="1:8" x14ac:dyDescent="0.25">
      <c r="A20" s="29" t="s">
        <v>386</v>
      </c>
      <c r="B20" t="s">
        <v>387</v>
      </c>
      <c r="C20" t="s">
        <v>388</v>
      </c>
      <c r="D20" t="s">
        <v>389</v>
      </c>
      <c r="E20" s="47" t="s">
        <v>390</v>
      </c>
      <c r="H20" t="s">
        <v>391</v>
      </c>
    </row>
    <row r="21" spans="1:8" x14ac:dyDescent="0.25">
      <c r="A21" s="29" t="s">
        <v>392</v>
      </c>
      <c r="B21" t="s">
        <v>393</v>
      </c>
      <c r="C21" t="s">
        <v>394</v>
      </c>
      <c r="D21" t="s">
        <v>395</v>
      </c>
      <c r="E21" s="47" t="s">
        <v>396</v>
      </c>
      <c r="G21">
        <v>6</v>
      </c>
    </row>
    <row r="22" spans="1:8" x14ac:dyDescent="0.25">
      <c r="A22" s="29" t="s">
        <v>397</v>
      </c>
      <c r="B22" t="s">
        <v>398</v>
      </c>
      <c r="C22" t="s">
        <v>399</v>
      </c>
      <c r="D22" t="s">
        <v>400</v>
      </c>
      <c r="E22" s="47" t="s">
        <v>401</v>
      </c>
      <c r="G22">
        <v>10</v>
      </c>
    </row>
    <row r="23" spans="1:8" x14ac:dyDescent="0.25">
      <c r="A23" s="32" t="s">
        <v>402</v>
      </c>
      <c r="B23" t="s">
        <v>403</v>
      </c>
      <c r="C23" t="s">
        <v>404</v>
      </c>
      <c r="D23" t="s">
        <v>405</v>
      </c>
      <c r="G23">
        <v>3</v>
      </c>
    </row>
    <row r="24" spans="1:8" x14ac:dyDescent="0.25">
      <c r="A24" s="29" t="s">
        <v>406</v>
      </c>
      <c r="B24" t="s">
        <v>407</v>
      </c>
      <c r="C24" s="49" t="s">
        <v>408</v>
      </c>
      <c r="D24" t="s">
        <v>330</v>
      </c>
      <c r="E24" s="35" t="s">
        <v>409</v>
      </c>
      <c r="G24">
        <v>2</v>
      </c>
    </row>
    <row r="25" spans="1:8" x14ac:dyDescent="0.25">
      <c r="A25" s="29" t="s">
        <v>410</v>
      </c>
      <c r="B25" t="s">
        <v>411</v>
      </c>
      <c r="C25" t="s">
        <v>412</v>
      </c>
      <c r="D25" t="s">
        <v>413</v>
      </c>
      <c r="E25" s="35" t="s">
        <v>414</v>
      </c>
      <c r="G25">
        <v>1</v>
      </c>
    </row>
    <row r="26" spans="1:8" x14ac:dyDescent="0.25">
      <c r="A26" s="29" t="s">
        <v>415</v>
      </c>
      <c r="B26" s="48" t="s">
        <v>416</v>
      </c>
      <c r="C26" s="45" t="s">
        <v>417</v>
      </c>
      <c r="D26" t="s">
        <v>418</v>
      </c>
      <c r="E26" s="47" t="s">
        <v>419</v>
      </c>
      <c r="G26">
        <v>2</v>
      </c>
    </row>
    <row r="27" spans="1:8" x14ac:dyDescent="0.25">
      <c r="A27" s="29" t="s">
        <v>420</v>
      </c>
      <c r="B27" t="s">
        <v>421</v>
      </c>
      <c r="C27" s="45" t="s">
        <v>422</v>
      </c>
      <c r="D27" t="s">
        <v>423</v>
      </c>
      <c r="E27" s="47" t="s">
        <v>424</v>
      </c>
      <c r="G27">
        <v>10</v>
      </c>
    </row>
    <row r="28" spans="1:8" x14ac:dyDescent="0.25">
      <c r="A28" s="31" t="s">
        <v>425</v>
      </c>
      <c r="B28" t="s">
        <v>426</v>
      </c>
      <c r="C28" s="45" t="s">
        <v>427</v>
      </c>
      <c r="D28" t="s">
        <v>428</v>
      </c>
      <c r="E28" t="s">
        <v>429</v>
      </c>
      <c r="G28">
        <v>4</v>
      </c>
    </row>
    <row r="29" spans="1:8" x14ac:dyDescent="0.25">
      <c r="A29" s="29" t="s">
        <v>430</v>
      </c>
      <c r="B29" t="s">
        <v>431</v>
      </c>
      <c r="C29" t="s">
        <v>432</v>
      </c>
      <c r="D29" t="s">
        <v>433</v>
      </c>
      <c r="E29" s="35" t="s">
        <v>434</v>
      </c>
      <c r="G29">
        <v>11</v>
      </c>
    </row>
    <row r="30" spans="1:8" x14ac:dyDescent="0.25">
      <c r="A30" s="29" t="s">
        <v>435</v>
      </c>
      <c r="B30" t="s">
        <v>436</v>
      </c>
      <c r="C30" s="45" t="s">
        <v>437</v>
      </c>
      <c r="D30" t="s">
        <v>438</v>
      </c>
      <c r="E30" s="47" t="s">
        <v>439</v>
      </c>
      <c r="G30">
        <v>10</v>
      </c>
    </row>
    <row r="31" spans="1:8" x14ac:dyDescent="0.25">
      <c r="A31" s="32" t="s">
        <v>440</v>
      </c>
      <c r="B31" t="s">
        <v>441</v>
      </c>
      <c r="C31" t="s">
        <v>442</v>
      </c>
      <c r="D31" t="s">
        <v>443</v>
      </c>
      <c r="E31" s="45" t="s">
        <v>444</v>
      </c>
      <c r="G31">
        <v>5</v>
      </c>
    </row>
    <row r="32" spans="1:8" x14ac:dyDescent="0.25">
      <c r="A32" s="32" t="s">
        <v>445</v>
      </c>
      <c r="B32" s="44" t="s">
        <v>446</v>
      </c>
      <c r="C32" t="s">
        <v>447</v>
      </c>
      <c r="D32" t="s">
        <v>448</v>
      </c>
      <c r="E32" s="45" t="s">
        <v>449</v>
      </c>
      <c r="G32">
        <v>4</v>
      </c>
    </row>
    <row r="33" spans="1:7" x14ac:dyDescent="0.25">
      <c r="A33" s="29" t="s">
        <v>450</v>
      </c>
      <c r="B33" t="s">
        <v>451</v>
      </c>
      <c r="C33" t="s">
        <v>452</v>
      </c>
      <c r="D33" t="s">
        <v>334</v>
      </c>
      <c r="E33" s="35" t="s">
        <v>453</v>
      </c>
      <c r="G33">
        <v>9</v>
      </c>
    </row>
    <row r="34" spans="1:7" x14ac:dyDescent="0.25">
      <c r="A34" s="29" t="s">
        <v>454</v>
      </c>
      <c r="B34" t="s">
        <v>455</v>
      </c>
      <c r="C34" t="s">
        <v>456</v>
      </c>
      <c r="D34" t="s">
        <v>457</v>
      </c>
      <c r="E34" s="35" t="s">
        <v>458</v>
      </c>
      <c r="G34">
        <v>4</v>
      </c>
    </row>
    <row r="35" spans="1:7" x14ac:dyDescent="0.25">
      <c r="A35" s="31" t="s">
        <v>459</v>
      </c>
      <c r="C35" s="45" t="s">
        <v>331</v>
      </c>
      <c r="D35" t="s">
        <v>460</v>
      </c>
      <c r="E35" t="s">
        <v>461</v>
      </c>
      <c r="G35">
        <v>5</v>
      </c>
    </row>
    <row r="36" spans="1:7" x14ac:dyDescent="0.25">
      <c r="A36" s="31" t="s">
        <v>462</v>
      </c>
      <c r="C36" s="45" t="s">
        <v>335</v>
      </c>
      <c r="D36" t="s">
        <v>463</v>
      </c>
      <c r="E36" t="s">
        <v>464</v>
      </c>
      <c r="G36">
        <v>7</v>
      </c>
    </row>
    <row r="37" spans="1:7" x14ac:dyDescent="0.25">
      <c r="A37" s="29" t="s">
        <v>465</v>
      </c>
      <c r="C37" s="45" t="s">
        <v>466</v>
      </c>
      <c r="D37" t="s">
        <v>467</v>
      </c>
      <c r="E37" s="35" t="s">
        <v>468</v>
      </c>
      <c r="G37">
        <v>6</v>
      </c>
    </row>
    <row r="38" spans="1:7" x14ac:dyDescent="0.25">
      <c r="A38" s="31" t="s">
        <v>469</v>
      </c>
      <c r="C38" t="s">
        <v>374</v>
      </c>
      <c r="D38" t="s">
        <v>470</v>
      </c>
      <c r="E38" t="s">
        <v>471</v>
      </c>
      <c r="G38">
        <v>10</v>
      </c>
    </row>
    <row r="39" spans="1:7" x14ac:dyDescent="0.25">
      <c r="A39" s="29" t="s">
        <v>472</v>
      </c>
      <c r="C39" t="s">
        <v>378</v>
      </c>
      <c r="D39" t="s">
        <v>338</v>
      </c>
      <c r="E39" s="35" t="s">
        <v>473</v>
      </c>
      <c r="G39">
        <v>17</v>
      </c>
    </row>
    <row r="40" spans="1:7" x14ac:dyDescent="0.25">
      <c r="A40" s="29" t="s">
        <v>474</v>
      </c>
      <c r="C40" t="s">
        <v>383</v>
      </c>
      <c r="D40" t="s">
        <v>475</v>
      </c>
      <c r="E40" s="35" t="s">
        <v>476</v>
      </c>
      <c r="G40">
        <v>17</v>
      </c>
    </row>
    <row r="41" spans="1:7" x14ac:dyDescent="0.25">
      <c r="A41" s="29" t="s">
        <v>477</v>
      </c>
      <c r="C41" t="s">
        <v>388</v>
      </c>
      <c r="D41" t="s">
        <v>477</v>
      </c>
      <c r="E41" s="47" t="s">
        <v>478</v>
      </c>
      <c r="G41">
        <v>10</v>
      </c>
    </row>
    <row r="42" spans="1:7" x14ac:dyDescent="0.25">
      <c r="A42" s="29" t="s">
        <v>479</v>
      </c>
      <c r="C42" s="46" t="s">
        <v>480</v>
      </c>
      <c r="D42" t="s">
        <v>481</v>
      </c>
      <c r="E42" s="47" t="s">
        <v>482</v>
      </c>
      <c r="G42">
        <v>1</v>
      </c>
    </row>
    <row r="43" spans="1:7" x14ac:dyDescent="0.25">
      <c r="A43" s="29" t="s">
        <v>483</v>
      </c>
      <c r="C43" s="46" t="s">
        <v>484</v>
      </c>
      <c r="D43" t="s">
        <v>485</v>
      </c>
      <c r="E43" s="35" t="s">
        <v>486</v>
      </c>
      <c r="G43">
        <v>4</v>
      </c>
    </row>
    <row r="44" spans="1:7" x14ac:dyDescent="0.25">
      <c r="A44" s="29" t="s">
        <v>487</v>
      </c>
      <c r="C44" s="46" t="s">
        <v>488</v>
      </c>
      <c r="D44" t="s">
        <v>489</v>
      </c>
      <c r="E44" s="47" t="s">
        <v>490</v>
      </c>
      <c r="G44">
        <v>50</v>
      </c>
    </row>
    <row r="45" spans="1:7" x14ac:dyDescent="0.25">
      <c r="A45" s="29" t="s">
        <v>491</v>
      </c>
      <c r="D45" t="s">
        <v>492</v>
      </c>
      <c r="E45" s="47" t="s">
        <v>493</v>
      </c>
      <c r="G45">
        <v>10</v>
      </c>
    </row>
    <row r="46" spans="1:7" x14ac:dyDescent="0.25">
      <c r="A46" s="31"/>
      <c r="C46" t="s">
        <v>494</v>
      </c>
      <c r="D46" t="s">
        <v>495</v>
      </c>
      <c r="E46" s="50" t="s">
        <v>496</v>
      </c>
      <c r="G46">
        <v>1</v>
      </c>
    </row>
    <row r="47" spans="1:7" x14ac:dyDescent="0.25">
      <c r="A47" s="31"/>
      <c r="C47" t="s">
        <v>497</v>
      </c>
      <c r="D47" t="s">
        <v>498</v>
      </c>
      <c r="E47" s="49" t="s">
        <v>499</v>
      </c>
      <c r="G47">
        <v>2</v>
      </c>
    </row>
    <row r="48" spans="1:7" x14ac:dyDescent="0.25">
      <c r="A48" s="31"/>
      <c r="C48" t="s">
        <v>500</v>
      </c>
      <c r="D48" t="s">
        <v>501</v>
      </c>
      <c r="E48" t="s">
        <v>502</v>
      </c>
      <c r="G48">
        <v>3</v>
      </c>
    </row>
    <row r="49" spans="1:8" x14ac:dyDescent="0.25">
      <c r="A49" s="31"/>
      <c r="C49" t="s">
        <v>503</v>
      </c>
      <c r="D49" t="s">
        <v>504</v>
      </c>
      <c r="E49" t="s">
        <v>505</v>
      </c>
      <c r="G49">
        <v>15</v>
      </c>
    </row>
    <row r="50" spans="1:8" x14ac:dyDescent="0.25">
      <c r="A50" s="31" t="s">
        <v>506</v>
      </c>
      <c r="C50" t="s">
        <v>507</v>
      </c>
      <c r="D50" t="s">
        <v>508</v>
      </c>
      <c r="E50" s="45" t="s">
        <v>509</v>
      </c>
      <c r="G50">
        <v>10</v>
      </c>
    </row>
    <row r="51" spans="1:8" x14ac:dyDescent="0.25">
      <c r="C51" t="s">
        <v>510</v>
      </c>
      <c r="E51" s="45" t="s">
        <v>511</v>
      </c>
      <c r="G51">
        <v>5</v>
      </c>
    </row>
    <row r="52" spans="1:8" x14ac:dyDescent="0.25">
      <c r="C52" t="s">
        <v>512</v>
      </c>
      <c r="E52" s="45" t="s">
        <v>513</v>
      </c>
      <c r="G52">
        <v>4</v>
      </c>
    </row>
    <row r="53" spans="1:8" x14ac:dyDescent="0.25">
      <c r="C53" t="s">
        <v>514</v>
      </c>
      <c r="E53" s="45" t="s">
        <v>515</v>
      </c>
      <c r="G53">
        <v>11</v>
      </c>
    </row>
    <row r="54" spans="1:8" x14ac:dyDescent="0.25">
      <c r="C54" s="49" t="s">
        <v>516</v>
      </c>
      <c r="E54" s="45" t="s">
        <v>517</v>
      </c>
      <c r="G54">
        <v>2</v>
      </c>
      <c r="H54">
        <f>SUM(G21:G54)</f>
        <v>271</v>
      </c>
    </row>
    <row r="55" spans="1:8" x14ac:dyDescent="0.25">
      <c r="C55" s="49" t="s">
        <v>518</v>
      </c>
      <c r="E55" s="45" t="s">
        <v>519</v>
      </c>
    </row>
    <row r="56" spans="1:8" x14ac:dyDescent="0.25">
      <c r="C56" t="s">
        <v>520</v>
      </c>
      <c r="E56" s="45" t="s">
        <v>521</v>
      </c>
    </row>
    <row r="57" spans="1:8" x14ac:dyDescent="0.25">
      <c r="C57" t="s">
        <v>522</v>
      </c>
    </row>
    <row r="58" spans="1:8" x14ac:dyDescent="0.25">
      <c r="C58" t="s">
        <v>523</v>
      </c>
    </row>
    <row r="59" spans="1:8" x14ac:dyDescent="0.25">
      <c r="C59" t="s">
        <v>524</v>
      </c>
    </row>
    <row r="61" spans="1:8" x14ac:dyDescent="0.25">
      <c r="B61" t="s">
        <v>525</v>
      </c>
      <c r="C61" s="45" t="s">
        <v>526</v>
      </c>
    </row>
    <row r="62" spans="1:8" x14ac:dyDescent="0.25">
      <c r="C62" s="45" t="s">
        <v>527</v>
      </c>
    </row>
    <row r="63" spans="1:8" x14ac:dyDescent="0.25">
      <c r="C63" s="45" t="s">
        <v>75</v>
      </c>
    </row>
    <row r="64" spans="1:8" x14ac:dyDescent="0.25">
      <c r="C64" s="45" t="s">
        <v>339</v>
      </c>
    </row>
    <row r="65" spans="2:3" x14ac:dyDescent="0.25">
      <c r="C65" t="s">
        <v>528</v>
      </c>
    </row>
    <row r="66" spans="2:3" x14ac:dyDescent="0.25">
      <c r="C66" t="s">
        <v>529</v>
      </c>
    </row>
    <row r="67" spans="2:3" x14ac:dyDescent="0.25">
      <c r="C67" s="45" t="s">
        <v>530</v>
      </c>
    </row>
    <row r="68" spans="2:3" x14ac:dyDescent="0.25">
      <c r="C68" t="s">
        <v>353</v>
      </c>
    </row>
    <row r="70" spans="2:3" x14ac:dyDescent="0.25">
      <c r="B70" t="s">
        <v>531</v>
      </c>
      <c r="C70" s="50" t="s">
        <v>532</v>
      </c>
    </row>
    <row r="71" spans="2:3" x14ac:dyDescent="0.25">
      <c r="C71" s="50" t="s">
        <v>353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x14ac:dyDescent="0.2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x14ac:dyDescent="0.25">
      <c r="A1" s="34" t="s">
        <v>533</v>
      </c>
      <c r="B1" s="40" t="s">
        <v>534</v>
      </c>
      <c r="C1" s="34" t="s">
        <v>535</v>
      </c>
      <c r="D1" s="34" t="s">
        <v>536</v>
      </c>
      <c r="E1" s="34" t="s">
        <v>537</v>
      </c>
      <c r="F1" s="34" t="s">
        <v>536</v>
      </c>
    </row>
    <row r="2" spans="1:7" ht="30" x14ac:dyDescent="0.25">
      <c r="A2" s="151" t="s">
        <v>538</v>
      </c>
      <c r="B2" s="39" t="s">
        <v>539</v>
      </c>
      <c r="C2" s="30"/>
      <c r="D2" s="41"/>
      <c r="E2" s="30" t="s">
        <v>540</v>
      </c>
      <c r="F2" s="41" t="s">
        <v>541</v>
      </c>
    </row>
    <row r="3" spans="1:7" ht="30" x14ac:dyDescent="0.25">
      <c r="A3" s="152"/>
      <c r="B3" s="40" t="s">
        <v>542</v>
      </c>
      <c r="C3" s="34" t="s">
        <v>543</v>
      </c>
      <c r="D3" s="34" t="s">
        <v>544</v>
      </c>
      <c r="E3" s="34" t="s">
        <v>545</v>
      </c>
      <c r="F3" s="34" t="s">
        <v>541</v>
      </c>
    </row>
    <row r="4" spans="1:7" ht="30" x14ac:dyDescent="0.25">
      <c r="A4" s="153"/>
      <c r="B4" s="24" t="s">
        <v>546</v>
      </c>
      <c r="C4" s="34" t="s">
        <v>547</v>
      </c>
      <c r="D4" s="34"/>
      <c r="E4" s="34" t="s">
        <v>548</v>
      </c>
      <c r="F4" s="34" t="s">
        <v>541</v>
      </c>
    </row>
    <row r="5" spans="1:7" ht="30" x14ac:dyDescent="0.25">
      <c r="A5" s="34" t="s">
        <v>549</v>
      </c>
      <c r="B5" s="28" t="s">
        <v>550</v>
      </c>
      <c r="C5" s="28" t="s">
        <v>551</v>
      </c>
      <c r="D5" s="34" t="s">
        <v>552</v>
      </c>
      <c r="E5" s="34"/>
      <c r="F5" s="34"/>
    </row>
    <row r="6" spans="1:7" x14ac:dyDescent="0.25">
      <c r="A6" s="34"/>
      <c r="B6" s="34"/>
      <c r="C6" s="34"/>
      <c r="D6" s="34"/>
      <c r="E6" s="34"/>
      <c r="F6" s="34"/>
    </row>
    <row r="7" spans="1:7" ht="30" x14ac:dyDescent="0.25">
      <c r="A7" s="34"/>
      <c r="B7" s="28"/>
      <c r="C7" s="28" t="s">
        <v>553</v>
      </c>
      <c r="D7" s="34"/>
      <c r="E7" s="34"/>
      <c r="F7" s="34"/>
      <c r="G7" s="34" t="s">
        <v>554</v>
      </c>
    </row>
    <row r="8" spans="1:7" x14ac:dyDescent="0.25">
      <c r="A8" s="34"/>
      <c r="B8" s="34"/>
      <c r="C8" s="34"/>
      <c r="D8" s="34"/>
      <c r="E8" s="34"/>
      <c r="F8" s="34"/>
    </row>
    <row r="9" spans="1:7" x14ac:dyDescent="0.25">
      <c r="A9" s="34" t="s">
        <v>555</v>
      </c>
      <c r="B9" s="34"/>
      <c r="C9" s="34" t="s">
        <v>556</v>
      </c>
      <c r="D9" s="34"/>
      <c r="E9" s="34"/>
      <c r="F9" s="34"/>
    </row>
    <row r="10" spans="1:7" x14ac:dyDescent="0.25">
      <c r="A10" s="42"/>
      <c r="B10" s="42"/>
      <c r="C10" s="42"/>
      <c r="D10" s="42"/>
      <c r="E10" s="34"/>
      <c r="F10" s="34"/>
    </row>
    <row r="11" spans="1:7" x14ac:dyDescent="0.25">
      <c r="A11" s="34" t="s">
        <v>557</v>
      </c>
      <c r="B11" s="34"/>
      <c r="C11" s="34" t="s">
        <v>558</v>
      </c>
      <c r="D11" s="34"/>
      <c r="E11" s="34"/>
      <c r="F11" s="34"/>
    </row>
    <row r="12" spans="1:7" x14ac:dyDescent="0.25">
      <c r="A12" s="34" t="s">
        <v>557</v>
      </c>
      <c r="B12" s="34"/>
      <c r="C12" s="34" t="s">
        <v>559</v>
      </c>
      <c r="D12" s="34"/>
      <c r="E12" s="34"/>
      <c r="F12" s="34"/>
    </row>
    <row r="13" spans="1:7" x14ac:dyDescent="0.25">
      <c r="A13" s="34" t="s">
        <v>557</v>
      </c>
      <c r="B13" s="34" t="s">
        <v>560</v>
      </c>
      <c r="C13" s="34" t="s">
        <v>561</v>
      </c>
      <c r="D13" s="34"/>
      <c r="E13" s="34" t="s">
        <v>562</v>
      </c>
      <c r="F13" s="34"/>
    </row>
    <row r="14" spans="1:7" x14ac:dyDescent="0.25">
      <c r="A14" s="34" t="s">
        <v>557</v>
      </c>
      <c r="B14" s="34" t="s">
        <v>563</v>
      </c>
      <c r="C14" s="34" t="s">
        <v>564</v>
      </c>
      <c r="D14" s="34"/>
      <c r="E14" s="34" t="s">
        <v>565</v>
      </c>
      <c r="F14" s="34"/>
    </row>
    <row r="15" spans="1:7" x14ac:dyDescent="0.25">
      <c r="A15" s="34"/>
      <c r="B15" s="34"/>
      <c r="C15" s="34"/>
      <c r="D15" s="34"/>
      <c r="E15" s="34"/>
      <c r="F15" s="34"/>
    </row>
    <row r="16" spans="1:7" x14ac:dyDescent="0.25">
      <c r="A16" s="151" t="s">
        <v>566</v>
      </c>
      <c r="B16" s="151" t="s">
        <v>567</v>
      </c>
      <c r="C16" s="34" t="s">
        <v>568</v>
      </c>
      <c r="D16" s="34" t="s">
        <v>184</v>
      </c>
      <c r="E16" s="34" t="s">
        <v>569</v>
      </c>
      <c r="F16" s="34"/>
    </row>
    <row r="17" spans="1:6" x14ac:dyDescent="0.25">
      <c r="A17" s="152"/>
      <c r="B17" s="152"/>
      <c r="C17" s="34" t="s">
        <v>570</v>
      </c>
      <c r="D17" s="34" t="s">
        <v>184</v>
      </c>
      <c r="E17" s="34" t="s">
        <v>571</v>
      </c>
      <c r="F17" s="34"/>
    </row>
    <row r="18" spans="1:6" x14ac:dyDescent="0.25">
      <c r="A18" s="152"/>
      <c r="B18" s="152"/>
      <c r="C18" s="34" t="s">
        <v>572</v>
      </c>
      <c r="D18" s="34" t="s">
        <v>184</v>
      </c>
      <c r="E18" s="34" t="s">
        <v>573</v>
      </c>
      <c r="F18" s="34"/>
    </row>
    <row r="19" spans="1:6" x14ac:dyDescent="0.25">
      <c r="A19" s="153"/>
      <c r="B19" s="153"/>
      <c r="C19" s="34" t="s">
        <v>574</v>
      </c>
      <c r="D19" s="34" t="s">
        <v>184</v>
      </c>
      <c r="E19" s="34" t="s">
        <v>575</v>
      </c>
      <c r="F19" s="34"/>
    </row>
    <row r="20" spans="1:6" x14ac:dyDescent="0.25">
      <c r="A20" s="34"/>
      <c r="B20" s="34"/>
      <c r="C20" s="34"/>
      <c r="D20" s="34"/>
      <c r="E20" s="34"/>
      <c r="F20" s="34"/>
    </row>
    <row r="21" spans="1:6" ht="30" x14ac:dyDescent="0.25">
      <c r="A21" s="34" t="s">
        <v>576</v>
      </c>
      <c r="B21" s="34" t="s">
        <v>577</v>
      </c>
      <c r="C21" s="34" t="s">
        <v>578</v>
      </c>
      <c r="D21" s="34" t="s">
        <v>579</v>
      </c>
      <c r="E21" s="34" t="s">
        <v>580</v>
      </c>
      <c r="F21" s="34"/>
    </row>
    <row r="22" spans="1:6" x14ac:dyDescent="0.25">
      <c r="A22" s="34"/>
      <c r="B22" s="34"/>
      <c r="C22" s="34"/>
      <c r="D22" s="34"/>
      <c r="E22" s="34"/>
      <c r="F22" s="34"/>
    </row>
    <row r="23" spans="1:6" x14ac:dyDescent="0.25">
      <c r="A23" s="34"/>
      <c r="B23" s="34"/>
      <c r="C23" s="34"/>
      <c r="D23" s="34"/>
      <c r="E23" s="34"/>
      <c r="F23" s="34"/>
    </row>
    <row r="24" spans="1:6" x14ac:dyDescent="0.2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x14ac:dyDescent="0.25"/>
  <cols>
    <col min="1" max="1" width="10" bestFit="1" customWidth="1"/>
    <col min="2" max="2" width="40.42578125" bestFit="1" customWidth="1"/>
    <col min="3" max="3" width="44.42578125" customWidth="1"/>
    <col min="5" max="5" width="43.5703125" bestFit="1" customWidth="1"/>
    <col min="6" max="6" width="10" bestFit="1" customWidth="1"/>
  </cols>
  <sheetData>
    <row r="1" spans="1:6" x14ac:dyDescent="0.25">
      <c r="A1" s="23" t="s">
        <v>533</v>
      </c>
      <c r="B1" s="25" t="s">
        <v>534</v>
      </c>
      <c r="C1" s="23" t="s">
        <v>535</v>
      </c>
      <c r="D1" s="23" t="s">
        <v>536</v>
      </c>
      <c r="E1" s="23" t="s">
        <v>537</v>
      </c>
      <c r="F1" s="23" t="s">
        <v>536</v>
      </c>
    </row>
    <row r="2" spans="1:6" x14ac:dyDescent="0.25">
      <c r="A2" s="154" t="s">
        <v>538</v>
      </c>
      <c r="B2" s="38" t="s">
        <v>539</v>
      </c>
      <c r="C2" s="28"/>
      <c r="D2" s="23"/>
      <c r="E2" s="28" t="s">
        <v>540</v>
      </c>
      <c r="F2" s="23" t="s">
        <v>541</v>
      </c>
    </row>
    <row r="3" spans="1:6" x14ac:dyDescent="0.25">
      <c r="A3" s="155"/>
      <c r="B3" s="25" t="s">
        <v>542</v>
      </c>
      <c r="C3" s="23" t="s">
        <v>543</v>
      </c>
      <c r="D3" s="23" t="s">
        <v>544</v>
      </c>
      <c r="E3" s="23" t="s">
        <v>545</v>
      </c>
      <c r="F3" s="23" t="s">
        <v>541</v>
      </c>
    </row>
    <row r="4" spans="1:6" x14ac:dyDescent="0.25">
      <c r="A4" s="156"/>
      <c r="B4" t="s">
        <v>546</v>
      </c>
      <c r="C4" s="34" t="s">
        <v>547</v>
      </c>
      <c r="D4" s="23"/>
      <c r="E4" s="34" t="s">
        <v>548</v>
      </c>
      <c r="F4" s="23" t="s">
        <v>541</v>
      </c>
    </row>
    <row r="5" spans="1:6" x14ac:dyDescent="0.25">
      <c r="A5" s="23"/>
      <c r="B5" s="25"/>
      <c r="C5" s="23"/>
      <c r="D5" s="23"/>
      <c r="E5" s="23"/>
      <c r="F5" s="23"/>
    </row>
    <row r="6" spans="1:6" x14ac:dyDescent="0.25">
      <c r="A6" s="157" t="s">
        <v>581</v>
      </c>
      <c r="B6" s="23"/>
      <c r="C6" s="23" t="s">
        <v>582</v>
      </c>
      <c r="D6" s="23"/>
      <c r="E6" s="23" t="s">
        <v>583</v>
      </c>
      <c r="F6" s="25"/>
    </row>
    <row r="7" spans="1:6" x14ac:dyDescent="0.25">
      <c r="A7" s="157"/>
      <c r="B7" s="23"/>
      <c r="C7" s="23" t="s">
        <v>584</v>
      </c>
      <c r="D7" s="23"/>
      <c r="E7" s="23" t="s">
        <v>585</v>
      </c>
      <c r="F7" s="25"/>
    </row>
    <row r="8" spans="1:6" x14ac:dyDescent="0.25">
      <c r="A8" s="157"/>
      <c r="B8" s="23"/>
      <c r="C8" s="23" t="s">
        <v>586</v>
      </c>
      <c r="D8" s="23"/>
      <c r="E8" s="23" t="s">
        <v>587</v>
      </c>
    </row>
    <row r="9" spans="1:6" x14ac:dyDescent="0.25">
      <c r="A9" s="157"/>
      <c r="B9" s="23"/>
      <c r="C9" s="23" t="s">
        <v>588</v>
      </c>
      <c r="D9" s="23"/>
      <c r="E9" s="23" t="s">
        <v>589</v>
      </c>
    </row>
    <row r="10" spans="1:6" x14ac:dyDescent="0.25">
      <c r="A10" s="157"/>
      <c r="B10" s="23"/>
      <c r="C10" s="23" t="s">
        <v>590</v>
      </c>
      <c r="D10" s="23"/>
      <c r="E10" s="23" t="s">
        <v>591</v>
      </c>
    </row>
    <row r="11" spans="1:6" x14ac:dyDescent="0.25">
      <c r="A11" s="157"/>
      <c r="B11" s="23"/>
      <c r="C11" s="23" t="s">
        <v>592</v>
      </c>
      <c r="D11" s="23"/>
      <c r="E11" s="23" t="s">
        <v>593</v>
      </c>
    </row>
    <row r="12" spans="1:6" x14ac:dyDescent="0.25">
      <c r="A12" s="157"/>
      <c r="B12" s="23"/>
      <c r="C12" s="23" t="s">
        <v>594</v>
      </c>
      <c r="D12" s="23"/>
      <c r="E12" s="23" t="s">
        <v>595</v>
      </c>
    </row>
    <row r="13" spans="1:6" x14ac:dyDescent="0.25">
      <c r="A13" s="157"/>
      <c r="B13" s="23"/>
      <c r="C13" s="23" t="s">
        <v>596</v>
      </c>
      <c r="D13" s="23"/>
      <c r="E13" s="23" t="s">
        <v>597</v>
      </c>
    </row>
    <row r="14" spans="1:6" x14ac:dyDescent="0.25">
      <c r="A14" s="157"/>
      <c r="B14" s="23"/>
      <c r="C14" s="23" t="s">
        <v>598</v>
      </c>
      <c r="D14" s="23"/>
      <c r="E14" s="23" t="s">
        <v>599</v>
      </c>
    </row>
    <row r="15" spans="1:6" x14ac:dyDescent="0.25">
      <c r="A15" s="157"/>
      <c r="B15" s="23"/>
      <c r="C15" s="23" t="s">
        <v>600</v>
      </c>
      <c r="D15" s="23"/>
      <c r="E15" s="23" t="s">
        <v>601</v>
      </c>
    </row>
    <row r="16" spans="1:6" x14ac:dyDescent="0.25">
      <c r="A16" s="157"/>
      <c r="B16" s="23"/>
      <c r="C16" s="23" t="s">
        <v>602</v>
      </c>
      <c r="D16" s="23"/>
      <c r="E16" s="23" t="s">
        <v>603</v>
      </c>
    </row>
    <row r="17" spans="1:5" x14ac:dyDescent="0.25">
      <c r="A17" s="157"/>
      <c r="B17" s="23"/>
      <c r="C17" s="23" t="s">
        <v>604</v>
      </c>
      <c r="D17" s="23"/>
      <c r="E17" s="23" t="s">
        <v>605</v>
      </c>
    </row>
    <row r="18" spans="1:5" x14ac:dyDescent="0.25">
      <c r="A18" s="157"/>
      <c r="B18" s="23"/>
      <c r="C18" s="23" t="s">
        <v>606</v>
      </c>
      <c r="D18" s="23"/>
      <c r="E18" s="23" t="s">
        <v>607</v>
      </c>
    </row>
    <row r="19" spans="1:5" x14ac:dyDescent="0.25">
      <c r="A19" s="157"/>
      <c r="B19" s="23"/>
      <c r="C19" s="23" t="s">
        <v>608</v>
      </c>
      <c r="D19" s="23"/>
      <c r="E19" s="23" t="s">
        <v>609</v>
      </c>
    </row>
    <row r="20" spans="1:5" x14ac:dyDescent="0.25">
      <c r="A20" s="154" t="s">
        <v>610</v>
      </c>
      <c r="B20" s="23"/>
      <c r="C20" s="23" t="s">
        <v>611</v>
      </c>
      <c r="D20" s="23"/>
      <c r="E20" s="23" t="s">
        <v>612</v>
      </c>
    </row>
    <row r="21" spans="1:5" x14ac:dyDescent="0.25">
      <c r="A21" s="155"/>
      <c r="B21" s="23"/>
      <c r="C21" s="23" t="s">
        <v>613</v>
      </c>
      <c r="D21" s="23"/>
      <c r="E21" s="23" t="s">
        <v>614</v>
      </c>
    </row>
    <row r="22" spans="1:5" x14ac:dyDescent="0.25">
      <c r="A22" s="155"/>
      <c r="B22" s="23"/>
      <c r="C22" s="23" t="s">
        <v>615</v>
      </c>
      <c r="D22" s="23"/>
      <c r="E22" s="23" t="s">
        <v>616</v>
      </c>
    </row>
    <row r="23" spans="1:5" x14ac:dyDescent="0.25">
      <c r="A23" s="155"/>
      <c r="B23" s="23"/>
      <c r="C23" s="23" t="s">
        <v>617</v>
      </c>
      <c r="D23" s="23"/>
      <c r="E23" s="23" t="s">
        <v>618</v>
      </c>
    </row>
    <row r="24" spans="1:5" x14ac:dyDescent="0.25">
      <c r="A24" s="155"/>
      <c r="B24" s="23"/>
      <c r="C24" s="23" t="s">
        <v>619</v>
      </c>
      <c r="D24" s="23"/>
      <c r="E24" s="23" t="s">
        <v>620</v>
      </c>
    </row>
    <row r="25" spans="1:5" x14ac:dyDescent="0.25">
      <c r="A25" s="155"/>
      <c r="B25" s="23"/>
      <c r="C25" s="23" t="s">
        <v>621</v>
      </c>
      <c r="D25" s="23"/>
      <c r="E25" s="23" t="s">
        <v>622</v>
      </c>
    </row>
    <row r="26" spans="1:5" x14ac:dyDescent="0.25">
      <c r="A26" s="155"/>
      <c r="B26" s="23"/>
      <c r="C26" s="23" t="s">
        <v>623</v>
      </c>
      <c r="D26" s="23"/>
      <c r="E26" s="23" t="s">
        <v>624</v>
      </c>
    </row>
    <row r="27" spans="1:5" x14ac:dyDescent="0.25">
      <c r="A27" s="155"/>
      <c r="B27" s="23"/>
      <c r="C27" s="23" t="s">
        <v>625</v>
      </c>
      <c r="D27" s="23"/>
      <c r="E27" s="23" t="s">
        <v>626</v>
      </c>
    </row>
    <row r="28" spans="1:5" x14ac:dyDescent="0.25">
      <c r="A28" s="155"/>
      <c r="B28" s="23"/>
      <c r="C28" s="23" t="s">
        <v>627</v>
      </c>
      <c r="D28" s="23"/>
      <c r="E28" s="23" t="s">
        <v>628</v>
      </c>
    </row>
    <row r="29" spans="1:5" x14ac:dyDescent="0.25">
      <c r="A29" s="155"/>
      <c r="B29" s="23"/>
      <c r="C29" s="23" t="s">
        <v>629</v>
      </c>
      <c r="D29" s="23"/>
      <c r="E29" s="23" t="s">
        <v>630</v>
      </c>
    </row>
    <row r="30" spans="1:5" x14ac:dyDescent="0.25">
      <c r="A30" s="156"/>
      <c r="B30" s="23"/>
      <c r="C30" s="23" t="s">
        <v>631</v>
      </c>
      <c r="D30" s="23"/>
      <c r="E30" s="23" t="s">
        <v>632</v>
      </c>
    </row>
    <row r="31" spans="1:5" x14ac:dyDescent="0.25">
      <c r="A31" s="23"/>
      <c r="B31" s="23"/>
      <c r="C31" s="23" t="s">
        <v>633</v>
      </c>
      <c r="D31" s="23"/>
      <c r="E31" s="23" t="s">
        <v>634</v>
      </c>
    </row>
    <row r="32" spans="1:5" x14ac:dyDescent="0.25">
      <c r="A32" s="23"/>
      <c r="B32" s="23"/>
      <c r="C32" s="23" t="s">
        <v>635</v>
      </c>
      <c r="D32" s="23"/>
      <c r="E32" s="23" t="s">
        <v>636</v>
      </c>
    </row>
    <row r="33" spans="1:5" x14ac:dyDescent="0.25">
      <c r="A33" s="23"/>
      <c r="B33" s="23"/>
      <c r="C33" s="23" t="s">
        <v>637</v>
      </c>
      <c r="D33" s="23"/>
      <c r="E33" s="23" t="s">
        <v>638</v>
      </c>
    </row>
    <row r="34" spans="1:5" x14ac:dyDescent="0.25">
      <c r="A34" s="23"/>
      <c r="B34" s="23"/>
      <c r="C34" s="23" t="s">
        <v>639</v>
      </c>
      <c r="D34" s="23"/>
      <c r="E34" s="23" t="s">
        <v>640</v>
      </c>
    </row>
    <row r="35" spans="1:5" x14ac:dyDescent="0.25">
      <c r="A35" s="23"/>
      <c r="B35" s="23"/>
      <c r="C35" s="23" t="s">
        <v>641</v>
      </c>
      <c r="D35" s="23"/>
      <c r="E35" s="23" t="s">
        <v>642</v>
      </c>
    </row>
    <row r="36" spans="1:5" x14ac:dyDescent="0.25">
      <c r="A36" s="23"/>
      <c r="B36" s="23"/>
      <c r="C36" s="23" t="s">
        <v>643</v>
      </c>
      <c r="D36" s="23"/>
      <c r="E36" s="23" t="s">
        <v>644</v>
      </c>
    </row>
    <row r="37" spans="1:5" x14ac:dyDescent="0.25">
      <c r="A37" s="23"/>
      <c r="B37" s="23"/>
      <c r="C37" s="23" t="s">
        <v>645</v>
      </c>
      <c r="D37" s="23"/>
      <c r="E37" s="23" t="s">
        <v>646</v>
      </c>
    </row>
    <row r="38" spans="1:5" x14ac:dyDescent="0.25">
      <c r="A38" s="23"/>
      <c r="B38" s="23"/>
      <c r="C38" s="23" t="s">
        <v>647</v>
      </c>
      <c r="D38" s="23"/>
      <c r="E38" s="23" t="s">
        <v>648</v>
      </c>
    </row>
    <row r="39" spans="1:5" x14ac:dyDescent="0.25">
      <c r="A39" s="23"/>
      <c r="B39" s="23"/>
      <c r="C39" s="23" t="s">
        <v>649</v>
      </c>
      <c r="D39" s="23"/>
      <c r="E39" s="23" t="s">
        <v>650</v>
      </c>
    </row>
    <row r="40" spans="1:5" x14ac:dyDescent="0.25">
      <c r="A40" s="23"/>
      <c r="B40" s="23"/>
      <c r="C40" s="23"/>
      <c r="D40" s="23"/>
      <c r="E40" s="23"/>
    </row>
    <row r="41" spans="1:5" x14ac:dyDescent="0.25">
      <c r="A41" s="23"/>
      <c r="B41" s="28"/>
      <c r="C41" s="28" t="s">
        <v>553</v>
      </c>
      <c r="D41" s="23"/>
      <c r="E41" s="23" t="s">
        <v>554</v>
      </c>
    </row>
    <row r="42" spans="1:5" x14ac:dyDescent="0.25">
      <c r="A42" s="23"/>
      <c r="B42" s="23"/>
      <c r="C42" s="23"/>
      <c r="D42" s="23"/>
      <c r="E42" s="23"/>
    </row>
    <row r="43" spans="1:5" x14ac:dyDescent="0.25">
      <c r="A43" s="23" t="s">
        <v>651</v>
      </c>
      <c r="B43" s="23"/>
      <c r="C43" s="23" t="s">
        <v>652</v>
      </c>
      <c r="D43" s="23"/>
      <c r="E43" s="23"/>
    </row>
    <row r="44" spans="1:5" x14ac:dyDescent="0.25">
      <c r="A44" s="23"/>
      <c r="B44" s="23"/>
      <c r="C44" s="23"/>
      <c r="D44" s="23"/>
      <c r="E44" s="23"/>
    </row>
    <row r="45" spans="1:5" x14ac:dyDescent="0.25">
      <c r="A45" s="23" t="s">
        <v>555</v>
      </c>
      <c r="B45" s="23"/>
      <c r="C45" s="23" t="s">
        <v>556</v>
      </c>
      <c r="D45" s="23"/>
      <c r="E45" s="23"/>
    </row>
    <row r="46" spans="1:5" x14ac:dyDescent="0.25">
      <c r="A46" s="23"/>
      <c r="B46" s="23"/>
      <c r="C46" s="23"/>
      <c r="D46" s="23"/>
      <c r="E46" s="23"/>
    </row>
    <row r="47" spans="1:5" x14ac:dyDescent="0.25">
      <c r="A47" s="23"/>
      <c r="B47" s="23"/>
      <c r="C47" s="23"/>
      <c r="D47" s="23"/>
      <c r="E47" s="23"/>
    </row>
    <row r="48" spans="1:5" x14ac:dyDescent="0.25">
      <c r="A48" s="23"/>
      <c r="B48" s="23"/>
      <c r="C48" s="23"/>
      <c r="D48" s="23"/>
      <c r="E48" s="23"/>
    </row>
    <row r="49" spans="1:5" x14ac:dyDescent="0.2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Z42"/>
  <sheetViews>
    <sheetView showGridLines="0" tabSelected="1" topLeftCell="B1" zoomScale="80" zoomScaleNormal="80" workbookViewId="0">
      <selection activeCell="D1" sqref="D1"/>
    </sheetView>
  </sheetViews>
  <sheetFormatPr defaultColWidth="8.5703125" defaultRowHeight="15" customHeight="1" x14ac:dyDescent="0.25"/>
  <cols>
    <col min="1" max="1" width="3.140625" customWidth="1"/>
    <col min="2" max="2" width="36.85546875" style="53" customWidth="1"/>
    <col min="3" max="3" width="31" style="33" bestFit="1" customWidth="1"/>
    <col min="4" max="4" width="40.5703125" style="33" bestFit="1" customWidth="1"/>
    <col min="5" max="5" width="14.85546875" style="51" bestFit="1" customWidth="1"/>
    <col min="6" max="6" width="51.42578125" style="51" customWidth="1"/>
    <col min="7" max="7" width="34" style="54" customWidth="1"/>
    <col min="8" max="8" width="27.5703125" style="51" customWidth="1"/>
    <col min="9" max="9" width="15.140625" style="54" customWidth="1"/>
    <col min="10" max="10" width="23.140625" style="54" customWidth="1"/>
    <col min="11" max="11" width="22.140625" style="53" customWidth="1"/>
    <col min="12" max="12" width="22.5703125" style="53" customWidth="1"/>
    <col min="13" max="13" width="42.85546875" style="53" customWidth="1"/>
    <col min="14" max="14" width="56.5703125" style="54" customWidth="1"/>
    <col min="15" max="15" width="29.85546875" style="51" customWidth="1"/>
    <col min="16" max="16" width="20.5703125" style="51" customWidth="1"/>
    <col min="17" max="17" width="49.42578125" style="54" customWidth="1"/>
    <col min="18" max="18" width="35.5703125" style="33" customWidth="1"/>
    <col min="19" max="19" width="31.140625" style="33" customWidth="1"/>
    <col min="20" max="20" width="157.140625" style="33" customWidth="1"/>
    <col min="21" max="21" width="25.42578125" style="52" customWidth="1"/>
    <col min="22" max="22" width="33.42578125" style="52" customWidth="1"/>
    <col min="23" max="23" width="98" style="52" customWidth="1"/>
    <col min="24" max="24" width="68" style="52" customWidth="1"/>
    <col min="25" max="25" width="43.5703125" style="52" customWidth="1"/>
    <col min="26" max="26" width="45.85546875" style="33" customWidth="1"/>
  </cols>
  <sheetData>
    <row r="1" spans="1:26" s="33" customFormat="1" x14ac:dyDescent="0.2">
      <c r="A1" s="57"/>
      <c r="B1" s="58"/>
      <c r="C1" s="59"/>
      <c r="D1" s="59"/>
      <c r="E1" s="60"/>
      <c r="F1" s="60"/>
      <c r="G1" s="62"/>
      <c r="H1" s="60"/>
      <c r="I1" s="62"/>
      <c r="J1" s="62"/>
      <c r="K1" s="58"/>
      <c r="L1" s="58"/>
      <c r="M1" s="58"/>
      <c r="N1" s="62"/>
      <c r="O1" s="60"/>
      <c r="P1" s="53"/>
      <c r="Q1" s="62"/>
      <c r="R1" s="59"/>
      <c r="S1" s="59"/>
      <c r="T1" s="59"/>
      <c r="U1" s="61"/>
      <c r="V1" s="61"/>
      <c r="W1" s="61"/>
      <c r="X1" s="61"/>
      <c r="Y1" s="61"/>
    </row>
    <row r="2" spans="1:26" s="33" customFormat="1" x14ac:dyDescent="0.25">
      <c r="A2" s="27"/>
      <c r="B2" s="53"/>
      <c r="E2" s="51"/>
      <c r="F2" s="51"/>
      <c r="G2" s="54"/>
      <c r="H2" s="51"/>
      <c r="I2" s="54"/>
      <c r="J2" s="54"/>
      <c r="K2" s="53"/>
      <c r="L2" s="53"/>
      <c r="M2" s="53"/>
      <c r="N2" s="54"/>
      <c r="O2" s="51"/>
      <c r="P2" s="53"/>
      <c r="Q2" s="54"/>
      <c r="U2" s="52"/>
      <c r="V2" s="52"/>
      <c r="W2" s="52"/>
      <c r="X2" s="52"/>
      <c r="Y2" s="52"/>
    </row>
    <row r="3" spans="1:26" s="51" customFormat="1" ht="15" customHeight="1" x14ac:dyDescent="0.25">
      <c r="B3" s="163" t="s">
        <v>653</v>
      </c>
      <c r="C3" s="163"/>
      <c r="D3" s="163"/>
      <c r="E3" s="163"/>
      <c r="F3" s="163"/>
      <c r="G3" s="163"/>
      <c r="H3" s="163"/>
      <c r="I3" s="163"/>
      <c r="J3" s="163"/>
      <c r="K3" s="163"/>
      <c r="L3" s="163"/>
      <c r="M3" s="163"/>
      <c r="N3" s="163"/>
      <c r="O3" s="163"/>
      <c r="P3" s="145"/>
      <c r="Q3" s="165" t="s">
        <v>654</v>
      </c>
      <c r="R3" s="166"/>
      <c r="S3" s="166"/>
      <c r="T3" s="166"/>
      <c r="U3" s="166"/>
      <c r="V3" s="158" t="s">
        <v>655</v>
      </c>
      <c r="W3" s="159"/>
      <c r="X3" s="159"/>
      <c r="Y3" s="159"/>
      <c r="Z3" s="160"/>
    </row>
    <row r="4" spans="1:26" s="33" customFormat="1" x14ac:dyDescent="0.25">
      <c r="A4" s="27"/>
      <c r="B4" s="164" t="s">
        <v>656</v>
      </c>
      <c r="C4" s="164"/>
      <c r="D4" s="164"/>
      <c r="E4" s="164"/>
      <c r="F4" s="164"/>
      <c r="G4" s="164"/>
      <c r="H4" s="164"/>
      <c r="I4" s="164"/>
      <c r="J4" s="164"/>
      <c r="K4" s="164"/>
      <c r="L4" s="164"/>
      <c r="M4" s="164"/>
      <c r="N4" s="164"/>
      <c r="O4" s="164"/>
      <c r="P4" s="118"/>
      <c r="Q4" s="166" t="s">
        <v>657</v>
      </c>
      <c r="R4" s="166"/>
      <c r="S4" s="166"/>
      <c r="T4" s="167"/>
      <c r="U4" s="74" t="s">
        <v>658</v>
      </c>
      <c r="V4" s="161" t="s">
        <v>659</v>
      </c>
      <c r="W4" s="162"/>
      <c r="X4" s="162"/>
      <c r="Y4" s="162"/>
      <c r="Z4" s="75"/>
    </row>
    <row r="5" spans="1:26" s="53" customFormat="1" x14ac:dyDescent="0.25">
      <c r="B5" s="55" t="s">
        <v>660</v>
      </c>
      <c r="C5" s="55" t="s">
        <v>661</v>
      </c>
      <c r="D5" s="55" t="s">
        <v>662</v>
      </c>
      <c r="E5" s="55" t="s">
        <v>663</v>
      </c>
      <c r="F5" s="71" t="s">
        <v>664</v>
      </c>
      <c r="G5" s="71" t="s">
        <v>665</v>
      </c>
      <c r="H5" s="55" t="s">
        <v>666</v>
      </c>
      <c r="I5" s="55" t="s">
        <v>667</v>
      </c>
      <c r="J5" s="72" t="s">
        <v>668</v>
      </c>
      <c r="K5" s="55" t="s">
        <v>669</v>
      </c>
      <c r="L5" s="55" t="s">
        <v>670</v>
      </c>
      <c r="M5" s="55" t="s">
        <v>671</v>
      </c>
      <c r="N5" s="55" t="s">
        <v>672</v>
      </c>
      <c r="O5" s="55" t="s">
        <v>673</v>
      </c>
      <c r="P5" s="119" t="s">
        <v>674</v>
      </c>
      <c r="Q5" s="73" t="s">
        <v>675</v>
      </c>
      <c r="R5" s="73" t="s">
        <v>676</v>
      </c>
      <c r="S5" s="73" t="s">
        <v>677</v>
      </c>
      <c r="T5" s="73" t="s">
        <v>678</v>
      </c>
      <c r="U5" s="73" t="s">
        <v>679</v>
      </c>
      <c r="V5" s="73" t="s">
        <v>680</v>
      </c>
      <c r="W5" s="73" t="s">
        <v>681</v>
      </c>
      <c r="X5" s="73" t="s">
        <v>682</v>
      </c>
      <c r="Y5" s="79" t="s">
        <v>683</v>
      </c>
      <c r="Z5" s="146" t="s">
        <v>684</v>
      </c>
    </row>
    <row r="6" spans="1:26" s="33" customFormat="1" ht="89.25" customHeight="1" x14ac:dyDescent="0.25">
      <c r="A6" s="27"/>
      <c r="B6" s="129" t="s">
        <v>4</v>
      </c>
      <c r="C6" s="66" t="s">
        <v>685</v>
      </c>
      <c r="D6" s="66" t="s">
        <v>5</v>
      </c>
      <c r="E6" s="130">
        <v>2</v>
      </c>
      <c r="F6" s="129" t="s">
        <v>686</v>
      </c>
      <c r="G6" s="131" t="s">
        <v>687</v>
      </c>
      <c r="H6" s="66"/>
      <c r="I6" s="130">
        <v>1</v>
      </c>
      <c r="J6" s="131" t="s">
        <v>688</v>
      </c>
      <c r="K6" s="130">
        <v>21</v>
      </c>
      <c r="L6" s="130"/>
      <c r="M6" s="132" t="s">
        <v>689</v>
      </c>
      <c r="N6" s="129" t="s">
        <v>690</v>
      </c>
      <c r="O6" s="130" t="s">
        <v>691</v>
      </c>
      <c r="P6" s="120"/>
      <c r="Q6" s="67" t="s">
        <v>692</v>
      </c>
      <c r="R6" s="66" t="s">
        <v>693</v>
      </c>
      <c r="S6" s="66" t="s">
        <v>694</v>
      </c>
      <c r="T6" s="141" t="s">
        <v>695</v>
      </c>
      <c r="U6" s="66"/>
      <c r="V6" s="83" t="s">
        <v>696</v>
      </c>
      <c r="W6" s="83" t="s">
        <v>693</v>
      </c>
      <c r="X6" s="114" t="s">
        <v>697</v>
      </c>
      <c r="Y6" s="117" t="s">
        <v>698</v>
      </c>
      <c r="Z6" s="115"/>
    </row>
    <row r="7" spans="1:26" s="33" customFormat="1" ht="89.25" customHeight="1" x14ac:dyDescent="0.25">
      <c r="A7" s="27"/>
      <c r="B7" s="129" t="s">
        <v>4</v>
      </c>
      <c r="C7" s="66" t="s">
        <v>685</v>
      </c>
      <c r="D7" s="66" t="s">
        <v>5</v>
      </c>
      <c r="E7" s="130">
        <v>2</v>
      </c>
      <c r="F7" s="129" t="s">
        <v>699</v>
      </c>
      <c r="G7" s="131" t="s">
        <v>700</v>
      </c>
      <c r="H7" s="66"/>
      <c r="I7" s="130">
        <v>2</v>
      </c>
      <c r="J7" s="131" t="s">
        <v>688</v>
      </c>
      <c r="K7" s="130">
        <v>35</v>
      </c>
      <c r="L7" s="130"/>
      <c r="M7" s="132" t="s">
        <v>701</v>
      </c>
      <c r="N7" s="129" t="s">
        <v>702</v>
      </c>
      <c r="O7" s="130"/>
      <c r="P7" s="120"/>
      <c r="Q7" s="67" t="s">
        <v>692</v>
      </c>
      <c r="R7" s="66" t="s">
        <v>693</v>
      </c>
      <c r="S7" s="86" t="s">
        <v>703</v>
      </c>
      <c r="T7" s="103" t="s">
        <v>704</v>
      </c>
      <c r="U7" s="66"/>
      <c r="V7" s="83" t="s">
        <v>696</v>
      </c>
      <c r="W7" s="80" t="s">
        <v>693</v>
      </c>
      <c r="X7" s="84" t="s">
        <v>705</v>
      </c>
      <c r="Y7" s="116"/>
      <c r="Z7" s="76"/>
    </row>
    <row r="8" spans="1:26" s="33" customFormat="1" ht="89.25" customHeight="1" x14ac:dyDescent="0.25">
      <c r="A8" s="27"/>
      <c r="B8" s="129" t="s">
        <v>4</v>
      </c>
      <c r="C8" s="66" t="s">
        <v>685</v>
      </c>
      <c r="D8" s="66" t="s">
        <v>5</v>
      </c>
      <c r="E8" s="130">
        <v>2</v>
      </c>
      <c r="F8" s="129" t="s">
        <v>706</v>
      </c>
      <c r="G8" s="131" t="s">
        <v>707</v>
      </c>
      <c r="H8" s="66"/>
      <c r="I8" s="130">
        <v>3</v>
      </c>
      <c r="J8" s="131" t="s">
        <v>688</v>
      </c>
      <c r="K8" s="130">
        <v>36</v>
      </c>
      <c r="L8" s="130"/>
      <c r="M8" s="132" t="s">
        <v>708</v>
      </c>
      <c r="N8" s="129" t="s">
        <v>709</v>
      </c>
      <c r="O8" s="130"/>
      <c r="P8" s="121"/>
      <c r="Q8" s="67" t="s">
        <v>692</v>
      </c>
      <c r="R8" s="66" t="s">
        <v>693</v>
      </c>
      <c r="S8" s="66" t="s">
        <v>710</v>
      </c>
      <c r="T8" s="143" t="s">
        <v>711</v>
      </c>
      <c r="U8" s="66"/>
      <c r="V8" s="83" t="s">
        <v>696</v>
      </c>
      <c r="W8" s="80" t="s">
        <v>693</v>
      </c>
      <c r="X8" s="83" t="s">
        <v>712</v>
      </c>
      <c r="Y8" s="80"/>
      <c r="Z8" s="76"/>
    </row>
    <row r="9" spans="1:26" s="33" customFormat="1" ht="89.25" customHeight="1" x14ac:dyDescent="0.25">
      <c r="A9" s="27"/>
      <c r="B9" s="129" t="s">
        <v>4</v>
      </c>
      <c r="C9" s="66" t="s">
        <v>685</v>
      </c>
      <c r="D9" s="66" t="s">
        <v>5</v>
      </c>
      <c r="E9" s="130">
        <v>2</v>
      </c>
      <c r="F9" s="129" t="s">
        <v>713</v>
      </c>
      <c r="G9" s="131" t="s">
        <v>714</v>
      </c>
      <c r="H9" s="66"/>
      <c r="I9" s="130">
        <v>4</v>
      </c>
      <c r="J9" s="131" t="s">
        <v>688</v>
      </c>
      <c r="K9" s="130"/>
      <c r="L9" s="130"/>
      <c r="M9" s="132" t="s">
        <v>715</v>
      </c>
      <c r="N9" s="129" t="s">
        <v>716</v>
      </c>
      <c r="O9" s="130"/>
      <c r="P9" s="120"/>
      <c r="Q9" s="67" t="s">
        <v>692</v>
      </c>
      <c r="R9" s="68" t="s">
        <v>717</v>
      </c>
      <c r="S9" s="68" t="s">
        <v>718</v>
      </c>
      <c r="T9" s="144" t="s">
        <v>719</v>
      </c>
      <c r="U9" s="66"/>
      <c r="V9" s="83" t="s">
        <v>696</v>
      </c>
      <c r="W9" s="80" t="s">
        <v>717</v>
      </c>
      <c r="X9" s="83" t="s">
        <v>720</v>
      </c>
      <c r="Y9" s="78" t="s">
        <v>721</v>
      </c>
      <c r="Z9" s="76"/>
    </row>
    <row r="10" spans="1:26" s="33" customFormat="1" ht="89.25" customHeight="1" x14ac:dyDescent="0.25">
      <c r="A10" s="27"/>
      <c r="B10" s="129" t="s">
        <v>4</v>
      </c>
      <c r="C10" s="66" t="s">
        <v>685</v>
      </c>
      <c r="D10" s="66" t="s">
        <v>5</v>
      </c>
      <c r="E10" s="130">
        <v>2</v>
      </c>
      <c r="F10" s="129" t="s">
        <v>722</v>
      </c>
      <c r="G10" s="131" t="s">
        <v>723</v>
      </c>
      <c r="H10" s="66"/>
      <c r="I10" s="130">
        <v>5</v>
      </c>
      <c r="J10" s="131" t="s">
        <v>688</v>
      </c>
      <c r="K10" s="130">
        <v>8</v>
      </c>
      <c r="L10" s="130"/>
      <c r="M10" s="132" t="s">
        <v>724</v>
      </c>
      <c r="N10" s="129" t="s">
        <v>725</v>
      </c>
      <c r="O10" s="130"/>
      <c r="P10" s="120"/>
      <c r="Q10" s="67" t="s">
        <v>692</v>
      </c>
      <c r="R10" s="66" t="s">
        <v>693</v>
      </c>
      <c r="S10" s="67" t="s">
        <v>726</v>
      </c>
      <c r="T10" s="99" t="s">
        <v>727</v>
      </c>
      <c r="U10" s="66"/>
      <c r="V10" s="83" t="s">
        <v>696</v>
      </c>
      <c r="W10" s="80" t="s">
        <v>693</v>
      </c>
      <c r="X10" s="83" t="s">
        <v>728</v>
      </c>
      <c r="Y10" s="78" t="s">
        <v>729</v>
      </c>
      <c r="Z10" s="76"/>
    </row>
    <row r="11" spans="1:26" s="33" customFormat="1" ht="89.25" customHeight="1" x14ac:dyDescent="0.25">
      <c r="A11" s="27"/>
      <c r="B11" s="129" t="s">
        <v>4</v>
      </c>
      <c r="C11" s="66" t="s">
        <v>685</v>
      </c>
      <c r="D11" s="66" t="s">
        <v>5</v>
      </c>
      <c r="E11" s="130">
        <v>2</v>
      </c>
      <c r="F11" s="129" t="s">
        <v>730</v>
      </c>
      <c r="G11" s="131" t="s">
        <v>731</v>
      </c>
      <c r="H11" s="66"/>
      <c r="I11" s="130">
        <v>6</v>
      </c>
      <c r="J11" s="131" t="s">
        <v>688</v>
      </c>
      <c r="K11" s="130">
        <v>8</v>
      </c>
      <c r="L11" s="130"/>
      <c r="M11" s="132" t="s">
        <v>732</v>
      </c>
      <c r="N11" s="129" t="s">
        <v>733</v>
      </c>
      <c r="O11" s="130"/>
      <c r="P11" s="120"/>
      <c r="Q11" s="67" t="s">
        <v>734</v>
      </c>
      <c r="R11" s="67" t="s">
        <v>735</v>
      </c>
      <c r="S11" s="67" t="s">
        <v>736</v>
      </c>
      <c r="T11" s="144" t="s">
        <v>737</v>
      </c>
      <c r="U11" s="66"/>
      <c r="V11" s="83" t="s">
        <v>696</v>
      </c>
      <c r="W11" s="80" t="s">
        <v>717</v>
      </c>
      <c r="X11" s="83" t="s">
        <v>720</v>
      </c>
      <c r="Y11" s="95" t="s">
        <v>738</v>
      </c>
      <c r="Z11" s="76"/>
    </row>
    <row r="12" spans="1:26" s="33" customFormat="1" ht="89.25" customHeight="1" x14ac:dyDescent="0.25">
      <c r="A12" s="27"/>
      <c r="B12" s="129" t="s">
        <v>4</v>
      </c>
      <c r="C12" s="66" t="s">
        <v>685</v>
      </c>
      <c r="D12" s="66" t="s">
        <v>5</v>
      </c>
      <c r="E12" s="130">
        <v>2</v>
      </c>
      <c r="F12" s="129" t="s">
        <v>739</v>
      </c>
      <c r="G12" s="131" t="s">
        <v>740</v>
      </c>
      <c r="H12" s="66"/>
      <c r="I12" s="130">
        <v>7</v>
      </c>
      <c r="J12" s="131" t="s">
        <v>688</v>
      </c>
      <c r="K12" s="130"/>
      <c r="L12" s="130"/>
      <c r="M12" s="132" t="s">
        <v>741</v>
      </c>
      <c r="N12" s="129" t="s">
        <v>742</v>
      </c>
      <c r="O12" s="130"/>
      <c r="P12" s="120"/>
      <c r="Q12" s="67" t="s">
        <v>692</v>
      </c>
      <c r="R12" s="66" t="s">
        <v>743</v>
      </c>
      <c r="S12" s="66" t="s">
        <v>718</v>
      </c>
      <c r="T12" s="99" t="s">
        <v>744</v>
      </c>
      <c r="U12" s="66"/>
      <c r="V12" s="83" t="s">
        <v>696</v>
      </c>
      <c r="W12" s="80" t="s">
        <v>717</v>
      </c>
      <c r="X12" s="84" t="s">
        <v>720</v>
      </c>
      <c r="Y12" s="78" t="s">
        <v>745</v>
      </c>
      <c r="Z12" s="76"/>
    </row>
    <row r="13" spans="1:26" s="33" customFormat="1" ht="89.25" customHeight="1" x14ac:dyDescent="0.25">
      <c r="A13" s="27"/>
      <c r="B13" s="129" t="s">
        <v>4</v>
      </c>
      <c r="C13" s="66" t="s">
        <v>685</v>
      </c>
      <c r="D13" s="66" t="s">
        <v>5</v>
      </c>
      <c r="E13" s="130">
        <v>2</v>
      </c>
      <c r="F13" s="129" t="s">
        <v>746</v>
      </c>
      <c r="G13" s="131" t="s">
        <v>747</v>
      </c>
      <c r="H13" s="66"/>
      <c r="I13" s="130">
        <v>8</v>
      </c>
      <c r="J13" s="131" t="s">
        <v>688</v>
      </c>
      <c r="K13" s="130">
        <v>8</v>
      </c>
      <c r="L13" s="130"/>
      <c r="M13" s="132" t="s">
        <v>748</v>
      </c>
      <c r="N13" s="129" t="s">
        <v>749</v>
      </c>
      <c r="O13" s="130"/>
      <c r="P13" s="120"/>
      <c r="Q13" s="67" t="s">
        <v>692</v>
      </c>
      <c r="R13" s="66" t="s">
        <v>693</v>
      </c>
      <c r="S13" s="67" t="s">
        <v>726</v>
      </c>
      <c r="T13" s="102" t="s">
        <v>750</v>
      </c>
      <c r="U13" s="66"/>
      <c r="V13" s="83" t="s">
        <v>696</v>
      </c>
      <c r="W13" s="80" t="s">
        <v>693</v>
      </c>
      <c r="X13" s="84" t="s">
        <v>728</v>
      </c>
      <c r="Y13" s="78" t="s">
        <v>751</v>
      </c>
      <c r="Z13" s="76"/>
    </row>
    <row r="14" spans="1:26" s="33" customFormat="1" ht="89.25" customHeight="1" x14ac:dyDescent="0.25">
      <c r="A14" s="27"/>
      <c r="B14" s="129" t="s">
        <v>4</v>
      </c>
      <c r="C14" s="66" t="s">
        <v>685</v>
      </c>
      <c r="D14" s="66" t="s">
        <v>5</v>
      </c>
      <c r="E14" s="130">
        <v>2</v>
      </c>
      <c r="F14" s="129" t="s">
        <v>752</v>
      </c>
      <c r="G14" s="131" t="s">
        <v>753</v>
      </c>
      <c r="H14" s="66"/>
      <c r="I14" s="130">
        <v>9</v>
      </c>
      <c r="J14" s="131" t="s">
        <v>688</v>
      </c>
      <c r="K14" s="130">
        <v>8</v>
      </c>
      <c r="L14" s="130"/>
      <c r="M14" s="132" t="s">
        <v>754</v>
      </c>
      <c r="N14" s="129" t="s">
        <v>755</v>
      </c>
      <c r="O14" s="130"/>
      <c r="P14" s="120"/>
      <c r="Q14" s="67" t="s">
        <v>734</v>
      </c>
      <c r="R14" s="67" t="s">
        <v>735</v>
      </c>
      <c r="S14" s="67" t="s">
        <v>736</v>
      </c>
      <c r="T14" s="149" t="s">
        <v>756</v>
      </c>
      <c r="U14" s="66"/>
      <c r="V14" s="84" t="s">
        <v>696</v>
      </c>
      <c r="W14" s="84" t="s">
        <v>717</v>
      </c>
      <c r="X14" s="84" t="s">
        <v>720</v>
      </c>
      <c r="Y14" s="95" t="s">
        <v>757</v>
      </c>
      <c r="Z14" s="76"/>
    </row>
    <row r="15" spans="1:26" s="33" customFormat="1" ht="89.25" customHeight="1" x14ac:dyDescent="0.25">
      <c r="A15" s="27"/>
      <c r="B15" s="129" t="s">
        <v>4</v>
      </c>
      <c r="C15" s="66" t="s">
        <v>685</v>
      </c>
      <c r="D15" s="66" t="s">
        <v>5</v>
      </c>
      <c r="E15" s="130">
        <v>2</v>
      </c>
      <c r="F15" s="129" t="s">
        <v>758</v>
      </c>
      <c r="G15" s="131" t="s">
        <v>759</v>
      </c>
      <c r="H15" s="66"/>
      <c r="I15" s="130">
        <v>11</v>
      </c>
      <c r="J15" s="131" t="s">
        <v>688</v>
      </c>
      <c r="K15" s="130">
        <v>10</v>
      </c>
      <c r="L15" s="130"/>
      <c r="M15" s="132" t="s">
        <v>760</v>
      </c>
      <c r="N15" s="132" t="s">
        <v>761</v>
      </c>
      <c r="O15" s="133"/>
      <c r="P15" s="120"/>
      <c r="Q15" s="67" t="s">
        <v>692</v>
      </c>
      <c r="R15" s="66" t="s">
        <v>693</v>
      </c>
      <c r="S15" s="67" t="s">
        <v>762</v>
      </c>
      <c r="T15" s="99" t="s">
        <v>763</v>
      </c>
      <c r="U15" s="66"/>
      <c r="V15" s="84" t="s">
        <v>696</v>
      </c>
      <c r="W15" s="84" t="s">
        <v>693</v>
      </c>
      <c r="X15" s="88" t="s">
        <v>764</v>
      </c>
      <c r="Y15" s="84"/>
      <c r="Z15" s="76"/>
    </row>
    <row r="16" spans="1:26" s="33" customFormat="1" ht="89.25" customHeight="1" x14ac:dyDescent="0.25">
      <c r="A16" s="27"/>
      <c r="B16" s="129" t="s">
        <v>4</v>
      </c>
      <c r="C16" s="66" t="s">
        <v>685</v>
      </c>
      <c r="D16" s="66" t="s">
        <v>5</v>
      </c>
      <c r="E16" s="130">
        <v>2</v>
      </c>
      <c r="F16" s="129" t="s">
        <v>765</v>
      </c>
      <c r="G16" s="129" t="s">
        <v>766</v>
      </c>
      <c r="H16" s="66"/>
      <c r="I16" s="130">
        <v>12</v>
      </c>
      <c r="J16" s="131" t="s">
        <v>688</v>
      </c>
      <c r="K16" s="130"/>
      <c r="L16" s="130"/>
      <c r="M16" s="132" t="s">
        <v>767</v>
      </c>
      <c r="N16" s="134" t="s">
        <v>768</v>
      </c>
      <c r="O16" s="130"/>
      <c r="P16" s="124" t="s">
        <v>769</v>
      </c>
      <c r="Q16" s="67" t="s">
        <v>692</v>
      </c>
      <c r="R16" s="66" t="s">
        <v>693</v>
      </c>
      <c r="S16" s="66" t="s">
        <v>770</v>
      </c>
      <c r="T16" s="143" t="s">
        <v>771</v>
      </c>
      <c r="U16" s="66"/>
      <c r="V16" s="83" t="s">
        <v>696</v>
      </c>
      <c r="W16" s="80" t="s">
        <v>693</v>
      </c>
      <c r="X16" s="84" t="s">
        <v>772</v>
      </c>
      <c r="Y16" s="81" t="s">
        <v>773</v>
      </c>
      <c r="Z16" s="76"/>
    </row>
    <row r="17" spans="1:26" s="33" customFormat="1" ht="89.25" customHeight="1" x14ac:dyDescent="0.25">
      <c r="A17" s="27"/>
      <c r="B17" s="129" t="s">
        <v>4</v>
      </c>
      <c r="C17" s="66" t="s">
        <v>685</v>
      </c>
      <c r="D17" s="66" t="s">
        <v>5</v>
      </c>
      <c r="E17" s="130">
        <v>2</v>
      </c>
      <c r="F17" s="129" t="s">
        <v>774</v>
      </c>
      <c r="G17" s="131" t="s">
        <v>775</v>
      </c>
      <c r="H17" s="66"/>
      <c r="I17" s="130">
        <v>13</v>
      </c>
      <c r="J17" s="131" t="s">
        <v>688</v>
      </c>
      <c r="K17" s="130">
        <v>10</v>
      </c>
      <c r="L17" s="130"/>
      <c r="M17" s="132" t="s">
        <v>776</v>
      </c>
      <c r="N17" s="134" t="s">
        <v>777</v>
      </c>
      <c r="O17" s="130"/>
      <c r="P17" s="120"/>
      <c r="Q17" s="67" t="s">
        <v>692</v>
      </c>
      <c r="R17" s="66" t="s">
        <v>693</v>
      </c>
      <c r="S17" s="66" t="s">
        <v>770</v>
      </c>
      <c r="T17" s="143" t="s">
        <v>778</v>
      </c>
      <c r="U17" s="66"/>
      <c r="V17" s="83" t="s">
        <v>696</v>
      </c>
      <c r="W17" s="83" t="s">
        <v>693</v>
      </c>
      <c r="X17" s="83" t="s">
        <v>772</v>
      </c>
      <c r="Y17" s="85"/>
      <c r="Z17" s="104"/>
    </row>
    <row r="18" spans="1:26" s="33" customFormat="1" ht="89.25" customHeight="1" x14ac:dyDescent="0.25">
      <c r="A18" s="27"/>
      <c r="B18" s="129" t="s">
        <v>4</v>
      </c>
      <c r="C18" s="66" t="s">
        <v>685</v>
      </c>
      <c r="D18" s="66" t="s">
        <v>5</v>
      </c>
      <c r="E18" s="130">
        <v>2</v>
      </c>
      <c r="F18" s="129" t="s">
        <v>779</v>
      </c>
      <c r="G18" s="131" t="s">
        <v>780</v>
      </c>
      <c r="H18" s="66"/>
      <c r="I18" s="130">
        <v>14</v>
      </c>
      <c r="J18" s="131" t="s">
        <v>688</v>
      </c>
      <c r="K18" s="130"/>
      <c r="L18" s="130"/>
      <c r="M18" s="132" t="s">
        <v>781</v>
      </c>
      <c r="N18" s="129" t="s">
        <v>782</v>
      </c>
      <c r="O18" s="135"/>
      <c r="P18" s="120"/>
      <c r="Q18" s="67" t="s">
        <v>692</v>
      </c>
      <c r="R18" s="66" t="s">
        <v>783</v>
      </c>
      <c r="S18" s="66" t="s">
        <v>718</v>
      </c>
      <c r="T18" s="143" t="s">
        <v>784</v>
      </c>
      <c r="U18" s="66"/>
      <c r="V18" s="83" t="s">
        <v>696</v>
      </c>
      <c r="W18" s="83" t="s">
        <v>717</v>
      </c>
      <c r="X18" s="83" t="s">
        <v>720</v>
      </c>
      <c r="Y18" s="78" t="s">
        <v>785</v>
      </c>
      <c r="Z18" s="104"/>
    </row>
    <row r="19" spans="1:26" s="33" customFormat="1" ht="89.25" customHeight="1" x14ac:dyDescent="0.25">
      <c r="A19" s="27"/>
      <c r="B19" s="129" t="s">
        <v>4</v>
      </c>
      <c r="C19" s="66" t="s">
        <v>685</v>
      </c>
      <c r="D19" s="66" t="s">
        <v>5</v>
      </c>
      <c r="E19" s="130">
        <v>2</v>
      </c>
      <c r="F19" s="129" t="s">
        <v>786</v>
      </c>
      <c r="G19" s="131" t="s">
        <v>787</v>
      </c>
      <c r="H19" s="77"/>
      <c r="I19" s="82">
        <v>15</v>
      </c>
      <c r="J19" s="77" t="s">
        <v>688</v>
      </c>
      <c r="K19" s="82"/>
      <c r="L19" s="130"/>
      <c r="M19" s="67" t="s">
        <v>788</v>
      </c>
      <c r="N19" s="67" t="s">
        <v>789</v>
      </c>
      <c r="O19" s="130"/>
      <c r="P19" s="122"/>
      <c r="Q19" s="67" t="s">
        <v>692</v>
      </c>
      <c r="R19" s="66" t="s">
        <v>693</v>
      </c>
      <c r="S19" s="66" t="s">
        <v>790</v>
      </c>
      <c r="T19" s="99" t="s">
        <v>791</v>
      </c>
      <c r="U19" s="66"/>
      <c r="V19" s="68" t="s">
        <v>792</v>
      </c>
      <c r="W19" s="68" t="s">
        <v>792</v>
      </c>
      <c r="X19" s="68" t="s">
        <v>792</v>
      </c>
      <c r="Y19" s="80"/>
      <c r="Z19" s="76"/>
    </row>
    <row r="20" spans="1:26" s="33" customFormat="1" ht="89.25" customHeight="1" x14ac:dyDescent="0.25">
      <c r="A20" s="27"/>
      <c r="B20" s="129" t="s">
        <v>4</v>
      </c>
      <c r="C20" s="66" t="s">
        <v>685</v>
      </c>
      <c r="D20" s="66" t="s">
        <v>5</v>
      </c>
      <c r="E20" s="130">
        <v>2</v>
      </c>
      <c r="F20" s="77" t="s">
        <v>793</v>
      </c>
      <c r="G20" s="77" t="s">
        <v>794</v>
      </c>
      <c r="H20" s="77"/>
      <c r="I20" s="82">
        <v>16</v>
      </c>
      <c r="J20" s="77" t="s">
        <v>795</v>
      </c>
      <c r="K20" s="82">
        <v>23</v>
      </c>
      <c r="L20" s="82"/>
      <c r="M20" s="67" t="s">
        <v>796</v>
      </c>
      <c r="N20" s="101" t="s">
        <v>797</v>
      </c>
      <c r="O20" s="130"/>
      <c r="P20" s="120"/>
      <c r="Q20" s="67" t="s">
        <v>792</v>
      </c>
      <c r="R20" s="67" t="s">
        <v>792</v>
      </c>
      <c r="S20" s="67" t="s">
        <v>792</v>
      </c>
      <c r="T20" s="103" t="s">
        <v>798</v>
      </c>
      <c r="U20" s="66"/>
      <c r="V20" s="68" t="s">
        <v>792</v>
      </c>
      <c r="W20" s="68" t="s">
        <v>792</v>
      </c>
      <c r="X20" s="68" t="s">
        <v>792</v>
      </c>
      <c r="Y20" s="80"/>
      <c r="Z20" s="104"/>
    </row>
    <row r="21" spans="1:26" ht="89.25" customHeight="1" x14ac:dyDescent="0.25">
      <c r="B21" s="136" t="s">
        <v>4</v>
      </c>
      <c r="C21" s="66" t="s">
        <v>799</v>
      </c>
      <c r="D21" s="67" t="s">
        <v>7</v>
      </c>
      <c r="E21" s="133">
        <v>2</v>
      </c>
      <c r="F21" s="136" t="s">
        <v>800</v>
      </c>
      <c r="G21" s="136" t="s">
        <v>801</v>
      </c>
      <c r="H21" s="89"/>
      <c r="I21" s="133">
        <v>1</v>
      </c>
      <c r="J21" s="131" t="s">
        <v>688</v>
      </c>
      <c r="K21" s="133"/>
      <c r="L21" s="133"/>
      <c r="M21" s="97" t="s">
        <v>802</v>
      </c>
      <c r="N21" s="110" t="s">
        <v>702</v>
      </c>
      <c r="O21" s="133" t="s">
        <v>691</v>
      </c>
      <c r="P21" s="120"/>
      <c r="Q21" s="97" t="s">
        <v>803</v>
      </c>
      <c r="R21" s="97" t="s">
        <v>804</v>
      </c>
      <c r="S21" s="97" t="s">
        <v>805</v>
      </c>
      <c r="T21" s="142" t="s">
        <v>806</v>
      </c>
      <c r="U21" s="89"/>
      <c r="V21" s="94" t="s">
        <v>807</v>
      </c>
      <c r="W21" s="91" t="s">
        <v>808</v>
      </c>
      <c r="X21" s="106" t="s">
        <v>809</v>
      </c>
      <c r="Y21" s="108"/>
      <c r="Z21" s="90" t="s">
        <v>810</v>
      </c>
    </row>
    <row r="22" spans="1:26" ht="89.25" customHeight="1" x14ac:dyDescent="0.25">
      <c r="B22" s="136" t="s">
        <v>4</v>
      </c>
      <c r="C22" s="66" t="s">
        <v>799</v>
      </c>
      <c r="D22" s="67" t="s">
        <v>7</v>
      </c>
      <c r="E22" s="133">
        <v>2</v>
      </c>
      <c r="F22" s="136" t="s">
        <v>811</v>
      </c>
      <c r="G22" s="136" t="s">
        <v>812</v>
      </c>
      <c r="H22" s="89"/>
      <c r="I22" s="133">
        <v>3</v>
      </c>
      <c r="J22" s="131" t="s">
        <v>688</v>
      </c>
      <c r="K22" s="133">
        <v>4</v>
      </c>
      <c r="L22" s="133"/>
      <c r="M22" s="137" t="s">
        <v>813</v>
      </c>
      <c r="N22" s="137" t="s">
        <v>814</v>
      </c>
      <c r="O22" s="130" t="s">
        <v>691</v>
      </c>
      <c r="P22" s="124" t="s">
        <v>815</v>
      </c>
      <c r="Q22" s="97" t="s">
        <v>816</v>
      </c>
      <c r="R22" s="97" t="s">
        <v>817</v>
      </c>
      <c r="S22" s="97" t="s">
        <v>818</v>
      </c>
      <c r="T22" s="142" t="s">
        <v>819</v>
      </c>
      <c r="U22" s="89"/>
      <c r="V22" s="94" t="s">
        <v>807</v>
      </c>
      <c r="W22" s="91" t="s">
        <v>808</v>
      </c>
      <c r="X22" s="91" t="s">
        <v>820</v>
      </c>
      <c r="Y22" s="92" t="s">
        <v>821</v>
      </c>
      <c r="Z22" s="107" t="s">
        <v>822</v>
      </c>
    </row>
    <row r="23" spans="1:26" ht="89.25" customHeight="1" x14ac:dyDescent="0.25">
      <c r="B23" s="136" t="s">
        <v>4</v>
      </c>
      <c r="C23" s="66" t="s">
        <v>799</v>
      </c>
      <c r="D23" s="67" t="s">
        <v>7</v>
      </c>
      <c r="E23" s="133">
        <v>2</v>
      </c>
      <c r="F23" s="89" t="s">
        <v>823</v>
      </c>
      <c r="G23" s="93" t="s">
        <v>824</v>
      </c>
      <c r="H23" s="89"/>
      <c r="I23" s="133">
        <v>4</v>
      </c>
      <c r="J23" s="138" t="s">
        <v>688</v>
      </c>
      <c r="K23" s="133"/>
      <c r="L23" s="133"/>
      <c r="M23" s="97" t="s">
        <v>825</v>
      </c>
      <c r="N23" s="97" t="s">
        <v>826</v>
      </c>
      <c r="O23" s="133"/>
      <c r="P23" s="120"/>
      <c r="Q23" s="97" t="s">
        <v>827</v>
      </c>
      <c r="R23" s="97" t="s">
        <v>828</v>
      </c>
      <c r="S23" s="97" t="s">
        <v>829</v>
      </c>
      <c r="T23" s="150" t="s">
        <v>830</v>
      </c>
      <c r="U23" s="89"/>
      <c r="V23" s="94" t="s">
        <v>807</v>
      </c>
      <c r="W23" s="91" t="s">
        <v>831</v>
      </c>
      <c r="X23" s="112" t="s">
        <v>832</v>
      </c>
      <c r="Y23" s="147" t="s">
        <v>833</v>
      </c>
      <c r="Z23" s="107" t="s">
        <v>834</v>
      </c>
    </row>
    <row r="24" spans="1:26" ht="89.25" customHeight="1" x14ac:dyDescent="0.25">
      <c r="B24" s="136" t="s">
        <v>4</v>
      </c>
      <c r="C24" s="66" t="s">
        <v>799</v>
      </c>
      <c r="D24" s="67" t="s">
        <v>7</v>
      </c>
      <c r="E24" s="133">
        <v>2</v>
      </c>
      <c r="F24" s="89" t="s">
        <v>835</v>
      </c>
      <c r="G24" s="89" t="s">
        <v>836</v>
      </c>
      <c r="H24" s="89"/>
      <c r="I24" s="133">
        <v>5</v>
      </c>
      <c r="J24" s="138" t="s">
        <v>688</v>
      </c>
      <c r="K24" s="133">
        <v>8</v>
      </c>
      <c r="L24" s="133"/>
      <c r="M24" s="97" t="s">
        <v>837</v>
      </c>
      <c r="N24" s="97" t="s">
        <v>838</v>
      </c>
      <c r="O24" s="133"/>
      <c r="P24" s="120"/>
      <c r="Q24" s="97" t="s">
        <v>839</v>
      </c>
      <c r="R24" s="97" t="s">
        <v>840</v>
      </c>
      <c r="S24" s="97" t="s">
        <v>841</v>
      </c>
      <c r="T24" s="142" t="s">
        <v>842</v>
      </c>
      <c r="U24" s="89"/>
      <c r="V24" s="94" t="s">
        <v>807</v>
      </c>
      <c r="W24" s="91" t="s">
        <v>843</v>
      </c>
      <c r="X24" s="112" t="s">
        <v>844</v>
      </c>
      <c r="Y24" s="96" t="s">
        <v>845</v>
      </c>
      <c r="Z24" s="113" t="s">
        <v>846</v>
      </c>
    </row>
    <row r="25" spans="1:26" ht="89.25" customHeight="1" x14ac:dyDescent="0.25">
      <c r="B25" s="136" t="s">
        <v>4</v>
      </c>
      <c r="C25" s="66" t="s">
        <v>799</v>
      </c>
      <c r="D25" s="67" t="s">
        <v>7</v>
      </c>
      <c r="E25" s="133">
        <v>2</v>
      </c>
      <c r="F25" s="136" t="s">
        <v>847</v>
      </c>
      <c r="G25" s="136" t="s">
        <v>848</v>
      </c>
      <c r="H25" s="89"/>
      <c r="I25" s="133">
        <v>6</v>
      </c>
      <c r="J25" s="131" t="s">
        <v>688</v>
      </c>
      <c r="K25" s="133"/>
      <c r="L25" s="133"/>
      <c r="M25" s="137" t="s">
        <v>849</v>
      </c>
      <c r="N25" s="137" t="s">
        <v>850</v>
      </c>
      <c r="O25" s="133"/>
      <c r="P25" s="67"/>
      <c r="Q25" s="97" t="s">
        <v>803</v>
      </c>
      <c r="R25" s="97" t="s">
        <v>851</v>
      </c>
      <c r="S25" s="97" t="s">
        <v>852</v>
      </c>
      <c r="T25" s="142" t="s">
        <v>853</v>
      </c>
      <c r="U25" s="89"/>
      <c r="V25" s="94" t="s">
        <v>807</v>
      </c>
      <c r="W25" s="91" t="s">
        <v>854</v>
      </c>
      <c r="X25" s="112" t="s">
        <v>855</v>
      </c>
      <c r="Y25" s="96" t="s">
        <v>856</v>
      </c>
      <c r="Z25" s="107" t="s">
        <v>834</v>
      </c>
    </row>
    <row r="26" spans="1:26" ht="89.25" customHeight="1" x14ac:dyDescent="0.25">
      <c r="B26" s="136" t="s">
        <v>4</v>
      </c>
      <c r="C26" s="66" t="s">
        <v>799</v>
      </c>
      <c r="D26" s="67" t="s">
        <v>7</v>
      </c>
      <c r="E26" s="133">
        <v>2</v>
      </c>
      <c r="F26" s="89" t="s">
        <v>857</v>
      </c>
      <c r="G26" s="93" t="s">
        <v>858</v>
      </c>
      <c r="H26" s="89"/>
      <c r="I26" s="133">
        <v>7</v>
      </c>
      <c r="J26" s="131" t="s">
        <v>688</v>
      </c>
      <c r="K26" s="139" t="s">
        <v>859</v>
      </c>
      <c r="L26" s="133"/>
      <c r="M26" s="97" t="s">
        <v>860</v>
      </c>
      <c r="N26" s="97" t="s">
        <v>861</v>
      </c>
      <c r="O26" s="133"/>
      <c r="P26" s="67"/>
      <c r="Q26" s="97" t="s">
        <v>839</v>
      </c>
      <c r="R26" s="97" t="s">
        <v>862</v>
      </c>
      <c r="S26" s="97" t="s">
        <v>863</v>
      </c>
      <c r="T26" s="150" t="s">
        <v>864</v>
      </c>
      <c r="U26" s="89"/>
      <c r="V26" s="94" t="s">
        <v>807</v>
      </c>
      <c r="W26" s="91" t="s">
        <v>865</v>
      </c>
      <c r="X26" s="106" t="s">
        <v>866</v>
      </c>
      <c r="Y26" s="96" t="s">
        <v>867</v>
      </c>
      <c r="Z26" s="107" t="s">
        <v>810</v>
      </c>
    </row>
    <row r="27" spans="1:26" ht="89.25" customHeight="1" x14ac:dyDescent="0.25">
      <c r="B27" s="136" t="s">
        <v>4</v>
      </c>
      <c r="C27" s="66" t="s">
        <v>799</v>
      </c>
      <c r="D27" s="67" t="s">
        <v>7</v>
      </c>
      <c r="E27" s="133">
        <v>2</v>
      </c>
      <c r="F27" s="89" t="s">
        <v>868</v>
      </c>
      <c r="G27" s="66" t="s">
        <v>869</v>
      </c>
      <c r="H27" s="66"/>
      <c r="I27" s="130">
        <v>8</v>
      </c>
      <c r="J27" s="131" t="s">
        <v>688</v>
      </c>
      <c r="K27" s="133">
        <v>8</v>
      </c>
      <c r="L27" s="130"/>
      <c r="M27" s="67" t="s">
        <v>870</v>
      </c>
      <c r="N27" s="67" t="s">
        <v>871</v>
      </c>
      <c r="O27" s="130"/>
      <c r="P27" s="120"/>
      <c r="Q27" s="97" t="s">
        <v>872</v>
      </c>
      <c r="R27" s="97" t="s">
        <v>873</v>
      </c>
      <c r="S27" s="67" t="s">
        <v>874</v>
      </c>
      <c r="T27" s="141" t="s">
        <v>875</v>
      </c>
      <c r="U27" s="66"/>
      <c r="V27" s="94" t="s">
        <v>807</v>
      </c>
      <c r="W27" s="91" t="s">
        <v>876</v>
      </c>
      <c r="X27" s="87" t="s">
        <v>877</v>
      </c>
      <c r="Y27" s="88" t="s">
        <v>878</v>
      </c>
      <c r="Z27" s="90" t="s">
        <v>820</v>
      </c>
    </row>
    <row r="28" spans="1:26" ht="89.25" customHeight="1" x14ac:dyDescent="0.25">
      <c r="B28" s="136" t="s">
        <v>4</v>
      </c>
      <c r="C28" s="66" t="s">
        <v>799</v>
      </c>
      <c r="D28" s="67" t="s">
        <v>7</v>
      </c>
      <c r="E28" s="133">
        <v>2</v>
      </c>
      <c r="F28" s="136" t="s">
        <v>879</v>
      </c>
      <c r="G28" s="136" t="s">
        <v>880</v>
      </c>
      <c r="H28" s="89"/>
      <c r="I28" s="133">
        <v>9</v>
      </c>
      <c r="J28" s="131" t="s">
        <v>688</v>
      </c>
      <c r="K28" s="133"/>
      <c r="L28" s="133"/>
      <c r="M28" s="137" t="s">
        <v>881</v>
      </c>
      <c r="N28" s="137" t="s">
        <v>882</v>
      </c>
      <c r="O28" s="133"/>
      <c r="P28" s="111"/>
      <c r="Q28" s="97" t="s">
        <v>883</v>
      </c>
      <c r="R28" s="97" t="s">
        <v>884</v>
      </c>
      <c r="S28" s="97" t="s">
        <v>885</v>
      </c>
      <c r="T28" s="142" t="s">
        <v>886</v>
      </c>
      <c r="U28" s="89"/>
      <c r="V28" s="94" t="s">
        <v>807</v>
      </c>
      <c r="W28" s="91" t="s">
        <v>887</v>
      </c>
      <c r="X28" s="106" t="s">
        <v>888</v>
      </c>
      <c r="Y28" s="96" t="s">
        <v>889</v>
      </c>
      <c r="Z28" s="107" t="s">
        <v>890</v>
      </c>
    </row>
    <row r="29" spans="1:26" ht="89.25" customHeight="1" x14ac:dyDescent="0.25">
      <c r="B29" s="136" t="s">
        <v>4</v>
      </c>
      <c r="C29" s="66" t="s">
        <v>799</v>
      </c>
      <c r="D29" s="67" t="s">
        <v>7</v>
      </c>
      <c r="E29" s="133">
        <v>2</v>
      </c>
      <c r="F29" s="136" t="s">
        <v>891</v>
      </c>
      <c r="G29" s="138" t="s">
        <v>892</v>
      </c>
      <c r="H29" s="89"/>
      <c r="I29" s="133">
        <v>10</v>
      </c>
      <c r="J29" s="138" t="s">
        <v>688</v>
      </c>
      <c r="K29" s="133">
        <v>4</v>
      </c>
      <c r="L29" s="133"/>
      <c r="M29" s="97" t="s">
        <v>893</v>
      </c>
      <c r="N29" s="97" t="s">
        <v>894</v>
      </c>
      <c r="O29" s="133"/>
      <c r="P29" s="123" t="s">
        <v>895</v>
      </c>
      <c r="Q29" s="97" t="s">
        <v>896</v>
      </c>
      <c r="R29" s="97" t="s">
        <v>897</v>
      </c>
      <c r="S29" s="97" t="s">
        <v>898</v>
      </c>
      <c r="T29" s="142" t="s">
        <v>899</v>
      </c>
      <c r="U29" s="89"/>
      <c r="V29" s="94" t="s">
        <v>807</v>
      </c>
      <c r="W29" s="91" t="s">
        <v>900</v>
      </c>
      <c r="X29" s="126" t="s">
        <v>901</v>
      </c>
      <c r="Y29" s="117"/>
      <c r="Z29" s="128" t="s">
        <v>810</v>
      </c>
    </row>
    <row r="30" spans="1:26" ht="89.25" customHeight="1" x14ac:dyDescent="0.25">
      <c r="B30" s="136" t="s">
        <v>4</v>
      </c>
      <c r="C30" s="66" t="s">
        <v>799</v>
      </c>
      <c r="D30" s="67" t="s">
        <v>7</v>
      </c>
      <c r="E30" s="133">
        <v>2</v>
      </c>
      <c r="F30" s="136" t="s">
        <v>902</v>
      </c>
      <c r="G30" s="138" t="s">
        <v>903</v>
      </c>
      <c r="H30" s="89"/>
      <c r="I30" s="133">
        <v>11</v>
      </c>
      <c r="J30" s="138" t="s">
        <v>904</v>
      </c>
      <c r="K30" s="133">
        <v>23</v>
      </c>
      <c r="L30" s="133">
        <v>6</v>
      </c>
      <c r="M30" s="137" t="s">
        <v>905</v>
      </c>
      <c r="N30" s="137" t="s">
        <v>906</v>
      </c>
      <c r="O30" s="133"/>
      <c r="P30" s="120"/>
      <c r="Q30" s="97" t="s">
        <v>803</v>
      </c>
      <c r="R30" s="97" t="s">
        <v>907</v>
      </c>
      <c r="S30" s="97" t="s">
        <v>908</v>
      </c>
      <c r="T30" s="150" t="s">
        <v>909</v>
      </c>
      <c r="U30" s="89"/>
      <c r="V30" s="94" t="s">
        <v>807</v>
      </c>
      <c r="W30" s="91" t="s">
        <v>910</v>
      </c>
      <c r="X30" s="126" t="s">
        <v>911</v>
      </c>
      <c r="Y30" s="117"/>
      <c r="Z30" s="128" t="s">
        <v>810</v>
      </c>
    </row>
    <row r="31" spans="1:26" ht="89.25" customHeight="1" x14ac:dyDescent="0.25">
      <c r="B31" s="136" t="s">
        <v>4</v>
      </c>
      <c r="C31" s="66" t="s">
        <v>799</v>
      </c>
      <c r="D31" s="67" t="s">
        <v>7</v>
      </c>
      <c r="E31" s="133">
        <v>2</v>
      </c>
      <c r="F31" s="89" t="s">
        <v>912</v>
      </c>
      <c r="G31" s="89" t="s">
        <v>913</v>
      </c>
      <c r="H31" s="89"/>
      <c r="I31" s="133">
        <v>12</v>
      </c>
      <c r="J31" s="131" t="s">
        <v>688</v>
      </c>
      <c r="K31" s="133">
        <v>10</v>
      </c>
      <c r="L31" s="133"/>
      <c r="M31" s="97" t="s">
        <v>914</v>
      </c>
      <c r="N31" s="97" t="s">
        <v>915</v>
      </c>
      <c r="O31" s="133"/>
      <c r="P31" s="120"/>
      <c r="Q31" s="97" t="s">
        <v>803</v>
      </c>
      <c r="R31" s="97" t="s">
        <v>907</v>
      </c>
      <c r="S31" s="97" t="s">
        <v>916</v>
      </c>
      <c r="T31" s="142" t="s">
        <v>917</v>
      </c>
      <c r="U31" s="89"/>
      <c r="V31" s="94" t="s">
        <v>807</v>
      </c>
      <c r="W31" s="91" t="s">
        <v>910</v>
      </c>
      <c r="X31" s="126" t="s">
        <v>918</v>
      </c>
      <c r="Y31" s="117"/>
      <c r="Z31" s="128" t="s">
        <v>810</v>
      </c>
    </row>
    <row r="32" spans="1:26" ht="89.25" customHeight="1" x14ac:dyDescent="0.25">
      <c r="B32" s="136" t="s">
        <v>4</v>
      </c>
      <c r="C32" s="66" t="s">
        <v>799</v>
      </c>
      <c r="D32" s="67" t="s">
        <v>7</v>
      </c>
      <c r="E32" s="133">
        <v>2</v>
      </c>
      <c r="F32" s="89" t="s">
        <v>919</v>
      </c>
      <c r="G32" s="89" t="s">
        <v>920</v>
      </c>
      <c r="H32" s="89"/>
      <c r="I32" s="133">
        <v>13</v>
      </c>
      <c r="J32" s="131" t="s">
        <v>688</v>
      </c>
      <c r="K32" s="133">
        <v>10</v>
      </c>
      <c r="L32" s="133"/>
      <c r="M32" s="97" t="s">
        <v>921</v>
      </c>
      <c r="N32" s="97" t="s">
        <v>922</v>
      </c>
      <c r="O32" s="133"/>
      <c r="P32" s="67"/>
      <c r="Q32" s="97" t="s">
        <v>803</v>
      </c>
      <c r="R32" s="97" t="s">
        <v>907</v>
      </c>
      <c r="S32" s="97" t="s">
        <v>923</v>
      </c>
      <c r="T32" s="142" t="s">
        <v>924</v>
      </c>
      <c r="U32" s="89"/>
      <c r="V32" s="94" t="s">
        <v>807</v>
      </c>
      <c r="W32" s="91" t="s">
        <v>910</v>
      </c>
      <c r="X32" s="126" t="s">
        <v>925</v>
      </c>
      <c r="Y32" s="117"/>
      <c r="Z32" s="128" t="s">
        <v>810</v>
      </c>
    </row>
    <row r="33" spans="2:26" ht="89.25" customHeight="1" x14ac:dyDescent="0.25">
      <c r="B33" s="136" t="s">
        <v>4</v>
      </c>
      <c r="C33" s="66" t="s">
        <v>799</v>
      </c>
      <c r="D33" s="67" t="s">
        <v>7</v>
      </c>
      <c r="E33" s="133">
        <v>2</v>
      </c>
      <c r="F33" s="136" t="s">
        <v>926</v>
      </c>
      <c r="G33" s="136" t="s">
        <v>927</v>
      </c>
      <c r="H33" s="89"/>
      <c r="I33" s="133">
        <v>14</v>
      </c>
      <c r="J33" s="93" t="s">
        <v>688</v>
      </c>
      <c r="K33" s="133">
        <v>4</v>
      </c>
      <c r="L33" s="133"/>
      <c r="M33" s="97" t="s">
        <v>928</v>
      </c>
      <c r="N33" s="137" t="s">
        <v>929</v>
      </c>
      <c r="O33" s="133"/>
      <c r="P33" s="121"/>
      <c r="Q33" s="97" t="s">
        <v>818</v>
      </c>
      <c r="R33" s="97" t="s">
        <v>930</v>
      </c>
      <c r="S33" s="97" t="s">
        <v>930</v>
      </c>
      <c r="T33" s="142" t="s">
        <v>931</v>
      </c>
      <c r="U33" s="89"/>
      <c r="V33" s="94" t="s">
        <v>807</v>
      </c>
      <c r="W33" s="91" t="s">
        <v>910</v>
      </c>
      <c r="X33" s="127" t="s">
        <v>810</v>
      </c>
      <c r="Y33" s="125"/>
      <c r="Z33" s="128" t="s">
        <v>932</v>
      </c>
    </row>
    <row r="34" spans="2:26" ht="89.25" customHeight="1" x14ac:dyDescent="0.25">
      <c r="B34" s="136" t="s">
        <v>4</v>
      </c>
      <c r="C34" s="66" t="s">
        <v>799</v>
      </c>
      <c r="D34" s="67" t="s">
        <v>7</v>
      </c>
      <c r="E34" s="133">
        <v>2</v>
      </c>
      <c r="F34" s="136" t="s">
        <v>786</v>
      </c>
      <c r="G34" s="138" t="s">
        <v>787</v>
      </c>
      <c r="H34" s="93" t="s">
        <v>933</v>
      </c>
      <c r="I34" s="133">
        <v>15</v>
      </c>
      <c r="J34" s="77" t="s">
        <v>688</v>
      </c>
      <c r="K34" s="109">
        <v>10</v>
      </c>
      <c r="L34" s="133"/>
      <c r="M34" s="97" t="s">
        <v>788</v>
      </c>
      <c r="N34" s="97" t="s">
        <v>789</v>
      </c>
      <c r="O34" s="130" t="s">
        <v>691</v>
      </c>
      <c r="P34" s="121"/>
      <c r="Q34" s="97" t="s">
        <v>803</v>
      </c>
      <c r="R34" s="97" t="s">
        <v>804</v>
      </c>
      <c r="S34" s="97" t="s">
        <v>934</v>
      </c>
      <c r="T34" s="142" t="s">
        <v>935</v>
      </c>
      <c r="U34" s="89"/>
      <c r="V34" s="97" t="s">
        <v>807</v>
      </c>
      <c r="W34" s="111" t="s">
        <v>810</v>
      </c>
      <c r="X34" s="111" t="s">
        <v>810</v>
      </c>
      <c r="Y34" s="96"/>
      <c r="Z34" s="107" t="s">
        <v>810</v>
      </c>
    </row>
    <row r="35" spans="2:26" ht="89.25" customHeight="1" x14ac:dyDescent="0.25">
      <c r="B35" s="136" t="s">
        <v>4</v>
      </c>
      <c r="C35" s="66" t="s">
        <v>799</v>
      </c>
      <c r="D35" s="67" t="s">
        <v>7</v>
      </c>
      <c r="E35" s="133">
        <v>2</v>
      </c>
      <c r="F35" s="136" t="s">
        <v>793</v>
      </c>
      <c r="G35" s="136" t="s">
        <v>794</v>
      </c>
      <c r="H35" s="89" t="s">
        <v>936</v>
      </c>
      <c r="I35" s="133">
        <v>16</v>
      </c>
      <c r="J35" s="136" t="s">
        <v>795</v>
      </c>
      <c r="K35" s="133">
        <v>23</v>
      </c>
      <c r="L35" s="133"/>
      <c r="M35" s="67" t="s">
        <v>796</v>
      </c>
      <c r="N35" s="101" t="s">
        <v>797</v>
      </c>
      <c r="O35" s="105"/>
      <c r="P35" s="122"/>
      <c r="Q35" s="97" t="s">
        <v>937</v>
      </c>
      <c r="R35" s="97" t="s">
        <v>818</v>
      </c>
      <c r="S35" s="97" t="s">
        <v>818</v>
      </c>
      <c r="T35" s="142" t="s">
        <v>938</v>
      </c>
      <c r="U35" s="105"/>
      <c r="V35" s="97" t="s">
        <v>807</v>
      </c>
      <c r="W35" s="111" t="s">
        <v>810</v>
      </c>
      <c r="X35" s="111" t="s">
        <v>810</v>
      </c>
      <c r="Y35" s="106"/>
      <c r="Z35" s="107" t="s">
        <v>810</v>
      </c>
    </row>
    <row r="36" spans="2:26" ht="15" customHeight="1" x14ac:dyDescent="0.25">
      <c r="P36" s="54"/>
    </row>
    <row r="37" spans="2:26" ht="15" customHeight="1" x14ac:dyDescent="0.25">
      <c r="P37" s="100"/>
    </row>
    <row r="38" spans="2:26" ht="15" customHeight="1" x14ac:dyDescent="0.25">
      <c r="P38" s="54"/>
    </row>
    <row r="39" spans="2:26" ht="15" customHeight="1" x14ac:dyDescent="0.25">
      <c r="P39" s="54"/>
    </row>
    <row r="40" spans="2:26" ht="15" customHeight="1" x14ac:dyDescent="0.25">
      <c r="P40" s="54"/>
    </row>
    <row r="41" spans="2:26" ht="15" customHeight="1" x14ac:dyDescent="0.25">
      <c r="P41" s="54"/>
    </row>
    <row r="42" spans="2:26" ht="15" customHeight="1" x14ac:dyDescent="0.25">
      <c r="P42" s="53"/>
    </row>
  </sheetData>
  <sortState xmlns:xlrd2="http://schemas.microsoft.com/office/spreadsheetml/2017/richdata2" ref="B6:Z60">
    <sortCondition ref="C6:C60"/>
    <sortCondition ref="G6:G60"/>
  </sortState>
  <mergeCells count="6">
    <mergeCell ref="V3:Z3"/>
    <mergeCell ref="V4:Y4"/>
    <mergeCell ref="B3:O3"/>
    <mergeCell ref="B4:O4"/>
    <mergeCell ref="Q3:U3"/>
    <mergeCell ref="Q4:T4"/>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5" x14ac:dyDescent="0.25"/>
  <cols>
    <col min="1" max="1" width="56.5703125" customWidth="1"/>
    <col min="2" max="2" width="16.42578125" customWidth="1"/>
  </cols>
  <sheetData>
    <row r="1" spans="1:2" x14ac:dyDescent="0.25">
      <c r="A1" s="63" t="s">
        <v>939</v>
      </c>
      <c r="B1" s="63" t="s">
        <v>940</v>
      </c>
    </row>
    <row r="2" spans="1:2" x14ac:dyDescent="0.25">
      <c r="A2" s="64" t="s">
        <v>941</v>
      </c>
      <c r="B2" s="64" t="s">
        <v>942</v>
      </c>
    </row>
    <row r="3" spans="1:2" x14ac:dyDescent="0.25">
      <c r="A3" s="64" t="s">
        <v>943</v>
      </c>
      <c r="B3" s="64" t="s">
        <v>944</v>
      </c>
    </row>
    <row r="4" spans="1:2" x14ac:dyDescent="0.25">
      <c r="A4" s="64" t="s">
        <v>945</v>
      </c>
      <c r="B4" s="65" t="s">
        <v>946</v>
      </c>
    </row>
    <row r="5" spans="1:2" x14ac:dyDescent="0.25">
      <c r="A5" s="64" t="s">
        <v>947</v>
      </c>
      <c r="B5" s="64" t="s">
        <v>948</v>
      </c>
    </row>
    <row r="6" spans="1:2" x14ac:dyDescent="0.25">
      <c r="A6" s="64" t="s">
        <v>949</v>
      </c>
      <c r="B6" s="64" t="s">
        <v>950</v>
      </c>
    </row>
    <row r="7" spans="1:2" x14ac:dyDescent="0.25">
      <c r="A7" s="64" t="s">
        <v>951</v>
      </c>
      <c r="B7" s="64" t="s">
        <v>952</v>
      </c>
    </row>
    <row r="8" spans="1:2" x14ac:dyDescent="0.25">
      <c r="A8" s="64" t="s">
        <v>953</v>
      </c>
      <c r="B8" s="64" t="s">
        <v>954</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452E-056B-462E-8C5B-4BE92504AF51}">
  <dimension ref="B1:I573"/>
  <sheetViews>
    <sheetView showGridLines="0" topLeftCell="C3" zoomScale="80" zoomScaleNormal="80" workbookViewId="0">
      <selection activeCell="H50" sqref="H50"/>
    </sheetView>
  </sheetViews>
  <sheetFormatPr defaultRowHeight="15" x14ac:dyDescent="0.25"/>
  <cols>
    <col min="2" max="2" width="10.85546875" style="100" customWidth="1"/>
    <col min="3" max="3" width="17.42578125" style="54" customWidth="1"/>
    <col min="4" max="4" width="23.140625" style="54" customWidth="1"/>
    <col min="5" max="5" width="17.140625" style="54" customWidth="1"/>
    <col min="6" max="6" width="10.140625" style="54" customWidth="1"/>
    <col min="7" max="7" width="26.85546875" customWidth="1"/>
    <col min="8" max="8" width="125.5703125" style="24" customWidth="1"/>
    <col min="9" max="9" width="32.5703125" customWidth="1"/>
  </cols>
  <sheetData>
    <row r="1" spans="2:9" ht="35.25" customHeight="1" x14ac:dyDescent="0.25"/>
    <row r="2" spans="2:9" ht="39.75" customHeight="1" x14ac:dyDescent="0.25">
      <c r="B2" s="55" t="s">
        <v>955</v>
      </c>
      <c r="C2" s="55" t="s">
        <v>662</v>
      </c>
      <c r="D2" s="55" t="s">
        <v>956</v>
      </c>
      <c r="E2" s="55" t="s">
        <v>957</v>
      </c>
      <c r="F2" s="55" t="s">
        <v>958</v>
      </c>
      <c r="G2" s="55" t="s">
        <v>959</v>
      </c>
      <c r="H2" s="148" t="s">
        <v>960</v>
      </c>
      <c r="I2" s="79" t="s">
        <v>961</v>
      </c>
    </row>
    <row r="3" spans="2:9" ht="30" customHeight="1" x14ac:dyDescent="0.25">
      <c r="B3" s="77" t="s">
        <v>962</v>
      </c>
      <c r="C3" s="77" t="s">
        <v>7</v>
      </c>
      <c r="D3" s="77" t="s">
        <v>963</v>
      </c>
      <c r="E3" s="77" t="s">
        <v>964</v>
      </c>
      <c r="F3" s="77" t="s">
        <v>963</v>
      </c>
      <c r="G3" s="77" t="s">
        <v>965</v>
      </c>
      <c r="H3" s="101" t="s">
        <v>966</v>
      </c>
      <c r="I3" s="101" t="s">
        <v>967</v>
      </c>
    </row>
    <row r="4" spans="2:9" ht="30" customHeight="1" x14ac:dyDescent="0.25">
      <c r="B4" s="77" t="s">
        <v>962</v>
      </c>
      <c r="C4" s="77" t="s">
        <v>7</v>
      </c>
      <c r="D4" s="77" t="s">
        <v>963</v>
      </c>
      <c r="E4" s="77" t="s">
        <v>964</v>
      </c>
      <c r="F4" s="77" t="s">
        <v>963</v>
      </c>
      <c r="G4" s="77" t="s">
        <v>968</v>
      </c>
      <c r="H4" s="101" t="s">
        <v>969</v>
      </c>
      <c r="I4" s="101" t="s">
        <v>967</v>
      </c>
    </row>
    <row r="5" spans="2:9" ht="30" customHeight="1" x14ac:dyDescent="0.25">
      <c r="B5" s="77" t="s">
        <v>962</v>
      </c>
      <c r="C5" s="77" t="s">
        <v>7</v>
      </c>
      <c r="D5" s="77" t="s">
        <v>963</v>
      </c>
      <c r="E5" s="77" t="s">
        <v>964</v>
      </c>
      <c r="F5" s="77" t="s">
        <v>970</v>
      </c>
      <c r="G5" s="77" t="s">
        <v>971</v>
      </c>
      <c r="H5" s="101" t="s">
        <v>972</v>
      </c>
      <c r="I5" s="101" t="s">
        <v>967</v>
      </c>
    </row>
    <row r="6" spans="2:9" ht="30" hidden="1" customHeight="1" x14ac:dyDescent="0.25">
      <c r="B6" s="77" t="s">
        <v>962</v>
      </c>
      <c r="C6" s="77" t="s">
        <v>7</v>
      </c>
      <c r="D6" s="77" t="s">
        <v>963</v>
      </c>
      <c r="E6" s="77" t="s">
        <v>973</v>
      </c>
      <c r="F6" s="77" t="s">
        <v>970</v>
      </c>
      <c r="G6" s="77" t="s">
        <v>971</v>
      </c>
      <c r="H6" s="101" t="s">
        <v>974</v>
      </c>
      <c r="I6" s="101" t="s">
        <v>967</v>
      </c>
    </row>
    <row r="7" spans="2:9" ht="30" hidden="1" customHeight="1" x14ac:dyDescent="0.25">
      <c r="B7" s="77" t="s">
        <v>962</v>
      </c>
      <c r="C7" s="77" t="s">
        <v>7</v>
      </c>
      <c r="D7" s="77" t="s">
        <v>963</v>
      </c>
      <c r="E7" s="77" t="s">
        <v>975</v>
      </c>
      <c r="F7" s="77" t="s">
        <v>963</v>
      </c>
      <c r="G7" s="77" t="s">
        <v>976</v>
      </c>
      <c r="H7" s="101" t="s">
        <v>977</v>
      </c>
      <c r="I7" s="101" t="s">
        <v>967</v>
      </c>
    </row>
    <row r="8" spans="2:9" ht="30" hidden="1" customHeight="1" x14ac:dyDescent="0.25">
      <c r="B8" s="77" t="s">
        <v>962</v>
      </c>
      <c r="C8" s="77" t="s">
        <v>7</v>
      </c>
      <c r="D8" s="77" t="s">
        <v>963</v>
      </c>
      <c r="E8" s="77" t="s">
        <v>975</v>
      </c>
      <c r="F8" s="77" t="s">
        <v>970</v>
      </c>
      <c r="G8" s="77" t="s">
        <v>971</v>
      </c>
      <c r="H8" s="101" t="s">
        <v>978</v>
      </c>
      <c r="I8" s="101" t="s">
        <v>967</v>
      </c>
    </row>
    <row r="9" spans="2:9" ht="30" hidden="1" customHeight="1" x14ac:dyDescent="0.25">
      <c r="B9" s="77" t="s">
        <v>962</v>
      </c>
      <c r="C9" s="77" t="s">
        <v>7</v>
      </c>
      <c r="D9" s="77" t="s">
        <v>979</v>
      </c>
      <c r="E9" s="77" t="s">
        <v>980</v>
      </c>
      <c r="F9" s="77" t="s">
        <v>979</v>
      </c>
      <c r="G9" s="77" t="s">
        <v>981</v>
      </c>
      <c r="H9" s="101" t="s">
        <v>982</v>
      </c>
      <c r="I9" s="101" t="s">
        <v>967</v>
      </c>
    </row>
    <row r="10" spans="2:9" ht="30" hidden="1" customHeight="1" x14ac:dyDescent="0.25">
      <c r="B10" s="77" t="s">
        <v>962</v>
      </c>
      <c r="C10" s="77" t="s">
        <v>7</v>
      </c>
      <c r="D10" s="77" t="s">
        <v>979</v>
      </c>
      <c r="E10" s="77" t="s">
        <v>980</v>
      </c>
      <c r="F10" s="77" t="s">
        <v>979</v>
      </c>
      <c r="G10" s="77" t="s">
        <v>983</v>
      </c>
      <c r="H10" s="101" t="s">
        <v>984</v>
      </c>
      <c r="I10" s="101" t="s">
        <v>967</v>
      </c>
    </row>
    <row r="11" spans="2:9" ht="30" hidden="1" customHeight="1" x14ac:dyDescent="0.25">
      <c r="B11" s="77" t="s">
        <v>962</v>
      </c>
      <c r="C11" s="77" t="s">
        <v>7</v>
      </c>
      <c r="D11" s="77" t="s">
        <v>979</v>
      </c>
      <c r="E11" s="77" t="s">
        <v>983</v>
      </c>
      <c r="F11" s="77" t="s">
        <v>979</v>
      </c>
      <c r="G11" s="77" t="s">
        <v>985</v>
      </c>
      <c r="H11" s="101" t="s">
        <v>986</v>
      </c>
      <c r="I11" s="101" t="s">
        <v>967</v>
      </c>
    </row>
    <row r="12" spans="2:9" ht="30" hidden="1" customHeight="1" x14ac:dyDescent="0.25">
      <c r="B12" s="77" t="s">
        <v>962</v>
      </c>
      <c r="C12" s="77" t="s">
        <v>7</v>
      </c>
      <c r="D12" s="77" t="s">
        <v>979</v>
      </c>
      <c r="E12" s="77" t="s">
        <v>980</v>
      </c>
      <c r="F12" s="77" t="s">
        <v>970</v>
      </c>
      <c r="G12" s="77" t="s">
        <v>971</v>
      </c>
      <c r="H12" s="101" t="s">
        <v>987</v>
      </c>
      <c r="I12" s="98" t="s">
        <v>967</v>
      </c>
    </row>
    <row r="13" spans="2:9" ht="30" hidden="1" customHeight="1" x14ac:dyDescent="0.25">
      <c r="B13" s="77" t="s">
        <v>962</v>
      </c>
      <c r="C13" s="77" t="s">
        <v>7</v>
      </c>
      <c r="D13" s="77" t="s">
        <v>979</v>
      </c>
      <c r="E13" s="77" t="s">
        <v>988</v>
      </c>
      <c r="F13" s="77" t="s">
        <v>979</v>
      </c>
      <c r="G13" s="77" t="s">
        <v>989</v>
      </c>
      <c r="H13" s="101" t="s">
        <v>990</v>
      </c>
      <c r="I13" s="98" t="s">
        <v>991</v>
      </c>
    </row>
    <row r="14" spans="2:9" ht="30" hidden="1" customHeight="1" x14ac:dyDescent="0.25">
      <c r="B14" s="77" t="s">
        <v>962</v>
      </c>
      <c r="C14" s="77" t="s">
        <v>7</v>
      </c>
      <c r="D14" s="77" t="s">
        <v>979</v>
      </c>
      <c r="E14" s="77" t="s">
        <v>988</v>
      </c>
      <c r="F14" s="77" t="s">
        <v>979</v>
      </c>
      <c r="G14" s="77" t="s">
        <v>992</v>
      </c>
      <c r="H14" s="101" t="s">
        <v>993</v>
      </c>
      <c r="I14" s="98" t="s">
        <v>967</v>
      </c>
    </row>
    <row r="15" spans="2:9" ht="30" hidden="1" customHeight="1" x14ac:dyDescent="0.25">
      <c r="B15" s="77" t="s">
        <v>962</v>
      </c>
      <c r="C15" s="77" t="s">
        <v>7</v>
      </c>
      <c r="D15" s="77" t="s">
        <v>979</v>
      </c>
      <c r="E15" s="77" t="s">
        <v>992</v>
      </c>
      <c r="F15" s="77" t="s">
        <v>979</v>
      </c>
      <c r="G15" s="77" t="s">
        <v>994</v>
      </c>
      <c r="H15" s="101" t="s">
        <v>995</v>
      </c>
      <c r="I15" s="98" t="s">
        <v>967</v>
      </c>
    </row>
    <row r="16" spans="2:9" ht="30" hidden="1" customHeight="1" x14ac:dyDescent="0.25">
      <c r="B16" s="77" t="s">
        <v>962</v>
      </c>
      <c r="C16" s="77" t="s">
        <v>7</v>
      </c>
      <c r="D16" s="77" t="s">
        <v>979</v>
      </c>
      <c r="E16" s="77" t="s">
        <v>992</v>
      </c>
      <c r="F16" s="77" t="s">
        <v>979</v>
      </c>
      <c r="G16" s="77" t="s">
        <v>981</v>
      </c>
      <c r="H16" s="101" t="s">
        <v>996</v>
      </c>
      <c r="I16" s="98" t="s">
        <v>967</v>
      </c>
    </row>
    <row r="17" spans="2:9" ht="30" hidden="1" customHeight="1" x14ac:dyDescent="0.25">
      <c r="B17" s="77" t="s">
        <v>962</v>
      </c>
      <c r="C17" s="77" t="s">
        <v>7</v>
      </c>
      <c r="D17" s="77" t="s">
        <v>979</v>
      </c>
      <c r="E17" s="77" t="s">
        <v>992</v>
      </c>
      <c r="F17" s="77" t="s">
        <v>979</v>
      </c>
      <c r="G17" s="77" t="s">
        <v>997</v>
      </c>
      <c r="H17" s="101" t="s">
        <v>998</v>
      </c>
      <c r="I17" s="98" t="s">
        <v>967</v>
      </c>
    </row>
    <row r="18" spans="2:9" ht="30" hidden="1" customHeight="1" x14ac:dyDescent="0.25">
      <c r="B18" s="77" t="s">
        <v>962</v>
      </c>
      <c r="C18" s="77" t="s">
        <v>7</v>
      </c>
      <c r="D18" s="77" t="s">
        <v>979</v>
      </c>
      <c r="E18" s="77" t="s">
        <v>992</v>
      </c>
      <c r="F18" s="77" t="s">
        <v>979</v>
      </c>
      <c r="G18" s="77" t="s">
        <v>999</v>
      </c>
      <c r="H18" s="101" t="s">
        <v>1000</v>
      </c>
      <c r="I18" s="98" t="s">
        <v>967</v>
      </c>
    </row>
    <row r="19" spans="2:9" ht="30" hidden="1" customHeight="1" x14ac:dyDescent="0.25">
      <c r="B19" s="77" t="s">
        <v>962</v>
      </c>
      <c r="C19" s="77" t="s">
        <v>7</v>
      </c>
      <c r="D19" s="77" t="s">
        <v>979</v>
      </c>
      <c r="E19" s="77" t="s">
        <v>997</v>
      </c>
      <c r="F19" s="77" t="s">
        <v>979</v>
      </c>
      <c r="G19" s="77" t="s">
        <v>1001</v>
      </c>
      <c r="H19" s="101" t="s">
        <v>986</v>
      </c>
      <c r="I19" s="98" t="s">
        <v>967</v>
      </c>
    </row>
    <row r="20" spans="2:9" ht="30" hidden="1" customHeight="1" x14ac:dyDescent="0.25">
      <c r="B20" s="77" t="s">
        <v>962</v>
      </c>
      <c r="C20" s="77" t="s">
        <v>7</v>
      </c>
      <c r="D20" s="77" t="s">
        <v>979</v>
      </c>
      <c r="E20" s="77" t="s">
        <v>999</v>
      </c>
      <c r="F20" s="77" t="s">
        <v>979</v>
      </c>
      <c r="G20" s="77" t="s">
        <v>1002</v>
      </c>
      <c r="H20" s="101" t="s">
        <v>986</v>
      </c>
      <c r="I20" s="98" t="s">
        <v>967</v>
      </c>
    </row>
    <row r="21" spans="2:9" ht="30" hidden="1" customHeight="1" x14ac:dyDescent="0.25">
      <c r="B21" s="77" t="s">
        <v>962</v>
      </c>
      <c r="C21" s="77" t="s">
        <v>7</v>
      </c>
      <c r="D21" s="77" t="s">
        <v>979</v>
      </c>
      <c r="E21" s="77" t="s">
        <v>989</v>
      </c>
      <c r="F21" s="77" t="s">
        <v>970</v>
      </c>
      <c r="G21" s="77" t="s">
        <v>971</v>
      </c>
      <c r="H21" s="101" t="s">
        <v>1003</v>
      </c>
      <c r="I21" s="98" t="s">
        <v>967</v>
      </c>
    </row>
    <row r="22" spans="2:9" ht="30" hidden="1" customHeight="1" x14ac:dyDescent="0.25">
      <c r="B22" s="77" t="s">
        <v>962</v>
      </c>
      <c r="C22" s="77" t="s">
        <v>7</v>
      </c>
      <c r="D22" s="77" t="s">
        <v>979</v>
      </c>
      <c r="E22" s="77" t="s">
        <v>1004</v>
      </c>
      <c r="F22" s="77" t="s">
        <v>979</v>
      </c>
      <c r="G22" s="77" t="s">
        <v>1005</v>
      </c>
      <c r="H22" s="101" t="s">
        <v>1006</v>
      </c>
      <c r="I22" s="101" t="s">
        <v>967</v>
      </c>
    </row>
    <row r="23" spans="2:9" ht="30" hidden="1" customHeight="1" x14ac:dyDescent="0.25">
      <c r="B23" s="77" t="s">
        <v>962</v>
      </c>
      <c r="C23" s="77" t="s">
        <v>7</v>
      </c>
      <c r="D23" s="77" t="s">
        <v>979</v>
      </c>
      <c r="E23" s="77" t="s">
        <v>1004</v>
      </c>
      <c r="F23" s="77" t="s">
        <v>979</v>
      </c>
      <c r="G23" s="77" t="s">
        <v>1007</v>
      </c>
      <c r="H23" s="101" t="s">
        <v>1008</v>
      </c>
      <c r="I23" s="101" t="s">
        <v>967</v>
      </c>
    </row>
    <row r="24" spans="2:9" ht="30" hidden="1" customHeight="1" x14ac:dyDescent="0.25">
      <c r="B24" s="77" t="s">
        <v>962</v>
      </c>
      <c r="C24" s="77" t="s">
        <v>7</v>
      </c>
      <c r="D24" s="77" t="s">
        <v>979</v>
      </c>
      <c r="E24" s="77" t="s">
        <v>1004</v>
      </c>
      <c r="F24" s="77" t="s">
        <v>979</v>
      </c>
      <c r="G24" s="77" t="s">
        <v>1001</v>
      </c>
      <c r="H24" s="101" t="s">
        <v>1009</v>
      </c>
      <c r="I24" s="101" t="s">
        <v>967</v>
      </c>
    </row>
    <row r="25" spans="2:9" ht="30" hidden="1" customHeight="1" x14ac:dyDescent="0.25">
      <c r="B25" s="77" t="s">
        <v>962</v>
      </c>
      <c r="C25" s="77" t="s">
        <v>7</v>
      </c>
      <c r="D25" s="77" t="s">
        <v>979</v>
      </c>
      <c r="E25" s="77" t="s">
        <v>1004</v>
      </c>
      <c r="F25" s="77" t="s">
        <v>979</v>
      </c>
      <c r="G25" s="77" t="s">
        <v>1010</v>
      </c>
      <c r="H25" s="101" t="s">
        <v>1011</v>
      </c>
      <c r="I25" s="101" t="s">
        <v>967</v>
      </c>
    </row>
    <row r="26" spans="2:9" ht="30" hidden="1" customHeight="1" x14ac:dyDescent="0.25">
      <c r="B26" s="77" t="s">
        <v>962</v>
      </c>
      <c r="C26" s="77" t="s">
        <v>7</v>
      </c>
      <c r="D26" s="77" t="s">
        <v>979</v>
      </c>
      <c r="E26" s="77" t="s">
        <v>1004</v>
      </c>
      <c r="F26" s="77" t="s">
        <v>979</v>
      </c>
      <c r="G26" s="77" t="s">
        <v>1012</v>
      </c>
      <c r="H26" s="101" t="s">
        <v>1013</v>
      </c>
      <c r="I26" s="101" t="s">
        <v>967</v>
      </c>
    </row>
    <row r="27" spans="2:9" ht="30" hidden="1" customHeight="1" x14ac:dyDescent="0.25">
      <c r="B27" s="77" t="s">
        <v>962</v>
      </c>
      <c r="C27" s="77" t="s">
        <v>7</v>
      </c>
      <c r="D27" s="77" t="s">
        <v>979</v>
      </c>
      <c r="E27" s="77" t="s">
        <v>1004</v>
      </c>
      <c r="F27" s="77" t="s">
        <v>979</v>
      </c>
      <c r="G27" s="77" t="s">
        <v>1014</v>
      </c>
      <c r="H27" s="101" t="s">
        <v>1015</v>
      </c>
      <c r="I27" s="101" t="s">
        <v>967</v>
      </c>
    </row>
    <row r="28" spans="2:9" ht="30" hidden="1" customHeight="1" x14ac:dyDescent="0.25">
      <c r="B28" s="77" t="s">
        <v>962</v>
      </c>
      <c r="C28" s="77" t="s">
        <v>7</v>
      </c>
      <c r="D28" s="77" t="s">
        <v>979</v>
      </c>
      <c r="E28" s="77" t="s">
        <v>1004</v>
      </c>
      <c r="F28" s="77" t="s">
        <v>979</v>
      </c>
      <c r="G28" s="77" t="s">
        <v>1016</v>
      </c>
      <c r="H28" s="101" t="s">
        <v>1017</v>
      </c>
      <c r="I28" s="101" t="s">
        <v>967</v>
      </c>
    </row>
    <row r="29" spans="2:9" ht="30" hidden="1" customHeight="1" x14ac:dyDescent="0.25">
      <c r="B29" s="77" t="s">
        <v>962</v>
      </c>
      <c r="C29" s="77" t="s">
        <v>7</v>
      </c>
      <c r="D29" s="77" t="s">
        <v>979</v>
      </c>
      <c r="E29" s="77" t="s">
        <v>1004</v>
      </c>
      <c r="F29" s="77" t="s">
        <v>979</v>
      </c>
      <c r="G29" s="77" t="s">
        <v>1018</v>
      </c>
      <c r="H29" s="101" t="s">
        <v>1019</v>
      </c>
      <c r="I29" s="101" t="s">
        <v>967</v>
      </c>
    </row>
    <row r="30" spans="2:9" ht="30" hidden="1" customHeight="1" x14ac:dyDescent="0.25">
      <c r="B30" s="77" t="s">
        <v>962</v>
      </c>
      <c r="C30" s="77" t="s">
        <v>7</v>
      </c>
      <c r="D30" s="77" t="s">
        <v>979</v>
      </c>
      <c r="E30" s="77" t="s">
        <v>1018</v>
      </c>
      <c r="F30" s="77" t="s">
        <v>979</v>
      </c>
      <c r="G30" s="77" t="s">
        <v>1020</v>
      </c>
      <c r="H30" s="101" t="s">
        <v>1021</v>
      </c>
      <c r="I30" s="98" t="s">
        <v>967</v>
      </c>
    </row>
    <row r="31" spans="2:9" ht="30" hidden="1" customHeight="1" x14ac:dyDescent="0.25">
      <c r="B31" s="77" t="s">
        <v>962</v>
      </c>
      <c r="C31" s="77" t="s">
        <v>7</v>
      </c>
      <c r="D31" s="77" t="s">
        <v>979</v>
      </c>
      <c r="E31" s="77" t="s">
        <v>1004</v>
      </c>
      <c r="F31" s="77" t="s">
        <v>979</v>
      </c>
      <c r="G31" s="77" t="s">
        <v>1022</v>
      </c>
      <c r="H31" s="101" t="s">
        <v>1023</v>
      </c>
      <c r="I31" s="101" t="s">
        <v>967</v>
      </c>
    </row>
    <row r="32" spans="2:9" ht="30" hidden="1" customHeight="1" x14ac:dyDescent="0.25">
      <c r="B32" s="77" t="s">
        <v>962</v>
      </c>
      <c r="C32" s="77" t="s">
        <v>7</v>
      </c>
      <c r="D32" s="77" t="s">
        <v>979</v>
      </c>
      <c r="E32" s="77" t="s">
        <v>1022</v>
      </c>
      <c r="F32" s="77" t="s">
        <v>979</v>
      </c>
      <c r="G32" s="77" t="s">
        <v>1024</v>
      </c>
      <c r="H32" s="101" t="s">
        <v>1025</v>
      </c>
      <c r="I32" s="98" t="s">
        <v>967</v>
      </c>
    </row>
    <row r="33" spans="2:9" ht="30" hidden="1" customHeight="1" x14ac:dyDescent="0.25">
      <c r="B33" s="77" t="s">
        <v>962</v>
      </c>
      <c r="C33" s="77" t="s">
        <v>7</v>
      </c>
      <c r="D33" s="77" t="s">
        <v>979</v>
      </c>
      <c r="E33" s="77" t="s">
        <v>1004</v>
      </c>
      <c r="F33" s="77" t="s">
        <v>979</v>
      </c>
      <c r="G33" s="77" t="s">
        <v>1026</v>
      </c>
      <c r="H33" s="101" t="s">
        <v>1027</v>
      </c>
      <c r="I33" s="98" t="s">
        <v>967</v>
      </c>
    </row>
    <row r="34" spans="2:9" ht="30" hidden="1" customHeight="1" x14ac:dyDescent="0.25">
      <c r="B34" s="77" t="s">
        <v>962</v>
      </c>
      <c r="C34" s="77" t="s">
        <v>7</v>
      </c>
      <c r="D34" s="77" t="s">
        <v>979</v>
      </c>
      <c r="E34" s="77" t="s">
        <v>1026</v>
      </c>
      <c r="F34" s="77" t="s">
        <v>979</v>
      </c>
      <c r="G34" s="77" t="s">
        <v>1020</v>
      </c>
      <c r="H34" s="101" t="s">
        <v>1028</v>
      </c>
      <c r="I34" s="98" t="s">
        <v>967</v>
      </c>
    </row>
    <row r="35" spans="2:9" ht="30" hidden="1" customHeight="1" x14ac:dyDescent="0.25">
      <c r="B35" s="77" t="s">
        <v>962</v>
      </c>
      <c r="C35" s="77" t="s">
        <v>7</v>
      </c>
      <c r="D35" s="77" t="s">
        <v>979</v>
      </c>
      <c r="E35" s="77" t="s">
        <v>1004</v>
      </c>
      <c r="F35" s="77" t="s">
        <v>979</v>
      </c>
      <c r="G35" s="77" t="s">
        <v>1029</v>
      </c>
      <c r="H35" s="101" t="s">
        <v>1030</v>
      </c>
      <c r="I35" s="98" t="s">
        <v>967</v>
      </c>
    </row>
    <row r="36" spans="2:9" ht="30" hidden="1" customHeight="1" x14ac:dyDescent="0.25">
      <c r="B36" s="77" t="s">
        <v>962</v>
      </c>
      <c r="C36" s="77" t="s">
        <v>7</v>
      </c>
      <c r="D36" s="77" t="s">
        <v>979</v>
      </c>
      <c r="E36" s="77" t="s">
        <v>1029</v>
      </c>
      <c r="F36" s="77" t="s">
        <v>979</v>
      </c>
      <c r="G36" s="77" t="s">
        <v>1024</v>
      </c>
      <c r="H36" s="101" t="s">
        <v>1031</v>
      </c>
      <c r="I36" s="98" t="s">
        <v>967</v>
      </c>
    </row>
    <row r="37" spans="2:9" ht="30" hidden="1" customHeight="1" x14ac:dyDescent="0.25">
      <c r="B37" s="77" t="s">
        <v>962</v>
      </c>
      <c r="C37" s="77" t="s">
        <v>7</v>
      </c>
      <c r="D37" s="77" t="s">
        <v>979</v>
      </c>
      <c r="E37" s="77" t="s">
        <v>1004</v>
      </c>
      <c r="F37" s="77" t="s">
        <v>979</v>
      </c>
      <c r="G37" s="77" t="s">
        <v>1032</v>
      </c>
      <c r="H37" s="101" t="s">
        <v>1033</v>
      </c>
      <c r="I37" s="101" t="s">
        <v>967</v>
      </c>
    </row>
    <row r="38" spans="2:9" ht="30" hidden="1" customHeight="1" x14ac:dyDescent="0.25">
      <c r="B38" s="77" t="s">
        <v>962</v>
      </c>
      <c r="C38" s="77" t="s">
        <v>7</v>
      </c>
      <c r="D38" s="77" t="s">
        <v>979</v>
      </c>
      <c r="E38" s="77" t="s">
        <v>1004</v>
      </c>
      <c r="F38" s="77" t="s">
        <v>979</v>
      </c>
      <c r="G38" s="77" t="s">
        <v>1034</v>
      </c>
      <c r="H38" s="101" t="s">
        <v>1035</v>
      </c>
      <c r="I38" s="101" t="s">
        <v>967</v>
      </c>
    </row>
    <row r="39" spans="2:9" ht="30" hidden="1" customHeight="1" x14ac:dyDescent="0.25">
      <c r="B39" s="77" t="s">
        <v>962</v>
      </c>
      <c r="C39" s="77" t="s">
        <v>7</v>
      </c>
      <c r="D39" s="77" t="s">
        <v>979</v>
      </c>
      <c r="E39" s="77" t="s">
        <v>1004</v>
      </c>
      <c r="F39" s="77" t="s">
        <v>970</v>
      </c>
      <c r="G39" s="77" t="s">
        <v>971</v>
      </c>
      <c r="H39" s="101" t="s">
        <v>1036</v>
      </c>
      <c r="I39" s="98" t="s">
        <v>967</v>
      </c>
    </row>
    <row r="40" spans="2:9" ht="30" customHeight="1" x14ac:dyDescent="0.25">
      <c r="B40" s="77" t="s">
        <v>962</v>
      </c>
      <c r="C40" s="77" t="s">
        <v>7</v>
      </c>
      <c r="D40" s="77" t="s">
        <v>979</v>
      </c>
      <c r="E40" s="77" t="s">
        <v>1037</v>
      </c>
      <c r="F40" s="77" t="s">
        <v>979</v>
      </c>
      <c r="G40" s="77" t="s">
        <v>1005</v>
      </c>
      <c r="H40" s="101" t="s">
        <v>1038</v>
      </c>
      <c r="I40" s="101" t="s">
        <v>967</v>
      </c>
    </row>
    <row r="41" spans="2:9" ht="30" customHeight="1" x14ac:dyDescent="0.25">
      <c r="B41" s="77" t="s">
        <v>962</v>
      </c>
      <c r="C41" s="77" t="s">
        <v>7</v>
      </c>
      <c r="D41" s="77" t="s">
        <v>979</v>
      </c>
      <c r="E41" s="77" t="s">
        <v>1037</v>
      </c>
      <c r="F41" s="77" t="s">
        <v>979</v>
      </c>
      <c r="G41" s="77" t="s">
        <v>1007</v>
      </c>
      <c r="H41" s="101" t="s">
        <v>1039</v>
      </c>
      <c r="I41" s="101" t="s">
        <v>967</v>
      </c>
    </row>
    <row r="42" spans="2:9" ht="30" customHeight="1" x14ac:dyDescent="0.25">
      <c r="B42" s="77" t="s">
        <v>962</v>
      </c>
      <c r="C42" s="77" t="s">
        <v>7</v>
      </c>
      <c r="D42" s="77" t="s">
        <v>979</v>
      </c>
      <c r="E42" s="77" t="s">
        <v>1037</v>
      </c>
      <c r="F42" s="77" t="s">
        <v>979</v>
      </c>
      <c r="G42" s="77" t="s">
        <v>1001</v>
      </c>
      <c r="H42" s="101" t="s">
        <v>1040</v>
      </c>
      <c r="I42" s="101" t="s">
        <v>967</v>
      </c>
    </row>
    <row r="43" spans="2:9" ht="30" customHeight="1" x14ac:dyDescent="0.25">
      <c r="B43" s="77" t="s">
        <v>962</v>
      </c>
      <c r="C43" s="77" t="s">
        <v>7</v>
      </c>
      <c r="D43" s="77" t="s">
        <v>979</v>
      </c>
      <c r="E43" s="77" t="s">
        <v>1037</v>
      </c>
      <c r="F43" s="77" t="s">
        <v>979</v>
      </c>
      <c r="G43" s="77" t="s">
        <v>1010</v>
      </c>
      <c r="H43" s="101" t="s">
        <v>1041</v>
      </c>
      <c r="I43" s="101" t="s">
        <v>967</v>
      </c>
    </row>
    <row r="44" spans="2:9" ht="30" customHeight="1" x14ac:dyDescent="0.25">
      <c r="B44" s="77" t="s">
        <v>962</v>
      </c>
      <c r="C44" s="77" t="s">
        <v>7</v>
      </c>
      <c r="D44" s="77" t="s">
        <v>979</v>
      </c>
      <c r="E44" s="77" t="s">
        <v>1037</v>
      </c>
      <c r="F44" s="77" t="s">
        <v>979</v>
      </c>
      <c r="G44" s="77" t="s">
        <v>1012</v>
      </c>
      <c r="H44" s="101" t="s">
        <v>1042</v>
      </c>
      <c r="I44" s="101" t="s">
        <v>967</v>
      </c>
    </row>
    <row r="45" spans="2:9" ht="30" customHeight="1" x14ac:dyDescent="0.25">
      <c r="B45" s="77" t="s">
        <v>962</v>
      </c>
      <c r="C45" s="77" t="s">
        <v>7</v>
      </c>
      <c r="D45" s="77" t="s">
        <v>979</v>
      </c>
      <c r="E45" s="77" t="s">
        <v>1037</v>
      </c>
      <c r="F45" s="77" t="s">
        <v>979</v>
      </c>
      <c r="G45" s="77" t="s">
        <v>1014</v>
      </c>
      <c r="H45" s="101" t="s">
        <v>1043</v>
      </c>
      <c r="I45" s="101" t="s">
        <v>967</v>
      </c>
    </row>
    <row r="46" spans="2:9" ht="30" customHeight="1" x14ac:dyDescent="0.25">
      <c r="B46" s="77" t="s">
        <v>962</v>
      </c>
      <c r="C46" s="77" t="s">
        <v>7</v>
      </c>
      <c r="D46" s="77" t="s">
        <v>979</v>
      </c>
      <c r="E46" s="77" t="s">
        <v>1037</v>
      </c>
      <c r="F46" s="77" t="s">
        <v>979</v>
      </c>
      <c r="G46" s="77" t="s">
        <v>1016</v>
      </c>
      <c r="H46" s="101" t="s">
        <v>1044</v>
      </c>
      <c r="I46" s="101" t="s">
        <v>967</v>
      </c>
    </row>
    <row r="47" spans="2:9" ht="30" customHeight="1" x14ac:dyDescent="0.25">
      <c r="B47" s="77" t="s">
        <v>962</v>
      </c>
      <c r="C47" s="77" t="s">
        <v>7</v>
      </c>
      <c r="D47" s="77" t="s">
        <v>979</v>
      </c>
      <c r="E47" s="77" t="s">
        <v>1037</v>
      </c>
      <c r="F47" s="77" t="s">
        <v>979</v>
      </c>
      <c r="G47" s="77" t="s">
        <v>1018</v>
      </c>
      <c r="H47" s="101" t="s">
        <v>1045</v>
      </c>
      <c r="I47" s="101" t="s">
        <v>967</v>
      </c>
    </row>
    <row r="48" spans="2:9" ht="30" customHeight="1" x14ac:dyDescent="0.25">
      <c r="B48" s="77" t="s">
        <v>962</v>
      </c>
      <c r="C48" s="77" t="s">
        <v>7</v>
      </c>
      <c r="D48" s="77" t="s">
        <v>979</v>
      </c>
      <c r="E48" s="77" t="s">
        <v>1037</v>
      </c>
      <c r="F48" s="77" t="s">
        <v>979</v>
      </c>
      <c r="G48" s="77" t="s">
        <v>1026</v>
      </c>
      <c r="H48" s="101" t="s">
        <v>1046</v>
      </c>
      <c r="I48" s="101" t="s">
        <v>967</v>
      </c>
    </row>
    <row r="49" spans="2:9" ht="30" customHeight="1" x14ac:dyDescent="0.25">
      <c r="B49" s="77" t="s">
        <v>962</v>
      </c>
      <c r="C49" s="77" t="s">
        <v>7</v>
      </c>
      <c r="D49" s="77" t="s">
        <v>979</v>
      </c>
      <c r="E49" s="77" t="s">
        <v>1037</v>
      </c>
      <c r="F49" s="77" t="s">
        <v>979</v>
      </c>
      <c r="G49" s="77" t="s">
        <v>1022</v>
      </c>
      <c r="H49" s="101" t="s">
        <v>1047</v>
      </c>
      <c r="I49" s="101" t="s">
        <v>967</v>
      </c>
    </row>
    <row r="50" spans="2:9" ht="30" customHeight="1" x14ac:dyDescent="0.25">
      <c r="B50" s="77" t="s">
        <v>962</v>
      </c>
      <c r="C50" s="77" t="s">
        <v>7</v>
      </c>
      <c r="D50" s="77" t="s">
        <v>979</v>
      </c>
      <c r="E50" s="77" t="s">
        <v>1037</v>
      </c>
      <c r="F50" s="77" t="s">
        <v>979</v>
      </c>
      <c r="G50" s="77" t="s">
        <v>1048</v>
      </c>
      <c r="H50" s="101" t="s">
        <v>1049</v>
      </c>
      <c r="I50" s="101" t="s">
        <v>967</v>
      </c>
    </row>
    <row r="51" spans="2:9" ht="30" customHeight="1" x14ac:dyDescent="0.25">
      <c r="B51" s="77" t="s">
        <v>962</v>
      </c>
      <c r="C51" s="77" t="s">
        <v>7</v>
      </c>
      <c r="D51" s="77" t="s">
        <v>979</v>
      </c>
      <c r="E51" s="77" t="s">
        <v>1037</v>
      </c>
      <c r="F51" s="77" t="s">
        <v>979</v>
      </c>
      <c r="G51" s="77" t="s">
        <v>1032</v>
      </c>
      <c r="H51" s="101" t="s">
        <v>1050</v>
      </c>
      <c r="I51" s="101" t="s">
        <v>967</v>
      </c>
    </row>
    <row r="52" spans="2:9" ht="30" customHeight="1" x14ac:dyDescent="0.25">
      <c r="B52" s="77" t="s">
        <v>962</v>
      </c>
      <c r="C52" s="77" t="s">
        <v>7</v>
      </c>
      <c r="D52" s="77" t="s">
        <v>979</v>
      </c>
      <c r="E52" s="77" t="s">
        <v>1037</v>
      </c>
      <c r="F52" s="77" t="s">
        <v>979</v>
      </c>
      <c r="G52" s="77" t="s">
        <v>1034</v>
      </c>
      <c r="H52" s="101" t="s">
        <v>1051</v>
      </c>
      <c r="I52" s="101" t="s">
        <v>967</v>
      </c>
    </row>
    <row r="53" spans="2:9" ht="30" customHeight="1" x14ac:dyDescent="0.25">
      <c r="B53" s="77" t="s">
        <v>962</v>
      </c>
      <c r="C53" s="77" t="s">
        <v>7</v>
      </c>
      <c r="D53" s="77" t="s">
        <v>979</v>
      </c>
      <c r="E53" s="77" t="s">
        <v>1037</v>
      </c>
      <c r="F53" s="77" t="s">
        <v>970</v>
      </c>
      <c r="G53" s="77" t="s">
        <v>971</v>
      </c>
      <c r="H53" s="101" t="s">
        <v>1052</v>
      </c>
      <c r="I53" s="98" t="s">
        <v>967</v>
      </c>
    </row>
    <row r="54" spans="2:9" ht="30" hidden="1" customHeight="1" x14ac:dyDescent="0.25">
      <c r="B54" s="129" t="s">
        <v>4</v>
      </c>
      <c r="C54" s="66" t="s">
        <v>5</v>
      </c>
      <c r="D54" s="77" t="s">
        <v>963</v>
      </c>
      <c r="E54" s="77" t="s">
        <v>1053</v>
      </c>
      <c r="F54" s="93" t="s">
        <v>963</v>
      </c>
      <c r="G54" s="93" t="s">
        <v>1054</v>
      </c>
      <c r="H54" s="101" t="s">
        <v>1055</v>
      </c>
      <c r="I54" s="98" t="s">
        <v>967</v>
      </c>
    </row>
    <row r="55" spans="2:9" ht="30" hidden="1" customHeight="1" x14ac:dyDescent="0.25">
      <c r="B55" s="129" t="s">
        <v>4</v>
      </c>
      <c r="C55" s="140" t="s">
        <v>5</v>
      </c>
      <c r="D55" s="77" t="s">
        <v>963</v>
      </c>
      <c r="E55" s="77" t="s">
        <v>1054</v>
      </c>
      <c r="F55" s="77" t="s">
        <v>963</v>
      </c>
      <c r="G55" s="77" t="s">
        <v>1056</v>
      </c>
      <c r="H55" s="101" t="s">
        <v>1057</v>
      </c>
      <c r="I55" s="98" t="s">
        <v>967</v>
      </c>
    </row>
    <row r="56" spans="2:9" ht="30" hidden="1" customHeight="1" x14ac:dyDescent="0.25">
      <c r="B56" s="129" t="s">
        <v>4</v>
      </c>
      <c r="C56" s="140" t="s">
        <v>5</v>
      </c>
      <c r="D56" s="77" t="s">
        <v>963</v>
      </c>
      <c r="E56" s="77" t="s">
        <v>1054</v>
      </c>
      <c r="F56" s="77" t="s">
        <v>963</v>
      </c>
      <c r="G56" s="77" t="s">
        <v>1058</v>
      </c>
      <c r="H56" s="101" t="s">
        <v>1059</v>
      </c>
      <c r="I56" s="98" t="s">
        <v>967</v>
      </c>
    </row>
    <row r="57" spans="2:9" ht="30" hidden="1" customHeight="1" x14ac:dyDescent="0.25">
      <c r="B57" s="129" t="s">
        <v>4</v>
      </c>
      <c r="C57" s="140" t="s">
        <v>5</v>
      </c>
      <c r="D57" s="77" t="s">
        <v>963</v>
      </c>
      <c r="E57" s="77" t="s">
        <v>1053</v>
      </c>
      <c r="F57" s="77" t="s">
        <v>963</v>
      </c>
      <c r="G57" s="77" t="s">
        <v>1060</v>
      </c>
      <c r="H57" s="101" t="s">
        <v>1061</v>
      </c>
      <c r="I57" s="98" t="s">
        <v>967</v>
      </c>
    </row>
    <row r="58" spans="2:9" ht="30" hidden="1" customHeight="1" x14ac:dyDescent="0.25">
      <c r="B58" s="129" t="s">
        <v>4</v>
      </c>
      <c r="C58" s="140" t="s">
        <v>5</v>
      </c>
      <c r="D58" s="77" t="s">
        <v>963</v>
      </c>
      <c r="E58" s="77" t="s">
        <v>1054</v>
      </c>
      <c r="F58" s="77" t="s">
        <v>963</v>
      </c>
      <c r="G58" s="77" t="s">
        <v>1062</v>
      </c>
      <c r="H58" s="101" t="s">
        <v>1063</v>
      </c>
      <c r="I58" s="98" t="s">
        <v>967</v>
      </c>
    </row>
    <row r="59" spans="2:9" x14ac:dyDescent="0.25">
      <c r="B59"/>
      <c r="C59"/>
      <c r="D59"/>
      <c r="E59"/>
      <c r="F59"/>
    </row>
    <row r="60" spans="2:9" x14ac:dyDescent="0.25">
      <c r="B60"/>
      <c r="C60"/>
      <c r="D60"/>
      <c r="E60"/>
      <c r="F60"/>
    </row>
    <row r="61" spans="2:9" x14ac:dyDescent="0.25">
      <c r="B61"/>
      <c r="C61"/>
      <c r="D61"/>
      <c r="E61"/>
      <c r="F61"/>
    </row>
    <row r="62" spans="2:9" x14ac:dyDescent="0.25">
      <c r="B62"/>
      <c r="C62"/>
      <c r="D62"/>
      <c r="E62"/>
      <c r="F62"/>
    </row>
    <row r="63" spans="2:9" x14ac:dyDescent="0.25">
      <c r="B63"/>
      <c r="C63"/>
      <c r="D63"/>
      <c r="E63"/>
      <c r="F63"/>
    </row>
    <row r="64" spans="2:9" x14ac:dyDescent="0.25">
      <c r="B64"/>
      <c r="C64"/>
      <c r="D64"/>
      <c r="E64"/>
      <c r="F64"/>
    </row>
    <row r="65" spans="2:6" x14ac:dyDescent="0.25">
      <c r="B65"/>
      <c r="C65"/>
      <c r="D65"/>
      <c r="E65"/>
      <c r="F65"/>
    </row>
    <row r="66" spans="2:6" x14ac:dyDescent="0.25">
      <c r="B66"/>
      <c r="C66"/>
      <c r="D66"/>
      <c r="E66"/>
      <c r="F66"/>
    </row>
    <row r="67" spans="2:6" x14ac:dyDescent="0.25">
      <c r="B67"/>
      <c r="C67"/>
      <c r="D67"/>
      <c r="E67"/>
      <c r="F67"/>
    </row>
    <row r="68" spans="2:6" x14ac:dyDescent="0.25">
      <c r="B68"/>
      <c r="C68"/>
      <c r="D68"/>
      <c r="E68"/>
      <c r="F68"/>
    </row>
    <row r="69" spans="2:6" x14ac:dyDescent="0.25">
      <c r="B69"/>
      <c r="C69"/>
      <c r="D69"/>
      <c r="E69"/>
      <c r="F69"/>
    </row>
    <row r="70" spans="2:6" x14ac:dyDescent="0.25">
      <c r="B70"/>
      <c r="C70"/>
      <c r="D70"/>
      <c r="E70"/>
      <c r="F70"/>
    </row>
    <row r="71" spans="2:6" x14ac:dyDescent="0.25">
      <c r="B71"/>
      <c r="C71"/>
      <c r="D71"/>
      <c r="E71"/>
      <c r="F71"/>
    </row>
    <row r="72" spans="2:6" x14ac:dyDescent="0.25">
      <c r="B72"/>
      <c r="C72"/>
      <c r="D72"/>
      <c r="E72"/>
      <c r="F72"/>
    </row>
    <row r="73" spans="2:6" x14ac:dyDescent="0.25">
      <c r="B73"/>
      <c r="C73"/>
      <c r="D73"/>
      <c r="E73"/>
      <c r="F73"/>
    </row>
    <row r="74" spans="2:6" x14ac:dyDescent="0.25">
      <c r="B74"/>
      <c r="C74"/>
      <c r="D74"/>
      <c r="E74"/>
      <c r="F74"/>
    </row>
    <row r="75" spans="2:6" x14ac:dyDescent="0.25">
      <c r="B75"/>
      <c r="C75"/>
      <c r="D75"/>
      <c r="E75"/>
      <c r="F75"/>
    </row>
    <row r="76" spans="2:6" x14ac:dyDescent="0.25">
      <c r="B76"/>
      <c r="C76"/>
      <c r="D76"/>
      <c r="E76"/>
      <c r="F76"/>
    </row>
    <row r="77" spans="2:6" x14ac:dyDescent="0.25">
      <c r="B77"/>
      <c r="C77"/>
      <c r="D77"/>
      <c r="E77"/>
      <c r="F77"/>
    </row>
    <row r="78" spans="2:6" x14ac:dyDescent="0.25">
      <c r="B78"/>
      <c r="C78"/>
      <c r="D78"/>
      <c r="E78"/>
      <c r="F78"/>
    </row>
    <row r="79" spans="2:6" x14ac:dyDescent="0.25">
      <c r="B79"/>
      <c r="C79"/>
      <c r="D79"/>
      <c r="E79"/>
      <c r="F79"/>
    </row>
    <row r="80" spans="2:6" x14ac:dyDescent="0.25">
      <c r="B80"/>
      <c r="C80"/>
      <c r="D80"/>
      <c r="E80"/>
      <c r="F80"/>
    </row>
    <row r="81" spans="2:6" x14ac:dyDescent="0.25">
      <c r="B81"/>
      <c r="C81"/>
      <c r="D81"/>
      <c r="E81"/>
      <c r="F81"/>
    </row>
    <row r="82" spans="2:6" x14ac:dyDescent="0.25">
      <c r="B82"/>
      <c r="C82"/>
      <c r="D82"/>
      <c r="E82"/>
      <c r="F82"/>
    </row>
    <row r="83" spans="2:6" x14ac:dyDescent="0.25">
      <c r="B83"/>
      <c r="C83"/>
      <c r="D83"/>
      <c r="E83"/>
      <c r="F83"/>
    </row>
    <row r="84" spans="2:6" x14ac:dyDescent="0.25">
      <c r="B84"/>
      <c r="C84"/>
      <c r="D84"/>
      <c r="E84"/>
      <c r="F84"/>
    </row>
    <row r="85" spans="2:6" x14ac:dyDescent="0.25">
      <c r="B85"/>
      <c r="C85"/>
      <c r="D85"/>
      <c r="E85"/>
      <c r="F85"/>
    </row>
    <row r="86" spans="2:6" x14ac:dyDescent="0.25">
      <c r="B86"/>
      <c r="C86"/>
      <c r="D86"/>
      <c r="E86"/>
      <c r="F86"/>
    </row>
    <row r="87" spans="2:6" x14ac:dyDescent="0.25">
      <c r="B87"/>
      <c r="C87"/>
      <c r="D87"/>
      <c r="E87"/>
      <c r="F87"/>
    </row>
    <row r="88" spans="2:6" x14ac:dyDescent="0.25">
      <c r="B88"/>
      <c r="C88"/>
      <c r="D88"/>
      <c r="E88"/>
      <c r="F88"/>
    </row>
    <row r="89" spans="2:6" x14ac:dyDescent="0.25">
      <c r="B89"/>
      <c r="C89"/>
      <c r="D89"/>
      <c r="E89"/>
      <c r="F89"/>
    </row>
    <row r="90" spans="2:6" x14ac:dyDescent="0.25">
      <c r="B90"/>
      <c r="C90"/>
      <c r="D90"/>
      <c r="E90"/>
      <c r="F90"/>
    </row>
    <row r="91" spans="2:6" x14ac:dyDescent="0.25">
      <c r="B91"/>
      <c r="C91"/>
      <c r="D91"/>
      <c r="E91"/>
      <c r="F91"/>
    </row>
    <row r="92" spans="2:6" x14ac:dyDescent="0.25">
      <c r="B92"/>
      <c r="C92"/>
      <c r="D92"/>
      <c r="E92"/>
      <c r="F92"/>
    </row>
    <row r="93" spans="2:6" x14ac:dyDescent="0.25">
      <c r="B93"/>
      <c r="C93"/>
      <c r="D93"/>
      <c r="E93"/>
      <c r="F93"/>
    </row>
    <row r="94" spans="2:6" x14ac:dyDescent="0.25">
      <c r="B94"/>
      <c r="C94"/>
      <c r="D94"/>
      <c r="E94"/>
      <c r="F94"/>
    </row>
    <row r="95" spans="2:6" x14ac:dyDescent="0.25">
      <c r="B95"/>
      <c r="C95"/>
      <c r="D95"/>
      <c r="E95"/>
      <c r="F95"/>
    </row>
    <row r="96" spans="2:6"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row r="564" spans="2:6" x14ac:dyDescent="0.25">
      <c r="B564"/>
      <c r="C564"/>
      <c r="D564"/>
      <c r="E564"/>
      <c r="F564"/>
    </row>
    <row r="565" spans="2:6" x14ac:dyDescent="0.25">
      <c r="B565"/>
      <c r="C565"/>
      <c r="D565"/>
      <c r="E565"/>
      <c r="F565"/>
    </row>
    <row r="566" spans="2:6" x14ac:dyDescent="0.25">
      <c r="B566"/>
      <c r="C566"/>
      <c r="D566"/>
      <c r="E566"/>
      <c r="F566"/>
    </row>
    <row r="567" spans="2:6" x14ac:dyDescent="0.25">
      <c r="B567"/>
      <c r="C567"/>
      <c r="D567"/>
      <c r="E567"/>
      <c r="F567"/>
    </row>
    <row r="568" spans="2:6" x14ac:dyDescent="0.25">
      <c r="B568"/>
      <c r="C568"/>
      <c r="D568"/>
      <c r="E568"/>
      <c r="F568"/>
    </row>
    <row r="569" spans="2:6" x14ac:dyDescent="0.25">
      <c r="B569"/>
      <c r="C569"/>
      <c r="D569"/>
      <c r="E569"/>
      <c r="F569"/>
    </row>
    <row r="570" spans="2:6" x14ac:dyDescent="0.25">
      <c r="B570"/>
      <c r="C570"/>
      <c r="D570"/>
      <c r="E570"/>
      <c r="F570"/>
    </row>
    <row r="571" spans="2:6" x14ac:dyDescent="0.25">
      <c r="B571"/>
      <c r="C571"/>
      <c r="D571"/>
      <c r="E571"/>
      <c r="F571"/>
    </row>
    <row r="572" spans="2:6" x14ac:dyDescent="0.25">
      <c r="B572"/>
      <c r="C572"/>
      <c r="D572"/>
      <c r="E572"/>
      <c r="F572"/>
    </row>
    <row r="573" spans="2:6" x14ac:dyDescent="0.25">
      <c r="B573"/>
      <c r="C573"/>
      <c r="D573"/>
      <c r="E573"/>
      <c r="F573"/>
    </row>
  </sheetData>
  <pageMargins left="0.7" right="0.7" top="0.75" bottom="0.75" header="0.3" footer="0.3"/>
  <pageSetup paperSize="9" orientation="portrait" r:id="rId1"/>
  <drawing r:id="rId2"/>
  <legacyDrawing r:id="rId3"/>
  <tableParts count="1">
    <tablePart r:id="rId4"/>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3B5-F657-469B-B9C7-E5757661AF5D}">
  <dimension ref="B1:H575"/>
  <sheetViews>
    <sheetView showGridLines="0" topLeftCell="B7" zoomScale="80" zoomScaleNormal="80" workbookViewId="0">
      <selection activeCell="E14" sqref="E13:F14"/>
    </sheetView>
  </sheetViews>
  <sheetFormatPr defaultRowHeight="15" x14ac:dyDescent="0.25"/>
  <cols>
    <col min="2" max="2" width="39.42578125" style="100" bestFit="1" customWidth="1"/>
    <col min="3" max="3" width="43.5703125" style="54" customWidth="1"/>
    <col min="4" max="4" width="47.42578125" customWidth="1"/>
    <col min="5" max="5" width="47" customWidth="1"/>
    <col min="6" max="6" width="122.5703125" customWidth="1"/>
    <col min="7" max="7" width="42.85546875" customWidth="1"/>
    <col min="8" max="8" width="77.42578125" customWidth="1"/>
  </cols>
  <sheetData>
    <row r="1" spans="2:8" ht="42.75" customHeight="1" x14ac:dyDescent="0.25"/>
    <row r="2" spans="2:8" ht="39.75" customHeight="1" x14ac:dyDescent="0.25">
      <c r="B2" s="55" t="s">
        <v>660</v>
      </c>
      <c r="C2" s="55" t="s">
        <v>662</v>
      </c>
      <c r="D2" s="55" t="s">
        <v>1064</v>
      </c>
      <c r="E2" s="55" t="s">
        <v>1065</v>
      </c>
      <c r="F2" s="55" t="s">
        <v>1066</v>
      </c>
      <c r="G2" s="55" t="s">
        <v>1067</v>
      </c>
      <c r="H2" s="55" t="s">
        <v>1068</v>
      </c>
    </row>
    <row r="3" spans="2:8" ht="30" customHeight="1" x14ac:dyDescent="0.25">
      <c r="B3" s="77" t="s">
        <v>962</v>
      </c>
      <c r="C3" s="77" t="s">
        <v>7</v>
      </c>
      <c r="D3" s="77" t="s">
        <v>963</v>
      </c>
      <c r="E3" s="77" t="s">
        <v>1069</v>
      </c>
      <c r="F3" s="101" t="s">
        <v>1070</v>
      </c>
      <c r="G3" s="77" t="s">
        <v>792</v>
      </c>
      <c r="H3" s="77" t="s">
        <v>792</v>
      </c>
    </row>
    <row r="4" spans="2:8" ht="30" customHeight="1" x14ac:dyDescent="0.25">
      <c r="B4" s="77" t="s">
        <v>962</v>
      </c>
      <c r="C4" s="77" t="s">
        <v>7</v>
      </c>
      <c r="D4" s="77" t="s">
        <v>963</v>
      </c>
      <c r="E4" s="77" t="s">
        <v>1071</v>
      </c>
      <c r="F4" s="101" t="s">
        <v>1072</v>
      </c>
      <c r="G4" s="77" t="s">
        <v>792</v>
      </c>
      <c r="H4" s="77" t="s">
        <v>792</v>
      </c>
    </row>
    <row r="5" spans="2:8" ht="30" customHeight="1" x14ac:dyDescent="0.25">
      <c r="B5" s="77" t="s">
        <v>962</v>
      </c>
      <c r="C5" s="77" t="s">
        <v>7</v>
      </c>
      <c r="D5" s="93" t="s">
        <v>970</v>
      </c>
      <c r="E5" s="77" t="s">
        <v>971</v>
      </c>
      <c r="F5" s="101" t="s">
        <v>1073</v>
      </c>
      <c r="G5" s="77" t="s">
        <v>792</v>
      </c>
      <c r="H5" s="77" t="s">
        <v>792</v>
      </c>
    </row>
    <row r="6" spans="2:8" ht="30" customHeight="1" x14ac:dyDescent="0.25">
      <c r="B6" s="77" t="s">
        <v>962</v>
      </c>
      <c r="C6" s="77" t="s">
        <v>7</v>
      </c>
      <c r="D6" s="77" t="s">
        <v>963</v>
      </c>
      <c r="E6" s="77" t="s">
        <v>973</v>
      </c>
      <c r="F6" s="101" t="s">
        <v>1074</v>
      </c>
      <c r="G6" s="77" t="s">
        <v>792</v>
      </c>
      <c r="H6" s="77" t="s">
        <v>792</v>
      </c>
    </row>
    <row r="7" spans="2:8" ht="30" customHeight="1" x14ac:dyDescent="0.25">
      <c r="B7" s="77" t="s">
        <v>962</v>
      </c>
      <c r="C7" s="77" t="s">
        <v>7</v>
      </c>
      <c r="D7" s="77" t="s">
        <v>963</v>
      </c>
      <c r="E7" s="77" t="s">
        <v>975</v>
      </c>
      <c r="F7" s="101" t="s">
        <v>1075</v>
      </c>
      <c r="G7" s="77" t="s">
        <v>792</v>
      </c>
      <c r="H7" s="77" t="s">
        <v>792</v>
      </c>
    </row>
    <row r="8" spans="2:8" ht="30" customHeight="1" x14ac:dyDescent="0.25">
      <c r="B8" s="77" t="s">
        <v>962</v>
      </c>
      <c r="C8" s="77" t="s">
        <v>7</v>
      </c>
      <c r="D8" s="93" t="s">
        <v>979</v>
      </c>
      <c r="E8" s="77" t="s">
        <v>999</v>
      </c>
      <c r="F8" s="101" t="s">
        <v>1076</v>
      </c>
      <c r="G8" s="77" t="s">
        <v>792</v>
      </c>
      <c r="H8" s="77" t="s">
        <v>792</v>
      </c>
    </row>
    <row r="9" spans="2:8" ht="30" customHeight="1" x14ac:dyDescent="0.25">
      <c r="B9" s="77" t="s">
        <v>962</v>
      </c>
      <c r="C9" s="77" t="s">
        <v>7</v>
      </c>
      <c r="D9" s="77" t="s">
        <v>979</v>
      </c>
      <c r="E9" s="77" t="s">
        <v>994</v>
      </c>
      <c r="F9" s="101" t="s">
        <v>1077</v>
      </c>
      <c r="G9" s="77" t="s">
        <v>792</v>
      </c>
      <c r="H9" s="77" t="s">
        <v>792</v>
      </c>
    </row>
    <row r="10" spans="2:8" ht="30" customHeight="1" x14ac:dyDescent="0.25">
      <c r="B10" s="77" t="s">
        <v>962</v>
      </c>
      <c r="C10" s="77" t="s">
        <v>7</v>
      </c>
      <c r="D10" s="93" t="s">
        <v>979</v>
      </c>
      <c r="E10" s="77" t="s">
        <v>997</v>
      </c>
      <c r="F10" s="101" t="s">
        <v>1078</v>
      </c>
      <c r="G10" s="77" t="s">
        <v>792</v>
      </c>
      <c r="H10" s="77" t="s">
        <v>792</v>
      </c>
    </row>
    <row r="11" spans="2:8" ht="30" customHeight="1" x14ac:dyDescent="0.25">
      <c r="B11" s="77" t="s">
        <v>962</v>
      </c>
      <c r="C11" s="77" t="s">
        <v>7</v>
      </c>
      <c r="D11" s="93" t="s">
        <v>979</v>
      </c>
      <c r="E11" s="77" t="s">
        <v>1079</v>
      </c>
      <c r="F11" s="77" t="s">
        <v>1080</v>
      </c>
      <c r="G11" s="77" t="s">
        <v>792</v>
      </c>
      <c r="H11" s="77" t="s">
        <v>792</v>
      </c>
    </row>
    <row r="12" spans="2:8" ht="30" customHeight="1" x14ac:dyDescent="0.25">
      <c r="B12" s="77" t="s">
        <v>962</v>
      </c>
      <c r="C12" s="77" t="s">
        <v>7</v>
      </c>
      <c r="D12" s="93" t="s">
        <v>979</v>
      </c>
      <c r="E12" s="77" t="s">
        <v>1081</v>
      </c>
      <c r="F12" s="77" t="s">
        <v>1082</v>
      </c>
      <c r="G12" s="77" t="s">
        <v>792</v>
      </c>
      <c r="H12" s="77" t="s">
        <v>792</v>
      </c>
    </row>
    <row r="13" spans="2:8" ht="30" customHeight="1" x14ac:dyDescent="0.25">
      <c r="B13" s="77" t="s">
        <v>962</v>
      </c>
      <c r="C13" s="77" t="s">
        <v>7</v>
      </c>
      <c r="D13" s="77" t="s">
        <v>979</v>
      </c>
      <c r="E13" s="77" t="s">
        <v>1004</v>
      </c>
      <c r="F13" s="101" t="s">
        <v>1083</v>
      </c>
      <c r="G13" s="77" t="s">
        <v>792</v>
      </c>
      <c r="H13" s="77" t="s">
        <v>792</v>
      </c>
    </row>
    <row r="14" spans="2:8" ht="30" customHeight="1" x14ac:dyDescent="0.25">
      <c r="B14" s="77" t="s">
        <v>962</v>
      </c>
      <c r="C14" s="77" t="s">
        <v>7</v>
      </c>
      <c r="D14" s="77" t="s">
        <v>979</v>
      </c>
      <c r="E14" s="77" t="s">
        <v>1037</v>
      </c>
      <c r="F14" s="101" t="s">
        <v>1083</v>
      </c>
      <c r="G14" s="77" t="s">
        <v>792</v>
      </c>
      <c r="H14" s="77" t="s">
        <v>792</v>
      </c>
    </row>
    <row r="15" spans="2:8" ht="30" customHeight="1" x14ac:dyDescent="0.25">
      <c r="B15" s="77" t="s">
        <v>962</v>
      </c>
      <c r="C15" s="77" t="s">
        <v>7</v>
      </c>
      <c r="D15" s="77" t="s">
        <v>979</v>
      </c>
      <c r="E15" s="77" t="s">
        <v>1005</v>
      </c>
      <c r="F15" s="101" t="s">
        <v>1084</v>
      </c>
      <c r="G15" s="77" t="s">
        <v>792</v>
      </c>
      <c r="H15" s="77" t="s">
        <v>792</v>
      </c>
    </row>
    <row r="16" spans="2:8" ht="30" customHeight="1" x14ac:dyDescent="0.25">
      <c r="B16" s="77" t="s">
        <v>962</v>
      </c>
      <c r="C16" s="77" t="s">
        <v>7</v>
      </c>
      <c r="D16" s="77" t="s">
        <v>979</v>
      </c>
      <c r="E16" s="77" t="s">
        <v>1007</v>
      </c>
      <c r="F16" s="101" t="s">
        <v>1085</v>
      </c>
      <c r="G16" s="77" t="s">
        <v>792</v>
      </c>
      <c r="H16" s="77" t="s">
        <v>792</v>
      </c>
    </row>
    <row r="17" spans="2:8" ht="30" customHeight="1" x14ac:dyDescent="0.25">
      <c r="B17" s="77" t="s">
        <v>962</v>
      </c>
      <c r="C17" s="77" t="s">
        <v>7</v>
      </c>
      <c r="D17" s="77" t="s">
        <v>979</v>
      </c>
      <c r="E17" s="77" t="s">
        <v>1010</v>
      </c>
      <c r="F17" s="101" t="s">
        <v>1086</v>
      </c>
      <c r="G17" s="77" t="s">
        <v>792</v>
      </c>
      <c r="H17" s="77" t="s">
        <v>792</v>
      </c>
    </row>
    <row r="18" spans="2:8" ht="30" customHeight="1" x14ac:dyDescent="0.25">
      <c r="B18" s="77" t="s">
        <v>962</v>
      </c>
      <c r="C18" s="77" t="s">
        <v>7</v>
      </c>
      <c r="D18" s="77" t="s">
        <v>979</v>
      </c>
      <c r="E18" s="77" t="s">
        <v>1012</v>
      </c>
      <c r="F18" s="101" t="s">
        <v>1087</v>
      </c>
      <c r="G18" s="77" t="s">
        <v>792</v>
      </c>
      <c r="H18" s="77" t="s">
        <v>792</v>
      </c>
    </row>
    <row r="19" spans="2:8" ht="30" customHeight="1" x14ac:dyDescent="0.25">
      <c r="B19" s="77" t="s">
        <v>962</v>
      </c>
      <c r="C19" s="77" t="s">
        <v>7</v>
      </c>
      <c r="D19" s="77" t="s">
        <v>979</v>
      </c>
      <c r="E19" s="77" t="s">
        <v>1014</v>
      </c>
      <c r="F19" s="101" t="s">
        <v>1088</v>
      </c>
      <c r="G19" s="77" t="s">
        <v>792</v>
      </c>
      <c r="H19" s="77" t="s">
        <v>792</v>
      </c>
    </row>
    <row r="20" spans="2:8" ht="30" customHeight="1" x14ac:dyDescent="0.25">
      <c r="B20" s="77" t="s">
        <v>962</v>
      </c>
      <c r="C20" s="77" t="s">
        <v>7</v>
      </c>
      <c r="D20" s="77" t="s">
        <v>979</v>
      </c>
      <c r="E20" s="77" t="s">
        <v>1016</v>
      </c>
      <c r="F20" s="101" t="s">
        <v>1089</v>
      </c>
      <c r="G20" s="77" t="s">
        <v>792</v>
      </c>
      <c r="H20" s="77" t="s">
        <v>792</v>
      </c>
    </row>
    <row r="21" spans="2:8" ht="30" customHeight="1" x14ac:dyDescent="0.25">
      <c r="B21" s="77" t="s">
        <v>962</v>
      </c>
      <c r="C21" s="77" t="s">
        <v>7</v>
      </c>
      <c r="D21" s="77" t="s">
        <v>979</v>
      </c>
      <c r="E21" s="77" t="s">
        <v>1018</v>
      </c>
      <c r="F21" s="101" t="s">
        <v>1090</v>
      </c>
      <c r="G21" s="77" t="s">
        <v>792</v>
      </c>
      <c r="H21" s="77" t="s">
        <v>792</v>
      </c>
    </row>
    <row r="22" spans="2:8" ht="30" customHeight="1" x14ac:dyDescent="0.25">
      <c r="B22" s="77" t="s">
        <v>962</v>
      </c>
      <c r="C22" s="77" t="s">
        <v>7</v>
      </c>
      <c r="D22" s="77" t="s">
        <v>979</v>
      </c>
      <c r="E22" s="77" t="s">
        <v>1026</v>
      </c>
      <c r="F22" s="101" t="s">
        <v>1091</v>
      </c>
      <c r="G22" s="77" t="s">
        <v>792</v>
      </c>
      <c r="H22" s="77" t="s">
        <v>792</v>
      </c>
    </row>
    <row r="23" spans="2:8" ht="30" customHeight="1" x14ac:dyDescent="0.25">
      <c r="B23" s="77" t="s">
        <v>962</v>
      </c>
      <c r="C23" s="77" t="s">
        <v>7</v>
      </c>
      <c r="D23" s="77" t="s">
        <v>979</v>
      </c>
      <c r="E23" s="77" t="s">
        <v>1022</v>
      </c>
      <c r="F23" s="101" t="s">
        <v>1092</v>
      </c>
      <c r="G23" s="77" t="s">
        <v>792</v>
      </c>
      <c r="H23" s="77" t="s">
        <v>792</v>
      </c>
    </row>
    <row r="24" spans="2:8" ht="30" customHeight="1" x14ac:dyDescent="0.25">
      <c r="B24" s="77" t="s">
        <v>962</v>
      </c>
      <c r="C24" s="77" t="s">
        <v>7</v>
      </c>
      <c r="D24" s="77" t="s">
        <v>979</v>
      </c>
      <c r="E24" s="77" t="s">
        <v>1029</v>
      </c>
      <c r="F24" s="101" t="s">
        <v>1093</v>
      </c>
      <c r="G24" s="77" t="s">
        <v>792</v>
      </c>
      <c r="H24" s="77" t="s">
        <v>792</v>
      </c>
    </row>
    <row r="25" spans="2:8" ht="30" customHeight="1" x14ac:dyDescent="0.25">
      <c r="B25" s="77" t="s">
        <v>962</v>
      </c>
      <c r="C25" s="77" t="s">
        <v>7</v>
      </c>
      <c r="D25" s="77" t="s">
        <v>979</v>
      </c>
      <c r="E25" s="77" t="s">
        <v>1032</v>
      </c>
      <c r="F25" s="77" t="s">
        <v>1094</v>
      </c>
      <c r="G25" s="77" t="s">
        <v>792</v>
      </c>
      <c r="H25" s="77" t="s">
        <v>792</v>
      </c>
    </row>
    <row r="26" spans="2:8" ht="30" customHeight="1" x14ac:dyDescent="0.25">
      <c r="B26" s="77" t="s">
        <v>962</v>
      </c>
      <c r="C26" s="77" t="s">
        <v>7</v>
      </c>
      <c r="D26" s="77" t="s">
        <v>979</v>
      </c>
      <c r="E26" s="77" t="s">
        <v>1034</v>
      </c>
      <c r="F26" s="101" t="s">
        <v>1095</v>
      </c>
      <c r="G26" s="77" t="s">
        <v>792</v>
      </c>
      <c r="H26" s="77" t="s">
        <v>792</v>
      </c>
    </row>
    <row r="27" spans="2:8" ht="30" hidden="1" customHeight="1" x14ac:dyDescent="0.25">
      <c r="B27" s="93" t="s">
        <v>962</v>
      </c>
      <c r="C27" s="93" t="s">
        <v>5</v>
      </c>
      <c r="D27" s="93" t="s">
        <v>963</v>
      </c>
      <c r="E27" s="93" t="s">
        <v>1053</v>
      </c>
      <c r="F27" s="93" t="s">
        <v>1096</v>
      </c>
      <c r="G27" s="93" t="s">
        <v>792</v>
      </c>
      <c r="H27" s="93" t="s">
        <v>792</v>
      </c>
    </row>
    <row r="28" spans="2:8" ht="30" hidden="1" customHeight="1" x14ac:dyDescent="0.25">
      <c r="B28" s="93" t="s">
        <v>962</v>
      </c>
      <c r="C28" s="93" t="s">
        <v>5</v>
      </c>
      <c r="D28" s="93" t="s">
        <v>963</v>
      </c>
      <c r="E28" s="93" t="s">
        <v>1054</v>
      </c>
      <c r="F28" s="98" t="s">
        <v>1097</v>
      </c>
      <c r="G28" s="93" t="s">
        <v>792</v>
      </c>
      <c r="H28" s="93" t="s">
        <v>792</v>
      </c>
    </row>
    <row r="29" spans="2:8" ht="30" hidden="1" customHeight="1" x14ac:dyDescent="0.25">
      <c r="B29" s="93" t="s">
        <v>962</v>
      </c>
      <c r="C29" s="93" t="s">
        <v>5</v>
      </c>
      <c r="D29" s="93" t="s">
        <v>963</v>
      </c>
      <c r="E29" s="93" t="s">
        <v>1060</v>
      </c>
      <c r="F29" s="93" t="s">
        <v>1098</v>
      </c>
      <c r="G29" s="93" t="s">
        <v>792</v>
      </c>
      <c r="H29" s="93" t="s">
        <v>792</v>
      </c>
    </row>
    <row r="30" spans="2:8" ht="30" hidden="1" customHeight="1" x14ac:dyDescent="0.25">
      <c r="B30" s="93" t="s">
        <v>962</v>
      </c>
      <c r="C30" s="93" t="s">
        <v>5</v>
      </c>
      <c r="D30" s="93" t="s">
        <v>963</v>
      </c>
      <c r="E30" s="93" t="s">
        <v>1062</v>
      </c>
      <c r="F30" s="98" t="s">
        <v>1099</v>
      </c>
      <c r="G30" s="93" t="s">
        <v>792</v>
      </c>
      <c r="H30" s="93" t="s">
        <v>792</v>
      </c>
    </row>
    <row r="31" spans="2:8" ht="30" hidden="1" customHeight="1" x14ac:dyDescent="0.25">
      <c r="B31" s="93" t="s">
        <v>962</v>
      </c>
      <c r="C31" s="93" t="s">
        <v>5</v>
      </c>
      <c r="D31" s="93" t="s">
        <v>963</v>
      </c>
      <c r="E31" s="93" t="s">
        <v>1058</v>
      </c>
      <c r="F31" s="93" t="s">
        <v>1100</v>
      </c>
      <c r="G31" s="93" t="s">
        <v>792</v>
      </c>
      <c r="H31" s="93" t="s">
        <v>792</v>
      </c>
    </row>
    <row r="32" spans="2:8" ht="30" hidden="1" customHeight="1" x14ac:dyDescent="0.25">
      <c r="B32" s="93" t="s">
        <v>962</v>
      </c>
      <c r="C32" s="93" t="s">
        <v>5</v>
      </c>
      <c r="D32" s="93" t="s">
        <v>963</v>
      </c>
      <c r="E32" s="93" t="s">
        <v>1056</v>
      </c>
      <c r="F32" s="93" t="s">
        <v>1101</v>
      </c>
      <c r="G32" s="93" t="s">
        <v>792</v>
      </c>
      <c r="H32" s="93" t="s">
        <v>792</v>
      </c>
    </row>
    <row r="33" spans="2:3" x14ac:dyDescent="0.25">
      <c r="B33"/>
      <c r="C33"/>
    </row>
    <row r="34" spans="2:3" x14ac:dyDescent="0.25">
      <c r="B34"/>
      <c r="C34"/>
    </row>
    <row r="35" spans="2:3" x14ac:dyDescent="0.25">
      <c r="B35"/>
      <c r="C35"/>
    </row>
    <row r="36" spans="2:3" ht="39.75" customHeight="1" x14ac:dyDescent="0.25">
      <c r="B36"/>
      <c r="C36"/>
    </row>
    <row r="37" spans="2:3" ht="39.75" customHeight="1" x14ac:dyDescent="0.25">
      <c r="B37"/>
      <c r="C37"/>
    </row>
    <row r="38" spans="2:3" ht="39.75" customHeight="1" x14ac:dyDescent="0.25">
      <c r="B38"/>
      <c r="C38"/>
    </row>
    <row r="39" spans="2:3" ht="39.75" customHeight="1" x14ac:dyDescent="0.25">
      <c r="B39"/>
      <c r="C39"/>
    </row>
    <row r="40" spans="2:3" x14ac:dyDescent="0.25">
      <c r="B40"/>
      <c r="C40"/>
    </row>
    <row r="41" spans="2:3" x14ac:dyDescent="0.25">
      <c r="B41"/>
      <c r="C41"/>
    </row>
    <row r="42" spans="2:3" x14ac:dyDescent="0.25">
      <c r="B42"/>
      <c r="C42"/>
    </row>
    <row r="43" spans="2:3" x14ac:dyDescent="0.25">
      <c r="B43"/>
      <c r="C43"/>
    </row>
    <row r="44" spans="2:3" x14ac:dyDescent="0.25">
      <c r="B44"/>
      <c r="C44"/>
    </row>
    <row r="45" spans="2:3" x14ac:dyDescent="0.25">
      <c r="B45"/>
      <c r="C45"/>
    </row>
    <row r="46" spans="2:3" x14ac:dyDescent="0.25">
      <c r="B46"/>
      <c r="C46"/>
    </row>
    <row r="47" spans="2:3" x14ac:dyDescent="0.25">
      <c r="B47"/>
      <c r="C47"/>
    </row>
    <row r="48" spans="2: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sheetData>
  <pageMargins left="0.7" right="0.7" top="0.75" bottom="0.75" header="0.3" footer="0.3"/>
  <pageSetup paperSize="9" orientation="portrait" r:id="rId1"/>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AF14F1-3FC4-4A7F-94FA-927DB2011F49}"/>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d0a304b7-9eaa-486b-a31e-7435950b811b"/>
    <ds:schemaRef ds:uri="218c8cf0-c44c-4363-8468-530bf05c9d52"/>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Capa</vt:lpstr>
      <vt:lpstr>Lista</vt:lpstr>
      <vt:lpstr>Sheet1</vt:lpstr>
      <vt:lpstr>Sheet2</vt:lpstr>
      <vt:lpstr>Sheet5</vt:lpstr>
      <vt:lpstr>Sheet3</vt:lpstr>
      <vt:lpstr>Sheet4</vt:lpstr>
      <vt:lpstr>Tabelas</vt:lpstr>
      <vt:lpstr>Sheet6</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Hélder Filipe Felicidade Fernandes</cp:lastModifiedBy>
  <cp:revision/>
  <dcterms:created xsi:type="dcterms:W3CDTF">2023-01-24T18:52:31Z</dcterms:created>
  <dcterms:modified xsi:type="dcterms:W3CDTF">2026-02-27T17:43:58Z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2024-09-02T16:14:22Z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857805a1-e3cb-4e57-858b-8861d32bc55d</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