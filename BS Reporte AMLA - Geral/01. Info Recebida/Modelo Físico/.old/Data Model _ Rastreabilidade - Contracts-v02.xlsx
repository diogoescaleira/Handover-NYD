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namedSheetViews/namedSheetView1.xml" ContentType="application/vnd.ms-excel.namedsheetview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saveExternalLinkValues="0"/>
  <mc:AlternateContent xmlns:mc="http://schemas.openxmlformats.org/markup-compatibility/2006">
    <mc:Choice Requires="x15">
      <x15ac:absPath xmlns:x15ac="http://schemas.microsoft.com/office/spreadsheetml/2010/11/ac" url="https://santandernet.sharepoint.com/sites/MCDProjectTeam/Shared Documents/General/Modelo Físico/"/>
    </mc:Choice>
  </mc:AlternateContent>
  <xr:revisionPtr revIDLastSave="132" documentId="11_E4201971C459C0907058F53887F13C8A33CFD7F2" xr6:coauthVersionLast="47" xr6:coauthVersionMax="47" xr10:uidLastSave="{01F2AA2C-D732-4E9F-A001-46FEE365DE97}"/>
  <bookViews>
    <workbookView xWindow="-98" yWindow="-98" windowWidth="20715" windowHeight="13276" tabRatio="636" firstSheet="7" activeTab="7" xr2:uid="{00000000-000D-0000-FFFF-FFFF00000000}"/>
  </bookViews>
  <sheets>
    <sheet name="Capa" sheetId="1" r:id="rId1"/>
    <sheet name="Lista" sheetId="38" r:id="rId2"/>
    <sheet name="Sheet1" sheetId="19" state="hidden" r:id="rId3"/>
    <sheet name="Sheet2" sheetId="20" state="hidden" r:id="rId4"/>
    <sheet name="Sheet5" sheetId="28" state="hidden" r:id="rId5"/>
    <sheet name="Sheet3" sheetId="21" state="hidden" r:id="rId6"/>
    <sheet name="Sheet4" sheetId="22" state="hidden" r:id="rId7"/>
    <sheet name="Tabelas" sheetId="8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___INDEX_SHEET___ASAP_Utilities" localSheetId="7">#REF!</definedName>
    <definedName name="___INDEX_SHEET___ASAP_Utilities">#REF!</definedName>
    <definedName name="__123Graph_A" localSheetId="7" hidden="1">'[1]NJ-CA-MA-CT_jun06'!#REF!</definedName>
    <definedName name="__123Graph_A" hidden="1">'[1]NJ-CA-MA-CT_jun06'!#REF!</definedName>
    <definedName name="__123Graph_B" localSheetId="7" hidden="1">'[1]NJ-CA-MA-CT_jun06'!#REF!</definedName>
    <definedName name="__123Graph_B" hidden="1">'[1]NJ-CA-MA-CT_jun06'!#REF!</definedName>
    <definedName name="__123Graph_X" localSheetId="7" hidden="1">'[1]NJ-CA-MA-CT_jun06'!#REF!</definedName>
    <definedName name="__123Graph_X" hidden="1">'[1]NJ-CA-MA-CT_jun06'!#REF!</definedName>
    <definedName name="_xlnm._FilterDatabase" localSheetId="7" hidden="1">Tabelas!$A$7:$Y$99</definedName>
    <definedName name="a" localSheetId="1" hidden="1">'[1]NJ-CA-MA-CT_jun06'!#REF!</definedName>
    <definedName name="a" localSheetId="7" hidden="1">'[1]NJ-CA-MA-CT_jun06'!#REF!</definedName>
    <definedName name="a" hidden="1">'[1]NJ-CA-MA-CT_jun06'!#REF!</definedName>
    <definedName name="AS2DocOpenMode" hidden="1">"AS2DocumentEdit"</definedName>
    <definedName name="AS2ReportLS" hidden="1">1</definedName>
    <definedName name="AS2SyncStepLS" hidden="1">0</definedName>
    <definedName name="AS2TickmarkLS" localSheetId="7" hidden="1">#REF!</definedName>
    <definedName name="AS2TickmarkLS" hidden="1">#REF!</definedName>
    <definedName name="AS2VersionLS" hidden="1">300</definedName>
    <definedName name="b" localSheetId="7" hidden="1">'[1]NJ-CA-MA-CT_jun06'!#REF!</definedName>
    <definedName name="b" hidden="1">'[1]NJ-CA-MA-CT_jun06'!#REF!</definedName>
    <definedName name="BG_Del" hidden="1">15</definedName>
    <definedName name="BG_Ins" hidden="1">4</definedName>
    <definedName name="BG_Mod" hidden="1">6</definedName>
    <definedName name="E0621_TIP_IMPT">#REF!</definedName>
    <definedName name="efdsafavc" localSheetId="1" hidden="1">'[2]Carteira de Títulos'!#REF!</definedName>
    <definedName name="efdsafavc" localSheetId="7" hidden="1">'[2]Carteira de Títulos'!#REF!</definedName>
    <definedName name="efdsafavc" hidden="1">'[2]Carteira de Títulos'!#REF!</definedName>
    <definedName name="G7009_S1EMP">#REF!</definedName>
    <definedName name="G7014_CODSISTE">#REF!</definedName>
    <definedName name="G7014_IDSISTE">#REF!</definedName>
    <definedName name="G7015_CODSISTE">#REF!</definedName>
    <definedName name="G7015_IDSISTE">#REF!</definedName>
    <definedName name="G7017_CODSISTE">#REF!</definedName>
    <definedName name="G7018_BIENGAR1">#REF!</definedName>
    <definedName name="G7018_CODSISTE">#REF!</definedName>
    <definedName name="G7022_CODSISTE">#REF!</definedName>
    <definedName name="JM_INTERV_CTO_Fluxo">#REF!</definedName>
    <definedName name="JM_POSIC_CONTR_fluxo">#REF!</definedName>
    <definedName name="JM_TRZ_CONTRATO_Fluxo">#REF!</definedName>
    <definedName name="N0625_IMPORTH">#REF!</definedName>
    <definedName name="nm" localSheetId="1" hidden="1">'[3]Carteira 21'!#REF!</definedName>
    <definedName name="nm" localSheetId="7" hidden="1">'[3]Carteira 21'!#REF!</definedName>
    <definedName name="nm" hidden="1">'[3]Carteira 21'!#REF!</definedName>
    <definedName name="T1756_ADN">#REF!</definedName>
    <definedName name="Tipo_controlo" localSheetId="1">#REF!</definedName>
    <definedName name="Tipo_controlo" localSheetId="7">#REF!</definedName>
    <definedName name="Tipo_controlo">#REF!</definedName>
    <definedName name="Tipocontrolo" localSheetId="7">#REF!</definedName>
    <definedName name="Tipocontrolo">#REF!</definedName>
    <definedName name="XREF_COLUMN_1" localSheetId="1" hidden="1">'[4]Carteira 20'!#REF!</definedName>
    <definedName name="XREF_COLUMN_1" localSheetId="7" hidden="1">'[4]Carteira 20'!#REF!</definedName>
    <definedName name="XREF_COLUMN_1" hidden="1">'[4]Carteira 20'!#REF!</definedName>
    <definedName name="XREF_COLUMN_2" localSheetId="1" hidden="1">'[3]Carteira 21'!#REF!</definedName>
    <definedName name="XREF_COLUMN_2" localSheetId="7" hidden="1">'[3]Carteira 21'!#REF!</definedName>
    <definedName name="XREF_COLUMN_2" hidden="1">'[3]Carteira 21'!#REF!</definedName>
    <definedName name="XREF_COLUMN_3" localSheetId="1" hidden="1">'[3]Carteira 21'!#REF!</definedName>
    <definedName name="XREF_COLUMN_3" localSheetId="7" hidden="1">'[3]Carteira 21'!#REF!</definedName>
    <definedName name="XREF_COLUMN_3" hidden="1">'[3]Carteira 21'!#REF!</definedName>
    <definedName name="XREF_COLUMN_4" localSheetId="1" hidden="1">'[2]Carteira de Títulos'!#REF!</definedName>
    <definedName name="XREF_COLUMN_4" localSheetId="7" hidden="1">'[2]Carteira de Títulos'!#REF!</definedName>
    <definedName name="XREF_COLUMN_4" hidden="1">'[2]Carteira de Títulos'!#REF!</definedName>
    <definedName name="XREF_COLUMN_5" localSheetId="1" hidden="1">'[2]Carteira de Títulos'!#REF!</definedName>
    <definedName name="XREF_COLUMN_5" localSheetId="7" hidden="1">'[2]Carteira de Títulos'!#REF!</definedName>
    <definedName name="XREF_COLUMN_5" hidden="1">'[2]Carteira de Títulos'!#REF!</definedName>
    <definedName name="XREF_COLUMN_7" localSheetId="1" hidden="1">'[3]Carteira 21'!#REF!</definedName>
    <definedName name="XREF_COLUMN_7" localSheetId="7" hidden="1">'[3]Carteira 21'!#REF!</definedName>
    <definedName name="XREF_COLUMN_7" hidden="1">'[3]Carteira 21'!#REF!</definedName>
    <definedName name="XRefColumnsCount" hidden="1">6</definedName>
    <definedName name="XRefCopy1" localSheetId="1" hidden="1">'[3]Carteira 21'!#REF!</definedName>
    <definedName name="XRefCopy1" localSheetId="7" hidden="1">'[3]Carteira 21'!#REF!</definedName>
    <definedName name="XRefCopy1" hidden="1">'[3]Carteira 21'!#REF!</definedName>
    <definedName name="XRefCopy10" localSheetId="1" hidden="1">'[3]Carteira 21'!#REF!</definedName>
    <definedName name="XRefCopy10" localSheetId="7" hidden="1">'[3]Carteira 21'!#REF!</definedName>
    <definedName name="XRefCopy10" hidden="1">'[3]Carteira 21'!#REF!</definedName>
    <definedName name="XRefCopy11" localSheetId="1" hidden="1">'[3]Carteira 21'!#REF!</definedName>
    <definedName name="XRefCopy11" localSheetId="7" hidden="1">'[3]Carteira 21'!#REF!</definedName>
    <definedName name="XRefCopy11" hidden="1">'[3]Carteira 21'!#REF!</definedName>
    <definedName name="XRefCopy11Row" localSheetId="1" hidden="1">#REF!</definedName>
    <definedName name="XRefCopy11Row" localSheetId="7" hidden="1">#REF!</definedName>
    <definedName name="XRefCopy11Row" hidden="1">#REF!</definedName>
    <definedName name="XRefCopy12" localSheetId="1" hidden="1">'[3]Carteira 21'!#REF!</definedName>
    <definedName name="XRefCopy12" localSheetId="7" hidden="1">'[3]Carteira 21'!#REF!</definedName>
    <definedName name="XRefCopy12" hidden="1">'[3]Carteira 21'!#REF!</definedName>
    <definedName name="XRefCopy12Row" localSheetId="1" hidden="1">#REF!</definedName>
    <definedName name="XRefCopy12Row" localSheetId="7" hidden="1">#REF!</definedName>
    <definedName name="XRefCopy12Row" hidden="1">#REF!</definedName>
    <definedName name="XRefCopy13" localSheetId="1" hidden="1">'[3]Carteira 21'!#REF!</definedName>
    <definedName name="XRefCopy13" localSheetId="7" hidden="1">'[3]Carteira 21'!#REF!</definedName>
    <definedName name="XRefCopy13" hidden="1">'[3]Carteira 21'!#REF!</definedName>
    <definedName name="XRefCopy13Row" localSheetId="1" hidden="1">[5]XREF!#REF!</definedName>
    <definedName name="XRefCopy13Row" localSheetId="7" hidden="1">[5]XREF!#REF!</definedName>
    <definedName name="XRefCopy13Row" hidden="1">[5]XREF!#REF!</definedName>
    <definedName name="XRefCopy14" localSheetId="1" hidden="1">'[4]Carteira 20'!#REF!</definedName>
    <definedName name="XRefCopy14" localSheetId="7" hidden="1">'[4]Carteira 20'!#REF!</definedName>
    <definedName name="XRefCopy14" hidden="1">'[4]Carteira 20'!#REF!</definedName>
    <definedName name="XRefCopy14Row" localSheetId="1" hidden="1">#REF!</definedName>
    <definedName name="XRefCopy14Row" localSheetId="7" hidden="1">#REF!</definedName>
    <definedName name="XRefCopy14Row" hidden="1">#REF!</definedName>
    <definedName name="XRefCopy15" localSheetId="1" hidden="1">'[3]Carteira 21'!#REF!</definedName>
    <definedName name="XRefCopy15" localSheetId="7" hidden="1">'[3]Carteira 21'!#REF!</definedName>
    <definedName name="XRefCopy15" hidden="1">'[3]Carteira 21'!#REF!</definedName>
    <definedName name="XRefCopy15Row" localSheetId="1" hidden="1">#REF!</definedName>
    <definedName name="XRefCopy15Row" localSheetId="7" hidden="1">#REF!</definedName>
    <definedName name="XRefCopy15Row" hidden="1">#REF!</definedName>
    <definedName name="XRefCopy17Row" localSheetId="1" hidden="1">[5]XREF!#REF!</definedName>
    <definedName name="XRefCopy17Row" localSheetId="7" hidden="1">[5]XREF!#REF!</definedName>
    <definedName name="XRefCopy17Row" hidden="1">[5]XREF!#REF!</definedName>
    <definedName name="XRefCopy18Row" localSheetId="1" hidden="1">[5]XREF!#REF!</definedName>
    <definedName name="XRefCopy18Row" localSheetId="7" hidden="1">[5]XREF!#REF!</definedName>
    <definedName name="XRefCopy18Row" hidden="1">[5]XREF!#REF!</definedName>
    <definedName name="XRefCopy19Row" localSheetId="1" hidden="1">[5]XREF!#REF!</definedName>
    <definedName name="XRefCopy19Row" localSheetId="7" hidden="1">[5]XREF!#REF!</definedName>
    <definedName name="XRefCopy19Row" hidden="1">[5]XREF!#REF!</definedName>
    <definedName name="XRefCopy1Row" localSheetId="1" hidden="1">#REF!</definedName>
    <definedName name="XRefCopy1Row" localSheetId="7" hidden="1">#REF!</definedName>
    <definedName name="XRefCopy1Row" hidden="1">#REF!</definedName>
    <definedName name="XRefCopy2" localSheetId="1" hidden="1">'[4]Carteira 20'!#REF!</definedName>
    <definedName name="XRefCopy2" localSheetId="7" hidden="1">'[4]Carteira 20'!#REF!</definedName>
    <definedName name="XRefCopy2" hidden="1">'[4]Carteira 20'!#REF!</definedName>
    <definedName name="XRefCopy20Row" localSheetId="1" hidden="1">[2]XREF!#REF!</definedName>
    <definedName name="XRefCopy20Row" localSheetId="7" hidden="1">[2]XREF!#REF!</definedName>
    <definedName name="XRefCopy20Row" hidden="1">[2]XREF!#REF!</definedName>
    <definedName name="XRefCopy24" localSheetId="1" hidden="1">'[2]Carteira de Títulos'!#REF!</definedName>
    <definedName name="XRefCopy24" localSheetId="7" hidden="1">'[2]Carteira de Títulos'!#REF!</definedName>
    <definedName name="XRefCopy24" hidden="1">'[2]Carteira de Títulos'!#REF!</definedName>
    <definedName name="XRefCopy24Row" localSheetId="1" hidden="1">[2]XREF!#REF!</definedName>
    <definedName name="XRefCopy24Row" localSheetId="7" hidden="1">[2]XREF!#REF!</definedName>
    <definedName name="XRefCopy24Row" hidden="1">[2]XREF!#REF!</definedName>
    <definedName name="XRefCopy25" localSheetId="1" hidden="1">'[2]Carteira de Títulos'!#REF!</definedName>
    <definedName name="XRefCopy25" localSheetId="7" hidden="1">'[2]Carteira de Títulos'!#REF!</definedName>
    <definedName name="XRefCopy25" hidden="1">'[2]Carteira de Títulos'!#REF!</definedName>
    <definedName name="XRefCopy25Row" localSheetId="1" hidden="1">[2]XREF!#REF!</definedName>
    <definedName name="XRefCopy25Row" localSheetId="7" hidden="1">[2]XREF!#REF!</definedName>
    <definedName name="XRefCopy25Row" hidden="1">[2]XREF!#REF!</definedName>
    <definedName name="XRefCopy2Row" localSheetId="1" hidden="1">[6]XREF!#REF!</definedName>
    <definedName name="XRefCopy2Row" localSheetId="7" hidden="1">[6]XREF!#REF!</definedName>
    <definedName name="XRefCopy2Row" hidden="1">[6]XREF!#REF!</definedName>
    <definedName name="XRefCopy3" localSheetId="1" hidden="1">'[3]Carteira 21'!#REF!</definedName>
    <definedName name="XRefCopy3" localSheetId="7" hidden="1">'[3]Carteira 21'!#REF!</definedName>
    <definedName name="XRefCopy3" hidden="1">'[3]Carteira 21'!#REF!</definedName>
    <definedName name="XRefCopy3Row" localSheetId="1" hidden="1">#REF!</definedName>
    <definedName name="XRefCopy3Row" localSheetId="7" hidden="1">#REF!</definedName>
    <definedName name="XRefCopy3Row" hidden="1">#REF!</definedName>
    <definedName name="XRefCopy4" localSheetId="1" hidden="1">'[3]Carteira 21'!#REF!</definedName>
    <definedName name="XRefCopy4" localSheetId="7" hidden="1">'[3]Carteira 21'!#REF!</definedName>
    <definedName name="XRefCopy4" hidden="1">'[3]Carteira 21'!#REF!</definedName>
    <definedName name="XRefCopy4Row" localSheetId="1" hidden="1">[7]XREF!#REF!</definedName>
    <definedName name="XRefCopy4Row" localSheetId="7" hidden="1">[7]XREF!#REF!</definedName>
    <definedName name="XRefCopy4Row" hidden="1">[7]XREF!#REF!</definedName>
    <definedName name="XRefCopy6" hidden="1">[8]Eurodep_20!$C$18</definedName>
    <definedName name="XRefCopy7" localSheetId="7" hidden="1">'[4]Carteira 20'!#REF!</definedName>
    <definedName name="XRefCopy7" hidden="1">'[4]Carteira 20'!#REF!</definedName>
    <definedName name="XRefCopy7Row" localSheetId="1" hidden="1">#REF!</definedName>
    <definedName name="XRefCopy7Row" localSheetId="7" hidden="1">#REF!</definedName>
    <definedName name="XRefCopy7Row" hidden="1">#REF!</definedName>
    <definedName name="XRefCopy8" localSheetId="1" hidden="1">'[4]Carteira 20'!#REF!</definedName>
    <definedName name="XRefCopy8" localSheetId="7" hidden="1">'[4]Carteira 20'!#REF!</definedName>
    <definedName name="XRefCopy8" hidden="1">'[4]Carteira 20'!#REF!</definedName>
    <definedName name="XRefCopy8Row" localSheetId="1" hidden="1">#REF!</definedName>
    <definedName name="XRefCopy8Row" localSheetId="7" hidden="1">#REF!</definedName>
    <definedName name="XRefCopy8Row" hidden="1">#REF!</definedName>
    <definedName name="XRefCopy9" localSheetId="1" hidden="1">'[3]Carteira 21'!#REF!</definedName>
    <definedName name="XRefCopy9" localSheetId="7" hidden="1">'[3]Carteira 21'!#REF!</definedName>
    <definedName name="XRefCopy9" hidden="1">'[3]Carteira 21'!#REF!</definedName>
    <definedName name="XRefCopy99" localSheetId="1" hidden="1">'[3]Carteira 21'!#REF!</definedName>
    <definedName name="XRefCopy99" localSheetId="7" hidden="1">'[3]Carteira 21'!#REF!</definedName>
    <definedName name="XRefCopy99" hidden="1">'[3]Carteira 21'!#REF!</definedName>
    <definedName name="XRefCopy9Row" hidden="1">[7]XREF!$8:$8</definedName>
    <definedName name="XRefCopyRangeCount" hidden="1">10</definedName>
    <definedName name="XRefPaste10" localSheetId="7" hidden="1">'[3]Carteira 21'!#REF!</definedName>
    <definedName name="XRefPaste10" hidden="1">'[3]Carteira 21'!#REF!</definedName>
    <definedName name="XRefPaste10Row" localSheetId="1" hidden="1">#REF!</definedName>
    <definedName name="XRefPaste10Row" localSheetId="7" hidden="1">#REF!</definedName>
    <definedName name="XRefPaste10Row" hidden="1">#REF!</definedName>
    <definedName name="XRefPaste11" localSheetId="1" hidden="1">'[4]Carteira 20'!#REF!</definedName>
    <definedName name="XRefPaste11" localSheetId="7" hidden="1">'[4]Carteira 20'!#REF!</definedName>
    <definedName name="XRefPaste11" hidden="1">'[4]Carteira 20'!#REF!</definedName>
    <definedName name="XRefPaste11Row" localSheetId="1" hidden="1">#REF!</definedName>
    <definedName name="XRefPaste11Row" localSheetId="7" hidden="1">#REF!</definedName>
    <definedName name="XRefPaste11Row" hidden="1">#REF!</definedName>
    <definedName name="XRefPaste12" localSheetId="1" hidden="1">'[4]Carteira 20'!#REF!</definedName>
    <definedName name="XRefPaste12" localSheetId="7" hidden="1">'[4]Carteira 20'!#REF!</definedName>
    <definedName name="XRefPaste12" hidden="1">'[4]Carteira 20'!#REF!</definedName>
    <definedName name="XRefPaste12Row" localSheetId="1" hidden="1">#REF!</definedName>
    <definedName name="XRefPaste12Row" localSheetId="7" hidden="1">#REF!</definedName>
    <definedName name="XRefPaste12Row" hidden="1">#REF!</definedName>
    <definedName name="XRefPaste13" localSheetId="1" hidden="1">'[3]Carteira 21'!#REF!</definedName>
    <definedName name="XRefPaste13" localSheetId="7" hidden="1">'[3]Carteira 21'!#REF!</definedName>
    <definedName name="XRefPaste13" hidden="1">'[3]Carteira 21'!#REF!</definedName>
    <definedName name="XRefPaste13Row" localSheetId="1" hidden="1">#REF!</definedName>
    <definedName name="XRefPaste13Row" localSheetId="7" hidden="1">#REF!</definedName>
    <definedName name="XRefPaste13Row" hidden="1">#REF!</definedName>
    <definedName name="XRefPaste1Row" localSheetId="1" hidden="1">[6]XREF!#REF!</definedName>
    <definedName name="XRefPaste1Row" localSheetId="7" hidden="1">[6]XREF!#REF!</definedName>
    <definedName name="XRefPaste1Row" hidden="1">[6]XREF!#REF!</definedName>
    <definedName name="XRefPaste2" localSheetId="1" hidden="1">'[3]Carteira 21'!#REF!</definedName>
    <definedName name="XRefPaste2" localSheetId="7" hidden="1">'[3]Carteira 21'!#REF!</definedName>
    <definedName name="XRefPaste2" hidden="1">'[3]Carteira 21'!#REF!</definedName>
    <definedName name="XRefPaste2Row" localSheetId="1" hidden="1">#REF!</definedName>
    <definedName name="XRefPaste2Row" localSheetId="7" hidden="1">#REF!</definedName>
    <definedName name="XRefPaste2Row" hidden="1">#REF!</definedName>
    <definedName name="XRefPaste3" localSheetId="1" hidden="1">'[3]Carteira 21'!#REF!</definedName>
    <definedName name="XRefPaste3" localSheetId="7" hidden="1">'[3]Carteira 21'!#REF!</definedName>
    <definedName name="XRefPaste3" hidden="1">'[3]Carteira 21'!#REF!</definedName>
    <definedName name="XRefPaste3Row" localSheetId="1" hidden="1">#REF!</definedName>
    <definedName name="XRefPaste3Row" localSheetId="7" hidden="1">#REF!</definedName>
    <definedName name="XRefPaste3Row" hidden="1">#REF!</definedName>
    <definedName name="XRefPaste4" localSheetId="1" hidden="1">'[4]Carteira 20'!#REF!</definedName>
    <definedName name="XRefPaste4" localSheetId="7" hidden="1">'[4]Carteira 20'!#REF!</definedName>
    <definedName name="XRefPaste4" hidden="1">'[4]Carteira 20'!#REF!</definedName>
    <definedName name="XRefPaste4Row" hidden="1">[7]XREF!$3:$3</definedName>
    <definedName name="XRefPaste5Row" localSheetId="1" hidden="1">#REF!</definedName>
    <definedName name="XRefPaste5Row" localSheetId="7" hidden="1">#REF!</definedName>
    <definedName name="XRefPaste5Row" hidden="1">#REF!</definedName>
    <definedName name="XRefPaste6" hidden="1">[8]Eurodep_20!$W$18</definedName>
    <definedName name="XRefPaste6Row" hidden="1">[7]XREF!$6:$6</definedName>
    <definedName name="XRefPaste7Row" hidden="1">[7]XREF!$11:$11</definedName>
    <definedName name="XRefPaste8Row" localSheetId="1" hidden="1">#REF!</definedName>
    <definedName name="XRefPaste8Row" localSheetId="7" hidden="1">#REF!</definedName>
    <definedName name="XRefPaste8Row" hidden="1">#REF!</definedName>
    <definedName name="XRefPaste9" localSheetId="1" hidden="1">'[4]Carteira 20'!#REF!</definedName>
    <definedName name="XRefPaste9" localSheetId="7" hidden="1">'[4]Carteira 20'!#REF!</definedName>
    <definedName name="XRefPaste9" hidden="1">'[4]Carteira 20'!#REF!</definedName>
    <definedName name="XRefPaste9Row" localSheetId="1" hidden="1">#REF!</definedName>
    <definedName name="XRefPaste9Row" localSheetId="7" hidden="1">#REF!</definedName>
    <definedName name="XRefPaste9Row" hidden="1">#REF!</definedName>
    <definedName name="XRefPasteRangeCount" hidden="1">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58" i="8" l="1"/>
  <c r="H54" i="2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Afonso Mak Gramocha da Costa Silva</author>
    <author>Tiago Jorge Ferreira Ventinhas</author>
    <author>tc={FF5C98A2-6339-448D-AECF-220962CF168A}</author>
  </authors>
  <commentList>
    <comment ref="C20" authorId="0" shapeId="0" xr:uid="{00000000-0006-0000-0700-000001000000}">
      <text>
        <r>
          <rPr>
            <sz val="11"/>
            <color theme="1"/>
            <rFont val="Calibri"/>
            <family val="2"/>
            <scheme val="minor"/>
          </rPr>
          <t>Passar para o Party?
Popular a partir da cl001?</t>
        </r>
      </text>
    </comment>
    <comment ref="G76" authorId="1" shapeId="0" xr:uid="{00000000-0006-0000-0700-000002000000}">
      <text>
        <r>
          <rPr>
            <sz val="11"/>
            <color theme="1"/>
            <rFont val="Calibri"/>
            <family val="2"/>
            <scheme val="minor"/>
          </rPr>
          <t xml:space="preserve">
Faz sentido para estes produtos?</t>
        </r>
      </text>
    </comment>
    <comment ref="B206" authorId="2" shapeId="0" xr:uid="{00000000-0006-0000-0700-00000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Em confirmação campos de prestações do leasing</t>
      </text>
    </comment>
    <comment ref="F249" authorId="1" shapeId="0" xr:uid="{00000000-0006-0000-0700-000004000000}">
      <text>
        <r>
          <rPr>
            <sz val="11"/>
            <color theme="1"/>
            <rFont val="Calibri"/>
            <family val="2"/>
            <scheme val="minor"/>
          </rPr>
          <t>Em confirmação campos das prestações</t>
        </r>
      </text>
    </comment>
    <comment ref="F298" authorId="1" shapeId="0" xr:uid="{00000000-0006-0000-0700-000005000000}">
      <text>
        <r>
          <rPr>
            <sz val="11"/>
            <color theme="1"/>
            <rFont val="Calibri"/>
            <family val="2"/>
            <scheme val="minor"/>
          </rPr>
          <t xml:space="preserve">Em confirmação aplicabilidade a estes produtos
</t>
        </r>
      </text>
    </comment>
    <comment ref="B299" authorId="1" shapeId="0" xr:uid="{00000000-0006-0000-0700-000006000000}">
      <text>
        <r>
          <rPr>
            <sz val="11"/>
            <color theme="1"/>
            <rFont val="Calibri"/>
            <family val="2"/>
            <scheme val="minor"/>
          </rPr>
          <t xml:space="preserve">Tiago Jorge Ferreira Ventinhas:
</t>
        </r>
      </text>
    </comment>
    <comment ref="F299" authorId="1" shapeId="0" xr:uid="{00000000-0006-0000-0700-000007000000}">
      <text>
        <r>
          <rPr>
            <sz val="11"/>
            <color theme="1"/>
            <rFont val="Calibri"/>
            <family val="2"/>
            <scheme val="minor"/>
          </rPr>
          <t>En confirmação aplicabilidade a estes produtos</t>
        </r>
      </text>
    </comment>
  </commentList>
</comments>
</file>

<file path=xl/sharedStrings.xml><?xml version="1.0" encoding="utf-8"?>
<sst xmlns="http://schemas.openxmlformats.org/spreadsheetml/2006/main" count="4294" uniqueCount="1034">
  <si>
    <t>Common Data Model - Modelo de Dados</t>
  </si>
  <si>
    <t>Schema</t>
  </si>
  <si>
    <t xml:space="preserve">Tabela </t>
  </si>
  <si>
    <t>Descrição</t>
  </si>
  <si>
    <t>BG nr</t>
  </si>
  <si>
    <t>campo corp</t>
  </si>
  <si>
    <t>campo loc</t>
  </si>
  <si>
    <t>BIYR9500-REGISTO</t>
  </si>
  <si>
    <t>BIYR9500</t>
  </si>
  <si>
    <t xml:space="preserve"> </t>
  </si>
  <si>
    <t>N</t>
  </si>
  <si>
    <t>BIYR9500-TIPGARGBLBG</t>
  </si>
  <si>
    <t>TIPGARGBLBG</t>
  </si>
  <si>
    <t>TIPGARBL</t>
  </si>
  <si>
    <t>S503025</t>
  </si>
  <si>
    <t>BG</t>
  </si>
  <si>
    <t>BIYR9500-TIPGARBG</t>
  </si>
  <si>
    <t>TIPGARBG</t>
  </si>
  <si>
    <t>CGARANT</t>
  </si>
  <si>
    <t>S503026</t>
  </si>
  <si>
    <t>BIYR9500-CGARANTBL</t>
  </si>
  <si>
    <t>CGARANTBL</t>
  </si>
  <si>
    <t>BLS</t>
  </si>
  <si>
    <t>BIYR9500-CTIPOINSTBL</t>
  </si>
  <si>
    <t>CTIPOINSTBL</t>
  </si>
  <si>
    <t>CTIPOINST</t>
  </si>
  <si>
    <t>spaces ?</t>
  </si>
  <si>
    <t>S503532</t>
  </si>
  <si>
    <t>BIYR9500-CTIPOAVALBG</t>
  </si>
  <si>
    <t>CTIPOAVALBG</t>
  </si>
  <si>
    <t>CTIPOAVAL</t>
  </si>
  <si>
    <t>S503027</t>
  </si>
  <si>
    <t>BIYR9500-CTIPOCSBG</t>
  </si>
  <si>
    <t>CTIPOCSBG</t>
  </si>
  <si>
    <t>CTIPOCS</t>
  </si>
  <si>
    <t>S503028</t>
  </si>
  <si>
    <t>BIYR9500-CESTGARBG</t>
  </si>
  <si>
    <t>CESTGARBG</t>
  </si>
  <si>
    <t>CESTGAR</t>
  </si>
  <si>
    <t>S503029</t>
  </si>
  <si>
    <t>BIYR9500-CTIPCFLETBG</t>
  </si>
  <si>
    <t>CTIPCFLETBG</t>
  </si>
  <si>
    <t>CTIPCFLET</t>
  </si>
  <si>
    <t>99 ?</t>
  </si>
  <si>
    <t>S503030</t>
  </si>
  <si>
    <t>BIYR9510-REGISTO1</t>
  </si>
  <si>
    <t>BIYR9510</t>
  </si>
  <si>
    <t>BIYR9510-REGISTO2</t>
  </si>
  <si>
    <t>BIYR9510-TIPOBEMBL</t>
  </si>
  <si>
    <t>TIPOBEMBL</t>
  </si>
  <si>
    <t>TIPOBEML</t>
  </si>
  <si>
    <t>S503043</t>
  </si>
  <si>
    <t>BIYR9510-CTIPDVPBBG</t>
  </si>
  <si>
    <t>CTIPDVPBBG</t>
  </si>
  <si>
    <t>CTIPDVPB</t>
  </si>
  <si>
    <t>S503044</t>
  </si>
  <si>
    <t>BIYR9510-CINDDVPBBG</t>
  </si>
  <si>
    <t>CINDDVPBBG</t>
  </si>
  <si>
    <t>CINDDVPB</t>
  </si>
  <si>
    <t>S503045</t>
  </si>
  <si>
    <t>BIYR9510-CFVALCOTBG</t>
  </si>
  <si>
    <t>CFVALCOTBG</t>
  </si>
  <si>
    <t>CFVALCOT</t>
  </si>
  <si>
    <t>S503013</t>
  </si>
  <si>
    <t>BIYR9510-CBEMBL</t>
  </si>
  <si>
    <t>CBEMBL</t>
  </si>
  <si>
    <t>CBEM</t>
  </si>
  <si>
    <t>S503046</t>
  </si>
  <si>
    <t>BIYR9510-CPAISBG</t>
  </si>
  <si>
    <t>CPAISBG</t>
  </si>
  <si>
    <t>CPAIS</t>
  </si>
  <si>
    <t>S503003</t>
  </si>
  <si>
    <t>BIYR9510-CMOEORIGBG</t>
  </si>
  <si>
    <t>CMOEORIGBG</t>
  </si>
  <si>
    <t>CMOEORIG</t>
  </si>
  <si>
    <t>S503005</t>
  </si>
  <si>
    <t>BIYR9510-CTIPIEMIBG</t>
  </si>
  <si>
    <t>CTIPIEMIBG</t>
  </si>
  <si>
    <t>CTIPIEMI</t>
  </si>
  <si>
    <t>S503010</t>
  </si>
  <si>
    <t>BIYR9510-PRZEMISBG</t>
  </si>
  <si>
    <t>PRZEMISBG</t>
  </si>
  <si>
    <t>PRZEMIS</t>
  </si>
  <si>
    <t>S503047</t>
  </si>
  <si>
    <t>BIYR9510-MERCAPBG</t>
  </si>
  <si>
    <t>MERCAPBG</t>
  </si>
  <si>
    <t>MERCAP</t>
  </si>
  <si>
    <t>S503048</t>
  </si>
  <si>
    <t>BIYR9510-INDREFERBG</t>
  </si>
  <si>
    <t>INDREFERBG</t>
  </si>
  <si>
    <t>INDREFER</t>
  </si>
  <si>
    <t>S503049</t>
  </si>
  <si>
    <t>BIYR9510-TTXJGARBG</t>
  </si>
  <si>
    <t>TTXJGARBG</t>
  </si>
  <si>
    <t>TTXJGAR</t>
  </si>
  <si>
    <t>S503009</t>
  </si>
  <si>
    <t>BIYR9510-TIPHIPOTECA</t>
  </si>
  <si>
    <t>TIPHIPOTECA</t>
  </si>
  <si>
    <t>S503101</t>
  </si>
  <si>
    <t>BIYR9520-REGISTO</t>
  </si>
  <si>
    <t>BIYR9520</t>
  </si>
  <si>
    <t>BIYR9520-TIPGARBG</t>
  </si>
  <si>
    <t>BIYR9520-TIPVALOR</t>
  </si>
  <si>
    <t>TIPVALOR</t>
  </si>
  <si>
    <t xml:space="preserve">TIPGARBG
IACT-GP
CGARANT </t>
  </si>
  <si>
    <t>S503081</t>
  </si>
  <si>
    <t>BIYR3219-REGISTO1</t>
  </si>
  <si>
    <t>BIYR3219</t>
  </si>
  <si>
    <t>BIYR3219-REGISTO2</t>
  </si>
  <si>
    <t>BIYR3219-004159</t>
  </si>
  <si>
    <t>TAJIFRS9</t>
  </si>
  <si>
    <t>AJIFRS9-BL</t>
  </si>
  <si>
    <t>S503159</t>
  </si>
  <si>
    <t>BIYR3219-013160</t>
  </si>
  <si>
    <t>TIPOPERD</t>
  </si>
  <si>
    <t>TIPOPERD-BL</t>
  </si>
  <si>
    <t>S503160</t>
  </si>
  <si>
    <t>BIYR3219-020124</t>
  </si>
  <si>
    <t>STAGE</t>
  </si>
  <si>
    <t>STAGE-BL</t>
  </si>
  <si>
    <t>S503124</t>
  </si>
  <si>
    <t>BIYR3220-REGISTO</t>
  </si>
  <si>
    <t>BIYR3220</t>
  </si>
  <si>
    <t>REGISTO</t>
  </si>
  <si>
    <t>BIYR3220-006161</t>
  </si>
  <si>
    <t>MOTCBSTL</t>
  </si>
  <si>
    <t>MOTCBSTL-ORG</t>
  </si>
  <si>
    <t>S503161</t>
  </si>
  <si>
    <t>BIYR3220-007161</t>
  </si>
  <si>
    <t>MOTCBSTG</t>
  </si>
  <si>
    <t>BIYR9414-REGISTO</t>
  </si>
  <si>
    <t>BIYR9414-004082</t>
  </si>
  <si>
    <t>GRUPOICBL</t>
  </si>
  <si>
    <t>GRUPOIC</t>
  </si>
  <si>
    <t>S503082</t>
  </si>
  <si>
    <t>BIYR9414-005082</t>
  </si>
  <si>
    <t>CTIPSALBG</t>
  </si>
  <si>
    <t>BIYR0111-REGISTO</t>
  </si>
  <si>
    <t>BIYR0111</t>
  </si>
  <si>
    <t>BIYR0111-001001</t>
  </si>
  <si>
    <t>CEMPRESABG</t>
  </si>
  <si>
    <t>CEMPRESA</t>
  </si>
  <si>
    <t>S503001</t>
  </si>
  <si>
    <t>BIYR0111-008012</t>
  </si>
  <si>
    <t>TMODRATBG</t>
  </si>
  <si>
    <t>TMODRAT</t>
  </si>
  <si>
    <t>S503017</t>
  </si>
  <si>
    <t>BIYR0111-009012</t>
  </si>
  <si>
    <t>TMODRATBL</t>
  </si>
  <si>
    <t>BIYR0109-001001</t>
  </si>
  <si>
    <t>BIYR0109-009002</t>
  </si>
  <si>
    <t>CRESPAISBG</t>
  </si>
  <si>
    <t>CRESPAIS</t>
  </si>
  <si>
    <t>S503002</t>
  </si>
  <si>
    <t>BIYR0109-013018</t>
  </si>
  <si>
    <t>PIFACTBG</t>
  </si>
  <si>
    <t>PIFACT</t>
  </si>
  <si>
    <t>S503018</t>
  </si>
  <si>
    <t>BIYR0109-014018</t>
  </si>
  <si>
    <t>PITACTBG</t>
  </si>
  <si>
    <t>PITACT</t>
  </si>
  <si>
    <t>BIYR0109-015018</t>
  </si>
  <si>
    <t>PINEMPBG</t>
  </si>
  <si>
    <t>PINEMP</t>
  </si>
  <si>
    <t>BIYR0110-001001</t>
  </si>
  <si>
    <t>BIYR0110-005058</t>
  </si>
  <si>
    <t>NIVHIERBG</t>
  </si>
  <si>
    <t>NIVHIER</t>
  </si>
  <si>
    <t>S503058</t>
  </si>
  <si>
    <t>BIYR0108-REGISTO</t>
  </si>
  <si>
    <t>BIYR0108-001001</t>
  </si>
  <si>
    <t>BIYR0108-009018</t>
  </si>
  <si>
    <t>BIYR0108-010018</t>
  </si>
  <si>
    <t>BIYR0108-011067</t>
  </si>
  <si>
    <t>S503067</t>
  </si>
  <si>
    <t>BIM00M09</t>
  </si>
  <si>
    <t>LM's</t>
  </si>
  <si>
    <t>BIM00M10</t>
  </si>
  <si>
    <t>MA's</t>
  </si>
  <si>
    <t>BIM90M21</t>
  </si>
  <si>
    <t>LC</t>
  </si>
  <si>
    <t>BIYR1005</t>
  </si>
  <si>
    <t>MAT05</t>
  </si>
  <si>
    <t>MAT09</t>
  </si>
  <si>
    <t>MAG1</t>
  </si>
  <si>
    <t>BIYRMA27</t>
  </si>
  <si>
    <t>BIYRMA31</t>
  </si>
  <si>
    <t>BIYR1A05</t>
  </si>
  <si>
    <t>MAT06</t>
  </si>
  <si>
    <t>MAT07</t>
  </si>
  <si>
    <t>BIYRMA28</t>
  </si>
  <si>
    <t>BIYRMA29</t>
  </si>
  <si>
    <t>MAG2</t>
  </si>
  <si>
    <t>BIYR1050</t>
  </si>
  <si>
    <t>SAPX.LIB.JCL</t>
  </si>
  <si>
    <t xml:space="preserve">BIHAG144                   </t>
  </si>
  <si>
    <t>262                MOVE WS-SCOR-DAPROVAC        TO BIYR0105-DTSCORE</t>
  </si>
  <si>
    <t xml:space="preserve">BIHA0142                   </t>
  </si>
  <si>
    <t>247  100706           MOVE WS-FICHIN1-DAPROVAC  TO BIYR105O-DTSCORE</t>
  </si>
  <si>
    <t xml:space="preserve">BIHA0144                   </t>
  </si>
  <si>
    <t>286                MOVE WS-SCOR-DAPROVAC        TO BIYR0105-DTSCORE</t>
  </si>
  <si>
    <t xml:space="preserve">BIHBG144                   </t>
  </si>
  <si>
    <t>270                MOVE WS-SCOR-DAPROVAC        TO BIYR105O-DTSCORE</t>
  </si>
  <si>
    <t xml:space="preserve">BIHB0144                   </t>
  </si>
  <si>
    <t>267                MOVE WS-SCOR-DAPROVAC        TO BIYR105O-DTSCORE</t>
  </si>
  <si>
    <t xml:space="preserve">BIHCG144                   </t>
  </si>
  <si>
    <t>251                MOVE WS-SCOR-DAPROVAC        TO BIYR0105-DTSCORE</t>
  </si>
  <si>
    <t xml:space="preserve">BIHC0144                   </t>
  </si>
  <si>
    <t>265                MOVE WS-SCOR-DAPROVAC        TO BIYR0105-DTSCORE</t>
  </si>
  <si>
    <t xml:space="preserve">BIHP0142                   </t>
  </si>
  <si>
    <t>259  100706           MOVE BIYR0009-DAPROVAC    TO BIYR0105-DTSCORE</t>
  </si>
  <si>
    <t xml:space="preserve">BIHP0290                   </t>
  </si>
  <si>
    <t>341             MOVE WS-FICHIN1-DAPROVAC        TO BIYR105O-DTSCORE</t>
  </si>
  <si>
    <t xml:space="preserve">BIH0G143                   </t>
  </si>
  <si>
    <t>117        *    05  BIYR105A-DTSCORE                PIC X(10).</t>
  </si>
  <si>
    <t xml:space="preserve">BIH0G144                   </t>
  </si>
  <si>
    <t>287                MOVE WS-SCOR-DAPROVAC        TO BIYR0105-DTSCORE</t>
  </si>
  <si>
    <t xml:space="preserve">BIH0G148                   </t>
  </si>
  <si>
    <t>264                MOVE WS-PROJ-DVALORAR        TO BIYR0105-DTSCORE</t>
  </si>
  <si>
    <t xml:space="preserve">BIH0G298                   </t>
  </si>
  <si>
    <t>348             MOVE BIYR0105-DTSCORE           TO BIYR0145-DTAPROV</t>
  </si>
  <si>
    <t xml:space="preserve">BIH00142                   </t>
  </si>
  <si>
    <t>257  100706           MOVE BIYR0009-DAPROVAC    TO BIYR0105-DTSCORE</t>
  </si>
  <si>
    <t xml:space="preserve">BIH00143                   </t>
  </si>
  <si>
    <t>166        *    05  BIYR105A-DTSCORE                PIC X(10).</t>
  </si>
  <si>
    <t xml:space="preserve">BIH00144                   </t>
  </si>
  <si>
    <t>292                MOVE WS-SCOR-DAPROVAC        TO BIYR0105-DTSCORE</t>
  </si>
  <si>
    <t xml:space="preserve">BIH00145                   </t>
  </si>
  <si>
    <t>300                IF BIYR0105-DTSCORE &gt; WS-DATA-REF</t>
  </si>
  <si>
    <t>310  105           IF BIYR0105-DTSCORE &gt; WS-DATA-REF-CAR</t>
  </si>
  <si>
    <t>332                   IF BIYR0105-DTSCORE &gt; WS-DATA-REF</t>
  </si>
  <si>
    <t>342  105              IF BIYR0105-DTSCORE &gt; WS-DATA-REF-CAR</t>
  </si>
  <si>
    <t xml:space="preserve">BIH00148                   </t>
  </si>
  <si>
    <t>262                MOVE WS-PROJ-DVALORAR        TO BIYR0105-DTSCORE</t>
  </si>
  <si>
    <t xml:space="preserve">BIH00214                   </t>
  </si>
  <si>
    <t>235             MOVE BIYR0087-DAPROVAC          TO BIYR0105-DTSCORE</t>
  </si>
  <si>
    <t xml:space="preserve">BIH00232                   </t>
  </si>
  <si>
    <t>227             MOVE BIYR0087-DAPROVAC          TO BIYR0105-DTSCORE</t>
  </si>
  <si>
    <t xml:space="preserve">BIH00290                   </t>
  </si>
  <si>
    <t>334             MOVE WS-FICHIN1-DAPROVAC        TO BIYR105O-DTSCORE</t>
  </si>
  <si>
    <t xml:space="preserve">BIH00297                   </t>
  </si>
  <si>
    <t>367  D6940      MOVE BIYR0105-DTSCORE           TO BIYR9144-DTSCORE</t>
  </si>
  <si>
    <t>374  D6940      IF BIYR0105-DTSCORE = SPACES</t>
  </si>
  <si>
    <t>377  ???           IF BIYR0105-DTSCORE = '0001-01-01'</t>
  </si>
  <si>
    <t>378  ???              MOVE BIYR0105-DTSCORE     TO BIYR9144-DTCADUC</t>
  </si>
  <si>
    <t>432  INC024     MOVE BIYR0105-DTSCORE(1:4)      TO SYYL0101-I1-A.</t>
  </si>
  <si>
    <t>433  INC024     MOVE BIYR0105-DTSCORE(6:2)      TO SYYL0101-I1-M.</t>
  </si>
  <si>
    <t>434  INC024     MOVE BIYR0105-DTSCORE(9:2)      TO SYYL0101-I1-D.</t>
  </si>
  <si>
    <t>440        *--- ADICONAR 12 MESES À DATA BIYR0105-DTSCORE.</t>
  </si>
  <si>
    <t>445             MOVE BIYR0105-DTSCORE(1:4)      TO SYYL0101-I1-A.</t>
  </si>
  <si>
    <t>446             MOVE BIYR0105-DTSCORE(6:2)      TO SYYL0101-I1-M.</t>
  </si>
  <si>
    <t>447             MOVE BIYR0105-DTSCORE(9:2)      TO SYYL0101-I1-D.</t>
  </si>
  <si>
    <t xml:space="preserve">BIH00298                   </t>
  </si>
  <si>
    <t>344             MOVE BIYR0105-DTSCORE           TO BIYR0145-DTAPROV</t>
  </si>
  <si>
    <t xml:space="preserve">BIH00814                   </t>
  </si>
  <si>
    <t>116             05 CON-DTSCORE                  PIC X(07) VALUE 'DT</t>
  </si>
  <si>
    <t>399                  15 WS-10504-DTSCORE-ACT    PIC X(10).</t>
  </si>
  <si>
    <t>477                  15 WS-10504-DTSCORE-ANT    PIC X(10).</t>
  </si>
  <si>
    <t>749             MOVE BIYR0105-DTSCORE           TO WS-10504-DTSCORE</t>
  </si>
  <si>
    <t>810             MOVE BIYR0105-DTSCORE           TO WS-10504-DTSCORE</t>
  </si>
  <si>
    <t>965             MOVE CON-DTSCORE                TO WS-COLUNA2.</t>
  </si>
  <si>
    <t>999             MOVE CON-DTSCORE                TO WS-COLUNA1.</t>
  </si>
  <si>
    <t>1913             IF BIYR0105-DTSCORE GREATER BIYR0105-DTMODIF</t>
  </si>
  <si>
    <t>2043             MOVE WS-10504-DTSCORE-ANT       TO WS-CAMPO2.</t>
  </si>
  <si>
    <t>2054             IF BIYR0105-DTSCORE EQUAL CON-DATA-MINIMA</t>
  </si>
  <si>
    <t xml:space="preserve">BIH08576                   </t>
  </si>
  <si>
    <t>331                IF BIYR865A-DTSCORE = SPACES</t>
  </si>
  <si>
    <t>334                   MOVE BIYR865A-DTSCORE  TO WS-DATA-10</t>
  </si>
  <si>
    <t xml:space="preserve">BIH08650                   </t>
  </si>
  <si>
    <t>234                   MOVE BIYR0009-DAPROVAC       TO BIYR865A-DTSC</t>
  </si>
  <si>
    <t xml:space="preserve">BIH08660                   </t>
  </si>
  <si>
    <t>260                MOVE WS-SCOR-DAPROVAC        TO BIYR865A-DTSCORE</t>
  </si>
  <si>
    <t xml:space="preserve">BIH08661                   </t>
  </si>
  <si>
    <t>255                MOVE WS-SCOR-DAPROVAC        TO BIYR865A-DTSCORE</t>
  </si>
  <si>
    <t xml:space="preserve">BIH08670                   </t>
  </si>
  <si>
    <t>99             05 WS-BIYR865B-DTSCORE        PIC X(10).</t>
  </si>
  <si>
    <t xml:space="preserve">BIH08680                   </t>
  </si>
  <si>
    <t>89             05 WS-BIYR865B-DTSCORE        PIC X(10).</t>
  </si>
  <si>
    <t xml:space="preserve">BIH08690                   </t>
  </si>
  <si>
    <t>245                MOVE WS-PROJ-DVALORAR        TO BIYR865A-DTSCORE</t>
  </si>
  <si>
    <t xml:space="preserve">BIH20002                   </t>
  </si>
  <si>
    <t>188             IF BIYR0105-DTSCORE &gt; '2011-10-31'</t>
  </si>
  <si>
    <t>222             IF BIYR0105-DTSCORE &gt; '2011-11-30'</t>
  </si>
  <si>
    <t xml:space="preserve">BIH20003                   </t>
  </si>
  <si>
    <t>191  |          IF BIYR9144-DTSCORE &gt; '2011-10-31'</t>
  </si>
  <si>
    <t>233  |          IF BIYR9144-DTSCORE &gt; '2011-11-30'</t>
  </si>
  <si>
    <t xml:space="preserve">BIH20029                   </t>
  </si>
  <si>
    <t>172  D6940      IF BIYR9144-DTSCORE  NOT LESS '2013-07-08'</t>
  </si>
  <si>
    <t>218  D6940      IF BIYR9144-DTSCORE  NOT LESS '2015-04-03'</t>
  </si>
  <si>
    <t>244  D6940      IF BIYR9144-DTSCORE  NOT LESS '2015-04-10'</t>
  </si>
  <si>
    <t xml:space="preserve">BIH29144                   </t>
  </si>
  <si>
    <t>72   SWF       05 BIYRD144-DTSCORE        PIC X(10).</t>
  </si>
  <si>
    <t>209   SWF       MOVE BIYR0144-DTSCORE           TO BIYRD144-DTSCORE</t>
  </si>
  <si>
    <t xml:space="preserve">BIH71105                   </t>
  </si>
  <si>
    <t>90             05  BIYRP105-DTSCORE        PIC X(01).</t>
  </si>
  <si>
    <t>512             IF BIYRP105-DTSCORE = 'A'</t>
  </si>
  <si>
    <t>513               IF BIYRI105-DTSCORE     &lt;   BIYRI105-DTSCORE</t>
  </si>
  <si>
    <t>521                  MOVE  BIYRI105-DTSCORE      TO BIYRXLOG-CODANT</t>
  </si>
  <si>
    <t>522                  MOVE  BIYRI105-DTSCORE      TO BIYRXLOG-CODDEP</t>
  </si>
  <si>
    <t xml:space="preserve">BIH9G144                   </t>
  </si>
  <si>
    <t>66             05 BIYRA144-DTSCORE        PIC X(10).</t>
  </si>
  <si>
    <t>87             05 BIYRB144-DTSCORE        PIC X(10).</t>
  </si>
  <si>
    <t>202             MOVE  BIYRA144-DTSCORE        TO BIYRB144-DTSCORE</t>
  </si>
  <si>
    <t xml:space="preserve">BIH90105                   </t>
  </si>
  <si>
    <t>65             05 BIYRA105-DTSCORE        PIC X(10).</t>
  </si>
  <si>
    <t>86             05 BIYRB105-DTSCORE        PIC X(10).</t>
  </si>
  <si>
    <t>199             MOVE  BIYRA105-DTSCORE       TO  BIYRB105-DTSCORE.</t>
  </si>
  <si>
    <t xml:space="preserve">BIH90144                   </t>
  </si>
  <si>
    <t>72             05 BIYRB144-DTSCORE        PIC X(10).</t>
  </si>
  <si>
    <t>191  D6940      MOVE  BIYR9144-DTSCORE        TO BIYRB144-DTSCORE</t>
  </si>
  <si>
    <t xml:space="preserve">BIH99144                   </t>
  </si>
  <si>
    <t>43            05 C92I-DTSCORE                  PIC X(10).</t>
  </si>
  <si>
    <t>83            05 C72I-DTSCORE                  PIC X(10).</t>
  </si>
  <si>
    <t>123            05 C92O-DTSCORE                  PIC X(10).</t>
  </si>
  <si>
    <t>163            05 C72O-DTSCORE                  PIC X(10).</t>
  </si>
  <si>
    <t>203            05 BDR-DTSCORE                   PIC X(10).</t>
  </si>
  <si>
    <t>226            05 BDRIFI-DTSCORE                PIC X(10).</t>
  </si>
  <si>
    <t>382                MOVE C92I-DTSCORE            TO BDR-DTSCORE</t>
  </si>
  <si>
    <t>429                MOVE C72I-DTSCORE            TO BDRIFI-DTSCORE</t>
  </si>
  <si>
    <t>BIYR4108-REGISTO</t>
  </si>
  <si>
    <t>BIYR4108-002001</t>
  </si>
  <si>
    <t>S1EMP</t>
  </si>
  <si>
    <t>BIYR4108-008003</t>
  </si>
  <si>
    <t>ID-PAIS</t>
  </si>
  <si>
    <t>BIYR4108-015112</t>
  </si>
  <si>
    <t>ORIADJUD</t>
  </si>
  <si>
    <t>CTIPADJUD</t>
  </si>
  <si>
    <t>S503112</t>
  </si>
  <si>
    <t>BIYR4108-024113</t>
  </si>
  <si>
    <t>IND-ESTA</t>
  </si>
  <si>
    <t>CESTADIMO</t>
  </si>
  <si>
    <t>S503113</t>
  </si>
  <si>
    <t>BIYR4108-030006</t>
  </si>
  <si>
    <t>CODDIV</t>
  </si>
  <si>
    <t>CMOEDA</t>
  </si>
  <si>
    <t>S503006</t>
  </si>
  <si>
    <t>c91</t>
  </si>
  <si>
    <t xml:space="preserve">FEOPERAC </t>
  </si>
  <si>
    <t>CMES</t>
  </si>
  <si>
    <t>FEOPERAC</t>
  </si>
  <si>
    <t>MOVE BIYR0990-DT-ULT-DIA-MES    TO BIYR4108-FEOPERAC</t>
  </si>
  <si>
    <t xml:space="preserve">S1EMP    </t>
  </si>
  <si>
    <t>DIGITS(ZNCI)</t>
  </si>
  <si>
    <t>ZNCI</t>
  </si>
  <si>
    <t>MOVE BIYR418A-CENTIDAD          TO BIYR4108-S1EMP</t>
  </si>
  <si>
    <t xml:space="preserve">IDINMUEB </t>
  </si>
  <si>
    <t>,DIGITS(ZNCISEQ)</t>
  </si>
  <si>
    <t>ZNCISEQ</t>
  </si>
  <si>
    <t>IDINMUEB</t>
  </si>
  <si>
    <t>MOVE BIYR418A-IDINMUEB          TO BIYR4108-IDINMUEB</t>
  </si>
  <si>
    <t xml:space="preserve">ID-UE    </t>
  </si>
  <si>
    <t>,CESTADIMO</t>
  </si>
  <si>
    <t>ID-UE</t>
  </si>
  <si>
    <t>MOVE BIYR418A-CNUM-GESTIMO      TO BIYR4108-ID-UE</t>
  </si>
  <si>
    <t xml:space="preserve">REF-CATA </t>
  </si>
  <si>
    <t>REF-CATA</t>
  </si>
  <si>
    <t>MOVE SPACES                     TO BIYR4108-REF-CATA</t>
  </si>
  <si>
    <t xml:space="preserve">DSDIREC  </t>
  </si>
  <si>
    <t>,CORIGEM</t>
  </si>
  <si>
    <t>CORIGEM</t>
  </si>
  <si>
    <t>DSDIREC</t>
  </si>
  <si>
    <t>MOVE SPACES                     TO BIYR4108-DSDIREC</t>
  </si>
  <si>
    <t>CD-POST  (a)</t>
  </si>
  <si>
    <t>,DIGITS(ZIMOLEAS)</t>
  </si>
  <si>
    <t>ZIMOLEAS</t>
  </si>
  <si>
    <t>CD-POST</t>
  </si>
  <si>
    <t>STRING BIYR418A-CDISCONF ' ' BIYR418A-CPOSTAL</t>
  </si>
  <si>
    <t>DELIMITED BY SIZE INTO BIYR4108-CD-POST.</t>
  </si>
  <si>
    <t xml:space="preserve">ID-PAIS  </t>
  </si>
  <si>
    <t>CKBALBEM</t>
  </si>
  <si>
    <t>MOVE ZEROS                      TO BIYR4108-ID-PAIS</t>
  </si>
  <si>
    <t xml:space="preserve">TIP-ACTI </t>
  </si>
  <si>
    <t>,CKCTABEM</t>
  </si>
  <si>
    <t>CKCTABEM</t>
  </si>
  <si>
    <t>TIP-ACTI</t>
  </si>
  <si>
    <t>MOVE ZEROS                      TO BIYR4108-TIP-ACTI</t>
  </si>
  <si>
    <t xml:space="preserve">STIP-ACT </t>
  </si>
  <si>
    <t>,DIGITS(ZCAUCAO)</t>
  </si>
  <si>
    <t>ZCAUCAO</t>
  </si>
  <si>
    <t>STIP-ACT</t>
  </si>
  <si>
    <t>BIYR4108-STIP-ACT</t>
  </si>
  <si>
    <t xml:space="preserve">TIP-SUEL </t>
  </si>
  <si>
    <t>DIGITS(ZBEM)</t>
  </si>
  <si>
    <t>ZBEM</t>
  </si>
  <si>
    <t>TIP-SUEL</t>
  </si>
  <si>
    <t>BIYR4108-TIP-SUEL</t>
  </si>
  <si>
    <t>DADJUDICACAO</t>
  </si>
  <si>
    <t xml:space="preserve">SIT-CONS </t>
  </si>
  <si>
    <t>,DIGITS(ZANOPROC)</t>
  </si>
  <si>
    <t>ZANOPROC</t>
  </si>
  <si>
    <t>SIT-CONS</t>
  </si>
  <si>
    <t>BIYR4108-SIT-CONS</t>
  </si>
  <si>
    <t xml:space="preserve">IDNUMCLI </t>
  </si>
  <si>
    <t>,DIGITS(ZPROC)</t>
  </si>
  <si>
    <t>ZPROC</t>
  </si>
  <si>
    <t>IDNUMCLI</t>
  </si>
  <si>
    <t>BIYR4108-IDNUMCLI</t>
  </si>
  <si>
    <t>FECADJUD (d)</t>
  </si>
  <si>
    <t>DIGITS(ZANEXO)</t>
  </si>
  <si>
    <t>ZANEXO</t>
  </si>
  <si>
    <t>FECADJUD</t>
  </si>
  <si>
    <t xml:space="preserve">ORIADJUD </t>
  </si>
  <si>
    <t>,DIGITS(ZGESTIMO)</t>
  </si>
  <si>
    <t>ZGESTIMO</t>
  </si>
  <si>
    <t>MOVE ZEROS                      TO BIYR4108-ORIADJUD</t>
  </si>
  <si>
    <t xml:space="preserve">DEUDABR  </t>
  </si>
  <si>
    <t>,CPOST</t>
  </si>
  <si>
    <t>CPOST</t>
  </si>
  <si>
    <t>DEUDABR</t>
  </si>
  <si>
    <t>MOVE ZEROS                      TO BIYR4108-DEUDABR</t>
  </si>
  <si>
    <t xml:space="preserve">PROVACAD </t>
  </si>
  <si>
    <t>CDISCONF</t>
  </si>
  <si>
    <t>CDISCONF (a)</t>
  </si>
  <si>
    <t>PROVACAD</t>
  </si>
  <si>
    <t>BIYR4108-PROVACAD</t>
  </si>
  <si>
    <t xml:space="preserve">PROVDTAC </t>
  </si>
  <si>
    <t>,DADJUDIC</t>
  </si>
  <si>
    <t>DADJUDIC (d)</t>
  </si>
  <si>
    <t>PROVDTAC</t>
  </si>
  <si>
    <t>BIYR4108-PROVDTAC</t>
  </si>
  <si>
    <t xml:space="preserve">GASTOSAC </t>
  </si>
  <si>
    <t>,DIGITS(MVALAQUI)</t>
  </si>
  <si>
    <t>MVALAQUI (b)</t>
  </si>
  <si>
    <t>GASTOSAC</t>
  </si>
  <si>
    <t>MOVE BIYR418A-MGASTOS           TO BIYR4108-GASTOSAC</t>
  </si>
  <si>
    <t xml:space="preserve">GASTOSNA </t>
  </si>
  <si>
    <t>DIGITS(MVALMERC)</t>
  </si>
  <si>
    <t>MVALMERC</t>
  </si>
  <si>
    <t>GASTOSNA</t>
  </si>
  <si>
    <t>MOVE ZEROS                      TO BIYR4108-GASTOSNA</t>
  </si>
  <si>
    <t xml:space="preserve">VALACMOM </t>
  </si>
  <si>
    <t>,DAVALIAC</t>
  </si>
  <si>
    <t>DAVALIAC ©</t>
  </si>
  <si>
    <t>VALACMOM</t>
  </si>
  <si>
    <t>BIYR4108-VALACMOM</t>
  </si>
  <si>
    <t>VALACADJ (b)</t>
  </si>
  <si>
    <t>,OCUPACAO</t>
  </si>
  <si>
    <t>OCUPACAO</t>
  </si>
  <si>
    <t>VALACADJ</t>
  </si>
  <si>
    <t>MOVE BIYR418A-VAQUISICAO        TO BIYR4108-VALACADJ</t>
  </si>
  <si>
    <t>FECULTAS ©</t>
  </si>
  <si>
    <t>DIGITS(ZCLIENTE)</t>
  </si>
  <si>
    <t>CAVAL</t>
  </si>
  <si>
    <t>FECULTAS</t>
  </si>
  <si>
    <t>MOVE BIYR418A-DAVALIACAO        TO BIYR4108-FECULTAS</t>
  </si>
  <si>
    <t xml:space="preserve">IND-ESTA </t>
  </si>
  <si>
    <t>,CAVAL</t>
  </si>
  <si>
    <t>GNMAVAL</t>
  </si>
  <si>
    <t>MOVE ZEROS                      TO BIYR4108-IND-ESTA</t>
  </si>
  <si>
    <t xml:space="preserve">PREC-ALQ </t>
  </si>
  <si>
    <t>,GNMAVAL</t>
  </si>
  <si>
    <t>ZCLIENTE</t>
  </si>
  <si>
    <t>PREC-ALQ</t>
  </si>
  <si>
    <t>MOVE ZEROS                      TO BIYR4108-PREC-ALQ</t>
  </si>
  <si>
    <t xml:space="preserve">FEC-VENT </t>
  </si>
  <si>
    <t>FEC-VENT</t>
  </si>
  <si>
    <t>MOVE BIYR418A-DVENDA            TO BIYR4108-FEC-VENT</t>
  </si>
  <si>
    <t xml:space="preserve">PRE-VENT </t>
  </si>
  <si>
    <t>PRE-VENT</t>
  </si>
  <si>
    <t>MOVE BIYR418A-MVENDAS           TO BIYR4108-PRE-VENT</t>
  </si>
  <si>
    <t xml:space="preserve">COS-VENT </t>
  </si>
  <si>
    <t>CS1</t>
  </si>
  <si>
    <t>COS-VENT</t>
  </si>
  <si>
    <t>MOVE ZEROS                      TO BIYR4108-COS-VENT</t>
  </si>
  <si>
    <t xml:space="preserve">ENT-VALO </t>
  </si>
  <si>
    <t>ENT-VALO</t>
  </si>
  <si>
    <t>MOVE BIYR418A-GAVALIADORA       TO BIYR4108-ENT-VALO</t>
  </si>
  <si>
    <t xml:space="preserve">CODDIV   </t>
  </si>
  <si>
    <t>MOVE SPACES                     TO BIYR4108-CODDIV</t>
  </si>
  <si>
    <t xml:space="preserve">ENFQ-SOL </t>
  </si>
  <si>
    <t>ENFQ-SOL</t>
  </si>
  <si>
    <t>MOVE ZEROS                      TO BIYR4108-ENFQ-SOL</t>
  </si>
  <si>
    <t>ID-SOCI</t>
  </si>
  <si>
    <t>BIYR4108-PROCEDEN</t>
  </si>
  <si>
    <t xml:space="preserve">ESTATUS  </t>
  </si>
  <si>
    <t>0000</t>
  </si>
  <si>
    <t>ESTATUS</t>
  </si>
  <si>
    <t>BIYR4108-NIF-COMP</t>
  </si>
  <si>
    <t xml:space="preserve">PROCEDEN </t>
  </si>
  <si>
    <t>00000000000</t>
  </si>
  <si>
    <t>PROCEDEN</t>
  </si>
  <si>
    <t>MOVE 99999                      TO BIYR4108-ID-SOCI</t>
  </si>
  <si>
    <t xml:space="preserve">METCNVTA  </t>
  </si>
  <si>
    <t xml:space="preserve">  '</t>
  </si>
  <si>
    <t>METCNVTA</t>
  </si>
  <si>
    <t>BIYR4108-ESTATUS</t>
  </si>
  <si>
    <t xml:space="preserve">NIF-COMP  </t>
  </si>
  <si>
    <t>NIF-COMP</t>
  </si>
  <si>
    <t>BIYR4108-METCNVTA</t>
  </si>
  <si>
    <t>TCYR0911-DINFORM</t>
  </si>
  <si>
    <t>SOCORADJ</t>
  </si>
  <si>
    <t>MOVE BIYR418A-CODSISTE          TO BIYR4108-CODSISTE.</t>
  </si>
  <si>
    <t>TCYR0911-ZANOPROC</t>
  </si>
  <si>
    <t>IDTRASOC</t>
  </si>
  <si>
    <t>MOVE BIYR418A-ZCLIENTE          TO BIYR4108-ZCLIENTE.</t>
  </si>
  <si>
    <t>TCYR0911-ZPROC</t>
  </si>
  <si>
    <t>NIFCAUSA</t>
  </si>
  <si>
    <t>MOVE BIYR418A-ZCLIGRUPO         TO BIYR4108-ZCLIGRUPO.</t>
  </si>
  <si>
    <t>TCYR0911-ZANEXO</t>
  </si>
  <si>
    <t>SAPORADJ</t>
  </si>
  <si>
    <t>MOVE BIYR418A-ZCLIBAS           TO BIYR4108-ZCLIBAS.</t>
  </si>
  <si>
    <t>PRDX.TC.M90.TOTTAURB.TCYR0911</t>
  </si>
  <si>
    <t>TCYR0911-CTIPMOV</t>
  </si>
  <si>
    <t>PRREPCTO</t>
  </si>
  <si>
    <t>MOVE BIYR418A-CENTIDAD          TO BIYR4108-CENTIDAD.</t>
  </si>
  <si>
    <t>TCYR0911-CMOVIM</t>
  </si>
  <si>
    <t>MOVE BIYR418A-CAPLIC            TO BIYR4108-CAPLIC.</t>
  </si>
  <si>
    <t>TCYR0911-DDIAVL</t>
  </si>
  <si>
    <t>MOVE BIYR418A-EMPRESA           TO BIYR4108-EMPRESA.</t>
  </si>
  <si>
    <t>TCYR0911-MMOVIM</t>
  </si>
  <si>
    <t>MOVE BIYR418A-CPAIS             TO BIYR4108-CPAIS.</t>
  </si>
  <si>
    <t>TCYR0911-CGESTIMO</t>
  </si>
  <si>
    <t>MOVE BIYR418A-CTIPADJUD         TO BIYR4108-CTIPADJUD.</t>
  </si>
  <si>
    <t>TCYR0911-ZCLIENTE</t>
  </si>
  <si>
    <t>MOVE BIYR418A-CESTADIMO         TO BIYR4108-CESTADIMO.</t>
  </si>
  <si>
    <t>TCYR0911-NOME</t>
  </si>
  <si>
    <t>MOVE BIYR418A-CMOEDA            TO BIYR4108-CMOEDA.</t>
  </si>
  <si>
    <t>DDIAVL (4) ano</t>
  </si>
  <si>
    <t>DDIAVL(2)  mês</t>
  </si>
  <si>
    <t>CGESTIMO</t>
  </si>
  <si>
    <t>fixos</t>
  </si>
  <si>
    <t>CAPLIC</t>
  </si>
  <si>
    <t>EMPRESA</t>
  </si>
  <si>
    <t>ZCLIGRUPO</t>
  </si>
  <si>
    <t>ZCLIBAS</t>
  </si>
  <si>
    <t>CENTIDAD</t>
  </si>
  <si>
    <t>BIYR0312</t>
  </si>
  <si>
    <t>CODSISTE</t>
  </si>
  <si>
    <t>Aplicação</t>
  </si>
  <si>
    <t>Tabela Origem</t>
  </si>
  <si>
    <t>Ficheiro Origem</t>
  </si>
  <si>
    <t>Job</t>
  </si>
  <si>
    <t>Ficheiro Basileia</t>
  </si>
  <si>
    <t>CLIENTES</t>
  </si>
  <si>
    <t>CLVT50C0_ZCLIGRUPO</t>
  </si>
  <si>
    <t>PRDX.BII.CLT50.BIYRCL02</t>
  </si>
  <si>
    <t>BIM00M01</t>
  </si>
  <si>
    <t>?</t>
  </si>
  <si>
    <t>PRDX.CL.D70.CLH70004.CLYR7033</t>
  </si>
  <si>
    <t>CLMFFP31</t>
  </si>
  <si>
    <t>PRDX.BII.CLH70004.CLYR7033</t>
  </si>
  <si>
    <t>PRDX.CL.D70.CLM70D49.TAVT01A0</t>
  </si>
  <si>
    <t>PRDX.CL.D70.CLM70D49.CLYR7053.PARTENON</t>
  </si>
  <si>
    <t>PRDX.BII.C95.CLYR7053.PARTENON</t>
  </si>
  <si>
    <t>INTRAGRUPOS</t>
  </si>
  <si>
    <t>CD12-031.TXT</t>
  </si>
  <si>
    <t>PRDX.AD.CLIENTES.IG</t>
  </si>
  <si>
    <t>ADM02M01</t>
  </si>
  <si>
    <t>PRDX.ST.M20.STM20M11.STT20B.TXT</t>
  </si>
  <si>
    <t>fábio Teodoro</t>
  </si>
  <si>
    <t>EP's</t>
  </si>
  <si>
    <t>PRDX.EP.M60.EPM60M01.PLANO</t>
  </si>
  <si>
    <t>BASILEIA</t>
  </si>
  <si>
    <t>PRDX.BII.C95.BIYR0117</t>
  </si>
  <si>
    <t>PRDX.BII.C95.BIYR0118</t>
  </si>
  <si>
    <t>CD /recife_data/dados_output</t>
  </si>
  <si>
    <t>SECUR_WR_BDR.TXT</t>
  </si>
  <si>
    <t>PRDX.BII.C98.SINTETIC.D%%DT_REF</t>
  </si>
  <si>
    <t>CD BAS2</t>
  </si>
  <si>
    <t>JM_BONO_TITU_IN_%%DT_REF.txt</t>
  </si>
  <si>
    <t>PRDX.BII.C98.BIYR3307.D%%DT_REF</t>
  </si>
  <si>
    <t>LISTA CERRADA</t>
  </si>
  <si>
    <t>cd /appl/gm/data/bschxfer/acclients</t>
  </si>
  <si>
    <t>ac_bis2_qualit_%%DT1DM.txt</t>
  </si>
  <si>
    <t>PRDX.BII.M31.LC.QUALIT.D%%DT_REF</t>
  </si>
  <si>
    <t>ac_bis2_tipos_cambio.%%DATA1.win.txt</t>
  </si>
  <si>
    <t>PRDX.BII.C98.LC.CAMBIOS.D%%DT_REF</t>
  </si>
  <si>
    <t>ac_bis2_grps.%%DT1DM.txt</t>
  </si>
  <si>
    <t>PRDX.BII.M31.LC.GRUPOS.D%%DT_REF</t>
  </si>
  <si>
    <t>ac_bis2_entity_rating.%%DT1DM.txt</t>
  </si>
  <si>
    <t>PRDX.BII.M31.ENTITY.RATING.D%%DT_REF</t>
  </si>
  <si>
    <t>CAPITAL</t>
  </si>
  <si>
    <t>BAS2</t>
  </si>
  <si>
    <t>BAS2  JM_CAL_EMIS_IN_%%DT_REF.txt</t>
  </si>
  <si>
    <t>BIM80M57 BIM90M03</t>
  </si>
  <si>
    <t>PRDX.BII.C98.BIYR3603.D%%DT_REF</t>
  </si>
  <si>
    <t>LEA</t>
  </si>
  <si>
    <t>BIYR0101_D%%DT_REF.TXT</t>
  </si>
  <si>
    <t>PRDX.BII.C78.ORG.LEA.BIYR0101.D%%DT_REF</t>
  </si>
  <si>
    <t>BIYR0102_D%%DT_REF.TXT</t>
  </si>
  <si>
    <t>PRDX.BII.C78.ORG.LEA.BIYR0102.D%%DT_REF</t>
  </si>
  <si>
    <t>BIYR0103_D%%DT_REF.TXT</t>
  </si>
  <si>
    <t>PRDX.BII.C78.ORG.LEA.BIYR0103.D%%DT_REF</t>
  </si>
  <si>
    <t>BIYR0104_D%%DT_REF.TXT</t>
  </si>
  <si>
    <t>PRDX.BII.C78.ORG.LEA.BIYR0104.D%%DT_REF</t>
  </si>
  <si>
    <t xml:space="preserve">BIYR9202_D%%DT_REF.TXT    </t>
  </si>
  <si>
    <t>PRDX.BII.C78.ORG.LEA.BIYR9202.D%%DT_REF</t>
  </si>
  <si>
    <t>BIYR9202_PLANO_D%%DT_REF.TXT</t>
  </si>
  <si>
    <t>PRDX.BII.C78.ORG.LEA.BIYR9202.P.D%%DT_REF</t>
  </si>
  <si>
    <t>BIYR9510_D%%DT_REF.TXT</t>
  </si>
  <si>
    <t>PRDX.BII.C78.ORG.LEA.BIYR9510.D%%DT_REF</t>
  </si>
  <si>
    <t>BIYR0106_D%%DT_REF.TXT</t>
  </si>
  <si>
    <t>PRDX.BII.C78.ORG.LEA.BIYR0106.D%%DT_REF</t>
  </si>
  <si>
    <t>BIYR0108_D%%DT_REF.TXT</t>
  </si>
  <si>
    <t>PRDX.BII.C78.ORG.LEA.BIYR0108.D%%DT_REF</t>
  </si>
  <si>
    <t>BIYR0107_D%%DT_REF.TXT</t>
  </si>
  <si>
    <t>PRDX.BII.C78.ORG.LEA.BIYR0107.D%%DT_REF</t>
  </si>
  <si>
    <t>BIYR0105_D%%DT_REF.TXT</t>
  </si>
  <si>
    <t>PRDX.BII.C78.M36.LEA.BIYR0105.D%%DT_REF,</t>
  </si>
  <si>
    <t>BIYR1500_D%%DT_REF.TXT</t>
  </si>
  <si>
    <t>PRDX.BII.C78.ORG.LEA.BIYR1500.D%%DT_REF</t>
  </si>
  <si>
    <t>BIYR1510_D%%DT_REF.TXT</t>
  </si>
  <si>
    <t>PRDX.BII.C78.M46.LEA.BIYR1510.D%%DT_REF</t>
  </si>
  <si>
    <t>BIYR1520_D%%DT_REF.TXT</t>
  </si>
  <si>
    <t>PRDX.BII.C78.M46.LEA.BIYR1520.D%%DT_REF</t>
  </si>
  <si>
    <t>FAC</t>
  </si>
  <si>
    <t>BALANCETE.%%DT_REF.TXT</t>
  </si>
  <si>
    <t>=PRDX.BII.C78.M16.IFI.BALAN.D%%DT_REF</t>
  </si>
  <si>
    <t>%%DT_PRO.FICBS101.TXT -</t>
  </si>
  <si>
    <t>'PRDX.BII.C78.ORG.FAC.BIYR0101.D%%DT_REF'</t>
  </si>
  <si>
    <t>%%DT_PRO.FICBS102.TXT -</t>
  </si>
  <si>
    <t>'PRDX.BII.C78.ORG.FAC.BIYR0102.D%%DT_REF'</t>
  </si>
  <si>
    <t>%%DT_PRO.FICBS103.TXT -</t>
  </si>
  <si>
    <t>'PRDX.BII.C78.ORG.FAC.BIYR0103.D%%DT_REF'</t>
  </si>
  <si>
    <t>%%DT_PRO.FICBS902.TXT</t>
  </si>
  <si>
    <t>PRDX.BII.C78.ORG.FAC.BIYR9202.D%%DT_REF</t>
  </si>
  <si>
    <t>%%DT_PRO.FICBS950.TXT -</t>
  </si>
  <si>
    <t>'PRDX.BII.C78.ORG.FAC.BIYR9500.D%%DT_REF'</t>
  </si>
  <si>
    <t>%%DT_PRO.FICBS105.TXT -</t>
  </si>
  <si>
    <t>'PRDX.BII.C78.M36.FAC.BIYR0105.D%%DT_REF</t>
  </si>
  <si>
    <t>%%DT_PRO.FICBS106.TXT -</t>
  </si>
  <si>
    <t>'PRDX.BII.C78.ORG.FAC.BIYR0106.D%%DT_REF</t>
  </si>
  <si>
    <t>%%DT_PRO.FICBS108.TXT -</t>
  </si>
  <si>
    <t>'PRDX.BII.C78.ORG.FAC.BIYR0108.D%%DT_REF</t>
  </si>
  <si>
    <t>%%DT_PRO.FICBS107.TXT -</t>
  </si>
  <si>
    <t>'PRDX.BII.C78.ORG.FAC.BIYR0107.D%%DT_REF</t>
  </si>
  <si>
    <t>%%DT_PRO.FICBS150.TXT -</t>
  </si>
  <si>
    <t>'PRDX.BII.C78.ORG.FAC.BIYR1500.D%%DT_REF</t>
  </si>
  <si>
    <t>BAS_RECUPERACOES.TXT</t>
  </si>
  <si>
    <t>PRDX.BII.C78.IFIC.RECUP.D%%DT_REF</t>
  </si>
  <si>
    <t>BAS_BENS_RECUPER.TXT</t>
  </si>
  <si>
    <t>PRDX.BII.C78.IFIC.CNT.ADJUDICA.D%%DT_REF</t>
  </si>
  <si>
    <t>BAS_CRD_ABAT.TXT</t>
  </si>
  <si>
    <t>PRDX.BII.C78.LEA.CREDITO.ABATIDO.D%%DT_REF</t>
  </si>
  <si>
    <t>IFIC_CRED_ABATIDO_FAC_D%%DT_REF.TXT            -</t>
  </si>
  <si>
    <t>'PRDX.BII.C78.FAC.CREDITO.ABATIDO.D%%DT_REF</t>
  </si>
  <si>
    <t>BAS_PERDOES_DIVIDA.TXT</t>
  </si>
  <si>
    <t>PRDX.BII.C78.IFIC.PERDOES.D%%DT_REF</t>
  </si>
  <si>
    <t>BAS_REFINANC.TXT</t>
  </si>
  <si>
    <t>PRDX.BII.C78.IFIC.BIYR0669.D%%DT_REF</t>
  </si>
  <si>
    <t>BAS_VENDAS_CART.TXT</t>
  </si>
  <si>
    <t>PRDX.BII.C78.VENDAS.BIYR0674.D%%DT_REF</t>
  </si>
  <si>
    <t>BAS_CESSOES.TXT</t>
  </si>
  <si>
    <t>PRDX.BII.C78.CESSOES.BIYR0674.D%%DT_REF</t>
  </si>
  <si>
    <t>QIS_LEASE.TXT</t>
  </si>
  <si>
    <t>PRDX.BII.C78.QISLEASE.BIYR5502.D%%DT_REF</t>
  </si>
  <si>
    <t>BIM90M28</t>
  </si>
  <si>
    <t>faltam ficheiros do datalake</t>
  </si>
  <si>
    <t>TABELAS</t>
  </si>
  <si>
    <t>RASTREABILIDADE DATALAKE</t>
  </si>
  <si>
    <t>RASTREABILIDADE SISTEMA ORIGEM</t>
  </si>
  <si>
    <t>CODIÇÃO CURATED - CDM</t>
  </si>
  <si>
    <t>Common Data Model</t>
  </si>
  <si>
    <t>Fonte Curated</t>
  </si>
  <si>
    <t>Input Curated</t>
  </si>
  <si>
    <t xml:space="preserve">Fonte </t>
  </si>
  <si>
    <t>BD</t>
  </si>
  <si>
    <t>TABELA</t>
  </si>
  <si>
    <t>NOME FÍSICO TABELA</t>
  </si>
  <si>
    <t>Nível tabela</t>
  </si>
  <si>
    <t>NOME CAMPO</t>
  </si>
  <si>
    <t>NOME FÍSICO CAMPO</t>
  </si>
  <si>
    <t>BLOCO</t>
  </si>
  <si>
    <t>ORDEM</t>
  </si>
  <si>
    <t>FORMATO</t>
  </si>
  <si>
    <t>COMP_ CAMPO</t>
  </si>
  <si>
    <t>NUM_ DECIMAIS</t>
  </si>
  <si>
    <t>DESCRIÇÃO FUNCIONAL (ENG)</t>
  </si>
  <si>
    <t>DESCRIÇÃO FUNCIONAL (PT)</t>
  </si>
  <si>
    <t>CHAVE PRIMÁRIA</t>
  </si>
  <si>
    <t>Reference Data</t>
  </si>
  <si>
    <t>BD2</t>
  </si>
  <si>
    <t>TABELA3</t>
  </si>
  <si>
    <t>CAMPO</t>
  </si>
  <si>
    <t>TABELA / FICHEIRO</t>
  </si>
  <si>
    <t>CAMPO4</t>
  </si>
  <si>
    <t>ID APLICAÇÂO TÉCNICA</t>
  </si>
  <si>
    <t>TABELA5</t>
  </si>
  <si>
    <t>CAMPO6</t>
  </si>
  <si>
    <t>CONDIÇÃO</t>
  </si>
  <si>
    <t>common_contract</t>
  </si>
  <si>
    <t>Contract</t>
  </si>
  <si>
    <t>Bank ID</t>
  </si>
  <si>
    <t>bank_id</t>
  </si>
  <si>
    <t>Key - ID</t>
  </si>
  <si>
    <t>STRING</t>
  </si>
  <si>
    <t>Internal Santander's companies identification that contain contracts in Banco Santander PT context</t>
  </si>
  <si>
    <t>Identificação das empresas internas do Banco Santander PT</t>
  </si>
  <si>
    <t>X</t>
  </si>
  <si>
    <t>Contract ID</t>
  </si>
  <si>
    <t>contract_id</t>
  </si>
  <si>
    <t>Unique identifier of the contract</t>
  </si>
  <si>
    <t>Identificador exclusivo do contrato</t>
  </si>
  <si>
    <t>Product Type ID</t>
  </si>
  <si>
    <t>product_type_id</t>
  </si>
  <si>
    <t>Product - ID</t>
  </si>
  <si>
    <t>Unique identifier of the product type</t>
  </si>
  <si>
    <t>Identificador exclusivo do tipo de produto</t>
  </si>
  <si>
    <t>Product Type</t>
  </si>
  <si>
    <t>Product Lvl 1 ID</t>
  </si>
  <si>
    <t>product_family_id</t>
  </si>
  <si>
    <t>Unique identifier of the product lvl 1</t>
  </si>
  <si>
    <t>Identificador exclusivo do produto lvl 1</t>
  </si>
  <si>
    <t>Product Lvl 1</t>
  </si>
  <si>
    <t>Product Lvl 2 ID</t>
  </si>
  <si>
    <t>product_id</t>
  </si>
  <si>
    <t>Unique identifier of the product lvl 2</t>
  </si>
  <si>
    <t>Identificador exclusivo do produto lvl 2</t>
  </si>
  <si>
    <t>Product Lvl 2</t>
  </si>
  <si>
    <t>Contract Opening Date</t>
  </si>
  <si>
    <t>contract_opening_date</t>
  </si>
  <si>
    <t>Date</t>
  </si>
  <si>
    <t>DATE</t>
  </si>
  <si>
    <t>Date of the contract opening</t>
  </si>
  <si>
    <t>Data de abertura</t>
  </si>
  <si>
    <t>Common Table</t>
  </si>
  <si>
    <t>common_table</t>
  </si>
  <si>
    <t>Techinical</t>
  </si>
  <si>
    <t>Name of the origin table for the contract in the common data model</t>
  </si>
  <si>
    <t>Nome da tabela de origem para o contrato no modelo comum de dados</t>
  </si>
  <si>
    <t>CBALCAO</t>
  </si>
  <si>
    <t>cbalcao</t>
  </si>
  <si>
    <t>Unique identifier  of the contract branch id (ckbalcao)</t>
  </si>
  <si>
    <t>Identificador exclusivo do ID de balcão do contrato (ckbalcao)</t>
  </si>
  <si>
    <t>CNUMECTA</t>
  </si>
  <si>
    <t>cnumecta</t>
  </si>
  <si>
    <t>Contract's Legacy Account Identification</t>
  </si>
  <si>
    <t>Identificação legacy da conta do contrato</t>
  </si>
  <si>
    <t>ZDEPOSIT</t>
  </si>
  <si>
    <t>zdeposit</t>
  </si>
  <si>
    <t>Unique identifier of the deposit number (zdeposit)</t>
  </si>
  <si>
    <t>Identificador exclusivo do número de depósito (zdeposit)</t>
  </si>
  <si>
    <t>data_date_part</t>
  </si>
  <si>
    <t>Key - Partition</t>
  </si>
  <si>
    <t>Information reference date</t>
  </si>
  <si>
    <t>Data de referência dos dados</t>
  </si>
  <si>
    <t>data_timestamp_part</t>
  </si>
  <si>
    <t>TIMESTAMP</t>
  </si>
  <si>
    <t>Information load date timestamp</t>
  </si>
  <si>
    <t>Timestamp da data de execução</t>
  </si>
  <si>
    <t>Contract - Party</t>
  </si>
  <si>
    <t>common_contract_party_relation</t>
  </si>
  <si>
    <t>Party ID</t>
  </si>
  <si>
    <t>party_id</t>
  </si>
  <si>
    <t>Unique identifier of the party</t>
  </si>
  <si>
    <t>Identificador exclusivo da parte</t>
  </si>
  <si>
    <t>Contract Intervention Type Code</t>
  </si>
  <si>
    <t>contract_intervention_type_code</t>
  </si>
  <si>
    <t>DECIMAL</t>
  </si>
  <si>
    <t>Unique identifier of the intervention type</t>
  </si>
  <si>
    <t>Identificador único do tipo de intervenção</t>
  </si>
  <si>
    <t>Contract Intervention Type</t>
  </si>
  <si>
    <t>Contract Intervention Order</t>
  </si>
  <si>
    <t>contract_intervention_order</t>
  </si>
  <si>
    <t>Order number of the previous intervention type, ‘1’ shall be reported for the first intervention, ‘2’ for the second intervention type and so on</t>
  </si>
  <si>
    <t>Número de ordem do tipo de intervenção anterior, «1» deve ser indicado para a primeira intervenção, «2» para o segundo tipo de intervenção e assim sucessivamente</t>
  </si>
  <si>
    <t>Party Contract Relationship Start Date</t>
  </si>
  <si>
    <t>party_contract_relationship_start_date</t>
  </si>
  <si>
    <t>Attribute - Value</t>
  </si>
  <si>
    <t>Date when the relationship started. The date shall be reported in YYYY-MM-DD format.</t>
  </si>
  <si>
    <t>Data em que o relacionamento começou. A data deve ser comunicada em formato AAAA-MM-DD.</t>
  </si>
  <si>
    <t>Party Contract Relationship End Date</t>
  </si>
  <si>
    <t>party_contract_relationship_end_date</t>
  </si>
  <si>
    <t>If applicable, date when the relationship ended. The date shall be reported in YYYY-MM-DD format.</t>
  </si>
  <si>
    <t>Se for o caso, data em que o relacionamento terminou. A data deve ser comunicada em formato AAAA-MM-DD.</t>
  </si>
  <si>
    <t>Data de execução</t>
  </si>
  <si>
    <t>technical</t>
  </si>
  <si>
    <t>common_contract_confirming</t>
  </si>
  <si>
    <t>Confirming</t>
  </si>
  <si>
    <t>common_confirming</t>
  </si>
  <si>
    <t>Date of the opening</t>
  </si>
  <si>
    <t>Current Maturity Date</t>
  </si>
  <si>
    <t>current_maturity_date</t>
  </si>
  <si>
    <t>The date of expiry of the last payment obligation associated with the contract</t>
  </si>
  <si>
    <t>A data de expiração da última obrigação de pagamento associada ao contrato. No caso de contratos sem data de vencimento definida para informar com o valor 9999-12-31, onde a data de vencimento não foi alterada este campo será informado com a mesma data do vencimento original. A data deve ser informada no formato AAAA-MM-DD</t>
  </si>
  <si>
    <t>Main Associated Account Bank ID</t>
  </si>
  <si>
    <t>main_associated_account_bank_id</t>
  </si>
  <si>
    <t>Attribute - ID</t>
  </si>
  <si>
    <t>Current account contract ID that is linked to the contract</t>
  </si>
  <si>
    <t>Main Associated Account Contract ID</t>
  </si>
  <si>
    <t>main_associated_account_contract_id</t>
  </si>
  <si>
    <t>Unique identifier of the deposit account contract</t>
  </si>
  <si>
    <t>Identificador exclusivo do contrato de conta de depósito</t>
  </si>
  <si>
    <t>Confirming Contract Status Code</t>
  </si>
  <si>
    <t>confirming_contract_status_code</t>
  </si>
  <si>
    <t>Attribute - Code</t>
  </si>
  <si>
    <t>Unique identifier of the contract status</t>
  </si>
  <si>
    <t>Identificador exclusivo do status do contrato</t>
  </si>
  <si>
    <t>Confirming Contract Status</t>
  </si>
  <si>
    <t>Contract Opening Channel Code</t>
  </si>
  <si>
    <t>contract_opening_channel_code</t>
  </si>
  <si>
    <t>Unique identifier of the opening channel</t>
  </si>
  <si>
    <t>Identificador exclusivo do canal de abertura</t>
  </si>
  <si>
    <t>Contract Opening Channel</t>
  </si>
  <si>
    <t>Branch Code</t>
  </si>
  <si>
    <t>branch_code</t>
  </si>
  <si>
    <t>Identifier of the branch where the contract belongs</t>
  </si>
  <si>
    <t>Main Contract Currency Code</t>
  </si>
  <si>
    <t>main_contract_currency_code</t>
  </si>
  <si>
    <t>Financial</t>
  </si>
  <si>
    <t>Unique identifier of the currency</t>
  </si>
  <si>
    <t>Identificador exclusivo da moeda</t>
  </si>
  <si>
    <t>Currency</t>
  </si>
  <si>
    <t>Initial Interest Rate</t>
  </si>
  <si>
    <t>initial_interest_rate</t>
  </si>
  <si>
    <t>Interest rate of the loan defined at the beginning of the contract</t>
  </si>
  <si>
    <t>Taxa de juros do empréstimo definida no início do contrato</t>
  </si>
  <si>
    <t>Current Interest Rate</t>
  </si>
  <si>
    <t>current_interest_rate</t>
  </si>
  <si>
    <t xml:space="preserve">This is the percentage of the interest rate applied currently. </t>
  </si>
  <si>
    <t>Esse é o percentual da taxa de juros aplicada na verdade. Se as informações não forem aplicadas ou não existirem, devem ser comunicadas com «0»</t>
  </si>
  <si>
    <t>Limit Granted</t>
  </si>
  <si>
    <t>limit_granted</t>
  </si>
  <si>
    <t>The limit of credit attributed in the confirming contract</t>
  </si>
  <si>
    <t>Limit Granted Available</t>
  </si>
  <si>
    <t>limit_granted_available</t>
  </si>
  <si>
    <t>The available limit of credit in the confirming contract</t>
  </si>
  <si>
    <t>Limite (isso não incluiria informações sobre limites operacionais ou de gerenciamento concedidos ao cliente). Em outras palavras, os limites originalmente comunicados ao cliente e não os limites de sombra serão informados neste campo no momento em que o contrato foi celebrado. No caso de produtos ilimitados, este campo deve ser informado com o valor originalmente concedido no momento da transação</t>
  </si>
  <si>
    <t>Technical</t>
  </si>
  <si>
    <t>Confirming Balance</t>
  </si>
  <si>
    <t>common_confirming_balance</t>
  </si>
  <si>
    <t>Balance Type Code</t>
  </si>
  <si>
    <t>balance_type_code</t>
  </si>
  <si>
    <t>Unique identifier of the balance type</t>
  </si>
  <si>
    <t>Identificador exclusivo do tipo de saldo</t>
  </si>
  <si>
    <t>Balance Type</t>
  </si>
  <si>
    <t>Balance Datetime</t>
  </si>
  <si>
    <t>balance_date</t>
  </si>
  <si>
    <t>Datetime when the balance amount is registered</t>
  </si>
  <si>
    <t>Data/hora em que o valor do saldo é registrado</t>
  </si>
  <si>
    <t>Balance Currency Code</t>
  </si>
  <si>
    <t>balance_currency_code</t>
  </si>
  <si>
    <t>Balance Value</t>
  </si>
  <si>
    <t>balance_amount</t>
  </si>
  <si>
    <t>Balance amount of the contract</t>
  </si>
  <si>
    <t>Valor do saldo do contrato</t>
  </si>
  <si>
    <t>Confirming Invoice</t>
  </si>
  <si>
    <t>common_confirming_invoice</t>
  </si>
  <si>
    <t>Invoice Receive Date</t>
  </si>
  <si>
    <t>invoice_receive_date</t>
  </si>
  <si>
    <t>Date of reception of the invoice for confirming</t>
  </si>
  <si>
    <t>Invoice ID</t>
  </si>
  <si>
    <t>invoice_id</t>
  </si>
  <si>
    <t>Invoice reference ID for confirming</t>
  </si>
  <si>
    <t>Associated Account Bank ID</t>
  </si>
  <si>
    <t>associated_account_bank_id</t>
  </si>
  <si>
    <t>Bank ID of the current account associated with the confirming contract</t>
  </si>
  <si>
    <t>Associated Account Contract ID</t>
  </si>
  <si>
    <t>current_account_contract_id</t>
  </si>
  <si>
    <t>Id of the current account contract associated with the confirming contract</t>
  </si>
  <si>
    <t>Collector ID</t>
  </si>
  <si>
    <t>collector_id</t>
  </si>
  <si>
    <t>Unique identifier for the party that purchased the loan</t>
  </si>
  <si>
    <t>Identificador exclusivo da parte que cobra o empréstimo (factoring)</t>
  </si>
  <si>
    <t>confirming_Invoice Status Code</t>
  </si>
  <si>
    <t>invoice_status_code</t>
  </si>
  <si>
    <t>The status of the invoice used for confirming purposes</t>
  </si>
  <si>
    <t>Contract Currency Code</t>
  </si>
  <si>
    <t>contract_currency_code</t>
  </si>
  <si>
    <t>Invoice Amount</t>
  </si>
  <si>
    <t>invoice_amount</t>
  </si>
  <si>
    <t>Amount of the invoice submitted by the customer as part of a confirming contract</t>
  </si>
  <si>
    <t>common_contract_current_account</t>
  </si>
  <si>
    <t>Current Account</t>
  </si>
  <si>
    <t>common_current_account</t>
  </si>
  <si>
    <t>Date of the openning</t>
  </si>
  <si>
    <t>Current Overdraft Maturity Date</t>
  </si>
  <si>
    <t>current_overdraft_maturity_date</t>
  </si>
  <si>
    <t xml:space="preserve">The date of expiry of the last payment obligation associated with the contract. </t>
  </si>
  <si>
    <t>Current Account Contract Status Code</t>
  </si>
  <si>
    <t>current_acc_contract_status_code</t>
  </si>
  <si>
    <t>Current Account Contract Status</t>
  </si>
  <si>
    <t xml:space="preserve">This is the percentage of the interest rate applied actually. </t>
  </si>
  <si>
    <t>Amount Granted</t>
  </si>
  <si>
    <t>current_overdraft_amount_granted</t>
  </si>
  <si>
    <t>Current overdraft limit granted to the overdraft deposit of the account</t>
  </si>
  <si>
    <t>Current Account Balance</t>
  </si>
  <si>
    <t>common_current_account_balance</t>
  </si>
  <si>
    <t>Key - Code</t>
  </si>
  <si>
    <t>Key - Date</t>
  </si>
  <si>
    <t>common_contract_factoring</t>
  </si>
  <si>
    <t>Factoring</t>
  </si>
  <si>
    <t>common_factoring</t>
  </si>
  <si>
    <t>Taxa de juros definida no início do contrato</t>
  </si>
  <si>
    <t>Taxa de juro atual do contrato</t>
  </si>
  <si>
    <t>Limit amount that can be used in the factoring contract</t>
  </si>
  <si>
    <t>Valor limite que pode ser utilizado no contrato</t>
  </si>
  <si>
    <t>Current available amount that can be used in the factoring contract</t>
  </si>
  <si>
    <t>Valor disponível atual para utilização</t>
  </si>
  <si>
    <t>Factoring Balance</t>
  </si>
  <si>
    <t>common_factoring_balance</t>
  </si>
  <si>
    <t>Financial - Code</t>
  </si>
  <si>
    <t>Financial - Value</t>
  </si>
  <si>
    <t>Factoring Invoice</t>
  </si>
  <si>
    <t>common_factoring_invoice</t>
  </si>
  <si>
    <t>Invoice reception date by the bank for fatoring purposes</t>
  </si>
  <si>
    <t>Data de recepção da fatura para factoring</t>
  </si>
  <si>
    <t>Identifier of the invoice received for fatoring purposes</t>
  </si>
  <si>
    <t>Identificador da fatura para factoring</t>
  </si>
  <si>
    <t>Bank ID of the current account associated with the factoring contract</t>
  </si>
  <si>
    <t>Id of the current account contract associated with the factoring contract</t>
  </si>
  <si>
    <t>Status of the invoice for factoring purposes</t>
  </si>
  <si>
    <t>Estado da fatura em âmbito de factoring</t>
  </si>
  <si>
    <t>Identificador da moeda do contrato</t>
  </si>
  <si>
    <t>This is the percentage of the interest rate applied currently</t>
  </si>
  <si>
    <t xml:space="preserve">The amount of the invoice submitted by the </t>
  </si>
  <si>
    <t>common_contract_income_saving_account</t>
  </si>
  <si>
    <t xml:space="preserve">Income Saving Account </t>
  </si>
  <si>
    <t>common_income_saving_account</t>
  </si>
  <si>
    <t>Current Account Bank ID</t>
  </si>
  <si>
    <t>current_account_bank_id</t>
  </si>
  <si>
    <t>Current account bank ID that is linked to the deposit account contract</t>
  </si>
  <si>
    <t>Current Account Contract ID</t>
  </si>
  <si>
    <t>Income Saving Contract Status Code</t>
  </si>
  <si>
    <t>income_saving_acc_contract_status_code</t>
  </si>
  <si>
    <t>Income Saving Contract Status</t>
  </si>
  <si>
    <t>Income Saving Account Balance</t>
  </si>
  <si>
    <t>common_income_saving_account_balance</t>
  </si>
  <si>
    <t>common_contract_investment_security_account</t>
  </si>
  <si>
    <t>Investment Security Account</t>
  </si>
  <si>
    <t>common_investment_security_account</t>
  </si>
  <si>
    <t>Investment Security Account Contract Status Code</t>
  </si>
  <si>
    <t>investment_security_acc_contract_status_code</t>
  </si>
  <si>
    <t>Investment Security Account Contract Status</t>
  </si>
  <si>
    <t>Investment Security Account Balance</t>
  </si>
  <si>
    <t>common_investment_security_account_balance</t>
  </si>
  <si>
    <t>common_contract_leasing</t>
  </si>
  <si>
    <t>Leasing</t>
  </si>
  <si>
    <t>common_leasing</t>
  </si>
  <si>
    <t>Leasing Contract Status Code</t>
  </si>
  <si>
    <t>leasing_contract_status_code</t>
  </si>
  <si>
    <t>Leasing Contract Status</t>
  </si>
  <si>
    <t>amount_granted</t>
  </si>
  <si>
    <t>Amount granted in the leasing contract</t>
  </si>
  <si>
    <t>Leasing Balance</t>
  </si>
  <si>
    <t>common_leasing_balance</t>
  </si>
  <si>
    <t>Leasing Instalment</t>
  </si>
  <si>
    <t>common_leasing_instalment</t>
  </si>
  <si>
    <t>Instalment Number</t>
  </si>
  <si>
    <t>instalment_number</t>
  </si>
  <si>
    <t>Key</t>
  </si>
  <si>
    <t>Position of the instalment in the overall instalments plan of the loan</t>
  </si>
  <si>
    <t>Payment Date</t>
  </si>
  <si>
    <t>payment_date</t>
  </si>
  <si>
    <t>Date of the payment</t>
  </si>
  <si>
    <t>Data do pagamento</t>
  </si>
  <si>
    <t>Total Instalment Amount</t>
  </si>
  <si>
    <t>total_instalment_amount</t>
  </si>
  <si>
    <t>Value of the total</t>
  </si>
  <si>
    <t>Valor do total</t>
  </si>
  <si>
    <t>Total Capital Amount</t>
  </si>
  <si>
    <t>capital_total_amount</t>
  </si>
  <si>
    <t>Value of the total capital</t>
  </si>
  <si>
    <t>Valor do capital total</t>
  </si>
  <si>
    <t>Total Comission Amount</t>
  </si>
  <si>
    <t>comission_total_amount</t>
  </si>
  <si>
    <t>Value of the total comission</t>
  </si>
  <si>
    <t>Valor da comissão total</t>
  </si>
  <si>
    <t>Total Interest Amount</t>
  </si>
  <si>
    <t>interest_total_amount</t>
  </si>
  <si>
    <t>Value of the total interest</t>
  </si>
  <si>
    <t>Valor do insterest total</t>
  </si>
  <si>
    <t>Total Stamp Duty Amount</t>
  </si>
  <si>
    <t>stamp_duty_total_amount</t>
  </si>
  <si>
    <t>Value of the Selo Tax</t>
  </si>
  <si>
    <t>Valor do Imposto Selo</t>
  </si>
  <si>
    <t>Total Tax Amount</t>
  </si>
  <si>
    <t>tax_total_amount</t>
  </si>
  <si>
    <t>Value of the total tax</t>
  </si>
  <si>
    <t>Valor do imposto total</t>
  </si>
  <si>
    <t>Total Insurance Amount</t>
  </si>
  <si>
    <t>insurance_total_amount</t>
  </si>
  <si>
    <t>Value of the total insurance</t>
  </si>
  <si>
    <t>Valor do seguro total</t>
  </si>
  <si>
    <t>Total Other Charges Amount</t>
  </si>
  <si>
    <t>other_charges_total_amount</t>
  </si>
  <si>
    <t>Total other charges</t>
  </si>
  <si>
    <t>Cobrança do total dos outros</t>
  </si>
  <si>
    <t>common_contract_loan</t>
  </si>
  <si>
    <t>Loan</t>
  </si>
  <si>
    <t>common_loan</t>
  </si>
  <si>
    <t>Loan Contract Status Code</t>
  </si>
  <si>
    <t>loan_contract_status_code</t>
  </si>
  <si>
    <t>Loan Contract Status</t>
  </si>
  <si>
    <t>The amount granted to the customer in the loan contract</t>
  </si>
  <si>
    <t>Loan Balance</t>
  </si>
  <si>
    <t>common_loan_balance</t>
  </si>
  <si>
    <t>Loan Instalment</t>
  </si>
  <si>
    <t>common_loan_instalment</t>
  </si>
  <si>
    <t>Date of the payment of the instalment</t>
  </si>
  <si>
    <t>Value of the total insterest</t>
  </si>
  <si>
    <t>common_contract_loan_account</t>
  </si>
  <si>
    <t>Loan Account</t>
  </si>
  <si>
    <t>common_loan_account</t>
  </si>
  <si>
    <t>A data de expiração da última obrigação de pagamento associada ao contrato. </t>
  </si>
  <si>
    <t>Loan Account Contract Status Code</t>
  </si>
  <si>
    <t>loan_account_contract_status_code</t>
  </si>
  <si>
    <t>Loan Account Contract Status</t>
  </si>
  <si>
    <t>Taxa de juro atual</t>
  </si>
  <si>
    <t>The granted limit of the loan account</t>
  </si>
  <si>
    <t>Loan Account Balance</t>
  </si>
  <si>
    <t>common_loan_account_balance</t>
  </si>
  <si>
    <t>common_contract_loan_depo</t>
  </si>
  <si>
    <t>Loan &amp; Depo</t>
  </si>
  <si>
    <t>common_loan_depo</t>
  </si>
  <si>
    <t>The date of expiry of the last payment obligation associated with the contract. In the case of contracts with no maturity date set, will be reported with the value 9999-12-31. If the maturity date has not changed, this field will be reported with the same date as the original maturity. The date shall be reported in YYYY-MM-DD format</t>
  </si>
  <si>
    <t>Loan &amp; Depo Contract Status Code</t>
  </si>
  <si>
    <t>loan_depo_contract_status_code</t>
  </si>
  <si>
    <t>Loan &amp; Depo Contract Status</t>
  </si>
  <si>
    <t>Amount granted to the customer</t>
  </si>
  <si>
    <t>Loan &amp; Depo Balance</t>
  </si>
  <si>
    <t>common_loan_depo_balance</t>
  </si>
  <si>
    <t>Techcnical</t>
  </si>
  <si>
    <t>common_contract_saving_account</t>
  </si>
  <si>
    <t>Saving Account</t>
  </si>
  <si>
    <t>common_saving_account</t>
  </si>
  <si>
    <t>Saving Account Contract Status Code</t>
  </si>
  <si>
    <t>saving_acc_contract_status_code</t>
  </si>
  <si>
    <t>Saving Account Contract Status</t>
  </si>
  <si>
    <t>Saving Account Balance</t>
  </si>
  <si>
    <t>common_saving_account_balance</t>
  </si>
  <si>
    <t>common_nostro_vostro_account</t>
  </si>
  <si>
    <t>Nostro Vostro Account</t>
  </si>
  <si>
    <t>Nostro &amp; Vostro Account Contract Status Code</t>
  </si>
  <si>
    <t>nostro_vostro_acc_contract_status_code</t>
  </si>
  <si>
    <t>Nostro &amp; Vostro Account Contract Status</t>
  </si>
  <si>
    <t>Nostro Vostro Account Balance</t>
  </si>
  <si>
    <t>common_nostro_vostro_account_balance</t>
  </si>
  <si>
    <t>Counterparty Bank ID</t>
  </si>
  <si>
    <t>Counterparty_bank_id</t>
  </si>
  <si>
    <t xml:space="preserve">The hosting bank id. In case of a vostro account it will be a Santander bank Id. For Nostro accounts, a </t>
  </si>
  <si>
    <t>Nostro &amp; Vostro Account Type Code</t>
  </si>
  <si>
    <t>nostro_vostro_acc_type_code</t>
  </si>
  <si>
    <t>Indicates whether this is a nostro or vostro 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</si>
</sst>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38"/>
      <color rgb="FFFF0000"/>
      <name val="Arial"/>
      <family val="2"/>
    </font>
    <font>
      <sz val="14"/>
      <color rgb="FFFF0000"/>
      <name val="Arial"/>
      <family val="2"/>
    </font>
    <font>
      <sz val="10"/>
      <color theme="1"/>
      <name val="Trebuchet MS"/>
      <family val="2"/>
    </font>
    <font>
      <sz val="22"/>
      <color theme="1"/>
      <name val="Arial"/>
      <family val="2"/>
    </font>
    <font>
      <sz val="26"/>
      <name val="Microsoft Sans Serif"/>
      <family val="2"/>
    </font>
    <font>
      <sz val="20"/>
      <color theme="1"/>
      <name val="Arial"/>
      <family val="2"/>
    </font>
    <font>
      <sz val="20"/>
      <color rgb="FFC8E105"/>
      <name val="Microsoft Sans Serif"/>
      <family val="2"/>
    </font>
    <font>
      <sz val="10"/>
      <color theme="1"/>
      <name val="Microsoft Sans Serif"/>
      <family val="2"/>
    </font>
    <font>
      <i/>
      <sz val="12"/>
      <color theme="0"/>
      <name val="Microsoft Sans Serif"/>
      <family val="2"/>
    </font>
    <font>
      <sz val="10"/>
      <color theme="0"/>
      <name val="Microsoft Sans Serif"/>
      <family val="2"/>
    </font>
    <font>
      <sz val="12"/>
      <name val="Microsoft Sans Serif"/>
      <family val="2"/>
    </font>
    <font>
      <sz val="8"/>
      <color rgb="FFC8E105"/>
      <name val="Arial"/>
      <family val="2"/>
    </font>
    <font>
      <b/>
      <sz val="8"/>
      <color rgb="FFC8E105"/>
      <name val="Arial"/>
      <family val="2"/>
    </font>
    <font>
      <sz val="8"/>
      <name val="Microsoft Sans Serif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i/>
      <sz val="10"/>
      <name val="Arial"/>
      <family val="2"/>
    </font>
    <font>
      <u/>
      <sz val="10"/>
      <color indexed="30"/>
      <name val="Arial"/>
      <family val="2"/>
    </font>
    <font>
      <sz val="10"/>
      <name val="Arial"/>
      <family val="2"/>
    </font>
    <font>
      <b/>
      <sz val="8"/>
      <color rgb="FFFFFFFF"/>
      <name val="Arial"/>
      <family val="2"/>
    </font>
    <font>
      <b/>
      <sz val="8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ourier New"/>
      <family val="3"/>
    </font>
    <font>
      <sz val="1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theme="6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theme="6"/>
      </top>
      <bottom style="thin">
        <color indexed="64"/>
      </bottom>
      <diagonal/>
    </border>
    <border>
      <left/>
      <right/>
      <top style="thin">
        <color theme="6"/>
      </top>
      <bottom/>
      <diagonal/>
    </border>
    <border>
      <left/>
      <right/>
      <top style="thin">
        <color theme="6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5" fillId="0" borderId="0"/>
    <xf numFmtId="0" fontId="22" fillId="0" borderId="0" applyNumberFormat="0" applyFill="0" applyBorder="0" applyAlignment="0" applyProtection="0">
      <alignment vertical="top"/>
      <protection locked="0"/>
    </xf>
    <xf numFmtId="0" fontId="23" fillId="0" borderId="0"/>
  </cellStyleXfs>
  <cellXfs count="125">
    <xf numFmtId="0" fontId="0" fillId="0" borderId="0" xfId="0"/>
    <xf numFmtId="0" fontId="2" fillId="0" borderId="0" xfId="1" applyFont="1"/>
    <xf numFmtId="0" fontId="6" fillId="0" borderId="0" xfId="1" applyFont="1" applyAlignment="1">
      <alignment vertical="center"/>
    </xf>
    <xf numFmtId="0" fontId="8" fillId="0" borderId="0" xfId="1" applyFont="1"/>
    <xf numFmtId="0" fontId="0" fillId="2" borderId="0" xfId="0" applyFill="1"/>
    <xf numFmtId="0" fontId="2" fillId="2" borderId="0" xfId="1" applyFont="1" applyFill="1"/>
    <xf numFmtId="0" fontId="3" fillId="2" borderId="0" xfId="0" applyFont="1" applyFill="1" applyAlignment="1">
      <alignment horizontal="left" vertical="center" readingOrder="1"/>
    </xf>
    <xf numFmtId="0" fontId="4" fillId="2" borderId="0" xfId="0" applyFont="1" applyFill="1" applyAlignment="1">
      <alignment horizontal="left" vertical="center" readingOrder="1"/>
    </xf>
    <xf numFmtId="0" fontId="2" fillId="2" borderId="1" xfId="1" applyFont="1" applyFill="1" applyBorder="1"/>
    <xf numFmtId="0" fontId="5" fillId="2" borderId="0" xfId="2" applyFill="1"/>
    <xf numFmtId="0" fontId="6" fillId="2" borderId="0" xfId="1" applyFont="1" applyFill="1" applyAlignment="1">
      <alignment vertical="center"/>
    </xf>
    <xf numFmtId="0" fontId="7" fillId="2" borderId="0" xfId="1" applyFont="1" applyFill="1" applyAlignment="1">
      <alignment horizontal="right" vertical="center"/>
    </xf>
    <xf numFmtId="0" fontId="8" fillId="2" borderId="0" xfId="1" applyFont="1" applyFill="1"/>
    <xf numFmtId="0" fontId="9" fillId="2" borderId="0" xfId="1" applyFont="1" applyFill="1" applyAlignment="1">
      <alignment horizontal="right"/>
    </xf>
    <xf numFmtId="0" fontId="10" fillId="2" borderId="0" xfId="1" applyFont="1" applyFill="1"/>
    <xf numFmtId="0" fontId="11" fillId="2" borderId="0" xfId="1" applyFont="1" applyFill="1" applyAlignment="1">
      <alignment horizontal="right"/>
    </xf>
    <xf numFmtId="0" fontId="12" fillId="2" borderId="0" xfId="1" applyFont="1" applyFill="1"/>
    <xf numFmtId="0" fontId="13" fillId="2" borderId="0" xfId="1" applyFont="1" applyFill="1" applyAlignment="1">
      <alignment horizontal="right"/>
    </xf>
    <xf numFmtId="0" fontId="14" fillId="2" borderId="0" xfId="1" applyFont="1" applyFill="1"/>
    <xf numFmtId="0" fontId="15" fillId="2" borderId="0" xfId="1" applyFont="1" applyFill="1" applyAlignment="1">
      <alignment horizontal="right"/>
    </xf>
    <xf numFmtId="0" fontId="16" fillId="2" borderId="0" xfId="1" applyFont="1" applyFill="1" applyAlignment="1">
      <alignment horizontal="right"/>
    </xf>
    <xf numFmtId="0" fontId="18" fillId="2" borderId="0" xfId="0" applyFont="1" applyFill="1"/>
    <xf numFmtId="0" fontId="20" fillId="2" borderId="0" xfId="0" applyFont="1" applyFill="1"/>
    <xf numFmtId="0" fontId="19" fillId="2" borderId="1" xfId="0" applyFont="1" applyFill="1" applyBorder="1"/>
    <xf numFmtId="0" fontId="0" fillId="0" borderId="2" xfId="0" applyBorder="1"/>
    <xf numFmtId="0" fontId="0" fillId="0" borderId="0" xfId="0" applyAlignment="1">
      <alignment wrapText="1"/>
    </xf>
    <xf numFmtId="0" fontId="0" fillId="0" borderId="3" xfId="0" applyBorder="1"/>
    <xf numFmtId="0" fontId="0" fillId="6" borderId="2" xfId="0" applyFill="1" applyBorder="1"/>
    <xf numFmtId="0" fontId="26" fillId="0" borderId="2" xfId="0" applyFont="1" applyBorder="1" applyAlignment="1" applyProtection="1">
      <alignment wrapText="1"/>
      <protection locked="0"/>
    </xf>
    <xf numFmtId="0" fontId="26" fillId="7" borderId="2" xfId="0" applyFont="1" applyFill="1" applyBorder="1" applyProtection="1">
      <protection locked="0"/>
    </xf>
    <xf numFmtId="0" fontId="26" fillId="7" borderId="2" xfId="0" applyFont="1" applyFill="1" applyBorder="1" applyAlignment="1" applyProtection="1">
      <alignment wrapText="1"/>
      <protection locked="0"/>
    </xf>
    <xf numFmtId="0" fontId="26" fillId="0" borderId="2" xfId="0" applyFont="1" applyBorder="1" applyProtection="1">
      <protection locked="0"/>
    </xf>
    <xf numFmtId="0" fontId="26" fillId="6" borderId="2" xfId="0" applyFont="1" applyFill="1" applyBorder="1" applyProtection="1">
      <protection locked="0"/>
    </xf>
    <xf numFmtId="0" fontId="0" fillId="0" borderId="0" xfId="0" applyAlignment="1" applyProtection="1">
      <alignment vertical="center"/>
      <protection locked="0"/>
    </xf>
    <xf numFmtId="0" fontId="0" fillId="0" borderId="2" xfId="0" applyBorder="1" applyAlignment="1">
      <alignment wrapText="1"/>
    </xf>
    <xf numFmtId="0" fontId="0" fillId="7" borderId="0" xfId="0" applyFill="1"/>
    <xf numFmtId="0" fontId="0" fillId="6" borderId="2" xfId="0" applyFill="1" applyBorder="1" applyAlignment="1">
      <alignment wrapText="1"/>
    </xf>
    <xf numFmtId="0" fontId="27" fillId="0" borderId="0" xfId="0" applyFont="1"/>
    <xf numFmtId="0" fontId="26" fillId="0" borderId="3" xfId="0" applyFont="1" applyBorder="1" applyAlignment="1" applyProtection="1">
      <alignment wrapText="1"/>
      <protection locked="0"/>
    </xf>
    <xf numFmtId="0" fontId="26" fillId="7" borderId="3" xfId="0" applyFont="1" applyFill="1" applyBorder="1" applyAlignment="1" applyProtection="1">
      <alignment wrapText="1"/>
      <protection locked="0"/>
    </xf>
    <xf numFmtId="0" fontId="0" fillId="0" borderId="3" xfId="0" applyBorder="1" applyAlignment="1">
      <alignment wrapText="1"/>
    </xf>
    <xf numFmtId="0" fontId="0" fillId="7" borderId="2" xfId="0" applyFill="1" applyBorder="1" applyAlignment="1">
      <alignment wrapText="1"/>
    </xf>
    <xf numFmtId="0" fontId="0" fillId="0" borderId="5" xfId="0" applyBorder="1" applyAlignment="1">
      <alignment wrapText="1"/>
    </xf>
    <xf numFmtId="0" fontId="0" fillId="6" borderId="0" xfId="0" applyFill="1" applyAlignment="1">
      <alignment wrapText="1"/>
    </xf>
    <xf numFmtId="0" fontId="28" fillId="0" borderId="0" xfId="0" applyFont="1"/>
    <xf numFmtId="0" fontId="0" fillId="6" borderId="0" xfId="0" applyFill="1"/>
    <xf numFmtId="0" fontId="0" fillId="0" borderId="0" xfId="0" quotePrefix="1"/>
    <xf numFmtId="0" fontId="0" fillId="7" borderId="0" xfId="0" applyFill="1" applyAlignment="1">
      <alignment horizontal="right"/>
    </xf>
    <xf numFmtId="0" fontId="0" fillId="8" borderId="0" xfId="0" applyFill="1"/>
    <xf numFmtId="0" fontId="0" fillId="9" borderId="0" xfId="0" applyFill="1"/>
    <xf numFmtId="0" fontId="0" fillId="10" borderId="0" xfId="0" applyFill="1"/>
    <xf numFmtId="0" fontId="21" fillId="4" borderId="7" xfId="0" applyFont="1" applyFill="1" applyBorder="1" applyAlignment="1">
      <alignment horizontal="center" vertical="center"/>
    </xf>
    <xf numFmtId="0" fontId="17" fillId="4" borderId="7" xfId="0" applyFont="1" applyFill="1" applyBorder="1" applyAlignment="1">
      <alignment horizontal="center" vertical="center"/>
    </xf>
    <xf numFmtId="0" fontId="23" fillId="0" borderId="7" xfId="0" applyFont="1" applyBorder="1" applyAlignment="1">
      <alignment horizontal="left" vertical="center" indent="1"/>
    </xf>
    <xf numFmtId="0" fontId="24" fillId="5" borderId="3" xfId="0" applyFont="1" applyFill="1" applyBorder="1" applyAlignment="1" applyProtection="1">
      <alignment horizontal="center" vertical="center" wrapText="1"/>
      <protection locked="0"/>
    </xf>
    <xf numFmtId="0" fontId="24" fillId="5" borderId="5" xfId="0" applyFont="1" applyFill="1" applyBorder="1" applyAlignment="1" applyProtection="1">
      <alignment vertical="center" wrapText="1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vertical="center" wrapText="1"/>
    </xf>
    <xf numFmtId="0" fontId="25" fillId="5" borderId="10" xfId="0" applyFont="1" applyFill="1" applyBorder="1" applyAlignment="1">
      <alignment horizontal="center" vertical="center" wrapText="1"/>
    </xf>
    <xf numFmtId="0" fontId="0" fillId="0" borderId="0" xfId="0" applyAlignment="1" applyProtection="1">
      <alignment horizontal="left" vertical="center" wrapText="1"/>
      <protection locked="0"/>
    </xf>
    <xf numFmtId="0" fontId="18" fillId="0" borderId="0" xfId="0" applyFont="1" applyAlignment="1" applyProtection="1">
      <alignment horizontal="left" vertical="center" wrapText="1"/>
      <protection locked="0"/>
    </xf>
    <xf numFmtId="0" fontId="18" fillId="0" borderId="0" xfId="0" applyFont="1" applyAlignment="1" applyProtection="1">
      <alignment horizontal="left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vertical="center" wrapText="1"/>
      <protection locked="0"/>
    </xf>
    <xf numFmtId="0" fontId="18" fillId="0" borderId="0" xfId="0" applyFont="1" applyAlignment="1" applyProtection="1">
      <alignment horizontal="center" vertical="center" wrapText="1"/>
      <protection locked="0"/>
    </xf>
    <xf numFmtId="0" fontId="18" fillId="0" borderId="0" xfId="0" applyFont="1" applyAlignment="1" applyProtection="1">
      <alignment vertical="center"/>
      <protection locked="0"/>
    </xf>
    <xf numFmtId="0" fontId="0" fillId="0" borderId="13" xfId="0" applyBorder="1" applyAlignment="1">
      <alignment vertical="center"/>
    </xf>
    <xf numFmtId="0" fontId="0" fillId="13" borderId="0" xfId="0" applyFill="1" applyAlignment="1" applyProtection="1">
      <alignment vertical="center"/>
      <protection locked="0"/>
    </xf>
    <xf numFmtId="0" fontId="0" fillId="6" borderId="0" xfId="0" applyFill="1" applyAlignment="1" applyProtection="1">
      <alignment vertical="center"/>
      <protection locked="0"/>
    </xf>
    <xf numFmtId="0" fontId="0" fillId="0" borderId="13" xfId="0" applyBorder="1" applyAlignment="1">
      <alignment horizontal="left" vertical="center"/>
    </xf>
    <xf numFmtId="0" fontId="0" fillId="0" borderId="13" xfId="0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18" fillId="0" borderId="0" xfId="0" applyFont="1" applyProtection="1">
      <protection locked="0"/>
    </xf>
    <xf numFmtId="0" fontId="0" fillId="0" borderId="0" xfId="0" applyProtection="1">
      <protection locked="0"/>
    </xf>
    <xf numFmtId="0" fontId="0" fillId="0" borderId="14" xfId="0" applyBorder="1" applyAlignment="1">
      <alignment vertical="center" wrapText="1"/>
    </xf>
    <xf numFmtId="0" fontId="0" fillId="14" borderId="13" xfId="0" applyFill="1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5" xfId="0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vertical="center" wrapText="1"/>
    </xf>
    <xf numFmtId="0" fontId="0" fillId="0" borderId="16" xfId="0" applyBorder="1" applyAlignment="1">
      <alignment horizontal="left" vertical="center"/>
    </xf>
    <xf numFmtId="0" fontId="0" fillId="0" borderId="16" xfId="0" applyBorder="1" applyAlignment="1">
      <alignment horizontal="left" vertical="center" wrapText="1"/>
    </xf>
    <xf numFmtId="0" fontId="0" fillId="0" borderId="17" xfId="0" applyBorder="1" applyAlignment="1">
      <alignment horizontal="left" vertical="center"/>
    </xf>
    <xf numFmtId="0" fontId="25" fillId="5" borderId="0" xfId="0" applyFont="1" applyFill="1" applyAlignment="1">
      <alignment horizontal="center" vertical="center" wrapText="1"/>
    </xf>
    <xf numFmtId="0" fontId="25" fillId="2" borderId="10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15" borderId="16" xfId="0" applyFill="1" applyBorder="1" applyAlignment="1">
      <alignment horizontal="left" vertical="center"/>
    </xf>
    <xf numFmtId="0" fontId="0" fillId="15" borderId="13" xfId="0" applyFill="1" applyBorder="1" applyAlignment="1">
      <alignment horizontal="left" vertical="center"/>
    </xf>
    <xf numFmtId="0" fontId="0" fillId="15" borderId="13" xfId="0" applyFill="1" applyBorder="1" applyAlignment="1">
      <alignment horizontal="center" vertical="center"/>
    </xf>
    <xf numFmtId="0" fontId="0" fillId="15" borderId="8" xfId="0" applyFill="1" applyBorder="1" applyAlignment="1">
      <alignment vertical="center"/>
    </xf>
    <xf numFmtId="0" fontId="0" fillId="15" borderId="8" xfId="0" applyFill="1" applyBorder="1" applyAlignment="1">
      <alignment horizontal="center" vertical="center"/>
    </xf>
    <xf numFmtId="0" fontId="0" fillId="15" borderId="8" xfId="0" applyFill="1" applyBorder="1" applyAlignment="1">
      <alignment vertical="center" wrapText="1"/>
    </xf>
    <xf numFmtId="0" fontId="0" fillId="15" borderId="8" xfId="0" applyFill="1" applyBorder="1" applyAlignment="1">
      <alignment horizontal="left" vertical="center"/>
    </xf>
    <xf numFmtId="0" fontId="0" fillId="15" borderId="14" xfId="0" applyFill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7" borderId="13" xfId="0" applyFill="1" applyBorder="1" applyAlignment="1">
      <alignment horizontal="left" vertical="center"/>
    </xf>
    <xf numFmtId="0" fontId="0" fillId="6" borderId="13" xfId="0" applyFill="1" applyBorder="1" applyAlignment="1">
      <alignment horizontal="left" vertical="center"/>
    </xf>
    <xf numFmtId="0" fontId="0" fillId="6" borderId="8" xfId="0" applyFill="1" applyBorder="1" applyAlignment="1">
      <alignment vertical="center" wrapText="1"/>
    </xf>
    <xf numFmtId="0" fontId="0" fillId="0" borderId="5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5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24" fillId="12" borderId="11" xfId="0" applyFont="1" applyFill="1" applyBorder="1" applyAlignment="1" applyProtection="1">
      <alignment horizontal="center" vertical="center" wrapText="1"/>
      <protection locked="0"/>
    </xf>
    <xf numFmtId="0" fontId="24" fillId="12" borderId="9" xfId="0" applyFont="1" applyFill="1" applyBorder="1" applyAlignment="1" applyProtection="1">
      <alignment horizontal="center" vertical="center" wrapText="1" readingOrder="1"/>
      <protection locked="0"/>
    </xf>
    <xf numFmtId="0" fontId="24" fillId="12" borderId="12" xfId="0" applyFont="1" applyFill="1" applyBorder="1" applyAlignment="1" applyProtection="1">
      <alignment horizontal="center" vertical="center" wrapText="1" readingOrder="1"/>
      <protection locked="0"/>
    </xf>
    <xf numFmtId="0" fontId="24" fillId="12" borderId="3" xfId="0" applyFont="1" applyFill="1" applyBorder="1" applyAlignment="1" applyProtection="1">
      <alignment horizontal="center" vertical="center" wrapText="1" readingOrder="1"/>
      <protection locked="0"/>
    </xf>
    <xf numFmtId="0" fontId="24" fillId="3" borderId="11" xfId="0" applyFont="1" applyFill="1" applyBorder="1" applyAlignment="1" applyProtection="1">
      <alignment horizontal="center" vertical="center" wrapText="1" readingOrder="1"/>
      <protection locked="0"/>
    </xf>
    <xf numFmtId="0" fontId="24" fillId="3" borderId="9" xfId="0" applyFont="1" applyFill="1" applyBorder="1" applyAlignment="1" applyProtection="1">
      <alignment horizontal="center" vertical="center" wrapText="1" readingOrder="1"/>
      <protection locked="0"/>
    </xf>
    <xf numFmtId="0" fontId="24" fillId="3" borderId="12" xfId="0" applyFont="1" applyFill="1" applyBorder="1" applyAlignment="1" applyProtection="1">
      <alignment horizontal="center" vertical="center" wrapText="1" readingOrder="1"/>
      <protection locked="0"/>
    </xf>
    <xf numFmtId="0" fontId="24" fillId="3" borderId="3" xfId="0" applyFont="1" applyFill="1" applyBorder="1" applyAlignment="1" applyProtection="1">
      <alignment horizontal="center" vertical="center" wrapText="1" readingOrder="1"/>
      <protection locked="0"/>
    </xf>
    <xf numFmtId="0" fontId="24" fillId="11" borderId="11" xfId="0" applyFont="1" applyFill="1" applyBorder="1" applyAlignment="1" applyProtection="1">
      <alignment horizontal="center" vertical="center" wrapText="1" readingOrder="1"/>
      <protection locked="0"/>
    </xf>
    <xf numFmtId="0" fontId="24" fillId="11" borderId="9" xfId="0" applyFont="1" applyFill="1" applyBorder="1" applyAlignment="1" applyProtection="1">
      <alignment horizontal="center" vertical="center" wrapText="1" readingOrder="1"/>
      <protection locked="0"/>
    </xf>
    <xf numFmtId="0" fontId="24" fillId="11" borderId="12" xfId="0" applyFont="1" applyFill="1" applyBorder="1" applyAlignment="1" applyProtection="1">
      <alignment horizontal="center" vertical="center" wrapText="1" readingOrder="1"/>
      <protection locked="0"/>
    </xf>
    <xf numFmtId="0" fontId="24" fillId="11" borderId="3" xfId="0" applyFont="1" applyFill="1" applyBorder="1" applyAlignment="1" applyProtection="1">
      <alignment horizontal="center" vertical="center" wrapText="1" readingOrder="1"/>
      <protection locked="0"/>
    </xf>
    <xf numFmtId="0" fontId="0" fillId="0" borderId="13" xfId="0" applyFill="1" applyBorder="1" applyAlignment="1">
      <alignment horizontal="left" vertical="center"/>
    </xf>
    <xf numFmtId="0" fontId="0" fillId="13" borderId="13" xfId="0" applyFill="1" applyBorder="1" applyAlignment="1">
      <alignment horizontal="left" vertical="center"/>
    </xf>
  </cellXfs>
  <cellStyles count="5">
    <cellStyle name="Hyperlink" xfId="3" xr:uid="{00000000-0005-0000-0000-000000000000}"/>
    <cellStyle name="Normal" xfId="0" builtinId="0"/>
    <cellStyle name="Normal 2" xfId="4" xr:uid="{00000000-0005-0000-0000-000002000000}"/>
    <cellStyle name="Normal 2 2 3 4" xfId="1" xr:uid="{00000000-0005-0000-0000-000003000000}"/>
    <cellStyle name="Normal 3 5 4" xfId="2" xr:uid="{00000000-0005-0000-0000-000004000000}"/>
  </cellStyles>
  <dxfs count="27"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6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6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6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6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6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6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6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6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6"/>
        </top>
        <bottom/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6"/>
        </top>
        <bottom/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6"/>
        </top>
        <bottom/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6"/>
        </top>
        <bottom/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6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6"/>
        </top>
        <bottom/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6"/>
        </top>
        <bottom/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6"/>
        </top>
        <bottom/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5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8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7.xml"/><Relationship Id="rId23" Type="http://schemas.openxmlformats.org/officeDocument/2006/relationships/customXml" Target="../customXml/item2.xml"/><Relationship Id="rId10" Type="http://schemas.openxmlformats.org/officeDocument/2006/relationships/externalLink" Target="externalLinks/externalLink2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Relationship Id="rId22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253841</xdr:colOff>
      <xdr:row>10</xdr:row>
      <xdr:rowOff>36671</xdr:rowOff>
    </xdr:from>
    <xdr:ext cx="8955882" cy="360759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3841" y="2215991"/>
          <a:ext cx="8955882" cy="360759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38100</xdr:colOff>
      <xdr:row>1</xdr:row>
      <xdr:rowOff>53340</xdr:rowOff>
    </xdr:from>
    <xdr:to>
      <xdr:col>1</xdr:col>
      <xdr:colOff>862693</xdr:colOff>
      <xdr:row>2</xdr:row>
      <xdr:rowOff>16906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A625376A-0995-4428-B625-29E92C963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54050" y="237490"/>
          <a:ext cx="824593" cy="14771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156189" y="358571"/>
    <xdr:ext cx="1063066" cy="177675"/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6189" y="378268"/>
          <a:ext cx="1066453" cy="185185"/>
        </a:xfrm>
        <a:prstGeom prst="rect">
          <a:avLst/>
        </a:prstGeom>
      </xdr:spPr>
    </xdr:pic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USERS\c699248\LOCALS~1\Temp\Temporary%20Directory%201%20for%20Mov%20impostos%20diferidos_consol_SGPS_DEZ11.zip\movimento%20impostos_35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15%20Carteira%20de%20T&#237;tulo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5221%20Carteira%20de%20Titulos%20_%2031.12.2004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Nota%2010%20_2004_MMM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mmelancia\Desktop\Juros%20a%20receber\5520%20An&#225;lise%20da%20Carteira%20Pr&#243;pria%20de%20T&#237;tulos%20a%2031-12-2004_BSP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550%20Participa&#231;&#245;es%20financeiras%20BSP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Worksheet%20in%205550%20Detalhe%20das%20participa&#231;&#245;es%20financeira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Worksheet%20in%205250%20Teste%20aos%20juros%20dos%20DP's_30.11.2004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mpostos correntes_2006"/>
      <sheetName val="NJ-CA-MA-CT_jun06"/>
      <sheetName val="NJ-CA-MA-CT_dez05"/>
      <sheetName val="Impostos correntes_2006_EUR"/>
      <sheetName val="Impostos correntes_2006_USD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teira de Títulos"/>
      <sheetName val="XREF"/>
      <sheetName val="Tickmarks"/>
      <sheetName val="PBC"/>
      <sheetName val="Carteira 21"/>
      <sheetName val="Carteira 20"/>
      <sheetName val="Bffr"/>
      <sheetName val="Listas_Lists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teira 20"/>
      <sheetName val="Carteira 21"/>
      <sheetName val="Resumo_valias Potenciais"/>
      <sheetName val="Resumo País Emitente"/>
      <sheetName val="Nota 47"/>
      <sheetName val="XREF"/>
      <sheetName val="Tickmarks"/>
      <sheetName val="Pivot"/>
      <sheetName val="Tratado"/>
      <sheetName val="Sheet1"/>
      <sheetName val="Nota"/>
    </sheetNames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a 10 - 2004  - Paste Values"/>
      <sheetName val="nota10 - 2004"/>
      <sheetName val="Suporte - Balanço"/>
      <sheetName val="2004_work_MSA"/>
      <sheetName val="Carteira 20"/>
    </sheetNames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entário"/>
      <sheetName val="Euribor"/>
      <sheetName val="PBC"/>
      <sheetName val="PBC Mensualizações #25"/>
      <sheetName val="PBC Mensualizações #26"/>
      <sheetName val="XREF"/>
      <sheetName val="Tickmarks"/>
    </sheetNames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v Dez 2004"/>
      <sheetName val="notas"/>
      <sheetName val="PBC Dez 2004"/>
      <sheetName val="Movimento Setembro"/>
      <sheetName val="PBC Set 04"/>
      <sheetName val="Movimento Jun"/>
      <sheetName val="PBC Junho 04"/>
      <sheetName val="PBC Maio 04"/>
      <sheetName val="XREF"/>
      <sheetName val="Tickmarks"/>
    </sheetNames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v Dez 2004"/>
      <sheetName val="PBC Dez 04"/>
      <sheetName val="Notas"/>
      <sheetName val="movimento setembro"/>
      <sheetName val="PBC set 2004"/>
      <sheetName val="resumo cpp jun"/>
      <sheetName val="junho 04"/>
      <sheetName val="dez02"/>
      <sheetName val="+-VALIAS set03"/>
      <sheetName val="Set 2003"/>
      <sheetName val="maio 04"/>
      <sheetName val="XREF"/>
      <sheetName val="Tickmarks"/>
      <sheetName val="Carteira 21"/>
      <sheetName val="COL"/>
      <sheetName val="Aux Calc | PensionFundRisk"/>
    </sheetNames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urodep_20"/>
      <sheetName val="Eurodep_21"/>
      <sheetName val="Teste DP 31.12.2003"/>
      <sheetName val="XREF"/>
      <sheetName val="Tickmarks"/>
      <sheetName val="Carteira 20"/>
    </sheetNames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F75C7903-D6E8-4708-A969-FA7956CB41AA}">
    <nsvFilter filterId="{00000000-0009-0000-0100-000002000000}" ref="B7:Y356" tableId="2"/>
  </namedSheetView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Tiago Jorge Ferreira Ventinhas" id="{9BC234D9-695E-441C-9820-5F3CE5E12656}" userId="S::e807441@corp.santander.pt::5373ab1f-8d33-4e5f-b74d-4a716a50695f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B7:Y356" totalsRowShown="0" headerRowDxfId="26" dataDxfId="25" tableBorderDxfId="24">
  <autoFilter ref="B7:Y356" xr:uid="{00000000-0009-0000-0100-000002000000}">
    <filterColumn colId="0">
      <filters>
        <filter val="common_contract"/>
      </filters>
    </filterColumn>
    <filterColumn colId="1">
      <filters>
        <filter val="Contract - Party"/>
      </filters>
    </filterColumn>
  </autoFilter>
  <tableColumns count="24">
    <tableColumn id="1" xr3:uid="{00000000-0010-0000-0000-000001000000}" name="BD" dataDxfId="23"/>
    <tableColumn id="2" xr3:uid="{00000000-0010-0000-0000-000002000000}" name="TABELA" dataDxfId="22"/>
    <tableColumn id="3" xr3:uid="{00000000-0010-0000-0000-000003000000}" name="NOME FÍSICO TABELA" dataDxfId="21"/>
    <tableColumn id="4" xr3:uid="{00000000-0010-0000-0000-000004000000}" name="Nível tabela" dataDxfId="20"/>
    <tableColumn id="5" xr3:uid="{00000000-0010-0000-0000-000005000000}" name="NOME CAMPO" dataDxfId="19"/>
    <tableColumn id="6" xr3:uid="{00000000-0010-0000-0000-000006000000}" name="NOME FÍSICO CAMPO" dataDxfId="18"/>
    <tableColumn id="7" xr3:uid="{00000000-0010-0000-0000-000007000000}" name="BLOCO" dataDxfId="17"/>
    <tableColumn id="8" xr3:uid="{00000000-0010-0000-0000-000008000000}" name="ORDEM" dataDxfId="16"/>
    <tableColumn id="9" xr3:uid="{00000000-0010-0000-0000-000009000000}" name="FORMATO" dataDxfId="15"/>
    <tableColumn id="10" xr3:uid="{00000000-0010-0000-0000-00000A000000}" name="COMP_ CAMPO" dataDxfId="14"/>
    <tableColumn id="11" xr3:uid="{00000000-0010-0000-0000-00000B000000}" name="NUM_ DECIMAIS" dataDxfId="13"/>
    <tableColumn id="12" xr3:uid="{00000000-0010-0000-0000-00000C000000}" name="DESCRIÇÃO FUNCIONAL (ENG)" dataDxfId="12"/>
    <tableColumn id="13" xr3:uid="{00000000-0010-0000-0000-00000D000000}" name="DESCRIÇÃO FUNCIONAL (PT)" dataDxfId="11"/>
    <tableColumn id="14" xr3:uid="{00000000-0010-0000-0000-00000E000000}" name="CHAVE PRIMÁRIA" dataDxfId="10"/>
    <tableColumn id="15" xr3:uid="{00000000-0010-0000-0000-00000F000000}" name="Reference Data" dataDxfId="9"/>
    <tableColumn id="16" xr3:uid="{00000000-0010-0000-0000-000010000000}" name="BD2" dataDxfId="8"/>
    <tableColumn id="17" xr3:uid="{00000000-0010-0000-0000-000011000000}" name="TABELA3" dataDxfId="7"/>
    <tableColumn id="18" xr3:uid="{00000000-0010-0000-0000-000012000000}" name="CAMPO" dataDxfId="6"/>
    <tableColumn id="19" xr3:uid="{00000000-0010-0000-0000-000013000000}" name="TABELA / FICHEIRO" dataDxfId="5"/>
    <tableColumn id="20" xr3:uid="{00000000-0010-0000-0000-000014000000}" name="CAMPO4" dataDxfId="4"/>
    <tableColumn id="21" xr3:uid="{00000000-0010-0000-0000-000015000000}" name="ID APLICAÇÂO TÉCNICA" dataDxfId="3"/>
    <tableColumn id="22" xr3:uid="{00000000-0010-0000-0000-000016000000}" name="TABELA5" dataDxfId="2"/>
    <tableColumn id="23" xr3:uid="{00000000-0010-0000-0000-000017000000}" name="CAMPO6" dataDxfId="1"/>
    <tableColumn id="24" xr3:uid="{00000000-0010-0000-0000-000018000000}" name="CONDIÇÃO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06" dT="2023-12-13T21:45:14.92" personId="{9BC234D9-695E-441C-9820-5F3CE5E12656}" id="{FF5C98A2-6339-448D-AECF-220962CF168A}">
    <text>Em confirmação campos de prestações do leasing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microsoft.com/office/2019/04/relationships/namedSheetView" Target="../namedSheetViews/namedSheetView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0.499984740745262"/>
  </sheetPr>
  <dimension ref="A1:P45"/>
  <sheetViews>
    <sheetView workbookViewId="0">
      <selection activeCell="G3" sqref="G3"/>
    </sheetView>
  </sheetViews>
  <sheetFormatPr defaultColWidth="0" defaultRowHeight="12.75" zeroHeight="1" x14ac:dyDescent="0.35"/>
  <cols>
    <col min="1" max="1" width="3.59765625" style="1" customWidth="1"/>
    <col min="2" max="14" width="9.3984375" style="1" customWidth="1"/>
    <col min="15" max="15" width="8.59765625" style="1" customWidth="1"/>
    <col min="16" max="16" width="5.59765625" style="1" customWidth="1"/>
    <col min="17" max="16384" width="9.3984375" style="1" hidden="1"/>
  </cols>
  <sheetData>
    <row r="1" spans="1:16" x14ac:dyDescent="0.3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 x14ac:dyDescent="0.3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ht="47.25" x14ac:dyDescent="0.35">
      <c r="A3" s="5"/>
      <c r="B3" s="6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ht="17.25" x14ac:dyDescent="0.35">
      <c r="A4" s="5"/>
      <c r="B4" s="7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ht="13.15" thickBot="1" x14ac:dyDescent="0.4">
      <c r="A5" s="5"/>
      <c r="B5" s="8"/>
      <c r="C5" s="8"/>
      <c r="D5" s="8"/>
      <c r="E5" s="8"/>
      <c r="F5" s="8"/>
      <c r="G5" s="8"/>
      <c r="H5" s="8"/>
      <c r="I5" s="8"/>
      <c r="J5" s="5"/>
      <c r="K5" s="5"/>
      <c r="L5" s="5"/>
      <c r="M5" s="5"/>
      <c r="N5" s="5"/>
      <c r="O5" s="5"/>
      <c r="P5" s="5"/>
    </row>
    <row r="6" spans="1:16" ht="13.9" x14ac:dyDescent="0.45">
      <c r="A6" s="5"/>
      <c r="B6" s="5"/>
      <c r="C6" s="5"/>
      <c r="D6" s="5"/>
      <c r="E6" s="5"/>
      <c r="F6" s="9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 x14ac:dyDescent="0.3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6" x14ac:dyDescent="0.3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 x14ac:dyDescent="0.3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 x14ac:dyDescent="0.3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 x14ac:dyDescent="0.3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 x14ac:dyDescent="0.3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 x14ac:dyDescent="0.3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 x14ac:dyDescent="0.3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 x14ac:dyDescent="0.3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 s="2" customFormat="1" ht="31.9" x14ac:dyDescent="0.4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1"/>
      <c r="P16" s="10"/>
    </row>
    <row r="17" spans="1:16" s="3" customFormat="1" ht="24.75" x14ac:dyDescent="0.6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3"/>
      <c r="P17" s="12"/>
    </row>
    <row r="18" spans="1:16" x14ac:dyDescent="0.3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14"/>
      <c r="P18" s="5"/>
    </row>
    <row r="19" spans="1:16" x14ac:dyDescent="0.3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14"/>
      <c r="P19" s="5"/>
    </row>
    <row r="20" spans="1:16" ht="15.4" x14ac:dyDescent="0.4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15"/>
      <c r="P20" s="5"/>
    </row>
    <row r="21" spans="1:16" x14ac:dyDescent="0.3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16"/>
      <c r="P21" s="5"/>
    </row>
    <row r="22" spans="1:16" x14ac:dyDescent="0.3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16"/>
      <c r="P22" s="5"/>
    </row>
    <row r="23" spans="1:16" ht="15.4" x14ac:dyDescent="0.4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17"/>
      <c r="P23" s="5"/>
    </row>
    <row r="24" spans="1:16" x14ac:dyDescent="0.3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14"/>
      <c r="P24" s="5"/>
    </row>
    <row r="25" spans="1:16" x14ac:dyDescent="0.3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14"/>
      <c r="P25" s="5"/>
    </row>
    <row r="26" spans="1:16" x14ac:dyDescent="0.3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14"/>
      <c r="P26" s="5"/>
    </row>
    <row r="27" spans="1:16" x14ac:dyDescent="0.3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14"/>
      <c r="P27" s="5"/>
    </row>
    <row r="28" spans="1:16" x14ac:dyDescent="0.3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14"/>
      <c r="P28" s="5"/>
    </row>
    <row r="29" spans="1:16" x14ac:dyDescent="0.3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14"/>
      <c r="P29" s="5"/>
    </row>
    <row r="30" spans="1:16" x14ac:dyDescent="0.3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14"/>
      <c r="P30" s="5"/>
    </row>
    <row r="31" spans="1:16" x14ac:dyDescent="0.3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18"/>
      <c r="N31" s="19"/>
      <c r="O31" s="20"/>
      <c r="P31" s="5"/>
    </row>
    <row r="32" spans="1:16" x14ac:dyDescent="0.3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 hidden="1" x14ac:dyDescent="0.3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 hidden="1" x14ac:dyDescent="0.3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 hidden="1" x14ac:dyDescent="0.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 hidden="1" x14ac:dyDescent="0.3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 hidden="1" x14ac:dyDescent="0.3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 hidden="1" x14ac:dyDescent="0.3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 hidden="1" x14ac:dyDescent="0.3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 hidden="1" x14ac:dyDescent="0.3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 hidden="1" x14ac:dyDescent="0.3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 hidden="1" x14ac:dyDescent="0.3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 hidden="1" x14ac:dyDescent="0.3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 hidden="1" x14ac:dyDescent="0.3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 x14ac:dyDescent="0.3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62"/>
  <sheetViews>
    <sheetView zoomScale="115" zoomScaleNormal="115" workbookViewId="0">
      <selection activeCell="B5" sqref="B5"/>
    </sheetView>
  </sheetViews>
  <sheetFormatPr defaultColWidth="0" defaultRowHeight="14.25" x14ac:dyDescent="0.45"/>
  <cols>
    <col min="1" max="1" width="8.86328125" style="4" customWidth="1"/>
    <col min="2" max="2" width="13" customWidth="1"/>
    <col min="3" max="3" width="29.1328125" customWidth="1"/>
    <col min="4" max="4" width="91.59765625" customWidth="1"/>
    <col min="5" max="5" width="8.86328125" style="4" customWidth="1"/>
    <col min="6" max="16384" width="8.86328125" hidden="1"/>
  </cols>
  <sheetData>
    <row r="1" spans="1:5" x14ac:dyDescent="0.45">
      <c r="A1" s="21"/>
      <c r="B1" s="21"/>
      <c r="C1" s="21"/>
      <c r="D1" s="21"/>
      <c r="E1" s="21"/>
    </row>
    <row r="2" spans="1:5" x14ac:dyDescent="0.45">
      <c r="A2" s="21"/>
      <c r="B2" s="21"/>
      <c r="C2" s="21"/>
      <c r="D2" s="21"/>
      <c r="E2" s="21"/>
    </row>
    <row r="3" spans="1:5" ht="14.65" thickBot="1" x14ac:dyDescent="0.5">
      <c r="A3" s="23"/>
      <c r="B3" s="23"/>
      <c r="C3" s="23"/>
      <c r="D3" s="23"/>
      <c r="E3" s="23"/>
    </row>
    <row r="4" spans="1:5" x14ac:dyDescent="0.45">
      <c r="A4" s="22"/>
      <c r="B4" s="22"/>
      <c r="C4" s="22"/>
      <c r="D4" s="22"/>
      <c r="E4" s="22"/>
    </row>
    <row r="5" spans="1:5" x14ac:dyDescent="0.45">
      <c r="A5" s="22"/>
      <c r="B5" s="51" t="s">
        <v>1</v>
      </c>
      <c r="C5" s="52" t="s">
        <v>2</v>
      </c>
      <c r="D5" s="52" t="s">
        <v>3</v>
      </c>
      <c r="E5" s="22"/>
    </row>
    <row r="6" spans="1:5" x14ac:dyDescent="0.45">
      <c r="A6" s="22"/>
      <c r="B6" s="53"/>
      <c r="C6" s="53"/>
      <c r="D6" s="53"/>
      <c r="E6" s="22"/>
    </row>
    <row r="7" spans="1:5" x14ac:dyDescent="0.45">
      <c r="A7" s="22"/>
      <c r="B7" s="53"/>
      <c r="C7" s="53"/>
      <c r="D7" s="53"/>
      <c r="E7" s="22"/>
    </row>
    <row r="8" spans="1:5" x14ac:dyDescent="0.45">
      <c r="A8" s="22"/>
      <c r="B8" s="53"/>
      <c r="C8" s="53"/>
      <c r="D8" s="53"/>
      <c r="E8" s="22"/>
    </row>
    <row r="9" spans="1:5" x14ac:dyDescent="0.45">
      <c r="A9" s="22"/>
      <c r="B9" s="53"/>
      <c r="C9" s="53"/>
      <c r="D9" s="53"/>
      <c r="E9" s="22"/>
    </row>
    <row r="10" spans="1:5" x14ac:dyDescent="0.45">
      <c r="A10" s="22"/>
      <c r="B10" s="53"/>
      <c r="C10" s="53"/>
      <c r="D10" s="53"/>
      <c r="E10" s="22"/>
    </row>
    <row r="11" spans="1:5" x14ac:dyDescent="0.45">
      <c r="B11" s="53"/>
      <c r="C11" s="53"/>
      <c r="D11" s="53"/>
    </row>
    <row r="12" spans="1:5" x14ac:dyDescent="0.45">
      <c r="B12" s="53"/>
      <c r="C12" s="53"/>
      <c r="D12" s="53"/>
    </row>
    <row r="13" spans="1:5" x14ac:dyDescent="0.45">
      <c r="B13" s="53"/>
      <c r="C13" s="53"/>
      <c r="D13" s="53"/>
    </row>
    <row r="14" spans="1:5" s="4" customFormat="1" x14ac:dyDescent="0.45">
      <c r="B14" s="53"/>
      <c r="C14" s="53"/>
      <c r="D14" s="53"/>
    </row>
    <row r="15" spans="1:5" s="4" customFormat="1" x14ac:dyDescent="0.45">
      <c r="B15" s="53"/>
      <c r="C15" s="53"/>
      <c r="D15" s="53"/>
    </row>
    <row r="16" spans="1:5" s="4" customFormat="1" x14ac:dyDescent="0.45">
      <c r="B16" s="53"/>
      <c r="C16" s="53"/>
      <c r="D16" s="53"/>
    </row>
    <row r="17" spans="2:4" s="4" customFormat="1" x14ac:dyDescent="0.45">
      <c r="B17" s="53"/>
      <c r="C17" s="53"/>
      <c r="D17" s="53"/>
    </row>
    <row r="18" spans="2:4" s="4" customFormat="1" x14ac:dyDescent="0.45">
      <c r="B18" s="53"/>
      <c r="C18" s="53"/>
      <c r="D18" s="53"/>
    </row>
    <row r="19" spans="2:4" s="4" customFormat="1" x14ac:dyDescent="0.45">
      <c r="B19" s="53"/>
      <c r="C19" s="53"/>
      <c r="D19" s="53"/>
    </row>
    <row r="20" spans="2:4" s="4" customFormat="1" x14ac:dyDescent="0.45">
      <c r="B20" s="53"/>
      <c r="C20" s="53"/>
      <c r="D20" s="53"/>
    </row>
    <row r="21" spans="2:4" s="4" customFormat="1" x14ac:dyDescent="0.45">
      <c r="B21" s="53"/>
      <c r="C21" s="53"/>
      <c r="D21" s="53"/>
    </row>
    <row r="22" spans="2:4" s="4" customFormat="1" x14ac:dyDescent="0.45">
      <c r="B22" s="53"/>
      <c r="C22" s="53"/>
      <c r="D22" s="53"/>
    </row>
    <row r="23" spans="2:4" s="4" customFormat="1" x14ac:dyDescent="0.45">
      <c r="B23" s="53"/>
      <c r="C23" s="53"/>
      <c r="D23" s="53"/>
    </row>
    <row r="24" spans="2:4" s="4" customFormat="1" x14ac:dyDescent="0.45">
      <c r="B24" s="53"/>
      <c r="C24" s="53"/>
      <c r="D24" s="53"/>
    </row>
    <row r="25" spans="2:4" s="4" customFormat="1" x14ac:dyDescent="0.45">
      <c r="B25" s="53"/>
      <c r="C25" s="53"/>
      <c r="D25" s="53"/>
    </row>
    <row r="26" spans="2:4" s="4" customFormat="1" x14ac:dyDescent="0.45">
      <c r="B26" s="53"/>
      <c r="C26" s="53"/>
      <c r="D26" s="53"/>
    </row>
    <row r="27" spans="2:4" s="4" customFormat="1" x14ac:dyDescent="0.45">
      <c r="B27" s="53"/>
      <c r="C27" s="53"/>
      <c r="D27" s="53"/>
    </row>
    <row r="28" spans="2:4" s="4" customFormat="1" x14ac:dyDescent="0.45">
      <c r="B28" s="53"/>
      <c r="C28" s="53"/>
      <c r="D28" s="53"/>
    </row>
    <row r="29" spans="2:4" s="4" customFormat="1" x14ac:dyDescent="0.45">
      <c r="B29" s="53"/>
      <c r="C29" s="53"/>
      <c r="D29" s="53"/>
    </row>
    <row r="30" spans="2:4" s="4" customFormat="1" x14ac:dyDescent="0.45">
      <c r="B30" s="53"/>
      <c r="C30" s="53"/>
      <c r="D30" s="53"/>
    </row>
    <row r="31" spans="2:4" s="4" customFormat="1" x14ac:dyDescent="0.45">
      <c r="B31" s="53"/>
      <c r="C31" s="53"/>
      <c r="D31" s="53"/>
    </row>
    <row r="32" spans="2:4" s="4" customFormat="1" x14ac:dyDescent="0.45">
      <c r="B32" s="53"/>
      <c r="C32" s="53"/>
      <c r="D32" s="53"/>
    </row>
    <row r="33" spans="2:4" s="4" customFormat="1" x14ac:dyDescent="0.45">
      <c r="B33" s="53"/>
      <c r="C33" s="53"/>
      <c r="D33" s="53"/>
    </row>
    <row r="34" spans="2:4" s="4" customFormat="1" x14ac:dyDescent="0.45">
      <c r="B34" s="53"/>
      <c r="C34" s="53"/>
      <c r="D34" s="53"/>
    </row>
    <row r="35" spans="2:4" s="4" customFormat="1" x14ac:dyDescent="0.45">
      <c r="B35" s="53"/>
      <c r="C35" s="53"/>
      <c r="D35" s="53"/>
    </row>
    <row r="36" spans="2:4" s="4" customFormat="1" x14ac:dyDescent="0.45">
      <c r="B36" s="53"/>
      <c r="C36" s="53"/>
      <c r="D36" s="53"/>
    </row>
    <row r="37" spans="2:4" s="4" customFormat="1" x14ac:dyDescent="0.45">
      <c r="B37" s="53"/>
      <c r="C37" s="53"/>
      <c r="D37" s="53"/>
    </row>
    <row r="38" spans="2:4" s="4" customFormat="1" x14ac:dyDescent="0.45">
      <c r="B38" s="53"/>
      <c r="C38" s="53"/>
      <c r="D38" s="53"/>
    </row>
    <row r="39" spans="2:4" s="4" customFormat="1" x14ac:dyDescent="0.45">
      <c r="B39" s="53"/>
      <c r="C39" s="53"/>
      <c r="D39" s="53"/>
    </row>
    <row r="40" spans="2:4" s="4" customFormat="1" x14ac:dyDescent="0.45">
      <c r="B40" s="53"/>
      <c r="C40" s="53"/>
      <c r="D40" s="53"/>
    </row>
    <row r="41" spans="2:4" s="4" customFormat="1" x14ac:dyDescent="0.45">
      <c r="B41" s="53"/>
      <c r="C41" s="53"/>
      <c r="D41" s="53"/>
    </row>
    <row r="42" spans="2:4" s="4" customFormat="1" x14ac:dyDescent="0.45">
      <c r="B42" s="53"/>
      <c r="C42" s="53"/>
      <c r="D42" s="53"/>
    </row>
    <row r="43" spans="2:4" s="4" customFormat="1" x14ac:dyDescent="0.45">
      <c r="B43" s="53"/>
      <c r="C43" s="53"/>
      <c r="D43" s="53"/>
    </row>
    <row r="44" spans="2:4" s="4" customFormat="1" x14ac:dyDescent="0.45">
      <c r="B44" s="53"/>
      <c r="C44" s="53"/>
      <c r="D44" s="53"/>
    </row>
    <row r="45" spans="2:4" s="4" customFormat="1" x14ac:dyDescent="0.45">
      <c r="B45" s="53"/>
      <c r="C45" s="53"/>
      <c r="D45" s="53"/>
    </row>
    <row r="46" spans="2:4" s="4" customFormat="1" x14ac:dyDescent="0.45">
      <c r="B46" s="53"/>
      <c r="C46" s="53"/>
      <c r="D46" s="53"/>
    </row>
    <row r="47" spans="2:4" s="4" customFormat="1" x14ac:dyDescent="0.45">
      <c r="B47" s="53"/>
      <c r="C47" s="53"/>
      <c r="D47" s="53"/>
    </row>
    <row r="48" spans="2:4" s="4" customFormat="1" x14ac:dyDescent="0.45">
      <c r="B48" s="53"/>
      <c r="C48" s="53"/>
      <c r="D48" s="53"/>
    </row>
    <row r="49" spans="2:4" s="4" customFormat="1" x14ac:dyDescent="0.45">
      <c r="B49" s="53"/>
      <c r="C49" s="53"/>
      <c r="D49" s="53"/>
    </row>
    <row r="50" spans="2:4" s="4" customFormat="1" x14ac:dyDescent="0.45">
      <c r="B50" s="53"/>
      <c r="C50" s="53"/>
      <c r="D50" s="53"/>
    </row>
    <row r="51" spans="2:4" s="4" customFormat="1" x14ac:dyDescent="0.45">
      <c r="B51" s="53"/>
      <c r="C51" s="53"/>
      <c r="D51" s="53"/>
    </row>
    <row r="52" spans="2:4" s="4" customFormat="1" x14ac:dyDescent="0.45">
      <c r="B52" s="53"/>
      <c r="C52" s="53"/>
      <c r="D52" s="53"/>
    </row>
    <row r="53" spans="2:4" s="4" customFormat="1" x14ac:dyDescent="0.45">
      <c r="B53" s="53"/>
      <c r="C53" s="53"/>
      <c r="D53" s="53"/>
    </row>
    <row r="54" spans="2:4" s="4" customFormat="1" x14ac:dyDescent="0.45">
      <c r="B54" s="53"/>
      <c r="C54" s="53"/>
      <c r="D54" s="53"/>
    </row>
    <row r="55" spans="2:4" s="4" customFormat="1" x14ac:dyDescent="0.45">
      <c r="B55" s="53"/>
      <c r="C55" s="53"/>
      <c r="D55" s="53"/>
    </row>
    <row r="56" spans="2:4" s="4" customFormat="1" x14ac:dyDescent="0.45">
      <c r="B56" s="53"/>
      <c r="C56" s="53"/>
      <c r="D56" s="53"/>
    </row>
    <row r="57" spans="2:4" s="4" customFormat="1" x14ac:dyDescent="0.45">
      <c r="B57" s="53"/>
      <c r="C57" s="53"/>
      <c r="D57" s="53"/>
    </row>
    <row r="58" spans="2:4" s="4" customFormat="1" x14ac:dyDescent="0.45">
      <c r="B58" s="53"/>
      <c r="C58" s="53"/>
      <c r="D58" s="53"/>
    </row>
    <row r="59" spans="2:4" s="4" customFormat="1" x14ac:dyDescent="0.45">
      <c r="B59" s="53"/>
      <c r="C59" s="53"/>
      <c r="D59" s="53"/>
    </row>
    <row r="60" spans="2:4" s="4" customFormat="1" x14ac:dyDescent="0.45">
      <c r="B60" s="53"/>
      <c r="C60" s="53"/>
      <c r="D60" s="53"/>
    </row>
    <row r="61" spans="2:4" s="4" customFormat="1" x14ac:dyDescent="0.45">
      <c r="B61" s="53"/>
      <c r="C61" s="53"/>
      <c r="D61" s="53"/>
    </row>
    <row r="62" spans="2:4" s="4" customFormat="1" x14ac:dyDescent="0.45">
      <c r="B62" s="53"/>
      <c r="C62" s="53"/>
      <c r="D62" s="53"/>
    </row>
    <row r="63" spans="2:4" s="4" customFormat="1" x14ac:dyDescent="0.45">
      <c r="B63" s="53"/>
      <c r="C63" s="53"/>
      <c r="D63" s="53"/>
    </row>
    <row r="64" spans="2:4" s="4" customFormat="1" x14ac:dyDescent="0.45">
      <c r="B64" s="53"/>
      <c r="C64" s="53"/>
      <c r="D64" s="53"/>
    </row>
    <row r="65" spans="2:4" s="4" customFormat="1" x14ac:dyDescent="0.45">
      <c r="B65" s="53"/>
      <c r="C65" s="53"/>
      <c r="D65" s="53"/>
    </row>
    <row r="66" spans="2:4" s="4" customFormat="1" x14ac:dyDescent="0.45">
      <c r="B66" s="53"/>
      <c r="C66" s="53"/>
      <c r="D66" s="53"/>
    </row>
    <row r="67" spans="2:4" s="4" customFormat="1" x14ac:dyDescent="0.45">
      <c r="B67" s="53"/>
      <c r="C67" s="53"/>
      <c r="D67" s="53"/>
    </row>
    <row r="68" spans="2:4" s="4" customFormat="1" x14ac:dyDescent="0.45">
      <c r="B68" s="53"/>
      <c r="C68" s="53"/>
      <c r="D68" s="53"/>
    </row>
    <row r="69" spans="2:4" s="4" customFormat="1" x14ac:dyDescent="0.45">
      <c r="B69" s="53"/>
      <c r="C69" s="53"/>
      <c r="D69" s="53"/>
    </row>
    <row r="70" spans="2:4" s="4" customFormat="1" x14ac:dyDescent="0.45">
      <c r="B70" s="53"/>
      <c r="C70" s="53"/>
      <c r="D70" s="53"/>
    </row>
    <row r="71" spans="2:4" s="4" customFormat="1" x14ac:dyDescent="0.45">
      <c r="B71" s="53"/>
      <c r="C71" s="53"/>
      <c r="D71" s="53"/>
    </row>
    <row r="72" spans="2:4" s="4" customFormat="1" x14ac:dyDescent="0.45">
      <c r="B72" s="53"/>
      <c r="C72" s="53"/>
      <c r="D72" s="53"/>
    </row>
    <row r="73" spans="2:4" s="4" customFormat="1" x14ac:dyDescent="0.45">
      <c r="B73" s="53"/>
      <c r="C73" s="53"/>
      <c r="D73" s="53"/>
    </row>
    <row r="74" spans="2:4" s="4" customFormat="1" x14ac:dyDescent="0.45">
      <c r="B74" s="53"/>
      <c r="C74" s="53"/>
      <c r="D74" s="53"/>
    </row>
    <row r="75" spans="2:4" s="4" customFormat="1" x14ac:dyDescent="0.45">
      <c r="B75" s="53"/>
      <c r="C75" s="53"/>
      <c r="D75" s="53"/>
    </row>
    <row r="76" spans="2:4" s="4" customFormat="1" x14ac:dyDescent="0.45">
      <c r="B76" s="53"/>
      <c r="C76" s="53"/>
      <c r="D76" s="53"/>
    </row>
    <row r="77" spans="2:4" s="4" customFormat="1" x14ac:dyDescent="0.45">
      <c r="B77" s="53"/>
      <c r="C77" s="53"/>
      <c r="D77" s="53"/>
    </row>
    <row r="78" spans="2:4" s="4" customFormat="1" x14ac:dyDescent="0.45">
      <c r="B78" s="53"/>
      <c r="C78" s="53"/>
      <c r="D78" s="53"/>
    </row>
    <row r="79" spans="2:4" s="4" customFormat="1" x14ac:dyDescent="0.45">
      <c r="B79" s="53"/>
      <c r="C79" s="53"/>
      <c r="D79" s="53"/>
    </row>
    <row r="80" spans="2:4" s="4" customFormat="1" x14ac:dyDescent="0.45">
      <c r="B80" s="53"/>
      <c r="C80" s="53"/>
      <c r="D80" s="53"/>
    </row>
    <row r="81" spans="2:4" s="4" customFormat="1" x14ac:dyDescent="0.45">
      <c r="B81" s="53"/>
      <c r="C81" s="53"/>
      <c r="D81" s="53"/>
    </row>
    <row r="82" spans="2:4" s="4" customFormat="1" x14ac:dyDescent="0.45">
      <c r="B82" s="53"/>
      <c r="C82" s="53"/>
      <c r="D82" s="53"/>
    </row>
    <row r="83" spans="2:4" s="4" customFormat="1" x14ac:dyDescent="0.45">
      <c r="B83" s="53"/>
      <c r="C83" s="53"/>
      <c r="D83" s="53"/>
    </row>
    <row r="84" spans="2:4" s="4" customFormat="1" x14ac:dyDescent="0.45">
      <c r="B84" s="53"/>
      <c r="C84" s="53"/>
      <c r="D84" s="53"/>
    </row>
    <row r="85" spans="2:4" s="4" customFormat="1" x14ac:dyDescent="0.45">
      <c r="B85" s="53"/>
      <c r="C85" s="53"/>
      <c r="D85" s="53"/>
    </row>
    <row r="86" spans="2:4" s="4" customFormat="1" x14ac:dyDescent="0.45">
      <c r="B86" s="53"/>
      <c r="C86" s="53"/>
      <c r="D86" s="53"/>
    </row>
    <row r="87" spans="2:4" s="4" customFormat="1" x14ac:dyDescent="0.45">
      <c r="B87" s="53"/>
      <c r="C87" s="53"/>
      <c r="D87" s="53"/>
    </row>
    <row r="88" spans="2:4" s="4" customFormat="1" x14ac:dyDescent="0.45">
      <c r="B88" s="53"/>
      <c r="C88" s="53"/>
      <c r="D88" s="53"/>
    </row>
    <row r="89" spans="2:4" s="4" customFormat="1" x14ac:dyDescent="0.45">
      <c r="B89" s="53"/>
      <c r="C89" s="53"/>
      <c r="D89" s="53"/>
    </row>
    <row r="90" spans="2:4" s="4" customFormat="1" x14ac:dyDescent="0.45">
      <c r="B90" s="53"/>
      <c r="C90" s="53"/>
      <c r="D90" s="53"/>
    </row>
    <row r="91" spans="2:4" s="4" customFormat="1" x14ac:dyDescent="0.45">
      <c r="B91" s="53"/>
      <c r="C91" s="53"/>
      <c r="D91" s="53"/>
    </row>
    <row r="92" spans="2:4" s="4" customFormat="1" x14ac:dyDescent="0.45">
      <c r="B92" s="53"/>
      <c r="C92" s="53"/>
      <c r="D92" s="53"/>
    </row>
    <row r="93" spans="2:4" s="4" customFormat="1" x14ac:dyDescent="0.45">
      <c r="B93" s="53"/>
      <c r="C93" s="53"/>
      <c r="D93" s="53"/>
    </row>
    <row r="94" spans="2:4" s="4" customFormat="1" x14ac:dyDescent="0.45">
      <c r="B94" s="53"/>
      <c r="C94" s="53"/>
      <c r="D94" s="53"/>
    </row>
    <row r="95" spans="2:4" s="4" customFormat="1" x14ac:dyDescent="0.45">
      <c r="B95" s="53"/>
      <c r="C95" s="53"/>
      <c r="D95" s="53"/>
    </row>
    <row r="96" spans="2:4" s="4" customFormat="1" x14ac:dyDescent="0.45">
      <c r="B96" s="53"/>
      <c r="C96" s="53"/>
      <c r="D96" s="53"/>
    </row>
    <row r="97" spans="2:4" s="4" customFormat="1" x14ac:dyDescent="0.45">
      <c r="B97" s="53"/>
      <c r="C97" s="53"/>
      <c r="D97" s="53"/>
    </row>
    <row r="98" spans="2:4" s="4" customFormat="1" x14ac:dyDescent="0.45">
      <c r="B98" s="53"/>
      <c r="C98" s="53"/>
      <c r="D98" s="53"/>
    </row>
    <row r="99" spans="2:4" s="4" customFormat="1" x14ac:dyDescent="0.45">
      <c r="B99" s="53"/>
      <c r="C99" s="53"/>
      <c r="D99" s="53"/>
    </row>
    <row r="100" spans="2:4" s="4" customFormat="1" x14ac:dyDescent="0.45">
      <c r="B100" s="53"/>
      <c r="C100" s="53"/>
      <c r="D100" s="53"/>
    </row>
    <row r="101" spans="2:4" s="4" customFormat="1" x14ac:dyDescent="0.45">
      <c r="B101" s="53"/>
      <c r="C101" s="53"/>
      <c r="D101" s="53"/>
    </row>
    <row r="102" spans="2:4" s="4" customFormat="1" x14ac:dyDescent="0.45">
      <c r="B102" s="53"/>
      <c r="C102" s="53"/>
      <c r="D102" s="53"/>
    </row>
    <row r="103" spans="2:4" s="4" customFormat="1" x14ac:dyDescent="0.45">
      <c r="B103" s="53"/>
      <c r="C103" s="53"/>
      <c r="D103" s="53"/>
    </row>
    <row r="104" spans="2:4" s="4" customFormat="1" x14ac:dyDescent="0.45">
      <c r="B104" s="53"/>
      <c r="C104" s="53"/>
      <c r="D104" s="53"/>
    </row>
    <row r="105" spans="2:4" s="4" customFormat="1" x14ac:dyDescent="0.45">
      <c r="B105" s="53"/>
      <c r="C105" s="53"/>
      <c r="D105" s="53"/>
    </row>
    <row r="106" spans="2:4" s="4" customFormat="1" x14ac:dyDescent="0.45">
      <c r="B106" s="53"/>
      <c r="C106" s="53"/>
      <c r="D106" s="53"/>
    </row>
    <row r="107" spans="2:4" s="4" customFormat="1" x14ac:dyDescent="0.45">
      <c r="B107" s="53"/>
      <c r="C107" s="53"/>
      <c r="D107" s="53"/>
    </row>
    <row r="108" spans="2:4" s="4" customFormat="1" x14ac:dyDescent="0.45">
      <c r="B108" s="53"/>
      <c r="C108" s="53"/>
      <c r="D108" s="53"/>
    </row>
    <row r="109" spans="2:4" s="4" customFormat="1" x14ac:dyDescent="0.45">
      <c r="B109" s="53"/>
      <c r="C109" s="53"/>
      <c r="D109" s="53"/>
    </row>
    <row r="110" spans="2:4" s="4" customFormat="1" x14ac:dyDescent="0.45">
      <c r="B110" s="53"/>
      <c r="C110" s="53"/>
      <c r="D110" s="53"/>
    </row>
    <row r="111" spans="2:4" s="4" customFormat="1" x14ac:dyDescent="0.45">
      <c r="B111" s="53"/>
      <c r="C111" s="53"/>
      <c r="D111" s="53"/>
    </row>
    <row r="112" spans="2:4" s="4" customFormat="1" x14ac:dyDescent="0.45">
      <c r="B112" s="53"/>
      <c r="C112" s="53"/>
      <c r="D112" s="53"/>
    </row>
    <row r="113" spans="2:4" s="4" customFormat="1" x14ac:dyDescent="0.45">
      <c r="B113" s="53"/>
      <c r="C113" s="53"/>
      <c r="D113" s="53"/>
    </row>
    <row r="114" spans="2:4" s="4" customFormat="1" x14ac:dyDescent="0.45">
      <c r="B114" s="53"/>
      <c r="C114" s="53"/>
      <c r="D114" s="53"/>
    </row>
    <row r="115" spans="2:4" s="4" customFormat="1" x14ac:dyDescent="0.45">
      <c r="B115" s="53"/>
      <c r="C115" s="53"/>
      <c r="D115" s="53"/>
    </row>
    <row r="116" spans="2:4" s="4" customFormat="1" x14ac:dyDescent="0.45">
      <c r="B116" s="53"/>
      <c r="C116" s="53"/>
      <c r="D116" s="53"/>
    </row>
    <row r="117" spans="2:4" s="4" customFormat="1" x14ac:dyDescent="0.45">
      <c r="B117" s="53"/>
      <c r="C117" s="53"/>
      <c r="D117" s="53"/>
    </row>
    <row r="118" spans="2:4" s="4" customFormat="1" x14ac:dyDescent="0.45">
      <c r="B118" s="53"/>
      <c r="C118" s="53"/>
      <c r="D118" s="53"/>
    </row>
    <row r="119" spans="2:4" s="4" customFormat="1" x14ac:dyDescent="0.45">
      <c r="B119" s="53"/>
      <c r="C119" s="53"/>
      <c r="D119" s="53"/>
    </row>
    <row r="120" spans="2:4" s="4" customFormat="1" x14ac:dyDescent="0.45">
      <c r="B120" s="53"/>
      <c r="C120" s="53"/>
      <c r="D120" s="53"/>
    </row>
    <row r="121" spans="2:4" s="4" customFormat="1" x14ac:dyDescent="0.45">
      <c r="B121" s="53"/>
      <c r="C121" s="53"/>
      <c r="D121" s="53"/>
    </row>
    <row r="122" spans="2:4" s="4" customFormat="1" x14ac:dyDescent="0.45">
      <c r="B122" s="53"/>
      <c r="C122" s="53"/>
      <c r="D122" s="53"/>
    </row>
    <row r="123" spans="2:4" s="4" customFormat="1" x14ac:dyDescent="0.45">
      <c r="B123" s="53"/>
      <c r="C123" s="53"/>
      <c r="D123" s="53"/>
    </row>
    <row r="124" spans="2:4" s="4" customFormat="1" x14ac:dyDescent="0.45">
      <c r="B124" s="53"/>
      <c r="C124" s="53"/>
      <c r="D124" s="53"/>
    </row>
    <row r="125" spans="2:4" s="4" customFormat="1" x14ac:dyDescent="0.45">
      <c r="B125" s="53"/>
      <c r="C125" s="53"/>
      <c r="D125" s="53"/>
    </row>
    <row r="126" spans="2:4" s="4" customFormat="1" x14ac:dyDescent="0.45">
      <c r="B126" s="53"/>
      <c r="C126" s="53"/>
      <c r="D126" s="53"/>
    </row>
    <row r="127" spans="2:4" s="4" customFormat="1" x14ac:dyDescent="0.45">
      <c r="B127" s="53"/>
      <c r="C127" s="53"/>
      <c r="D127" s="53"/>
    </row>
    <row r="128" spans="2:4" s="4" customFormat="1" x14ac:dyDescent="0.45">
      <c r="B128" s="53"/>
      <c r="C128" s="53"/>
      <c r="D128" s="53"/>
    </row>
    <row r="129" spans="2:4" s="4" customFormat="1" x14ac:dyDescent="0.45">
      <c r="B129" s="53"/>
      <c r="C129" s="53"/>
      <c r="D129" s="53"/>
    </row>
    <row r="130" spans="2:4" s="4" customFormat="1" x14ac:dyDescent="0.45">
      <c r="B130" s="53"/>
      <c r="C130" s="53"/>
      <c r="D130" s="53"/>
    </row>
    <row r="131" spans="2:4" s="4" customFormat="1" x14ac:dyDescent="0.45">
      <c r="B131" s="53"/>
      <c r="C131" s="53"/>
      <c r="D131" s="53"/>
    </row>
    <row r="132" spans="2:4" s="4" customFormat="1" x14ac:dyDescent="0.45">
      <c r="B132" s="53"/>
      <c r="C132" s="53"/>
      <c r="D132" s="53"/>
    </row>
    <row r="133" spans="2:4" s="4" customFormat="1" x14ac:dyDescent="0.45">
      <c r="B133" s="53"/>
      <c r="C133" s="53"/>
      <c r="D133" s="53"/>
    </row>
    <row r="134" spans="2:4" s="4" customFormat="1" x14ac:dyDescent="0.45">
      <c r="B134" s="53"/>
      <c r="C134" s="53"/>
      <c r="D134" s="53"/>
    </row>
    <row r="135" spans="2:4" s="4" customFormat="1" x14ac:dyDescent="0.45">
      <c r="B135" s="53"/>
      <c r="C135" s="53"/>
      <c r="D135" s="53"/>
    </row>
    <row r="136" spans="2:4" s="4" customFormat="1" x14ac:dyDescent="0.45">
      <c r="B136" s="53"/>
      <c r="C136" s="53"/>
      <c r="D136" s="53"/>
    </row>
    <row r="137" spans="2:4" s="4" customFormat="1" x14ac:dyDescent="0.45">
      <c r="B137" s="53"/>
      <c r="C137" s="53"/>
      <c r="D137" s="53"/>
    </row>
    <row r="138" spans="2:4" s="4" customFormat="1" x14ac:dyDescent="0.45">
      <c r="B138" s="53"/>
      <c r="C138" s="53"/>
      <c r="D138" s="53"/>
    </row>
    <row r="139" spans="2:4" s="4" customFormat="1" x14ac:dyDescent="0.45">
      <c r="B139" s="53"/>
      <c r="C139" s="53"/>
      <c r="D139" s="53"/>
    </row>
    <row r="140" spans="2:4" s="4" customFormat="1" x14ac:dyDescent="0.45">
      <c r="B140" s="53"/>
      <c r="C140" s="53"/>
      <c r="D140" s="53"/>
    </row>
    <row r="141" spans="2:4" s="4" customFormat="1" x14ac:dyDescent="0.45">
      <c r="B141" s="53"/>
      <c r="C141" s="53"/>
      <c r="D141" s="53"/>
    </row>
    <row r="142" spans="2:4" s="4" customFormat="1" x14ac:dyDescent="0.45">
      <c r="B142" s="53"/>
      <c r="C142" s="53"/>
      <c r="D142" s="53"/>
    </row>
    <row r="143" spans="2:4" s="4" customFormat="1" x14ac:dyDescent="0.45">
      <c r="B143" s="53"/>
      <c r="C143" s="53"/>
      <c r="D143" s="53"/>
    </row>
    <row r="144" spans="2:4" s="4" customFormat="1" x14ac:dyDescent="0.45">
      <c r="B144" s="53"/>
      <c r="C144" s="53"/>
      <c r="D144" s="53"/>
    </row>
    <row r="145" spans="2:4" s="4" customFormat="1" x14ac:dyDescent="0.45">
      <c r="B145" s="53"/>
      <c r="C145" s="53"/>
      <c r="D145" s="53"/>
    </row>
    <row r="146" spans="2:4" s="4" customFormat="1" x14ac:dyDescent="0.45">
      <c r="B146" s="53"/>
      <c r="C146" s="53"/>
      <c r="D146" s="53"/>
    </row>
    <row r="147" spans="2:4" s="4" customFormat="1" x14ac:dyDescent="0.45">
      <c r="B147" s="53"/>
      <c r="C147" s="53"/>
      <c r="D147" s="53"/>
    </row>
    <row r="148" spans="2:4" s="4" customFormat="1" x14ac:dyDescent="0.45">
      <c r="B148" s="53"/>
      <c r="C148" s="53"/>
      <c r="D148" s="53"/>
    </row>
    <row r="149" spans="2:4" s="4" customFormat="1" x14ac:dyDescent="0.45">
      <c r="B149" s="53"/>
      <c r="C149" s="53"/>
      <c r="D149" s="53"/>
    </row>
    <row r="150" spans="2:4" s="4" customFormat="1" x14ac:dyDescent="0.45">
      <c r="B150" s="53"/>
      <c r="C150" s="53"/>
      <c r="D150" s="53"/>
    </row>
    <row r="151" spans="2:4" s="4" customFormat="1" x14ac:dyDescent="0.45">
      <c r="B151" s="53"/>
      <c r="C151" s="53"/>
      <c r="D151" s="53"/>
    </row>
    <row r="152" spans="2:4" s="4" customFormat="1" x14ac:dyDescent="0.45">
      <c r="B152" s="53"/>
      <c r="C152" s="53"/>
      <c r="D152" s="53"/>
    </row>
    <row r="153" spans="2:4" s="4" customFormat="1" x14ac:dyDescent="0.45">
      <c r="B153" s="53"/>
      <c r="C153" s="53"/>
      <c r="D153" s="53"/>
    </row>
    <row r="154" spans="2:4" s="4" customFormat="1" x14ac:dyDescent="0.45">
      <c r="B154" s="53"/>
      <c r="C154" s="53"/>
      <c r="D154" s="53"/>
    </row>
    <row r="155" spans="2:4" s="4" customFormat="1" x14ac:dyDescent="0.45">
      <c r="B155" s="53"/>
      <c r="C155" s="53"/>
      <c r="D155" s="53"/>
    </row>
    <row r="156" spans="2:4" s="4" customFormat="1" x14ac:dyDescent="0.45">
      <c r="B156" s="53"/>
      <c r="C156" s="53"/>
      <c r="D156" s="53"/>
    </row>
    <row r="157" spans="2:4" s="4" customFormat="1" x14ac:dyDescent="0.45">
      <c r="B157" s="53"/>
      <c r="C157" s="53"/>
      <c r="D157" s="53"/>
    </row>
    <row r="158" spans="2:4" s="4" customFormat="1" x14ac:dyDescent="0.45">
      <c r="B158" s="53"/>
      <c r="C158" s="53"/>
      <c r="D158" s="53"/>
    </row>
    <row r="159" spans="2:4" s="4" customFormat="1" x14ac:dyDescent="0.45">
      <c r="B159" s="53"/>
      <c r="C159" s="53"/>
      <c r="D159" s="53"/>
    </row>
    <row r="160" spans="2:4" s="4" customFormat="1" x14ac:dyDescent="0.45">
      <c r="B160" s="53"/>
      <c r="C160" s="53"/>
      <c r="D160" s="53"/>
    </row>
    <row r="161" spans="2:4" s="4" customFormat="1" x14ac:dyDescent="0.45">
      <c r="B161" s="53"/>
      <c r="C161" s="53"/>
      <c r="D161" s="53"/>
    </row>
    <row r="162" spans="2:4" s="4" customFormat="1" x14ac:dyDescent="0.45">
      <c r="B162" s="53"/>
      <c r="C162" s="53"/>
      <c r="D162" s="53"/>
    </row>
    <row r="163" spans="2:4" s="4" customFormat="1" x14ac:dyDescent="0.45">
      <c r="B163" s="53"/>
      <c r="C163" s="53"/>
      <c r="D163" s="53"/>
    </row>
    <row r="164" spans="2:4" s="4" customFormat="1" x14ac:dyDescent="0.45">
      <c r="B164" s="53"/>
      <c r="C164" s="53"/>
      <c r="D164" s="53"/>
    </row>
    <row r="165" spans="2:4" s="4" customFormat="1" x14ac:dyDescent="0.45">
      <c r="B165" s="53"/>
      <c r="C165" s="53"/>
      <c r="D165" s="53"/>
    </row>
    <row r="166" spans="2:4" s="4" customFormat="1" x14ac:dyDescent="0.45">
      <c r="B166" s="53"/>
      <c r="C166" s="53"/>
      <c r="D166" s="53"/>
    </row>
    <row r="167" spans="2:4" s="4" customFormat="1" x14ac:dyDescent="0.45">
      <c r="B167" s="53"/>
      <c r="C167" s="53"/>
      <c r="D167" s="53"/>
    </row>
    <row r="168" spans="2:4" s="4" customFormat="1" x14ac:dyDescent="0.45">
      <c r="B168" s="53"/>
      <c r="C168" s="53"/>
      <c r="D168" s="53"/>
    </row>
    <row r="169" spans="2:4" s="4" customFormat="1" x14ac:dyDescent="0.45">
      <c r="B169" s="53"/>
      <c r="C169" s="53"/>
      <c r="D169" s="53"/>
    </row>
    <row r="170" spans="2:4" s="4" customFormat="1" x14ac:dyDescent="0.45">
      <c r="B170" s="53"/>
      <c r="C170" s="53"/>
      <c r="D170" s="53"/>
    </row>
    <row r="171" spans="2:4" s="4" customFormat="1" x14ac:dyDescent="0.45">
      <c r="B171" s="53"/>
      <c r="C171" s="53"/>
      <c r="D171" s="53"/>
    </row>
    <row r="172" spans="2:4" s="4" customFormat="1" x14ac:dyDescent="0.45">
      <c r="B172" s="53"/>
      <c r="C172" s="53"/>
      <c r="D172" s="53"/>
    </row>
    <row r="173" spans="2:4" s="4" customFormat="1" x14ac:dyDescent="0.45">
      <c r="B173" s="53"/>
      <c r="C173" s="53"/>
      <c r="D173" s="53"/>
    </row>
    <row r="174" spans="2:4" s="4" customFormat="1" x14ac:dyDescent="0.45">
      <c r="B174" s="53"/>
      <c r="C174" s="53"/>
      <c r="D174" s="53"/>
    </row>
    <row r="175" spans="2:4" s="4" customFormat="1" x14ac:dyDescent="0.45">
      <c r="B175" s="53"/>
      <c r="C175" s="53"/>
      <c r="D175" s="53"/>
    </row>
    <row r="176" spans="2:4" s="4" customFormat="1" x14ac:dyDescent="0.45">
      <c r="B176" s="53"/>
      <c r="C176" s="53"/>
      <c r="D176" s="53"/>
    </row>
    <row r="177" spans="2:4" s="4" customFormat="1" x14ac:dyDescent="0.45">
      <c r="B177" s="53"/>
      <c r="C177" s="53"/>
      <c r="D177" s="53"/>
    </row>
    <row r="178" spans="2:4" s="4" customFormat="1" x14ac:dyDescent="0.45">
      <c r="B178" s="53"/>
      <c r="C178" s="53"/>
      <c r="D178" s="53"/>
    </row>
    <row r="179" spans="2:4" s="4" customFormat="1" x14ac:dyDescent="0.45">
      <c r="B179" s="53"/>
      <c r="C179" s="53"/>
      <c r="D179" s="53"/>
    </row>
    <row r="180" spans="2:4" s="4" customFormat="1" x14ac:dyDescent="0.45">
      <c r="B180" s="53"/>
      <c r="C180" s="53"/>
      <c r="D180" s="53"/>
    </row>
    <row r="181" spans="2:4" s="4" customFormat="1" x14ac:dyDescent="0.45">
      <c r="B181" s="53"/>
      <c r="C181" s="53"/>
      <c r="D181" s="53"/>
    </row>
    <row r="182" spans="2:4" s="4" customFormat="1" x14ac:dyDescent="0.45">
      <c r="B182" s="53"/>
      <c r="C182" s="53"/>
      <c r="D182" s="53"/>
    </row>
    <row r="183" spans="2:4" s="4" customFormat="1" x14ac:dyDescent="0.45">
      <c r="B183" s="53"/>
      <c r="C183" s="53"/>
      <c r="D183" s="53"/>
    </row>
    <row r="184" spans="2:4" s="4" customFormat="1" x14ac:dyDescent="0.45">
      <c r="B184" s="53"/>
      <c r="C184" s="53"/>
      <c r="D184" s="53"/>
    </row>
    <row r="185" spans="2:4" s="4" customFormat="1" x14ac:dyDescent="0.45">
      <c r="B185" s="53"/>
      <c r="C185" s="53"/>
      <c r="D185" s="53"/>
    </row>
    <row r="186" spans="2:4" s="4" customFormat="1" x14ac:dyDescent="0.45">
      <c r="B186" s="53"/>
      <c r="C186" s="53"/>
      <c r="D186" s="53"/>
    </row>
    <row r="187" spans="2:4" s="4" customFormat="1" x14ac:dyDescent="0.45">
      <c r="B187" s="53"/>
      <c r="C187" s="53"/>
      <c r="D187" s="53"/>
    </row>
    <row r="188" spans="2:4" s="4" customFormat="1" x14ac:dyDescent="0.45">
      <c r="B188" s="53"/>
      <c r="C188" s="53"/>
      <c r="D188" s="53"/>
    </row>
    <row r="189" spans="2:4" s="4" customFormat="1" x14ac:dyDescent="0.45">
      <c r="B189" s="53"/>
      <c r="C189" s="53"/>
      <c r="D189" s="53"/>
    </row>
    <row r="190" spans="2:4" s="4" customFormat="1" x14ac:dyDescent="0.45">
      <c r="B190" s="53"/>
      <c r="C190" s="53"/>
      <c r="D190" s="53"/>
    </row>
    <row r="191" spans="2:4" s="4" customFormat="1" x14ac:dyDescent="0.45">
      <c r="B191" s="53"/>
      <c r="C191" s="53"/>
      <c r="D191" s="53"/>
    </row>
    <row r="192" spans="2:4" s="4" customFormat="1" x14ac:dyDescent="0.45">
      <c r="B192" s="53"/>
      <c r="C192" s="53"/>
      <c r="D192" s="53"/>
    </row>
    <row r="193" spans="2:4" s="4" customFormat="1" x14ac:dyDescent="0.45">
      <c r="B193" s="53"/>
      <c r="C193" s="53"/>
      <c r="D193" s="53"/>
    </row>
    <row r="194" spans="2:4" s="4" customFormat="1" x14ac:dyDescent="0.45">
      <c r="B194" s="53"/>
      <c r="C194" s="53"/>
      <c r="D194" s="53"/>
    </row>
    <row r="195" spans="2:4" s="4" customFormat="1" x14ac:dyDescent="0.45">
      <c r="B195" s="53"/>
      <c r="C195" s="53"/>
      <c r="D195" s="53"/>
    </row>
    <row r="196" spans="2:4" s="4" customFormat="1" x14ac:dyDescent="0.45">
      <c r="B196" s="53"/>
      <c r="C196" s="53"/>
      <c r="D196" s="53"/>
    </row>
    <row r="197" spans="2:4" s="4" customFormat="1" x14ac:dyDescent="0.45">
      <c r="B197" s="53"/>
      <c r="C197" s="53"/>
      <c r="D197" s="53"/>
    </row>
    <row r="198" spans="2:4" s="4" customFormat="1" x14ac:dyDescent="0.45">
      <c r="B198" s="53"/>
      <c r="C198" s="53"/>
      <c r="D198" s="53"/>
    </row>
    <row r="199" spans="2:4" s="4" customFormat="1" x14ac:dyDescent="0.45">
      <c r="B199" s="53"/>
      <c r="C199" s="53"/>
      <c r="D199" s="53"/>
    </row>
    <row r="200" spans="2:4" s="4" customFormat="1" x14ac:dyDescent="0.45">
      <c r="B200" s="53"/>
      <c r="C200" s="53"/>
      <c r="D200" s="53"/>
    </row>
    <row r="201" spans="2:4" s="4" customFormat="1" x14ac:dyDescent="0.45">
      <c r="B201" s="53"/>
      <c r="C201" s="53"/>
      <c r="D201" s="53"/>
    </row>
    <row r="202" spans="2:4" s="4" customFormat="1" x14ac:dyDescent="0.45">
      <c r="B202" s="53"/>
      <c r="C202" s="53"/>
      <c r="D202" s="53"/>
    </row>
    <row r="203" spans="2:4" s="4" customFormat="1" x14ac:dyDescent="0.45">
      <c r="B203" s="53"/>
      <c r="C203" s="53"/>
      <c r="D203" s="53"/>
    </row>
    <row r="204" spans="2:4" s="4" customFormat="1" x14ac:dyDescent="0.45">
      <c r="B204" s="53"/>
      <c r="C204" s="53"/>
      <c r="D204" s="53"/>
    </row>
    <row r="205" spans="2:4" s="4" customFormat="1" x14ac:dyDescent="0.45">
      <c r="B205" s="53"/>
      <c r="C205" s="53"/>
      <c r="D205" s="53"/>
    </row>
    <row r="206" spans="2:4" s="4" customFormat="1" x14ac:dyDescent="0.45">
      <c r="B206" s="53"/>
      <c r="C206" s="53"/>
      <c r="D206" s="53"/>
    </row>
    <row r="207" spans="2:4" s="4" customFormat="1" x14ac:dyDescent="0.45">
      <c r="B207" s="53"/>
      <c r="C207" s="53"/>
      <c r="D207" s="53"/>
    </row>
    <row r="208" spans="2:4" s="4" customFormat="1" x14ac:dyDescent="0.45">
      <c r="B208" s="53"/>
      <c r="C208" s="53"/>
      <c r="D208" s="53"/>
    </row>
    <row r="209" spans="2:4" s="4" customFormat="1" x14ac:dyDescent="0.45">
      <c r="B209" s="53"/>
      <c r="C209" s="53"/>
      <c r="D209" s="53"/>
    </row>
    <row r="210" spans="2:4" s="4" customFormat="1" x14ac:dyDescent="0.45">
      <c r="B210" s="53"/>
      <c r="C210" s="53"/>
      <c r="D210" s="53"/>
    </row>
    <row r="211" spans="2:4" s="4" customFormat="1" x14ac:dyDescent="0.45">
      <c r="B211" s="53"/>
      <c r="C211" s="53"/>
      <c r="D211" s="53"/>
    </row>
    <row r="212" spans="2:4" s="4" customFormat="1" x14ac:dyDescent="0.45">
      <c r="B212" s="53"/>
      <c r="C212" s="53"/>
      <c r="D212" s="53"/>
    </row>
    <row r="213" spans="2:4" s="4" customFormat="1" x14ac:dyDescent="0.45">
      <c r="B213" s="53"/>
      <c r="C213" s="53"/>
      <c r="D213" s="53"/>
    </row>
    <row r="214" spans="2:4" s="4" customFormat="1" x14ac:dyDescent="0.45">
      <c r="B214" s="53"/>
      <c r="C214" s="53"/>
      <c r="D214" s="53"/>
    </row>
    <row r="215" spans="2:4" s="4" customFormat="1" x14ac:dyDescent="0.45">
      <c r="B215" s="53"/>
      <c r="C215" s="53"/>
      <c r="D215" s="53"/>
    </row>
    <row r="216" spans="2:4" s="4" customFormat="1" x14ac:dyDescent="0.45">
      <c r="B216" s="53"/>
      <c r="C216" s="53"/>
      <c r="D216" s="53"/>
    </row>
    <row r="217" spans="2:4" s="4" customFormat="1" x14ac:dyDescent="0.45">
      <c r="B217" s="53"/>
      <c r="C217" s="53"/>
      <c r="D217" s="53"/>
    </row>
    <row r="218" spans="2:4" s="4" customFormat="1" x14ac:dyDescent="0.45">
      <c r="B218" s="53"/>
      <c r="C218" s="53"/>
      <c r="D218" s="53"/>
    </row>
    <row r="219" spans="2:4" s="4" customFormat="1" x14ac:dyDescent="0.45">
      <c r="B219" s="53"/>
      <c r="C219" s="53"/>
      <c r="D219" s="53"/>
    </row>
    <row r="220" spans="2:4" s="4" customFormat="1" x14ac:dyDescent="0.45">
      <c r="B220" s="53"/>
      <c r="C220" s="53"/>
      <c r="D220" s="53"/>
    </row>
    <row r="221" spans="2:4" s="4" customFormat="1" x14ac:dyDescent="0.45">
      <c r="B221" s="53"/>
      <c r="C221" s="53"/>
      <c r="D221" s="53"/>
    </row>
    <row r="222" spans="2:4" s="4" customFormat="1" x14ac:dyDescent="0.45">
      <c r="B222" s="53"/>
      <c r="C222" s="53"/>
      <c r="D222" s="53"/>
    </row>
    <row r="223" spans="2:4" s="4" customFormat="1" x14ac:dyDescent="0.45">
      <c r="B223" s="53"/>
      <c r="C223" s="53"/>
      <c r="D223" s="53"/>
    </row>
    <row r="224" spans="2:4" s="4" customFormat="1" x14ac:dyDescent="0.45">
      <c r="B224" s="53"/>
      <c r="C224" s="53"/>
      <c r="D224" s="53"/>
    </row>
    <row r="225" spans="2:4" s="4" customFormat="1" x14ac:dyDescent="0.45">
      <c r="B225" s="53"/>
      <c r="C225" s="53"/>
      <c r="D225" s="53"/>
    </row>
    <row r="226" spans="2:4" s="4" customFormat="1" x14ac:dyDescent="0.45">
      <c r="B226" s="53"/>
      <c r="C226" s="53"/>
      <c r="D226" s="53"/>
    </row>
    <row r="227" spans="2:4" s="4" customFormat="1" x14ac:dyDescent="0.45">
      <c r="B227" s="53"/>
      <c r="C227" s="53"/>
      <c r="D227" s="53"/>
    </row>
    <row r="228" spans="2:4" s="4" customFormat="1" x14ac:dyDescent="0.45">
      <c r="B228" s="53"/>
      <c r="C228" s="53"/>
      <c r="D228" s="53"/>
    </row>
    <row r="229" spans="2:4" s="4" customFormat="1" x14ac:dyDescent="0.45">
      <c r="B229" s="53"/>
      <c r="C229" s="53"/>
      <c r="D229" s="53"/>
    </row>
    <row r="230" spans="2:4" s="4" customFormat="1" x14ac:dyDescent="0.45">
      <c r="B230" s="53"/>
      <c r="C230" s="53"/>
      <c r="D230" s="53"/>
    </row>
    <row r="231" spans="2:4" s="4" customFormat="1" x14ac:dyDescent="0.45">
      <c r="B231" s="53"/>
      <c r="C231" s="53"/>
      <c r="D231" s="53"/>
    </row>
    <row r="232" spans="2:4" s="4" customFormat="1" x14ac:dyDescent="0.45">
      <c r="B232" s="53"/>
      <c r="C232" s="53"/>
      <c r="D232" s="53"/>
    </row>
    <row r="233" spans="2:4" s="4" customFormat="1" x14ac:dyDescent="0.45">
      <c r="B233" s="53"/>
      <c r="C233" s="53"/>
      <c r="D233" s="53"/>
    </row>
    <row r="234" spans="2:4" s="4" customFormat="1" x14ac:dyDescent="0.45">
      <c r="B234" s="53"/>
      <c r="C234" s="53"/>
      <c r="D234" s="53"/>
    </row>
    <row r="235" spans="2:4" s="4" customFormat="1" x14ac:dyDescent="0.45">
      <c r="B235" s="53"/>
      <c r="C235" s="53"/>
      <c r="D235" s="53"/>
    </row>
    <row r="236" spans="2:4" s="4" customFormat="1" x14ac:dyDescent="0.45">
      <c r="B236" s="53"/>
      <c r="C236" s="53"/>
      <c r="D236" s="53"/>
    </row>
    <row r="237" spans="2:4" s="4" customFormat="1" x14ac:dyDescent="0.45">
      <c r="B237" s="53"/>
      <c r="C237" s="53"/>
      <c r="D237" s="53"/>
    </row>
    <row r="238" spans="2:4" s="4" customFormat="1" x14ac:dyDescent="0.45">
      <c r="B238" s="53"/>
      <c r="C238" s="53"/>
      <c r="D238" s="53"/>
    </row>
    <row r="239" spans="2:4" s="4" customFormat="1" x14ac:dyDescent="0.45">
      <c r="B239" s="53"/>
      <c r="C239" s="53"/>
      <c r="D239" s="53"/>
    </row>
    <row r="240" spans="2:4" s="4" customFormat="1" x14ac:dyDescent="0.45">
      <c r="B240" s="53"/>
      <c r="C240" s="53"/>
      <c r="D240" s="53"/>
    </row>
    <row r="241" spans="2:4" s="4" customFormat="1" x14ac:dyDescent="0.45">
      <c r="B241" s="53"/>
      <c r="C241" s="53"/>
      <c r="D241" s="53"/>
    </row>
    <row r="242" spans="2:4" s="4" customFormat="1" x14ac:dyDescent="0.45">
      <c r="B242" s="53"/>
      <c r="C242" s="53"/>
      <c r="D242" s="53"/>
    </row>
    <row r="243" spans="2:4" s="4" customFormat="1" x14ac:dyDescent="0.45">
      <c r="B243" s="53"/>
      <c r="C243" s="53"/>
      <c r="D243" s="53"/>
    </row>
    <row r="244" spans="2:4" s="4" customFormat="1" x14ac:dyDescent="0.45">
      <c r="B244" s="53"/>
      <c r="C244" s="53"/>
      <c r="D244" s="53"/>
    </row>
    <row r="245" spans="2:4" s="4" customFormat="1" x14ac:dyDescent="0.45">
      <c r="B245" s="53"/>
      <c r="C245" s="53"/>
      <c r="D245" s="53"/>
    </row>
    <row r="246" spans="2:4" s="4" customFormat="1" x14ac:dyDescent="0.45">
      <c r="B246" s="53"/>
      <c r="C246" s="53"/>
      <c r="D246" s="53"/>
    </row>
    <row r="247" spans="2:4" s="4" customFormat="1" x14ac:dyDescent="0.45">
      <c r="B247" s="53"/>
      <c r="C247" s="53"/>
      <c r="D247" s="53"/>
    </row>
    <row r="248" spans="2:4" s="4" customFormat="1" x14ac:dyDescent="0.45">
      <c r="B248" s="53"/>
      <c r="C248" s="53"/>
      <c r="D248" s="53"/>
    </row>
    <row r="249" spans="2:4" s="4" customFormat="1" x14ac:dyDescent="0.45">
      <c r="B249" s="53"/>
      <c r="C249" s="53"/>
      <c r="D249" s="53"/>
    </row>
    <row r="250" spans="2:4" s="4" customFormat="1" x14ac:dyDescent="0.45">
      <c r="B250" s="53"/>
      <c r="C250" s="53"/>
      <c r="D250" s="53"/>
    </row>
    <row r="251" spans="2:4" s="4" customFormat="1" x14ac:dyDescent="0.45">
      <c r="B251" s="53"/>
      <c r="C251" s="53"/>
      <c r="D251" s="53"/>
    </row>
    <row r="252" spans="2:4" s="4" customFormat="1" x14ac:dyDescent="0.45">
      <c r="B252" s="53"/>
      <c r="C252" s="53"/>
      <c r="D252" s="53"/>
    </row>
    <row r="253" spans="2:4" s="4" customFormat="1" x14ac:dyDescent="0.45">
      <c r="B253" s="53"/>
      <c r="C253" s="53"/>
      <c r="D253" s="53"/>
    </row>
    <row r="254" spans="2:4" s="4" customFormat="1" x14ac:dyDescent="0.45">
      <c r="B254" s="53"/>
      <c r="C254" s="53"/>
      <c r="D254" s="53"/>
    </row>
    <row r="255" spans="2:4" s="4" customFormat="1" x14ac:dyDescent="0.45">
      <c r="B255" s="53"/>
      <c r="C255" s="53"/>
      <c r="D255" s="53"/>
    </row>
    <row r="256" spans="2:4" s="4" customFormat="1" x14ac:dyDescent="0.45">
      <c r="B256" s="53"/>
      <c r="C256" s="53"/>
      <c r="D256" s="53"/>
    </row>
    <row r="257" spans="2:4" s="4" customFormat="1" x14ac:dyDescent="0.45">
      <c r="B257" s="53"/>
      <c r="C257" s="53"/>
      <c r="D257" s="53"/>
    </row>
    <row r="258" spans="2:4" s="4" customFormat="1" x14ac:dyDescent="0.45">
      <c r="B258" s="53"/>
      <c r="C258" s="53"/>
      <c r="D258" s="53"/>
    </row>
    <row r="259" spans="2:4" s="4" customFormat="1" x14ac:dyDescent="0.45">
      <c r="B259" s="53"/>
      <c r="C259" s="53"/>
      <c r="D259" s="53"/>
    </row>
    <row r="260" spans="2:4" s="4" customFormat="1" x14ac:dyDescent="0.45">
      <c r="B260" s="53"/>
      <c r="C260" s="53"/>
      <c r="D260" s="53"/>
    </row>
    <row r="261" spans="2:4" s="4" customFormat="1" x14ac:dyDescent="0.45">
      <c r="B261" s="53"/>
      <c r="C261" s="53"/>
      <c r="D261" s="53"/>
    </row>
    <row r="262" spans="2:4" s="4" customFormat="1" x14ac:dyDescent="0.45">
      <c r="B262" s="53"/>
      <c r="C262" s="53"/>
      <c r="D262" s="53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Q88"/>
  <sheetViews>
    <sheetView topLeftCell="A67" workbookViewId="0">
      <selection activeCell="C88" sqref="C88"/>
    </sheetView>
  </sheetViews>
  <sheetFormatPr defaultRowHeight="14.25" x14ac:dyDescent="0.45"/>
  <cols>
    <col min="1" max="1" width="1.86328125" customWidth="1"/>
    <col min="2" max="2" width="21.3984375" bestFit="1" customWidth="1"/>
    <col min="3" max="3" width="11.1328125" bestFit="1" customWidth="1"/>
    <col min="4" max="4" width="9.59765625" bestFit="1" customWidth="1"/>
    <col min="5" max="5" width="6" bestFit="1" customWidth="1"/>
    <col min="6" max="7" width="4" bestFit="1" customWidth="1"/>
    <col min="8" max="8" width="12.59765625" bestFit="1" customWidth="1"/>
    <col min="9" max="9" width="7.86328125" style="25" customWidth="1"/>
    <col min="11" max="13" width="4" bestFit="1" customWidth="1"/>
    <col min="14" max="14" width="14.3984375" bestFit="1" customWidth="1"/>
    <col min="15" max="15" width="4.86328125" customWidth="1"/>
    <col min="17" max="17" width="3.86328125" bestFit="1" customWidth="1"/>
  </cols>
  <sheetData>
    <row r="1" spans="2:17" x14ac:dyDescent="0.45">
      <c r="B1" s="24"/>
      <c r="C1" s="24"/>
      <c r="D1" s="24" t="s">
        <v>4</v>
      </c>
      <c r="E1" s="24"/>
      <c r="F1" s="24"/>
      <c r="G1" s="24"/>
      <c r="H1" s="24" t="s">
        <v>5</v>
      </c>
      <c r="I1" s="34"/>
      <c r="J1" s="24"/>
      <c r="K1" s="24"/>
      <c r="L1" s="24"/>
      <c r="M1" s="24"/>
      <c r="N1" s="24" t="s">
        <v>6</v>
      </c>
      <c r="O1" s="24"/>
      <c r="P1" s="24"/>
      <c r="Q1" s="24"/>
    </row>
    <row r="2" spans="2:17" x14ac:dyDescent="0.45">
      <c r="B2" s="24" t="s">
        <v>7</v>
      </c>
      <c r="C2" s="24" t="s">
        <v>8</v>
      </c>
      <c r="D2" s="24" t="s">
        <v>9</v>
      </c>
      <c r="E2" s="24">
        <v>1</v>
      </c>
      <c r="F2" s="24">
        <v>500</v>
      </c>
      <c r="G2" s="24">
        <v>500</v>
      </c>
      <c r="H2" s="24"/>
      <c r="I2" s="34"/>
      <c r="J2" s="24" t="s">
        <v>8</v>
      </c>
      <c r="K2" s="24">
        <v>1</v>
      </c>
      <c r="L2" s="24">
        <v>500</v>
      </c>
      <c r="M2" s="24">
        <v>500</v>
      </c>
      <c r="N2" s="24"/>
      <c r="O2" s="24"/>
      <c r="P2" s="24" t="s">
        <v>10</v>
      </c>
      <c r="Q2" s="24" t="s">
        <v>9</v>
      </c>
    </row>
    <row r="3" spans="2:17" x14ac:dyDescent="0.45">
      <c r="B3" s="24" t="s">
        <v>11</v>
      </c>
      <c r="C3" s="24" t="s">
        <v>8</v>
      </c>
      <c r="D3" s="24">
        <v>25</v>
      </c>
      <c r="E3" s="24">
        <v>25</v>
      </c>
      <c r="F3" s="24">
        <v>29</v>
      </c>
      <c r="G3" s="24">
        <v>5</v>
      </c>
      <c r="H3" s="24" t="s">
        <v>12</v>
      </c>
      <c r="I3" s="34"/>
      <c r="J3" s="24" t="s">
        <v>8</v>
      </c>
      <c r="K3" s="24">
        <v>224</v>
      </c>
      <c r="L3" s="24">
        <v>228</v>
      </c>
      <c r="M3" s="24">
        <v>5</v>
      </c>
      <c r="N3" s="24" t="s">
        <v>13</v>
      </c>
      <c r="O3" s="24"/>
      <c r="P3" s="24" t="s">
        <v>14</v>
      </c>
      <c r="Q3" s="24" t="s">
        <v>15</v>
      </c>
    </row>
    <row r="4" spans="2:17" x14ac:dyDescent="0.45">
      <c r="B4" s="24" t="s">
        <v>16</v>
      </c>
      <c r="C4" s="24" t="s">
        <v>8</v>
      </c>
      <c r="D4" s="24">
        <v>26</v>
      </c>
      <c r="E4" s="24">
        <v>69</v>
      </c>
      <c r="F4" s="24">
        <v>73</v>
      </c>
      <c r="G4" s="24">
        <v>5</v>
      </c>
      <c r="H4" s="24" t="s">
        <v>17</v>
      </c>
      <c r="I4" s="34"/>
      <c r="J4" s="24" t="s">
        <v>8</v>
      </c>
      <c r="K4" s="24">
        <v>241</v>
      </c>
      <c r="L4" s="24">
        <v>246</v>
      </c>
      <c r="M4" s="24">
        <v>6</v>
      </c>
      <c r="N4" s="24" t="s">
        <v>18</v>
      </c>
      <c r="O4" s="24"/>
      <c r="P4" s="24" t="s">
        <v>19</v>
      </c>
      <c r="Q4" s="24" t="s">
        <v>15</v>
      </c>
    </row>
    <row r="5" spans="2:17" x14ac:dyDescent="0.45">
      <c r="B5" s="24" t="s">
        <v>20</v>
      </c>
      <c r="C5" s="24" t="s">
        <v>8</v>
      </c>
      <c r="D5" s="24">
        <v>26</v>
      </c>
      <c r="E5" s="24">
        <v>74</v>
      </c>
      <c r="F5" s="24">
        <v>78</v>
      </c>
      <c r="G5" s="24">
        <v>5</v>
      </c>
      <c r="H5" s="24" t="s">
        <v>21</v>
      </c>
      <c r="I5" s="34"/>
      <c r="J5" s="24" t="s">
        <v>8</v>
      </c>
      <c r="K5" s="24">
        <v>241</v>
      </c>
      <c r="L5" s="24">
        <v>246</v>
      </c>
      <c r="M5" s="24">
        <v>6</v>
      </c>
      <c r="N5" s="24" t="s">
        <v>18</v>
      </c>
      <c r="O5" s="24"/>
      <c r="P5" s="24" t="s">
        <v>19</v>
      </c>
      <c r="Q5" s="24" t="s">
        <v>22</v>
      </c>
    </row>
    <row r="6" spans="2:17" x14ac:dyDescent="0.45">
      <c r="B6" s="24" t="s">
        <v>23</v>
      </c>
      <c r="C6" s="24" t="s">
        <v>8</v>
      </c>
      <c r="D6" s="24">
        <v>532</v>
      </c>
      <c r="E6" s="24">
        <v>79</v>
      </c>
      <c r="F6" s="24">
        <v>83</v>
      </c>
      <c r="G6" s="24">
        <v>5</v>
      </c>
      <c r="H6" s="24" t="s">
        <v>24</v>
      </c>
      <c r="I6" s="34"/>
      <c r="J6" s="24" t="s">
        <v>8</v>
      </c>
      <c r="K6" s="24">
        <v>247</v>
      </c>
      <c r="L6" s="24">
        <v>247</v>
      </c>
      <c r="M6" s="24">
        <v>1</v>
      </c>
      <c r="N6" s="24" t="s">
        <v>25</v>
      </c>
      <c r="O6" s="24" t="s">
        <v>26</v>
      </c>
      <c r="P6" s="24" t="s">
        <v>27</v>
      </c>
      <c r="Q6" s="24" t="s">
        <v>22</v>
      </c>
    </row>
    <row r="7" spans="2:17" x14ac:dyDescent="0.45">
      <c r="B7" s="24" t="s">
        <v>28</v>
      </c>
      <c r="C7" s="24" t="s">
        <v>8</v>
      </c>
      <c r="D7" s="24">
        <v>27</v>
      </c>
      <c r="E7" s="24">
        <v>85</v>
      </c>
      <c r="F7" s="24">
        <v>89</v>
      </c>
      <c r="G7" s="24">
        <v>5</v>
      </c>
      <c r="H7" s="24" t="s">
        <v>29</v>
      </c>
      <c r="I7" s="34"/>
      <c r="J7" s="24" t="s">
        <v>8</v>
      </c>
      <c r="K7" s="24">
        <v>248</v>
      </c>
      <c r="L7" s="24">
        <v>248</v>
      </c>
      <c r="M7" s="24">
        <v>1</v>
      </c>
      <c r="N7" s="24" t="s">
        <v>30</v>
      </c>
      <c r="O7" s="24"/>
      <c r="P7" s="24" t="s">
        <v>31</v>
      </c>
      <c r="Q7" s="24" t="s">
        <v>15</v>
      </c>
    </row>
    <row r="8" spans="2:17" x14ac:dyDescent="0.45">
      <c r="B8" s="24" t="s">
        <v>32</v>
      </c>
      <c r="C8" s="24" t="s">
        <v>8</v>
      </c>
      <c r="D8" s="24">
        <v>28</v>
      </c>
      <c r="E8" s="24">
        <v>90</v>
      </c>
      <c r="F8" s="24">
        <v>94</v>
      </c>
      <c r="G8" s="24">
        <v>5</v>
      </c>
      <c r="H8" s="24" t="s">
        <v>33</v>
      </c>
      <c r="I8" s="34"/>
      <c r="J8" s="24" t="s">
        <v>8</v>
      </c>
      <c r="K8" s="24">
        <v>249</v>
      </c>
      <c r="L8" s="24">
        <v>249</v>
      </c>
      <c r="M8" s="24">
        <v>1</v>
      </c>
      <c r="N8" s="24" t="s">
        <v>34</v>
      </c>
      <c r="O8" s="24"/>
      <c r="P8" s="24" t="s">
        <v>35</v>
      </c>
      <c r="Q8" s="24" t="s">
        <v>15</v>
      </c>
    </row>
    <row r="9" spans="2:17" x14ac:dyDescent="0.45">
      <c r="B9" s="24" t="s">
        <v>36</v>
      </c>
      <c r="C9" s="24" t="s">
        <v>8</v>
      </c>
      <c r="D9" s="24">
        <v>29</v>
      </c>
      <c r="E9" s="24">
        <v>95</v>
      </c>
      <c r="F9" s="24">
        <v>99</v>
      </c>
      <c r="G9" s="24">
        <v>5</v>
      </c>
      <c r="H9" s="24" t="s">
        <v>37</v>
      </c>
      <c r="I9" s="34"/>
      <c r="J9" s="24" t="s">
        <v>8</v>
      </c>
      <c r="K9" s="24">
        <v>250</v>
      </c>
      <c r="L9" s="24">
        <v>254</v>
      </c>
      <c r="M9" s="24">
        <v>5</v>
      </c>
      <c r="N9" s="24" t="s">
        <v>38</v>
      </c>
      <c r="O9" s="24"/>
      <c r="P9" s="24" t="s">
        <v>39</v>
      </c>
      <c r="Q9" s="24" t="s">
        <v>15</v>
      </c>
    </row>
    <row r="10" spans="2:17" x14ac:dyDescent="0.45">
      <c r="B10" s="24" t="s">
        <v>40</v>
      </c>
      <c r="C10" s="24" t="s">
        <v>8</v>
      </c>
      <c r="D10" s="24">
        <v>30</v>
      </c>
      <c r="E10" s="24">
        <v>152</v>
      </c>
      <c r="F10" s="24">
        <v>156</v>
      </c>
      <c r="G10" s="24">
        <v>5</v>
      </c>
      <c r="H10" s="24" t="s">
        <v>41</v>
      </c>
      <c r="I10" s="34"/>
      <c r="J10" s="24" t="s">
        <v>8</v>
      </c>
      <c r="K10" s="24">
        <v>255</v>
      </c>
      <c r="L10" s="24">
        <v>256</v>
      </c>
      <c r="M10" s="24">
        <v>2</v>
      </c>
      <c r="N10" s="24" t="s">
        <v>42</v>
      </c>
      <c r="O10" s="24" t="s">
        <v>43</v>
      </c>
      <c r="P10" s="24" t="s">
        <v>44</v>
      </c>
      <c r="Q10" s="24" t="s">
        <v>15</v>
      </c>
    </row>
    <row r="11" spans="2:17" x14ac:dyDescent="0.45">
      <c r="B11" s="27" t="s">
        <v>45</v>
      </c>
      <c r="C11" s="27" t="s">
        <v>46</v>
      </c>
      <c r="D11" s="27" t="s">
        <v>9</v>
      </c>
      <c r="E11" s="27">
        <v>1</v>
      </c>
      <c r="F11" s="27">
        <v>500</v>
      </c>
      <c r="G11" s="27">
        <v>500</v>
      </c>
      <c r="H11" s="27"/>
      <c r="I11" s="36"/>
      <c r="J11" s="27" t="s">
        <v>46</v>
      </c>
      <c r="K11" s="27">
        <v>1</v>
      </c>
      <c r="L11" s="27">
        <v>500</v>
      </c>
      <c r="M11" s="27">
        <v>500</v>
      </c>
      <c r="N11" s="27"/>
      <c r="O11" s="27"/>
      <c r="P11" s="27" t="s">
        <v>10</v>
      </c>
      <c r="Q11" s="27" t="s">
        <v>9</v>
      </c>
    </row>
    <row r="12" spans="2:17" x14ac:dyDescent="0.45">
      <c r="B12" s="27" t="s">
        <v>47</v>
      </c>
      <c r="C12" s="27" t="s">
        <v>46</v>
      </c>
      <c r="D12" s="27" t="s">
        <v>9</v>
      </c>
      <c r="E12" s="27">
        <v>501</v>
      </c>
      <c r="F12" s="27">
        <v>999</v>
      </c>
      <c r="G12" s="27">
        <v>500</v>
      </c>
      <c r="H12" s="27"/>
      <c r="I12" s="36"/>
      <c r="J12" s="27" t="s">
        <v>46</v>
      </c>
      <c r="K12" s="27">
        <v>501</v>
      </c>
      <c r="L12" s="27">
        <v>999</v>
      </c>
      <c r="M12" s="27">
        <v>500</v>
      </c>
      <c r="N12" s="27"/>
      <c r="O12" s="27"/>
      <c r="P12" s="27" t="s">
        <v>10</v>
      </c>
      <c r="Q12" s="27" t="s">
        <v>9</v>
      </c>
    </row>
    <row r="13" spans="2:17" x14ac:dyDescent="0.45">
      <c r="B13" s="27" t="s">
        <v>48</v>
      </c>
      <c r="C13" s="27" t="s">
        <v>46</v>
      </c>
      <c r="D13" s="27">
        <v>508</v>
      </c>
      <c r="E13" s="27">
        <v>39</v>
      </c>
      <c r="F13" s="27">
        <v>43</v>
      </c>
      <c r="G13" s="27">
        <v>5</v>
      </c>
      <c r="H13" s="27" t="s">
        <v>49</v>
      </c>
      <c r="I13" s="36"/>
      <c r="J13" s="27" t="s">
        <v>46</v>
      </c>
      <c r="K13" s="27">
        <v>474</v>
      </c>
      <c r="L13" s="27">
        <v>477</v>
      </c>
      <c r="M13" s="27">
        <v>4</v>
      </c>
      <c r="N13" s="27" t="s">
        <v>50</v>
      </c>
      <c r="O13" s="27"/>
      <c r="P13" s="27" t="s">
        <v>51</v>
      </c>
      <c r="Q13" s="27" t="s">
        <v>22</v>
      </c>
    </row>
    <row r="14" spans="2:17" x14ac:dyDescent="0.45">
      <c r="B14" s="27" t="s">
        <v>52</v>
      </c>
      <c r="C14" s="27" t="s">
        <v>46</v>
      </c>
      <c r="D14" s="27">
        <v>20</v>
      </c>
      <c r="E14" s="27">
        <v>86</v>
      </c>
      <c r="F14" s="27">
        <v>90</v>
      </c>
      <c r="G14" s="27">
        <v>5</v>
      </c>
      <c r="H14" s="27" t="s">
        <v>53</v>
      </c>
      <c r="I14" s="36"/>
      <c r="J14" s="27" t="s">
        <v>46</v>
      </c>
      <c r="K14" s="27">
        <v>478</v>
      </c>
      <c r="L14" s="27">
        <v>482</v>
      </c>
      <c r="M14" s="27">
        <v>5</v>
      </c>
      <c r="N14" s="27" t="s">
        <v>54</v>
      </c>
      <c r="O14" s="27"/>
      <c r="P14" s="27" t="s">
        <v>55</v>
      </c>
      <c r="Q14" s="27" t="s">
        <v>15</v>
      </c>
    </row>
    <row r="15" spans="2:17" x14ac:dyDescent="0.45">
      <c r="B15" s="27" t="s">
        <v>56</v>
      </c>
      <c r="C15" s="27" t="s">
        <v>46</v>
      </c>
      <c r="D15" s="27">
        <v>32</v>
      </c>
      <c r="E15" s="27">
        <v>91</v>
      </c>
      <c r="F15" s="27">
        <v>95</v>
      </c>
      <c r="G15" s="27">
        <v>5</v>
      </c>
      <c r="H15" s="27" t="s">
        <v>57</v>
      </c>
      <c r="I15" s="36"/>
      <c r="J15" s="27" t="s">
        <v>46</v>
      </c>
      <c r="K15" s="27">
        <v>483</v>
      </c>
      <c r="L15" s="27">
        <v>487</v>
      </c>
      <c r="M15" s="27">
        <v>5</v>
      </c>
      <c r="N15" s="27" t="s">
        <v>58</v>
      </c>
      <c r="O15" s="27"/>
      <c r="P15" s="27" t="s">
        <v>59</v>
      </c>
      <c r="Q15" s="27" t="s">
        <v>15</v>
      </c>
    </row>
    <row r="16" spans="2:17" x14ac:dyDescent="0.45">
      <c r="B16" s="27" t="s">
        <v>60</v>
      </c>
      <c r="C16" s="27" t="s">
        <v>46</v>
      </c>
      <c r="D16" s="27">
        <v>13</v>
      </c>
      <c r="E16" s="27">
        <v>96</v>
      </c>
      <c r="F16" s="27">
        <v>100</v>
      </c>
      <c r="G16" s="27">
        <v>5</v>
      </c>
      <c r="H16" s="27" t="s">
        <v>61</v>
      </c>
      <c r="I16" s="36"/>
      <c r="J16" s="27" t="s">
        <v>46</v>
      </c>
      <c r="K16" s="27">
        <v>488</v>
      </c>
      <c r="L16" s="27">
        <v>492</v>
      </c>
      <c r="M16" s="27">
        <v>5</v>
      </c>
      <c r="N16" s="27" t="s">
        <v>62</v>
      </c>
      <c r="O16" s="27"/>
      <c r="P16" s="27" t="s">
        <v>63</v>
      </c>
      <c r="Q16" s="27" t="s">
        <v>15</v>
      </c>
    </row>
    <row r="17" spans="2:17" x14ac:dyDescent="0.45">
      <c r="B17" s="27" t="s">
        <v>64</v>
      </c>
      <c r="C17" s="27" t="s">
        <v>46</v>
      </c>
      <c r="D17" s="27">
        <v>503</v>
      </c>
      <c r="E17" s="27">
        <v>119</v>
      </c>
      <c r="F17" s="27">
        <v>123</v>
      </c>
      <c r="G17" s="27">
        <v>5</v>
      </c>
      <c r="H17" s="27" t="s">
        <v>65</v>
      </c>
      <c r="I17" s="36"/>
      <c r="J17" s="27" t="s">
        <v>46</v>
      </c>
      <c r="K17" s="27">
        <v>493</v>
      </c>
      <c r="L17" s="27">
        <v>497</v>
      </c>
      <c r="M17" s="27">
        <v>5</v>
      </c>
      <c r="N17" s="27" t="s">
        <v>66</v>
      </c>
      <c r="O17" s="27"/>
      <c r="P17" s="27" t="s">
        <v>67</v>
      </c>
      <c r="Q17" s="27" t="s">
        <v>22</v>
      </c>
    </row>
    <row r="18" spans="2:17" x14ac:dyDescent="0.45">
      <c r="B18" s="27" t="s">
        <v>68</v>
      </c>
      <c r="C18" s="27" t="s">
        <v>46</v>
      </c>
      <c r="D18" s="27">
        <v>2</v>
      </c>
      <c r="E18" s="27">
        <v>124</v>
      </c>
      <c r="F18" s="27">
        <v>128</v>
      </c>
      <c r="G18" s="27">
        <v>5</v>
      </c>
      <c r="H18" s="27" t="s">
        <v>69</v>
      </c>
      <c r="I18" s="36"/>
      <c r="J18" s="27" t="s">
        <v>46</v>
      </c>
      <c r="K18" s="27">
        <v>498</v>
      </c>
      <c r="L18" s="27">
        <v>500</v>
      </c>
      <c r="M18" s="27">
        <v>3</v>
      </c>
      <c r="N18" s="27" t="s">
        <v>70</v>
      </c>
      <c r="O18" s="27"/>
      <c r="P18" s="27" t="s">
        <v>71</v>
      </c>
      <c r="Q18" s="27" t="s">
        <v>15</v>
      </c>
    </row>
    <row r="19" spans="2:17" x14ac:dyDescent="0.45">
      <c r="B19" s="27" t="s">
        <v>72</v>
      </c>
      <c r="C19" s="27" t="s">
        <v>46</v>
      </c>
      <c r="D19" s="27">
        <v>6</v>
      </c>
      <c r="E19" s="27">
        <v>146</v>
      </c>
      <c r="F19" s="27">
        <v>148</v>
      </c>
      <c r="G19" s="27">
        <v>3</v>
      </c>
      <c r="H19" s="27" t="s">
        <v>73</v>
      </c>
      <c r="I19" s="36"/>
      <c r="J19" s="27" t="s">
        <v>46</v>
      </c>
      <c r="K19" s="27">
        <v>501</v>
      </c>
      <c r="L19" s="27">
        <v>503</v>
      </c>
      <c r="M19" s="27">
        <v>3</v>
      </c>
      <c r="N19" s="27" t="s">
        <v>74</v>
      </c>
      <c r="O19" s="27"/>
      <c r="P19" s="27" t="s">
        <v>75</v>
      </c>
      <c r="Q19" s="27" t="s">
        <v>15</v>
      </c>
    </row>
    <row r="20" spans="2:17" x14ac:dyDescent="0.45">
      <c r="B20" s="27" t="s">
        <v>76</v>
      </c>
      <c r="C20" s="27" t="s">
        <v>46</v>
      </c>
      <c r="D20" s="27">
        <v>40</v>
      </c>
      <c r="E20" s="27">
        <v>199</v>
      </c>
      <c r="F20" s="27">
        <v>203</v>
      </c>
      <c r="G20" s="27">
        <v>5</v>
      </c>
      <c r="H20" s="27" t="s">
        <v>77</v>
      </c>
      <c r="I20" s="36"/>
      <c r="J20" s="27" t="s">
        <v>46</v>
      </c>
      <c r="K20" s="27">
        <v>504</v>
      </c>
      <c r="L20" s="27">
        <v>508</v>
      </c>
      <c r="M20" s="27">
        <v>5</v>
      </c>
      <c r="N20" s="27" t="s">
        <v>78</v>
      </c>
      <c r="O20" s="27"/>
      <c r="P20" s="27" t="s">
        <v>79</v>
      </c>
      <c r="Q20" s="27" t="s">
        <v>15</v>
      </c>
    </row>
    <row r="21" spans="2:17" x14ac:dyDescent="0.45">
      <c r="B21" s="27" t="s">
        <v>80</v>
      </c>
      <c r="C21" s="27" t="s">
        <v>46</v>
      </c>
      <c r="D21" s="27">
        <v>47</v>
      </c>
      <c r="E21" s="27">
        <v>253</v>
      </c>
      <c r="F21" s="27">
        <v>257</v>
      </c>
      <c r="G21" s="27">
        <v>5</v>
      </c>
      <c r="H21" s="27" t="s">
        <v>81</v>
      </c>
      <c r="I21" s="36"/>
      <c r="J21" s="27" t="s">
        <v>46</v>
      </c>
      <c r="K21" s="27">
        <v>509</v>
      </c>
      <c r="L21" s="27">
        <v>513</v>
      </c>
      <c r="M21" s="27">
        <v>5</v>
      </c>
      <c r="N21" s="27" t="s">
        <v>82</v>
      </c>
      <c r="O21" s="27"/>
      <c r="P21" s="27" t="s">
        <v>83</v>
      </c>
      <c r="Q21" s="27" t="s">
        <v>15</v>
      </c>
    </row>
    <row r="22" spans="2:17" x14ac:dyDescent="0.45">
      <c r="B22" s="27" t="s">
        <v>84</v>
      </c>
      <c r="C22" s="27" t="s">
        <v>46</v>
      </c>
      <c r="D22" s="27">
        <v>49</v>
      </c>
      <c r="E22" s="27">
        <v>258</v>
      </c>
      <c r="F22" s="27">
        <v>262</v>
      </c>
      <c r="G22" s="27">
        <v>5</v>
      </c>
      <c r="H22" s="27" t="s">
        <v>85</v>
      </c>
      <c r="I22" s="36"/>
      <c r="J22" s="27" t="s">
        <v>46</v>
      </c>
      <c r="K22" s="27">
        <v>514</v>
      </c>
      <c r="L22" s="27">
        <v>517</v>
      </c>
      <c r="M22" s="27">
        <v>4</v>
      </c>
      <c r="N22" s="27" t="s">
        <v>86</v>
      </c>
      <c r="O22" s="27"/>
      <c r="P22" s="27" t="s">
        <v>87</v>
      </c>
      <c r="Q22" s="27" t="s">
        <v>15</v>
      </c>
    </row>
    <row r="23" spans="2:17" x14ac:dyDescent="0.45">
      <c r="B23" s="27" t="s">
        <v>88</v>
      </c>
      <c r="C23" s="27" t="s">
        <v>46</v>
      </c>
      <c r="D23" s="27">
        <v>50</v>
      </c>
      <c r="E23" s="27">
        <v>280</v>
      </c>
      <c r="F23" s="27">
        <v>284</v>
      </c>
      <c r="G23" s="27">
        <v>5</v>
      </c>
      <c r="H23" s="27" t="s">
        <v>89</v>
      </c>
      <c r="I23" s="36"/>
      <c r="J23" s="27" t="s">
        <v>46</v>
      </c>
      <c r="K23" s="27">
        <v>518</v>
      </c>
      <c r="L23" s="27">
        <v>522</v>
      </c>
      <c r="M23" s="27">
        <v>5</v>
      </c>
      <c r="N23" s="27" t="s">
        <v>90</v>
      </c>
      <c r="O23" s="27"/>
      <c r="P23" s="27" t="s">
        <v>91</v>
      </c>
      <c r="Q23" s="27" t="s">
        <v>15</v>
      </c>
    </row>
    <row r="24" spans="2:17" x14ac:dyDescent="0.45">
      <c r="B24" s="27" t="s">
        <v>92</v>
      </c>
      <c r="C24" s="27" t="s">
        <v>46</v>
      </c>
      <c r="D24" s="27">
        <v>8</v>
      </c>
      <c r="E24" s="27">
        <v>285</v>
      </c>
      <c r="F24" s="27">
        <v>289</v>
      </c>
      <c r="G24" s="27">
        <v>5</v>
      </c>
      <c r="H24" s="27" t="s">
        <v>93</v>
      </c>
      <c r="I24" s="36"/>
      <c r="J24" s="27" t="s">
        <v>46</v>
      </c>
      <c r="K24" s="27">
        <v>523</v>
      </c>
      <c r="L24" s="27">
        <v>523</v>
      </c>
      <c r="M24" s="27">
        <v>1</v>
      </c>
      <c r="N24" s="27" t="s">
        <v>94</v>
      </c>
      <c r="O24" s="27"/>
      <c r="P24" s="27" t="s">
        <v>95</v>
      </c>
      <c r="Q24" s="27" t="s">
        <v>15</v>
      </c>
    </row>
    <row r="25" spans="2:17" x14ac:dyDescent="0.45">
      <c r="B25" s="27" t="s">
        <v>96</v>
      </c>
      <c r="C25" s="27" t="s">
        <v>46</v>
      </c>
      <c r="D25" s="27">
        <v>101</v>
      </c>
      <c r="E25" s="27">
        <v>589</v>
      </c>
      <c r="F25" s="27">
        <v>593</v>
      </c>
      <c r="G25" s="27">
        <v>5</v>
      </c>
      <c r="H25" s="27" t="s">
        <v>97</v>
      </c>
      <c r="I25" s="36"/>
      <c r="J25" s="27" t="s">
        <v>46</v>
      </c>
      <c r="K25" s="27">
        <v>594</v>
      </c>
      <c r="L25" s="27">
        <v>599</v>
      </c>
      <c r="M25" s="27">
        <v>6</v>
      </c>
      <c r="N25" s="27" t="s">
        <v>18</v>
      </c>
      <c r="O25" s="27"/>
      <c r="P25" s="27" t="s">
        <v>98</v>
      </c>
      <c r="Q25" s="27" t="s">
        <v>15</v>
      </c>
    </row>
    <row r="26" spans="2:17" x14ac:dyDescent="0.45">
      <c r="B26" s="24" t="s">
        <v>99</v>
      </c>
      <c r="C26" s="24" t="s">
        <v>100</v>
      </c>
      <c r="D26" s="24" t="s">
        <v>9</v>
      </c>
      <c r="E26" s="24">
        <v>1</v>
      </c>
      <c r="F26" s="24">
        <v>500</v>
      </c>
      <c r="G26" s="24">
        <v>500</v>
      </c>
      <c r="H26" s="24"/>
      <c r="I26" s="34"/>
      <c r="J26" s="24" t="s">
        <v>100</v>
      </c>
      <c r="K26" s="24">
        <v>1</v>
      </c>
      <c r="L26" s="24">
        <v>500</v>
      </c>
      <c r="M26" s="24">
        <v>500</v>
      </c>
      <c r="N26" s="24"/>
      <c r="O26" s="24"/>
      <c r="P26" s="24" t="s">
        <v>10</v>
      </c>
      <c r="Q26" s="24" t="s">
        <v>9</v>
      </c>
    </row>
    <row r="27" spans="2:17" x14ac:dyDescent="0.45">
      <c r="B27" s="24" t="s">
        <v>101</v>
      </c>
      <c r="C27" s="24" t="s">
        <v>100</v>
      </c>
      <c r="D27" s="24">
        <v>26</v>
      </c>
      <c r="E27" s="24">
        <v>169</v>
      </c>
      <c r="F27" s="24">
        <v>173</v>
      </c>
      <c r="G27" s="24">
        <v>5</v>
      </c>
      <c r="H27" s="24" t="s">
        <v>17</v>
      </c>
      <c r="I27" s="34"/>
      <c r="J27" s="24" t="s">
        <v>100</v>
      </c>
      <c r="K27" s="24">
        <v>175</v>
      </c>
      <c r="L27" s="24">
        <v>180</v>
      </c>
      <c r="M27" s="24">
        <v>6</v>
      </c>
      <c r="N27" s="24" t="s">
        <v>18</v>
      </c>
      <c r="O27" s="24"/>
      <c r="P27" s="24" t="s">
        <v>19</v>
      </c>
      <c r="Q27" s="24" t="s">
        <v>15</v>
      </c>
    </row>
    <row r="28" spans="2:17" ht="42.75" x14ac:dyDescent="0.45">
      <c r="B28" s="24" t="s">
        <v>102</v>
      </c>
      <c r="C28" s="24" t="s">
        <v>100</v>
      </c>
      <c r="D28" s="24">
        <v>81</v>
      </c>
      <c r="E28" s="24">
        <v>147</v>
      </c>
      <c r="F28" s="24">
        <v>151</v>
      </c>
      <c r="G28" s="24">
        <v>5</v>
      </c>
      <c r="H28" s="24" t="s">
        <v>103</v>
      </c>
      <c r="I28" s="34"/>
      <c r="J28" s="24" t="s">
        <v>100</v>
      </c>
      <c r="K28" s="24">
        <v>169</v>
      </c>
      <c r="L28" s="24">
        <v>180</v>
      </c>
      <c r="M28" s="24">
        <v>12</v>
      </c>
      <c r="N28" s="34" t="s">
        <v>104</v>
      </c>
      <c r="O28" s="24"/>
      <c r="P28" s="24" t="s">
        <v>105</v>
      </c>
      <c r="Q28" s="24" t="s">
        <v>15</v>
      </c>
    </row>
    <row r="31" spans="2:17" x14ac:dyDescent="0.45">
      <c r="B31" s="24" t="s">
        <v>106</v>
      </c>
      <c r="C31" s="24" t="s">
        <v>107</v>
      </c>
      <c r="D31" s="24" t="s">
        <v>9</v>
      </c>
      <c r="E31" s="24">
        <v>1</v>
      </c>
      <c r="F31" s="24">
        <v>500</v>
      </c>
      <c r="G31" s="24">
        <v>500</v>
      </c>
      <c r="H31" s="24"/>
      <c r="I31" s="34"/>
      <c r="J31" s="24" t="s">
        <v>107</v>
      </c>
      <c r="K31" s="24">
        <v>1</v>
      </c>
      <c r="L31" s="24">
        <v>500</v>
      </c>
      <c r="M31" s="24">
        <v>500</v>
      </c>
      <c r="N31" s="24"/>
      <c r="O31" s="24"/>
      <c r="P31" s="24" t="s">
        <v>10</v>
      </c>
      <c r="Q31" s="24" t="s">
        <v>9</v>
      </c>
    </row>
    <row r="32" spans="2:17" x14ac:dyDescent="0.45">
      <c r="B32" s="24" t="s">
        <v>108</v>
      </c>
      <c r="C32" s="24" t="s">
        <v>107</v>
      </c>
      <c r="D32" s="24" t="s">
        <v>9</v>
      </c>
      <c r="E32" s="24">
        <v>501</v>
      </c>
      <c r="F32" s="24">
        <v>500</v>
      </c>
      <c r="G32" s="24">
        <v>500</v>
      </c>
      <c r="H32" s="24"/>
      <c r="I32" s="34"/>
      <c r="J32" s="24" t="s">
        <v>107</v>
      </c>
      <c r="K32" s="24">
        <v>501</v>
      </c>
      <c r="L32" s="24">
        <v>500</v>
      </c>
      <c r="M32" s="24">
        <v>500</v>
      </c>
      <c r="N32" s="24"/>
      <c r="O32" s="24"/>
      <c r="P32" s="24" t="s">
        <v>10</v>
      </c>
      <c r="Q32" s="24" t="s">
        <v>9</v>
      </c>
    </row>
    <row r="33" spans="2:17" x14ac:dyDescent="0.45">
      <c r="B33" s="24" t="s">
        <v>109</v>
      </c>
      <c r="C33" s="24" t="s">
        <v>107</v>
      </c>
      <c r="D33" s="24">
        <v>159</v>
      </c>
      <c r="E33" s="24">
        <v>25</v>
      </c>
      <c r="F33" s="24">
        <v>29</v>
      </c>
      <c r="G33" s="24">
        <v>5</v>
      </c>
      <c r="H33" s="24" t="s">
        <v>110</v>
      </c>
      <c r="I33" s="34"/>
      <c r="J33" s="24" t="s">
        <v>107</v>
      </c>
      <c r="K33" s="24">
        <v>501</v>
      </c>
      <c r="L33" s="24">
        <v>505</v>
      </c>
      <c r="M33" s="24">
        <v>5</v>
      </c>
      <c r="N33" s="24" t="s">
        <v>111</v>
      </c>
      <c r="O33" s="24"/>
      <c r="P33" s="24" t="s">
        <v>112</v>
      </c>
      <c r="Q33" s="24" t="s">
        <v>15</v>
      </c>
    </row>
    <row r="34" spans="2:17" x14ac:dyDescent="0.45">
      <c r="B34" s="24" t="s">
        <v>113</v>
      </c>
      <c r="C34" s="24" t="s">
        <v>107</v>
      </c>
      <c r="D34" s="24">
        <v>160</v>
      </c>
      <c r="E34" s="24">
        <v>220</v>
      </c>
      <c r="F34" s="24">
        <v>224</v>
      </c>
      <c r="G34" s="24">
        <v>5</v>
      </c>
      <c r="H34" s="24" t="s">
        <v>114</v>
      </c>
      <c r="I34" s="34"/>
      <c r="J34" s="24" t="s">
        <v>107</v>
      </c>
      <c r="K34" s="24">
        <v>506</v>
      </c>
      <c r="L34" s="24">
        <v>510</v>
      </c>
      <c r="M34" s="24">
        <v>5</v>
      </c>
      <c r="N34" s="24" t="s">
        <v>115</v>
      </c>
      <c r="O34" s="24"/>
      <c r="P34" s="24" t="s">
        <v>116</v>
      </c>
      <c r="Q34" s="24" t="s">
        <v>15</v>
      </c>
    </row>
    <row r="35" spans="2:17" x14ac:dyDescent="0.45">
      <c r="B35" s="24" t="s">
        <v>117</v>
      </c>
      <c r="C35" s="24" t="s">
        <v>107</v>
      </c>
      <c r="D35" s="24">
        <v>124</v>
      </c>
      <c r="E35" s="24">
        <v>327</v>
      </c>
      <c r="F35" s="24">
        <v>331</v>
      </c>
      <c r="G35" s="24">
        <v>5</v>
      </c>
      <c r="H35" s="24" t="s">
        <v>118</v>
      </c>
      <c r="I35" s="34"/>
      <c r="J35" s="24" t="s">
        <v>107</v>
      </c>
      <c r="K35" s="24">
        <v>511</v>
      </c>
      <c r="L35" s="24">
        <v>515</v>
      </c>
      <c r="M35" s="24">
        <v>5</v>
      </c>
      <c r="N35" s="24" t="s">
        <v>119</v>
      </c>
      <c r="O35" s="24"/>
      <c r="P35" s="24" t="s">
        <v>120</v>
      </c>
      <c r="Q35" s="24" t="s">
        <v>15</v>
      </c>
    </row>
    <row r="36" spans="2:17" x14ac:dyDescent="0.45">
      <c r="B36" s="24" t="s">
        <v>121</v>
      </c>
      <c r="C36" s="24" t="s">
        <v>122</v>
      </c>
      <c r="D36" s="24" t="s">
        <v>9</v>
      </c>
      <c r="E36" s="24">
        <v>1</v>
      </c>
      <c r="F36" s="24">
        <v>250</v>
      </c>
      <c r="G36" s="24">
        <v>250</v>
      </c>
      <c r="H36" s="24" t="s">
        <v>123</v>
      </c>
      <c r="I36" s="34"/>
      <c r="J36" s="24" t="s">
        <v>122</v>
      </c>
      <c r="K36" s="24">
        <v>1</v>
      </c>
      <c r="L36" s="24">
        <v>250</v>
      </c>
      <c r="M36" s="24">
        <v>250</v>
      </c>
      <c r="N36" s="24"/>
      <c r="O36" s="24"/>
      <c r="P36" s="24" t="s">
        <v>10</v>
      </c>
      <c r="Q36" s="24" t="s">
        <v>9</v>
      </c>
    </row>
    <row r="37" spans="2:17" x14ac:dyDescent="0.45">
      <c r="B37" s="24" t="s">
        <v>124</v>
      </c>
      <c r="C37" s="24" t="s">
        <v>122</v>
      </c>
      <c r="D37" s="24">
        <v>161</v>
      </c>
      <c r="E37" s="24">
        <v>35</v>
      </c>
      <c r="F37" s="24">
        <v>39</v>
      </c>
      <c r="G37" s="24">
        <v>5</v>
      </c>
      <c r="H37" s="24" t="s">
        <v>125</v>
      </c>
      <c r="I37" s="34"/>
      <c r="J37" s="24" t="s">
        <v>122</v>
      </c>
      <c r="K37" s="24">
        <v>129</v>
      </c>
      <c r="L37" s="24">
        <v>133</v>
      </c>
      <c r="M37" s="24">
        <v>5</v>
      </c>
      <c r="N37" s="24" t="s">
        <v>126</v>
      </c>
      <c r="O37" s="24"/>
      <c r="P37" s="24" t="s">
        <v>127</v>
      </c>
      <c r="Q37" s="24" t="s">
        <v>22</v>
      </c>
    </row>
    <row r="38" spans="2:17" x14ac:dyDescent="0.45">
      <c r="B38" s="24" t="s">
        <v>128</v>
      </c>
      <c r="C38" s="24" t="s">
        <v>122</v>
      </c>
      <c r="D38" s="24">
        <v>161</v>
      </c>
      <c r="E38" s="24">
        <v>40</v>
      </c>
      <c r="F38" s="24">
        <v>44</v>
      </c>
      <c r="G38" s="24">
        <v>5</v>
      </c>
      <c r="H38" s="24" t="s">
        <v>129</v>
      </c>
      <c r="I38" s="34"/>
      <c r="J38" s="24" t="s">
        <v>122</v>
      </c>
      <c r="K38" s="24">
        <v>129</v>
      </c>
      <c r="L38" s="24">
        <v>133</v>
      </c>
      <c r="M38" s="24">
        <v>5</v>
      </c>
      <c r="N38" s="24" t="s">
        <v>126</v>
      </c>
      <c r="O38" s="24"/>
      <c r="P38" s="24" t="s">
        <v>127</v>
      </c>
      <c r="Q38" s="24" t="s">
        <v>15</v>
      </c>
    </row>
    <row r="39" spans="2:17" x14ac:dyDescent="0.45">
      <c r="B39" s="24"/>
      <c r="C39" s="24"/>
      <c r="D39" s="24"/>
      <c r="E39" s="24"/>
      <c r="F39" s="24"/>
      <c r="G39" s="24"/>
      <c r="H39" s="24"/>
      <c r="I39" s="34"/>
      <c r="J39" s="24"/>
      <c r="K39" s="24"/>
      <c r="L39" s="24"/>
      <c r="M39" s="24"/>
      <c r="N39" s="24"/>
      <c r="O39" s="24"/>
      <c r="P39" s="24"/>
      <c r="Q39" s="24"/>
    </row>
    <row r="43" spans="2:17" x14ac:dyDescent="0.45">
      <c r="B43" t="s">
        <v>130</v>
      </c>
      <c r="C43" t="s">
        <v>123</v>
      </c>
      <c r="E43">
        <v>1</v>
      </c>
      <c r="F43" t="s">
        <v>9</v>
      </c>
      <c r="G43">
        <v>500</v>
      </c>
      <c r="K43">
        <v>1</v>
      </c>
      <c r="L43" t="s">
        <v>9</v>
      </c>
      <c r="M43">
        <v>500</v>
      </c>
      <c r="P43" t="s">
        <v>10</v>
      </c>
      <c r="Q43" t="s">
        <v>9</v>
      </c>
    </row>
    <row r="44" spans="2:17" x14ac:dyDescent="0.45">
      <c r="B44" t="s">
        <v>131</v>
      </c>
      <c r="C44" t="s">
        <v>132</v>
      </c>
      <c r="E44">
        <v>25</v>
      </c>
      <c r="F44">
        <v>29</v>
      </c>
      <c r="G44">
        <v>5</v>
      </c>
      <c r="K44">
        <v>228</v>
      </c>
      <c r="L44">
        <v>232</v>
      </c>
      <c r="M44">
        <v>5</v>
      </c>
      <c r="N44" t="s">
        <v>133</v>
      </c>
      <c r="P44" t="s">
        <v>134</v>
      </c>
      <c r="Q44" t="s">
        <v>22</v>
      </c>
    </row>
    <row r="45" spans="2:17" x14ac:dyDescent="0.45">
      <c r="B45" t="s">
        <v>135</v>
      </c>
      <c r="C45" t="s">
        <v>136</v>
      </c>
      <c r="E45">
        <v>30</v>
      </c>
      <c r="F45">
        <v>34</v>
      </c>
      <c r="G45">
        <v>5</v>
      </c>
      <c r="K45">
        <v>228</v>
      </c>
      <c r="L45">
        <v>232</v>
      </c>
      <c r="M45">
        <v>5</v>
      </c>
      <c r="N45" t="s">
        <v>133</v>
      </c>
      <c r="P45" t="s">
        <v>134</v>
      </c>
      <c r="Q45" t="s">
        <v>15</v>
      </c>
    </row>
    <row r="48" spans="2:17" x14ac:dyDescent="0.45">
      <c r="B48" t="s">
        <v>137</v>
      </c>
      <c r="C48" t="s">
        <v>138</v>
      </c>
      <c r="D48" t="s">
        <v>9</v>
      </c>
      <c r="E48">
        <v>1</v>
      </c>
      <c r="F48">
        <v>300</v>
      </c>
      <c r="G48">
        <v>300</v>
      </c>
      <c r="K48">
        <v>1</v>
      </c>
      <c r="L48">
        <v>300</v>
      </c>
      <c r="M48">
        <v>300</v>
      </c>
      <c r="P48" t="s">
        <v>10</v>
      </c>
    </row>
    <row r="49" spans="2:17" x14ac:dyDescent="0.45">
      <c r="B49" t="s">
        <v>139</v>
      </c>
      <c r="C49" t="s">
        <v>138</v>
      </c>
      <c r="D49">
        <v>1</v>
      </c>
      <c r="E49">
        <v>1</v>
      </c>
      <c r="F49">
        <v>5</v>
      </c>
      <c r="G49">
        <v>5</v>
      </c>
      <c r="H49" t="s">
        <v>140</v>
      </c>
      <c r="K49">
        <v>160</v>
      </c>
      <c r="L49">
        <v>161</v>
      </c>
      <c r="M49">
        <v>2</v>
      </c>
      <c r="N49" t="s">
        <v>141</v>
      </c>
      <c r="P49" t="s">
        <v>142</v>
      </c>
      <c r="Q49" t="s">
        <v>15</v>
      </c>
    </row>
    <row r="50" spans="2:17" x14ac:dyDescent="0.45">
      <c r="B50" t="s">
        <v>143</v>
      </c>
      <c r="C50" t="s">
        <v>138</v>
      </c>
      <c r="D50">
        <v>12</v>
      </c>
      <c r="E50">
        <v>57</v>
      </c>
      <c r="F50">
        <v>61</v>
      </c>
      <c r="G50">
        <v>5</v>
      </c>
      <c r="H50" t="s">
        <v>144</v>
      </c>
      <c r="K50">
        <v>182</v>
      </c>
      <c r="L50">
        <v>185</v>
      </c>
      <c r="M50">
        <v>4</v>
      </c>
      <c r="N50" t="s">
        <v>145</v>
      </c>
      <c r="P50" t="s">
        <v>146</v>
      </c>
      <c r="Q50" t="s">
        <v>15</v>
      </c>
    </row>
    <row r="51" spans="2:17" x14ac:dyDescent="0.45">
      <c r="B51" t="s">
        <v>147</v>
      </c>
      <c r="C51" t="s">
        <v>138</v>
      </c>
      <c r="D51">
        <v>12</v>
      </c>
      <c r="E51">
        <v>62</v>
      </c>
      <c r="F51">
        <v>66</v>
      </c>
      <c r="G51">
        <v>5</v>
      </c>
      <c r="H51" t="s">
        <v>148</v>
      </c>
      <c r="K51">
        <v>182</v>
      </c>
      <c r="L51">
        <v>185</v>
      </c>
      <c r="M51">
        <v>4</v>
      </c>
      <c r="N51" t="s">
        <v>145</v>
      </c>
      <c r="P51" t="s">
        <v>146</v>
      </c>
      <c r="Q51" t="s">
        <v>22</v>
      </c>
    </row>
    <row r="55" spans="2:17" x14ac:dyDescent="0.45">
      <c r="B55" t="s">
        <v>149</v>
      </c>
      <c r="C55" t="s">
        <v>140</v>
      </c>
      <c r="D55">
        <v>1</v>
      </c>
      <c r="E55">
        <v>1</v>
      </c>
      <c r="F55">
        <v>5</v>
      </c>
      <c r="G55">
        <v>5</v>
      </c>
      <c r="K55">
        <v>264</v>
      </c>
      <c r="L55">
        <v>265</v>
      </c>
      <c r="M55">
        <v>2</v>
      </c>
      <c r="N55" t="s">
        <v>141</v>
      </c>
      <c r="P55" t="s">
        <v>142</v>
      </c>
    </row>
    <row r="56" spans="2:17" x14ac:dyDescent="0.45">
      <c r="B56" t="s">
        <v>150</v>
      </c>
      <c r="C56" t="s">
        <v>151</v>
      </c>
      <c r="D56">
        <v>2</v>
      </c>
      <c r="E56">
        <v>164</v>
      </c>
      <c r="F56">
        <v>168</v>
      </c>
      <c r="G56">
        <v>5</v>
      </c>
      <c r="K56">
        <v>276</v>
      </c>
      <c r="L56">
        <v>278</v>
      </c>
      <c r="M56">
        <v>3</v>
      </c>
      <c r="N56" t="s">
        <v>152</v>
      </c>
      <c r="P56" t="s">
        <v>153</v>
      </c>
    </row>
    <row r="57" spans="2:17" x14ac:dyDescent="0.45">
      <c r="B57" t="s">
        <v>154</v>
      </c>
      <c r="C57" t="s">
        <v>155</v>
      </c>
      <c r="D57">
        <v>18</v>
      </c>
      <c r="E57">
        <v>212</v>
      </c>
      <c r="F57">
        <v>216</v>
      </c>
      <c r="G57">
        <v>5</v>
      </c>
      <c r="K57">
        <v>279</v>
      </c>
      <c r="L57">
        <v>283</v>
      </c>
      <c r="M57">
        <v>5</v>
      </c>
      <c r="N57" t="s">
        <v>156</v>
      </c>
      <c r="P57" t="s">
        <v>157</v>
      </c>
    </row>
    <row r="58" spans="2:17" x14ac:dyDescent="0.45">
      <c r="B58" t="s">
        <v>158</v>
      </c>
      <c r="C58" t="s">
        <v>159</v>
      </c>
      <c r="D58">
        <v>18</v>
      </c>
      <c r="E58">
        <v>217</v>
      </c>
      <c r="F58">
        <v>221</v>
      </c>
      <c r="G58">
        <v>5</v>
      </c>
      <c r="K58">
        <v>284</v>
      </c>
      <c r="L58">
        <v>288</v>
      </c>
      <c r="M58">
        <v>5</v>
      </c>
      <c r="N58" t="s">
        <v>160</v>
      </c>
      <c r="P58" t="s">
        <v>157</v>
      </c>
    </row>
    <row r="59" spans="2:17" x14ac:dyDescent="0.45">
      <c r="B59" t="s">
        <v>161</v>
      </c>
      <c r="C59" t="s">
        <v>162</v>
      </c>
      <c r="D59">
        <v>18</v>
      </c>
      <c r="E59">
        <v>222</v>
      </c>
      <c r="F59">
        <v>226</v>
      </c>
      <c r="G59">
        <v>5</v>
      </c>
      <c r="K59">
        <v>289</v>
      </c>
      <c r="L59">
        <v>293</v>
      </c>
      <c r="M59">
        <v>5</v>
      </c>
      <c r="N59" t="s">
        <v>163</v>
      </c>
      <c r="P59" t="s">
        <v>157</v>
      </c>
    </row>
    <row r="62" spans="2:17" x14ac:dyDescent="0.45">
      <c r="B62" t="s">
        <v>164</v>
      </c>
      <c r="C62" t="s">
        <v>140</v>
      </c>
      <c r="D62">
        <v>1</v>
      </c>
      <c r="E62">
        <v>1</v>
      </c>
      <c r="F62">
        <v>5</v>
      </c>
      <c r="K62">
        <v>59</v>
      </c>
      <c r="L62">
        <v>60</v>
      </c>
      <c r="M62">
        <v>2</v>
      </c>
      <c r="N62" t="s">
        <v>141</v>
      </c>
      <c r="P62" t="s">
        <v>142</v>
      </c>
    </row>
    <row r="63" spans="2:17" x14ac:dyDescent="0.45">
      <c r="B63" t="s">
        <v>165</v>
      </c>
      <c r="C63" t="s">
        <v>166</v>
      </c>
      <c r="D63">
        <v>58</v>
      </c>
      <c r="E63">
        <v>34</v>
      </c>
      <c r="F63">
        <v>38</v>
      </c>
      <c r="K63">
        <v>91</v>
      </c>
      <c r="L63">
        <v>91</v>
      </c>
      <c r="M63">
        <v>1</v>
      </c>
      <c r="N63" t="s">
        <v>167</v>
      </c>
      <c r="P63" t="s">
        <v>168</v>
      </c>
    </row>
    <row r="65" spans="2:16" x14ac:dyDescent="0.45">
      <c r="B65" t="s">
        <v>169</v>
      </c>
      <c r="C65" t="s">
        <v>123</v>
      </c>
      <c r="D65" t="s">
        <v>9</v>
      </c>
      <c r="E65">
        <v>1</v>
      </c>
      <c r="F65">
        <v>250</v>
      </c>
      <c r="G65">
        <v>250</v>
      </c>
      <c r="K65">
        <v>1</v>
      </c>
      <c r="L65">
        <v>250</v>
      </c>
      <c r="M65">
        <v>250</v>
      </c>
      <c r="P65" t="s">
        <v>10</v>
      </c>
    </row>
    <row r="66" spans="2:16" x14ac:dyDescent="0.45">
      <c r="B66" t="s">
        <v>170</v>
      </c>
      <c r="C66" t="s">
        <v>140</v>
      </c>
      <c r="D66">
        <v>1</v>
      </c>
      <c r="E66">
        <v>1</v>
      </c>
      <c r="F66">
        <v>5</v>
      </c>
      <c r="G66">
        <v>5</v>
      </c>
      <c r="K66">
        <v>113</v>
      </c>
      <c r="L66">
        <v>114</v>
      </c>
      <c r="M66">
        <v>2</v>
      </c>
      <c r="N66" t="s">
        <v>141</v>
      </c>
      <c r="P66" t="s">
        <v>142</v>
      </c>
    </row>
    <row r="67" spans="2:16" x14ac:dyDescent="0.45">
      <c r="B67" t="s">
        <v>171</v>
      </c>
      <c r="C67" t="s">
        <v>155</v>
      </c>
      <c r="D67">
        <v>18</v>
      </c>
      <c r="E67">
        <v>88</v>
      </c>
      <c r="F67">
        <v>92</v>
      </c>
      <c r="G67">
        <v>5</v>
      </c>
      <c r="K67">
        <v>135</v>
      </c>
      <c r="L67">
        <v>139</v>
      </c>
      <c r="M67">
        <v>5</v>
      </c>
      <c r="N67" t="s">
        <v>156</v>
      </c>
      <c r="P67" t="s">
        <v>157</v>
      </c>
    </row>
    <row r="68" spans="2:16" x14ac:dyDescent="0.45">
      <c r="B68" t="s">
        <v>172</v>
      </c>
      <c r="C68" t="s">
        <v>159</v>
      </c>
      <c r="D68">
        <v>18</v>
      </c>
      <c r="E68">
        <v>93</v>
      </c>
      <c r="F68">
        <v>97</v>
      </c>
      <c r="G68">
        <v>5</v>
      </c>
      <c r="K68">
        <v>140</v>
      </c>
      <c r="L68">
        <v>144</v>
      </c>
      <c r="M68">
        <v>5</v>
      </c>
      <c r="N68" t="s">
        <v>160</v>
      </c>
      <c r="P68" t="s">
        <v>157</v>
      </c>
    </row>
    <row r="69" spans="2:16" x14ac:dyDescent="0.45">
      <c r="B69" t="s">
        <v>173</v>
      </c>
      <c r="C69" t="s">
        <v>162</v>
      </c>
      <c r="D69">
        <v>67</v>
      </c>
      <c r="E69">
        <v>98</v>
      </c>
      <c r="F69">
        <v>102</v>
      </c>
      <c r="G69">
        <v>5</v>
      </c>
      <c r="K69">
        <v>145</v>
      </c>
      <c r="L69">
        <v>149</v>
      </c>
      <c r="M69">
        <v>5</v>
      </c>
      <c r="N69" t="s">
        <v>163</v>
      </c>
      <c r="P69" t="s">
        <v>174</v>
      </c>
    </row>
    <row r="76" spans="2:16" x14ac:dyDescent="0.45">
      <c r="B76" t="s">
        <v>175</v>
      </c>
      <c r="C76" t="s">
        <v>176</v>
      </c>
    </row>
    <row r="77" spans="2:16" x14ac:dyDescent="0.45">
      <c r="B77" t="s">
        <v>177</v>
      </c>
      <c r="C77" t="s">
        <v>178</v>
      </c>
    </row>
    <row r="78" spans="2:16" x14ac:dyDescent="0.45">
      <c r="B78" t="s">
        <v>179</v>
      </c>
      <c r="C78" t="s">
        <v>180</v>
      </c>
    </row>
    <row r="82" spans="2:5" x14ac:dyDescent="0.45">
      <c r="B82" t="s">
        <v>181</v>
      </c>
      <c r="C82" t="s">
        <v>182</v>
      </c>
      <c r="D82" t="s">
        <v>183</v>
      </c>
      <c r="E82" t="s">
        <v>184</v>
      </c>
    </row>
    <row r="83" spans="2:5" x14ac:dyDescent="0.45">
      <c r="C83" t="s">
        <v>185</v>
      </c>
      <c r="D83" t="s">
        <v>186</v>
      </c>
    </row>
    <row r="85" spans="2:5" x14ac:dyDescent="0.45">
      <c r="B85" t="s">
        <v>187</v>
      </c>
      <c r="C85" t="s">
        <v>188</v>
      </c>
      <c r="D85" t="s">
        <v>189</v>
      </c>
    </row>
    <row r="86" spans="2:5" x14ac:dyDescent="0.45">
      <c r="C86" t="s">
        <v>190</v>
      </c>
      <c r="D86" t="s">
        <v>191</v>
      </c>
      <c r="E86" t="s">
        <v>192</v>
      </c>
    </row>
    <row r="88" spans="2:5" x14ac:dyDescent="0.45">
      <c r="B88" t="s">
        <v>193</v>
      </c>
      <c r="E88" t="s">
        <v>180</v>
      </c>
    </row>
  </sheetData>
  <pageMargins left="0.7" right="0.7" top="0.75" bottom="0.75" header="0.3" footer="0.3"/>
  <pageSetup paperSize="9" orientation="landscape" r:id="rId1"/>
  <headerFooter>
    <oddHeader>&amp;L&amp;"Calibri"&amp;10&amp;K000000Confidential&amp;1#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8"/>
  <sheetViews>
    <sheetView workbookViewId="0">
      <selection activeCell="D23" sqref="D23"/>
    </sheetView>
  </sheetViews>
  <sheetFormatPr defaultColWidth="9" defaultRowHeight="14.25" x14ac:dyDescent="0.45"/>
  <cols>
    <col min="1" max="1" width="4" bestFit="1" customWidth="1"/>
    <col min="2" max="2" width="2" bestFit="1" customWidth="1"/>
    <col min="3" max="3" width="34.59765625" style="37" bestFit="1" customWidth="1"/>
    <col min="4" max="4" width="84.86328125" style="37" bestFit="1" customWidth="1"/>
    <col min="5" max="5" width="11.3984375" bestFit="1" customWidth="1"/>
  </cols>
  <sheetData>
    <row r="1" spans="1:5" x14ac:dyDescent="0.45">
      <c r="E1" t="s">
        <v>194</v>
      </c>
    </row>
    <row r="2" spans="1:5" x14ac:dyDescent="0.45">
      <c r="A2">
        <v>5</v>
      </c>
      <c r="B2" t="s">
        <v>9</v>
      </c>
      <c r="C2" s="37" t="s">
        <v>195</v>
      </c>
      <c r="D2" s="37" t="s">
        <v>196</v>
      </c>
    </row>
    <row r="3" spans="1:5" x14ac:dyDescent="0.45">
      <c r="A3">
        <v>9</v>
      </c>
      <c r="B3" t="s">
        <v>9</v>
      </c>
      <c r="C3" s="37" t="s">
        <v>197</v>
      </c>
      <c r="D3" s="37" t="s">
        <v>198</v>
      </c>
    </row>
    <row r="4" spans="1:5" x14ac:dyDescent="0.45">
      <c r="A4">
        <v>13</v>
      </c>
      <c r="B4" t="s">
        <v>9</v>
      </c>
      <c r="C4" s="37" t="s">
        <v>199</v>
      </c>
      <c r="D4" s="37" t="s">
        <v>200</v>
      </c>
    </row>
    <row r="5" spans="1:5" x14ac:dyDescent="0.45">
      <c r="A5">
        <v>17</v>
      </c>
      <c r="B5" t="s">
        <v>9</v>
      </c>
      <c r="C5" s="37" t="s">
        <v>201</v>
      </c>
      <c r="D5" s="37" t="s">
        <v>202</v>
      </c>
    </row>
    <row r="6" spans="1:5" x14ac:dyDescent="0.45">
      <c r="A6">
        <v>21</v>
      </c>
      <c r="B6" t="s">
        <v>9</v>
      </c>
      <c r="C6" s="37" t="s">
        <v>203</v>
      </c>
      <c r="D6" s="37" t="s">
        <v>204</v>
      </c>
    </row>
    <row r="7" spans="1:5" x14ac:dyDescent="0.45">
      <c r="A7">
        <v>25</v>
      </c>
      <c r="B7" t="s">
        <v>9</v>
      </c>
      <c r="C7" s="37" t="s">
        <v>205</v>
      </c>
      <c r="D7" s="37" t="s">
        <v>206</v>
      </c>
    </row>
    <row r="8" spans="1:5" x14ac:dyDescent="0.45">
      <c r="A8">
        <v>29</v>
      </c>
      <c r="B8" t="s">
        <v>9</v>
      </c>
      <c r="C8" s="37" t="s">
        <v>207</v>
      </c>
      <c r="D8" s="37" t="s">
        <v>208</v>
      </c>
    </row>
    <row r="9" spans="1:5" x14ac:dyDescent="0.45">
      <c r="A9">
        <v>33</v>
      </c>
      <c r="B9" t="s">
        <v>9</v>
      </c>
      <c r="C9" s="37" t="s">
        <v>209</v>
      </c>
      <c r="D9" s="37" t="s">
        <v>210</v>
      </c>
    </row>
    <row r="10" spans="1:5" x14ac:dyDescent="0.45">
      <c r="A10">
        <v>37</v>
      </c>
      <c r="B10" t="s">
        <v>9</v>
      </c>
      <c r="C10" s="37" t="s">
        <v>211</v>
      </c>
      <c r="D10" s="37" t="s">
        <v>212</v>
      </c>
    </row>
    <row r="11" spans="1:5" x14ac:dyDescent="0.45">
      <c r="A11">
        <v>41</v>
      </c>
      <c r="B11" t="s">
        <v>9</v>
      </c>
      <c r="C11" s="37" t="s">
        <v>213</v>
      </c>
      <c r="D11" s="37" t="s">
        <v>214</v>
      </c>
    </row>
    <row r="12" spans="1:5" x14ac:dyDescent="0.45">
      <c r="A12">
        <v>45</v>
      </c>
      <c r="B12" t="s">
        <v>9</v>
      </c>
      <c r="C12" s="37" t="s">
        <v>215</v>
      </c>
      <c r="D12" s="37" t="s">
        <v>216</v>
      </c>
    </row>
    <row r="13" spans="1:5" x14ac:dyDescent="0.45">
      <c r="A13">
        <v>49</v>
      </c>
      <c r="B13" t="s">
        <v>9</v>
      </c>
      <c r="C13" s="37" t="s">
        <v>217</v>
      </c>
      <c r="D13" s="37" t="s">
        <v>218</v>
      </c>
    </row>
    <row r="14" spans="1:5" x14ac:dyDescent="0.45">
      <c r="A14">
        <v>56</v>
      </c>
      <c r="B14" t="s">
        <v>9</v>
      </c>
      <c r="C14" s="37" t="s">
        <v>219</v>
      </c>
      <c r="D14" s="37" t="s">
        <v>220</v>
      </c>
    </row>
    <row r="15" spans="1:5" x14ac:dyDescent="0.45">
      <c r="A15">
        <v>60</v>
      </c>
      <c r="B15" t="s">
        <v>9</v>
      </c>
      <c r="C15" s="37" t="s">
        <v>221</v>
      </c>
      <c r="D15" s="37" t="s">
        <v>222</v>
      </c>
    </row>
    <row r="16" spans="1:5" x14ac:dyDescent="0.45">
      <c r="A16">
        <v>64</v>
      </c>
      <c r="B16" t="s">
        <v>9</v>
      </c>
      <c r="C16" s="37" t="s">
        <v>223</v>
      </c>
      <c r="D16" s="37" t="s">
        <v>224</v>
      </c>
    </row>
    <row r="17" spans="1:4" x14ac:dyDescent="0.45">
      <c r="A17">
        <v>68</v>
      </c>
      <c r="B17" t="s">
        <v>9</v>
      </c>
      <c r="C17" s="37" t="s">
        <v>225</v>
      </c>
      <c r="D17" s="37" t="s">
        <v>226</v>
      </c>
    </row>
    <row r="18" spans="1:4" x14ac:dyDescent="0.45">
      <c r="A18">
        <v>72</v>
      </c>
      <c r="B18" t="s">
        <v>9</v>
      </c>
      <c r="C18" s="37" t="s">
        <v>227</v>
      </c>
      <c r="D18" s="37" t="s">
        <v>228</v>
      </c>
    </row>
    <row r="19" spans="1:4" x14ac:dyDescent="0.45">
      <c r="A19">
        <v>73</v>
      </c>
      <c r="B19" t="s">
        <v>9</v>
      </c>
      <c r="C19" s="37" t="s">
        <v>9</v>
      </c>
      <c r="D19" s="37" t="s">
        <v>229</v>
      </c>
    </row>
    <row r="20" spans="1:4" x14ac:dyDescent="0.45">
      <c r="A20">
        <v>74</v>
      </c>
      <c r="B20" t="s">
        <v>9</v>
      </c>
      <c r="D20" s="37" t="s">
        <v>230</v>
      </c>
    </row>
    <row r="21" spans="1:4" x14ac:dyDescent="0.45">
      <c r="A21">
        <v>75</v>
      </c>
      <c r="B21" t="s">
        <v>9</v>
      </c>
      <c r="D21" s="37" t="s">
        <v>231</v>
      </c>
    </row>
    <row r="22" spans="1:4" x14ac:dyDescent="0.45">
      <c r="A22">
        <v>79</v>
      </c>
      <c r="B22" t="s">
        <v>9</v>
      </c>
      <c r="C22" s="37" t="s">
        <v>232</v>
      </c>
      <c r="D22" s="37" t="s">
        <v>233</v>
      </c>
    </row>
    <row r="23" spans="1:4" x14ac:dyDescent="0.45">
      <c r="A23">
        <v>83</v>
      </c>
      <c r="B23" t="s">
        <v>9</v>
      </c>
      <c r="C23" s="37" t="s">
        <v>234</v>
      </c>
      <c r="D23" s="37" t="s">
        <v>235</v>
      </c>
    </row>
    <row r="24" spans="1:4" x14ac:dyDescent="0.45">
      <c r="A24">
        <v>87</v>
      </c>
      <c r="B24" t="s">
        <v>9</v>
      </c>
      <c r="C24" s="37" t="s">
        <v>236</v>
      </c>
      <c r="D24" s="37" t="s">
        <v>237</v>
      </c>
    </row>
    <row r="25" spans="1:4" x14ac:dyDescent="0.45">
      <c r="A25">
        <v>91</v>
      </c>
      <c r="B25" t="s">
        <v>9</v>
      </c>
      <c r="C25" s="37" t="s">
        <v>238</v>
      </c>
      <c r="D25" s="37" t="s">
        <v>239</v>
      </c>
    </row>
    <row r="26" spans="1:4" x14ac:dyDescent="0.45">
      <c r="A26">
        <v>95</v>
      </c>
      <c r="B26" t="s">
        <v>9</v>
      </c>
      <c r="C26" s="37" t="s">
        <v>240</v>
      </c>
      <c r="D26" s="37" t="s">
        <v>241</v>
      </c>
    </row>
    <row r="27" spans="1:4" x14ac:dyDescent="0.45">
      <c r="A27">
        <v>96</v>
      </c>
      <c r="B27" t="s">
        <v>9</v>
      </c>
      <c r="C27" s="37" t="s">
        <v>9</v>
      </c>
      <c r="D27" s="37" t="s">
        <v>242</v>
      </c>
    </row>
    <row r="28" spans="1:4" x14ac:dyDescent="0.45">
      <c r="A28">
        <v>97</v>
      </c>
      <c r="B28" t="s">
        <v>9</v>
      </c>
      <c r="D28" s="37" t="s">
        <v>243</v>
      </c>
    </row>
    <row r="29" spans="1:4" x14ac:dyDescent="0.45">
      <c r="A29">
        <v>98</v>
      </c>
      <c r="B29" t="s">
        <v>9</v>
      </c>
      <c r="D29" s="37" t="s">
        <v>244</v>
      </c>
    </row>
    <row r="30" spans="1:4" x14ac:dyDescent="0.45">
      <c r="A30">
        <v>99</v>
      </c>
      <c r="B30" t="s">
        <v>9</v>
      </c>
      <c r="D30" s="37" t="s">
        <v>245</v>
      </c>
    </row>
    <row r="31" spans="1:4" x14ac:dyDescent="0.45">
      <c r="A31">
        <v>100</v>
      </c>
      <c r="B31" t="s">
        <v>9</v>
      </c>
      <c r="D31" s="37" t="s">
        <v>246</v>
      </c>
    </row>
    <row r="32" spans="1:4" x14ac:dyDescent="0.45">
      <c r="A32">
        <v>101</v>
      </c>
      <c r="B32" t="s">
        <v>9</v>
      </c>
      <c r="D32" s="37" t="s">
        <v>247</v>
      </c>
    </row>
    <row r="33" spans="1:4" x14ac:dyDescent="0.45">
      <c r="A33">
        <v>102</v>
      </c>
      <c r="B33" t="s">
        <v>9</v>
      </c>
      <c r="D33" s="37" t="s">
        <v>248</v>
      </c>
    </row>
    <row r="34" spans="1:4" x14ac:dyDescent="0.45">
      <c r="A34">
        <v>103</v>
      </c>
      <c r="B34" t="s">
        <v>9</v>
      </c>
      <c r="D34" s="37" t="s">
        <v>249</v>
      </c>
    </row>
    <row r="35" spans="1:4" x14ac:dyDescent="0.45">
      <c r="A35">
        <v>104</v>
      </c>
      <c r="B35" t="s">
        <v>9</v>
      </c>
      <c r="D35" s="37" t="s">
        <v>250</v>
      </c>
    </row>
    <row r="36" spans="1:4" x14ac:dyDescent="0.45">
      <c r="A36">
        <v>105</v>
      </c>
      <c r="B36" t="s">
        <v>9</v>
      </c>
      <c r="D36" s="37" t="s">
        <v>251</v>
      </c>
    </row>
    <row r="37" spans="1:4" x14ac:dyDescent="0.45">
      <c r="A37">
        <v>112</v>
      </c>
      <c r="B37" t="s">
        <v>9</v>
      </c>
      <c r="C37" s="37" t="s">
        <v>252</v>
      </c>
      <c r="D37" s="37" t="s">
        <v>253</v>
      </c>
    </row>
    <row r="38" spans="1:4" x14ac:dyDescent="0.45">
      <c r="A38">
        <v>116</v>
      </c>
      <c r="B38" t="s">
        <v>9</v>
      </c>
      <c r="C38" s="37" t="s">
        <v>254</v>
      </c>
      <c r="D38" s="37" t="s">
        <v>255</v>
      </c>
    </row>
    <row r="39" spans="1:4" x14ac:dyDescent="0.45">
      <c r="A39">
        <v>117</v>
      </c>
      <c r="B39" t="s">
        <v>9</v>
      </c>
      <c r="C39" s="37" t="s">
        <v>9</v>
      </c>
      <c r="D39" s="37" t="s">
        <v>256</v>
      </c>
    </row>
    <row r="40" spans="1:4" x14ac:dyDescent="0.45">
      <c r="A40">
        <v>118</v>
      </c>
      <c r="B40" t="s">
        <v>9</v>
      </c>
      <c r="D40" s="37" t="s">
        <v>257</v>
      </c>
    </row>
    <row r="41" spans="1:4" x14ac:dyDescent="0.45">
      <c r="A41">
        <v>119</v>
      </c>
      <c r="B41" t="s">
        <v>9</v>
      </c>
      <c r="D41" s="37" t="s">
        <v>258</v>
      </c>
    </row>
    <row r="42" spans="1:4" x14ac:dyDescent="0.45">
      <c r="A42">
        <v>120</v>
      </c>
      <c r="B42" t="s">
        <v>9</v>
      </c>
      <c r="D42" s="37" t="s">
        <v>259</v>
      </c>
    </row>
    <row r="43" spans="1:4" x14ac:dyDescent="0.45">
      <c r="A43">
        <v>121</v>
      </c>
      <c r="B43" t="s">
        <v>9</v>
      </c>
      <c r="D43" s="37" t="s">
        <v>260</v>
      </c>
    </row>
    <row r="44" spans="1:4" x14ac:dyDescent="0.45">
      <c r="A44">
        <v>122</v>
      </c>
      <c r="B44" t="s">
        <v>9</v>
      </c>
      <c r="D44" s="37" t="s">
        <v>261</v>
      </c>
    </row>
    <row r="45" spans="1:4" x14ac:dyDescent="0.45">
      <c r="A45">
        <v>123</v>
      </c>
      <c r="B45" t="s">
        <v>9</v>
      </c>
      <c r="D45" s="37" t="s">
        <v>262</v>
      </c>
    </row>
    <row r="46" spans="1:4" x14ac:dyDescent="0.45">
      <c r="A46">
        <v>124</v>
      </c>
      <c r="B46" t="s">
        <v>9</v>
      </c>
      <c r="D46" s="37" t="s">
        <v>263</v>
      </c>
    </row>
    <row r="47" spans="1:4" x14ac:dyDescent="0.45">
      <c r="A47">
        <v>125</v>
      </c>
      <c r="B47" t="s">
        <v>9</v>
      </c>
      <c r="D47" s="37" t="s">
        <v>264</v>
      </c>
    </row>
    <row r="48" spans="1:4" x14ac:dyDescent="0.45">
      <c r="A48">
        <v>129</v>
      </c>
      <c r="B48" t="s">
        <v>9</v>
      </c>
      <c r="C48" s="37" t="s">
        <v>265</v>
      </c>
      <c r="D48" s="37" t="s">
        <v>266</v>
      </c>
    </row>
    <row r="49" spans="1:4" x14ac:dyDescent="0.45">
      <c r="A49">
        <v>130</v>
      </c>
      <c r="B49" t="s">
        <v>9</v>
      </c>
      <c r="C49" s="37" t="s">
        <v>9</v>
      </c>
      <c r="D49" s="37" t="s">
        <v>267</v>
      </c>
    </row>
    <row r="50" spans="1:4" x14ac:dyDescent="0.45">
      <c r="A50">
        <v>134</v>
      </c>
      <c r="B50" t="s">
        <v>9</v>
      </c>
      <c r="C50" s="37" t="s">
        <v>268</v>
      </c>
      <c r="D50" s="37" t="s">
        <v>269</v>
      </c>
    </row>
    <row r="51" spans="1:4" x14ac:dyDescent="0.45">
      <c r="A51">
        <v>138</v>
      </c>
      <c r="B51" t="s">
        <v>9</v>
      </c>
      <c r="C51" s="37" t="s">
        <v>270</v>
      </c>
      <c r="D51" s="37" t="s">
        <v>271</v>
      </c>
    </row>
    <row r="52" spans="1:4" x14ac:dyDescent="0.45">
      <c r="A52">
        <v>142</v>
      </c>
      <c r="B52" t="s">
        <v>9</v>
      </c>
      <c r="C52" s="37" t="s">
        <v>272</v>
      </c>
      <c r="D52" s="37" t="s">
        <v>273</v>
      </c>
    </row>
    <row r="53" spans="1:4" x14ac:dyDescent="0.45">
      <c r="A53">
        <v>146</v>
      </c>
      <c r="B53" t="s">
        <v>9</v>
      </c>
      <c r="C53" s="37" t="s">
        <v>274</v>
      </c>
      <c r="D53" s="37" t="s">
        <v>275</v>
      </c>
    </row>
    <row r="54" spans="1:4" x14ac:dyDescent="0.45">
      <c r="A54">
        <v>150</v>
      </c>
      <c r="B54" t="s">
        <v>9</v>
      </c>
      <c r="C54" s="37" t="s">
        <v>276</v>
      </c>
      <c r="D54" s="37" t="s">
        <v>277</v>
      </c>
    </row>
    <row r="55" spans="1:4" x14ac:dyDescent="0.45">
      <c r="A55">
        <v>154</v>
      </c>
      <c r="B55" t="s">
        <v>9</v>
      </c>
      <c r="C55" s="37" t="s">
        <v>278</v>
      </c>
      <c r="D55" s="37" t="s">
        <v>279</v>
      </c>
    </row>
    <row r="56" spans="1:4" x14ac:dyDescent="0.45">
      <c r="A56">
        <v>158</v>
      </c>
      <c r="B56" t="s">
        <v>9</v>
      </c>
      <c r="C56" s="37" t="s">
        <v>280</v>
      </c>
      <c r="D56" s="37" t="s">
        <v>281</v>
      </c>
    </row>
    <row r="57" spans="1:4" x14ac:dyDescent="0.45">
      <c r="A57">
        <v>159</v>
      </c>
      <c r="B57" t="s">
        <v>9</v>
      </c>
      <c r="C57" s="37" t="s">
        <v>9</v>
      </c>
      <c r="D57" s="37" t="s">
        <v>282</v>
      </c>
    </row>
    <row r="58" spans="1:4" x14ac:dyDescent="0.45">
      <c r="A58">
        <v>166</v>
      </c>
      <c r="B58" t="s">
        <v>9</v>
      </c>
      <c r="C58" s="37" t="s">
        <v>283</v>
      </c>
      <c r="D58" s="37" t="s">
        <v>284</v>
      </c>
    </row>
    <row r="59" spans="1:4" x14ac:dyDescent="0.45">
      <c r="A59">
        <v>167</v>
      </c>
      <c r="B59" t="s">
        <v>9</v>
      </c>
      <c r="C59" s="37" t="s">
        <v>9</v>
      </c>
      <c r="D59" s="37" t="s">
        <v>285</v>
      </c>
    </row>
    <row r="60" spans="1:4" x14ac:dyDescent="0.45">
      <c r="A60">
        <v>171</v>
      </c>
      <c r="B60" t="s">
        <v>9</v>
      </c>
      <c r="C60" s="37" t="s">
        <v>286</v>
      </c>
      <c r="D60" s="37" t="s">
        <v>287</v>
      </c>
    </row>
    <row r="61" spans="1:4" x14ac:dyDescent="0.45">
      <c r="A61">
        <v>172</v>
      </c>
      <c r="B61" t="s">
        <v>9</v>
      </c>
      <c r="C61" s="37" t="s">
        <v>9</v>
      </c>
      <c r="D61" s="37" t="s">
        <v>288</v>
      </c>
    </row>
    <row r="62" spans="1:4" x14ac:dyDescent="0.45">
      <c r="A62">
        <v>173</v>
      </c>
      <c r="B62" t="s">
        <v>9</v>
      </c>
      <c r="D62" s="37" t="s">
        <v>289</v>
      </c>
    </row>
    <row r="63" spans="1:4" x14ac:dyDescent="0.45">
      <c r="A63">
        <v>177</v>
      </c>
      <c r="B63" t="s">
        <v>9</v>
      </c>
      <c r="C63" s="37" t="s">
        <v>290</v>
      </c>
      <c r="D63" s="37" t="s">
        <v>291</v>
      </c>
    </row>
    <row r="64" spans="1:4" x14ac:dyDescent="0.45">
      <c r="A64">
        <v>178</v>
      </c>
      <c r="B64" t="s">
        <v>9</v>
      </c>
      <c r="C64" s="37" t="s">
        <v>9</v>
      </c>
      <c r="D64" s="37" t="s">
        <v>292</v>
      </c>
    </row>
    <row r="65" spans="1:4" x14ac:dyDescent="0.45">
      <c r="A65">
        <v>182</v>
      </c>
      <c r="B65" t="s">
        <v>9</v>
      </c>
      <c r="C65" s="37" t="s">
        <v>293</v>
      </c>
      <c r="D65" s="37" t="s">
        <v>294</v>
      </c>
    </row>
    <row r="66" spans="1:4" x14ac:dyDescent="0.45">
      <c r="A66">
        <v>183</v>
      </c>
      <c r="B66" t="s">
        <v>9</v>
      </c>
      <c r="C66" s="37" t="s">
        <v>9</v>
      </c>
      <c r="D66" s="37" t="s">
        <v>295</v>
      </c>
    </row>
    <row r="67" spans="1:4" x14ac:dyDescent="0.45">
      <c r="A67">
        <v>184</v>
      </c>
      <c r="B67" t="s">
        <v>9</v>
      </c>
      <c r="D67" s="37" t="s">
        <v>296</v>
      </c>
    </row>
    <row r="68" spans="1:4" x14ac:dyDescent="0.45">
      <c r="A68">
        <v>185</v>
      </c>
      <c r="B68" t="s">
        <v>9</v>
      </c>
      <c r="D68" s="37" t="s">
        <v>297</v>
      </c>
    </row>
    <row r="69" spans="1:4" x14ac:dyDescent="0.45">
      <c r="A69">
        <v>186</v>
      </c>
      <c r="B69" t="s">
        <v>9</v>
      </c>
      <c r="D69" s="37" t="s">
        <v>298</v>
      </c>
    </row>
    <row r="70" spans="1:4" x14ac:dyDescent="0.45">
      <c r="A70">
        <v>190</v>
      </c>
      <c r="B70" t="s">
        <v>9</v>
      </c>
      <c r="C70" s="37" t="s">
        <v>299</v>
      </c>
      <c r="D70" s="37" t="s">
        <v>300</v>
      </c>
    </row>
    <row r="71" spans="1:4" x14ac:dyDescent="0.45">
      <c r="A71">
        <v>191</v>
      </c>
      <c r="B71" t="s">
        <v>9</v>
      </c>
      <c r="C71" s="37" t="s">
        <v>9</v>
      </c>
      <c r="D71" s="37" t="s">
        <v>301</v>
      </c>
    </row>
    <row r="72" spans="1:4" x14ac:dyDescent="0.45">
      <c r="A72">
        <v>192</v>
      </c>
      <c r="B72" t="s">
        <v>9</v>
      </c>
      <c r="D72" s="37" t="s">
        <v>302</v>
      </c>
    </row>
    <row r="73" spans="1:4" x14ac:dyDescent="0.45">
      <c r="A73">
        <v>196</v>
      </c>
      <c r="B73" t="s">
        <v>9</v>
      </c>
      <c r="C73" s="37" t="s">
        <v>303</v>
      </c>
      <c r="D73" s="37" t="s">
        <v>304</v>
      </c>
    </row>
    <row r="74" spans="1:4" x14ac:dyDescent="0.45">
      <c r="A74">
        <v>197</v>
      </c>
      <c r="B74" t="s">
        <v>9</v>
      </c>
      <c r="C74" s="37" t="s">
        <v>9</v>
      </c>
      <c r="D74" s="37" t="s">
        <v>305</v>
      </c>
    </row>
    <row r="75" spans="1:4" x14ac:dyDescent="0.45">
      <c r="A75">
        <v>198</v>
      </c>
      <c r="B75" t="s">
        <v>9</v>
      </c>
      <c r="D75" s="37" t="s">
        <v>306</v>
      </c>
    </row>
    <row r="76" spans="1:4" x14ac:dyDescent="0.45">
      <c r="A76">
        <v>202</v>
      </c>
      <c r="B76" t="s">
        <v>9</v>
      </c>
      <c r="C76" s="37" t="s">
        <v>307</v>
      </c>
      <c r="D76" s="37" t="s">
        <v>308</v>
      </c>
    </row>
    <row r="77" spans="1:4" x14ac:dyDescent="0.45">
      <c r="A77">
        <v>203</v>
      </c>
      <c r="B77" t="s">
        <v>9</v>
      </c>
      <c r="C77" s="37" t="s">
        <v>9</v>
      </c>
      <c r="D77" s="37" t="s">
        <v>309</v>
      </c>
    </row>
    <row r="78" spans="1:4" x14ac:dyDescent="0.45">
      <c r="A78">
        <v>207</v>
      </c>
      <c r="B78" t="s">
        <v>9</v>
      </c>
      <c r="C78" s="37" t="s">
        <v>310</v>
      </c>
      <c r="D78" s="37" t="s">
        <v>311</v>
      </c>
    </row>
    <row r="79" spans="1:4" x14ac:dyDescent="0.45">
      <c r="A79">
        <v>208</v>
      </c>
      <c r="B79" t="s">
        <v>9</v>
      </c>
      <c r="C79" s="37" t="s">
        <v>9</v>
      </c>
      <c r="D79" s="37" t="s">
        <v>312</v>
      </c>
    </row>
    <row r="80" spans="1:4" x14ac:dyDescent="0.45">
      <c r="A80">
        <v>209</v>
      </c>
      <c r="B80" t="s">
        <v>9</v>
      </c>
      <c r="D80" s="37" t="s">
        <v>313</v>
      </c>
    </row>
    <row r="81" spans="1:4" x14ac:dyDescent="0.45">
      <c r="A81">
        <v>210</v>
      </c>
      <c r="B81" t="s">
        <v>9</v>
      </c>
      <c r="D81" s="37" t="s">
        <v>314</v>
      </c>
    </row>
    <row r="82" spans="1:4" x14ac:dyDescent="0.45">
      <c r="A82">
        <v>211</v>
      </c>
      <c r="B82" t="s">
        <v>9</v>
      </c>
      <c r="D82" s="37" t="s">
        <v>315</v>
      </c>
    </row>
    <row r="83" spans="1:4" x14ac:dyDescent="0.45">
      <c r="A83">
        <v>212</v>
      </c>
      <c r="B83" t="s">
        <v>9</v>
      </c>
      <c r="D83" s="37" t="s">
        <v>316</v>
      </c>
    </row>
    <row r="84" spans="1:4" x14ac:dyDescent="0.45">
      <c r="A84">
        <v>213</v>
      </c>
      <c r="B84" t="s">
        <v>9</v>
      </c>
      <c r="D84" s="37" t="s">
        <v>317</v>
      </c>
    </row>
    <row r="85" spans="1:4" x14ac:dyDescent="0.45">
      <c r="A85">
        <v>214</v>
      </c>
      <c r="B85" t="s">
        <v>9</v>
      </c>
      <c r="D85" s="37" t="s">
        <v>318</v>
      </c>
    </row>
    <row r="86" spans="1:4" x14ac:dyDescent="0.45">
      <c r="A86">
        <v>215</v>
      </c>
      <c r="B86" t="s">
        <v>9</v>
      </c>
    </row>
    <row r="87" spans="1:4" x14ac:dyDescent="0.45">
      <c r="A87">
        <v>216</v>
      </c>
      <c r="B87" t="s">
        <v>9</v>
      </c>
    </row>
    <row r="88" spans="1:4" x14ac:dyDescent="0.45">
      <c r="A88">
        <v>217</v>
      </c>
      <c r="B88" t="s">
        <v>9</v>
      </c>
      <c r="C88" s="37" t="s">
        <v>9</v>
      </c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M71"/>
  <sheetViews>
    <sheetView topLeftCell="A36" workbookViewId="0">
      <selection activeCell="E66" sqref="E66"/>
    </sheetView>
  </sheetViews>
  <sheetFormatPr defaultRowHeight="14.25" x14ac:dyDescent="0.45"/>
  <cols>
    <col min="1" max="1" width="16.59765625" bestFit="1" customWidth="1"/>
    <col min="2" max="2" width="17.3984375" bestFit="1" customWidth="1"/>
    <col min="3" max="3" width="19.3984375" bestFit="1" customWidth="1"/>
    <col min="4" max="4" width="17.3984375" bestFit="1" customWidth="1"/>
    <col min="5" max="5" width="51.86328125" bestFit="1" customWidth="1"/>
    <col min="6" max="9" width="17.3984375" bestFit="1" customWidth="1"/>
    <col min="10" max="11" width="4" bestFit="1" customWidth="1"/>
    <col min="12" max="12" width="7.86328125" bestFit="1" customWidth="1"/>
    <col min="13" max="13" width="3.3984375" bestFit="1" customWidth="1"/>
  </cols>
  <sheetData>
    <row r="2" spans="1:13" x14ac:dyDescent="0.45">
      <c r="A2" s="25" t="s">
        <v>319</v>
      </c>
      <c r="B2" s="25" t="s">
        <v>123</v>
      </c>
      <c r="C2" s="25" t="s">
        <v>9</v>
      </c>
      <c r="D2" s="25">
        <v>1</v>
      </c>
      <c r="E2" s="25" t="s">
        <v>9</v>
      </c>
      <c r="F2" s="25">
        <v>732</v>
      </c>
      <c r="I2">
        <v>1</v>
      </c>
      <c r="J2" t="s">
        <v>9</v>
      </c>
      <c r="K2">
        <v>732</v>
      </c>
      <c r="L2" t="s">
        <v>10</v>
      </c>
      <c r="M2" t="s">
        <v>9</v>
      </c>
    </row>
    <row r="3" spans="1:13" x14ac:dyDescent="0.45">
      <c r="A3" s="25" t="s">
        <v>320</v>
      </c>
      <c r="B3" s="25" t="s">
        <v>321</v>
      </c>
      <c r="C3" s="25">
        <v>1</v>
      </c>
      <c r="D3" s="25">
        <v>11</v>
      </c>
      <c r="E3" s="25">
        <v>15</v>
      </c>
      <c r="F3" s="25">
        <v>5</v>
      </c>
      <c r="I3">
        <v>542</v>
      </c>
      <c r="J3">
        <v>543</v>
      </c>
      <c r="K3">
        <v>2</v>
      </c>
      <c r="L3" t="s">
        <v>142</v>
      </c>
      <c r="M3" t="s">
        <v>15</v>
      </c>
    </row>
    <row r="4" spans="1:13" x14ac:dyDescent="0.45">
      <c r="A4" s="25" t="s">
        <v>322</v>
      </c>
      <c r="B4" s="25" t="s">
        <v>323</v>
      </c>
      <c r="C4" s="25">
        <v>3</v>
      </c>
      <c r="D4" s="25">
        <v>314</v>
      </c>
      <c r="E4" s="25">
        <v>318</v>
      </c>
      <c r="F4" s="25">
        <v>5</v>
      </c>
      <c r="H4" t="s">
        <v>70</v>
      </c>
      <c r="I4">
        <v>724</v>
      </c>
      <c r="J4">
        <v>726</v>
      </c>
      <c r="K4">
        <v>3</v>
      </c>
      <c r="L4" t="s">
        <v>71</v>
      </c>
      <c r="M4" t="s">
        <v>15</v>
      </c>
    </row>
    <row r="5" spans="1:13" x14ac:dyDescent="0.45">
      <c r="A5" s="25" t="s">
        <v>324</v>
      </c>
      <c r="B5" s="25" t="s">
        <v>325</v>
      </c>
      <c r="C5" s="25">
        <v>112</v>
      </c>
      <c r="D5" s="25">
        <v>358</v>
      </c>
      <c r="E5" s="25">
        <v>362</v>
      </c>
      <c r="F5" s="25">
        <v>5</v>
      </c>
      <c r="H5" t="s">
        <v>326</v>
      </c>
      <c r="I5">
        <v>727</v>
      </c>
      <c r="J5">
        <v>727</v>
      </c>
      <c r="K5">
        <v>1</v>
      </c>
      <c r="L5" t="s">
        <v>327</v>
      </c>
      <c r="M5" t="s">
        <v>15</v>
      </c>
    </row>
    <row r="6" spans="1:13" x14ac:dyDescent="0.45">
      <c r="A6" s="25" t="s">
        <v>328</v>
      </c>
      <c r="B6" s="25" t="s">
        <v>329</v>
      </c>
      <c r="C6" s="25">
        <v>113</v>
      </c>
      <c r="D6" s="25">
        <v>492</v>
      </c>
      <c r="E6" s="25">
        <v>496</v>
      </c>
      <c r="F6" s="25">
        <v>5</v>
      </c>
      <c r="H6" t="s">
        <v>330</v>
      </c>
      <c r="I6">
        <v>728</v>
      </c>
      <c r="J6">
        <v>729</v>
      </c>
      <c r="K6">
        <v>2</v>
      </c>
      <c r="L6" t="s">
        <v>331</v>
      </c>
      <c r="M6" t="s">
        <v>15</v>
      </c>
    </row>
    <row r="7" spans="1:13" x14ac:dyDescent="0.45">
      <c r="A7" s="25" t="s">
        <v>332</v>
      </c>
      <c r="B7" s="25" t="s">
        <v>333</v>
      </c>
      <c r="C7" s="25">
        <v>6</v>
      </c>
      <c r="D7" s="25">
        <v>598</v>
      </c>
      <c r="E7" s="25">
        <v>602</v>
      </c>
      <c r="F7" s="25">
        <v>3</v>
      </c>
      <c r="H7" t="s">
        <v>334</v>
      </c>
      <c r="I7">
        <v>730</v>
      </c>
      <c r="J7">
        <v>732</v>
      </c>
      <c r="K7">
        <v>3</v>
      </c>
      <c r="L7" t="s">
        <v>335</v>
      </c>
      <c r="M7" t="s">
        <v>15</v>
      </c>
    </row>
    <row r="9" spans="1:13" x14ac:dyDescent="0.45">
      <c r="D9" t="s">
        <v>336</v>
      </c>
    </row>
    <row r="10" spans="1:13" x14ac:dyDescent="0.45">
      <c r="A10" s="31" t="s">
        <v>337</v>
      </c>
      <c r="B10" s="43" t="s">
        <v>338</v>
      </c>
      <c r="C10" t="s">
        <v>338</v>
      </c>
      <c r="D10" t="s">
        <v>339</v>
      </c>
      <c r="E10" t="s">
        <v>340</v>
      </c>
    </row>
    <row r="11" spans="1:13" x14ac:dyDescent="0.45">
      <c r="A11" s="31" t="s">
        <v>341</v>
      </c>
      <c r="B11" t="s">
        <v>342</v>
      </c>
      <c r="C11" t="s">
        <v>343</v>
      </c>
      <c r="D11" t="s">
        <v>321</v>
      </c>
      <c r="E11" t="s">
        <v>344</v>
      </c>
    </row>
    <row r="12" spans="1:13" x14ac:dyDescent="0.45">
      <c r="A12" s="31" t="s">
        <v>345</v>
      </c>
      <c r="B12" t="s">
        <v>346</v>
      </c>
      <c r="C12" t="s">
        <v>347</v>
      </c>
      <c r="D12" t="s">
        <v>348</v>
      </c>
      <c r="E12" s="50" t="s">
        <v>349</v>
      </c>
    </row>
    <row r="13" spans="1:13" x14ac:dyDescent="0.45">
      <c r="A13" s="31" t="s">
        <v>350</v>
      </c>
      <c r="B13" t="s">
        <v>351</v>
      </c>
      <c r="C13" t="s">
        <v>330</v>
      </c>
      <c r="D13" t="s">
        <v>352</v>
      </c>
      <c r="E13" s="49" t="s">
        <v>353</v>
      </c>
    </row>
    <row r="14" spans="1:13" x14ac:dyDescent="0.45">
      <c r="A14" s="29" t="s">
        <v>354</v>
      </c>
      <c r="B14" t="s">
        <v>326</v>
      </c>
      <c r="C14" t="s">
        <v>326</v>
      </c>
      <c r="D14" t="s">
        <v>355</v>
      </c>
      <c r="E14" s="35" t="s">
        <v>356</v>
      </c>
    </row>
    <row r="15" spans="1:13" x14ac:dyDescent="0.45">
      <c r="A15" s="29" t="s">
        <v>357</v>
      </c>
      <c r="B15" t="s">
        <v>358</v>
      </c>
      <c r="C15" t="s">
        <v>359</v>
      </c>
      <c r="D15" t="s">
        <v>360</v>
      </c>
      <c r="E15" s="35" t="s">
        <v>361</v>
      </c>
    </row>
    <row r="16" spans="1:13" x14ac:dyDescent="0.45">
      <c r="A16" s="32" t="s">
        <v>362</v>
      </c>
      <c r="B16" t="s">
        <v>363</v>
      </c>
      <c r="C16" t="s">
        <v>364</v>
      </c>
      <c r="D16" t="s">
        <v>365</v>
      </c>
      <c r="E16" s="45" t="s">
        <v>366</v>
      </c>
      <c r="F16" s="45" t="s">
        <v>367</v>
      </c>
      <c r="G16" s="45"/>
    </row>
    <row r="17" spans="1:8" x14ac:dyDescent="0.45">
      <c r="A17" s="29" t="s">
        <v>368</v>
      </c>
      <c r="B17" t="s">
        <v>369</v>
      </c>
      <c r="C17" t="s">
        <v>369</v>
      </c>
      <c r="D17" t="s">
        <v>323</v>
      </c>
      <c r="E17" s="35" t="s">
        <v>370</v>
      </c>
    </row>
    <row r="18" spans="1:8" x14ac:dyDescent="0.45">
      <c r="A18" s="29" t="s">
        <v>371</v>
      </c>
      <c r="B18" t="s">
        <v>372</v>
      </c>
      <c r="C18" t="s">
        <v>373</v>
      </c>
      <c r="D18" t="s">
        <v>374</v>
      </c>
      <c r="E18" s="35" t="s">
        <v>375</v>
      </c>
    </row>
    <row r="19" spans="1:8" x14ac:dyDescent="0.45">
      <c r="A19" s="29" t="s">
        <v>376</v>
      </c>
      <c r="B19" t="s">
        <v>377</v>
      </c>
      <c r="C19" t="s">
        <v>378</v>
      </c>
      <c r="D19" t="s">
        <v>379</v>
      </c>
      <c r="E19" s="47" t="s">
        <v>380</v>
      </c>
    </row>
    <row r="20" spans="1:8" x14ac:dyDescent="0.45">
      <c r="A20" s="29" t="s">
        <v>381</v>
      </c>
      <c r="B20" t="s">
        <v>382</v>
      </c>
      <c r="C20" t="s">
        <v>383</v>
      </c>
      <c r="D20" t="s">
        <v>384</v>
      </c>
      <c r="E20" s="47" t="s">
        <v>385</v>
      </c>
      <c r="H20" t="s">
        <v>386</v>
      </c>
    </row>
    <row r="21" spans="1:8" x14ac:dyDescent="0.45">
      <c r="A21" s="29" t="s">
        <v>387</v>
      </c>
      <c r="B21" t="s">
        <v>388</v>
      </c>
      <c r="C21" t="s">
        <v>389</v>
      </c>
      <c r="D21" t="s">
        <v>390</v>
      </c>
      <c r="E21" s="47" t="s">
        <v>391</v>
      </c>
      <c r="G21">
        <v>6</v>
      </c>
    </row>
    <row r="22" spans="1:8" x14ac:dyDescent="0.45">
      <c r="A22" s="29" t="s">
        <v>392</v>
      </c>
      <c r="B22" t="s">
        <v>393</v>
      </c>
      <c r="C22" t="s">
        <v>394</v>
      </c>
      <c r="D22" t="s">
        <v>395</v>
      </c>
      <c r="E22" s="47" t="s">
        <v>396</v>
      </c>
      <c r="G22">
        <v>10</v>
      </c>
    </row>
    <row r="23" spans="1:8" x14ac:dyDescent="0.45">
      <c r="A23" s="32" t="s">
        <v>397</v>
      </c>
      <c r="B23" t="s">
        <v>398</v>
      </c>
      <c r="C23" t="s">
        <v>399</v>
      </c>
      <c r="D23" t="s">
        <v>400</v>
      </c>
      <c r="G23">
        <v>3</v>
      </c>
    </row>
    <row r="24" spans="1:8" x14ac:dyDescent="0.45">
      <c r="A24" s="29" t="s">
        <v>401</v>
      </c>
      <c r="B24" t="s">
        <v>402</v>
      </c>
      <c r="C24" s="49" t="s">
        <v>403</v>
      </c>
      <c r="D24" t="s">
        <v>325</v>
      </c>
      <c r="E24" s="35" t="s">
        <v>404</v>
      </c>
      <c r="G24">
        <v>2</v>
      </c>
    </row>
    <row r="25" spans="1:8" x14ac:dyDescent="0.45">
      <c r="A25" s="29" t="s">
        <v>405</v>
      </c>
      <c r="B25" t="s">
        <v>406</v>
      </c>
      <c r="C25" t="s">
        <v>407</v>
      </c>
      <c r="D25" t="s">
        <v>408</v>
      </c>
      <c r="E25" s="35" t="s">
        <v>409</v>
      </c>
      <c r="G25">
        <v>1</v>
      </c>
    </row>
    <row r="26" spans="1:8" x14ac:dyDescent="0.45">
      <c r="A26" s="29" t="s">
        <v>410</v>
      </c>
      <c r="B26" s="48" t="s">
        <v>411</v>
      </c>
      <c r="C26" s="45" t="s">
        <v>412</v>
      </c>
      <c r="D26" t="s">
        <v>413</v>
      </c>
      <c r="E26" s="47" t="s">
        <v>414</v>
      </c>
      <c r="G26">
        <v>2</v>
      </c>
    </row>
    <row r="27" spans="1:8" x14ac:dyDescent="0.45">
      <c r="A27" s="29" t="s">
        <v>415</v>
      </c>
      <c r="B27" t="s">
        <v>416</v>
      </c>
      <c r="C27" s="45" t="s">
        <v>417</v>
      </c>
      <c r="D27" t="s">
        <v>418</v>
      </c>
      <c r="E27" s="47" t="s">
        <v>419</v>
      </c>
      <c r="G27">
        <v>10</v>
      </c>
    </row>
    <row r="28" spans="1:8" x14ac:dyDescent="0.45">
      <c r="A28" s="31" t="s">
        <v>420</v>
      </c>
      <c r="B28" t="s">
        <v>421</v>
      </c>
      <c r="C28" s="45" t="s">
        <v>422</v>
      </c>
      <c r="D28" t="s">
        <v>423</v>
      </c>
      <c r="E28" t="s">
        <v>424</v>
      </c>
      <c r="G28">
        <v>4</v>
      </c>
    </row>
    <row r="29" spans="1:8" x14ac:dyDescent="0.45">
      <c r="A29" s="29" t="s">
        <v>425</v>
      </c>
      <c r="B29" t="s">
        <v>426</v>
      </c>
      <c r="C29" t="s">
        <v>427</v>
      </c>
      <c r="D29" t="s">
        <v>428</v>
      </c>
      <c r="E29" s="35" t="s">
        <v>429</v>
      </c>
      <c r="G29">
        <v>11</v>
      </c>
    </row>
    <row r="30" spans="1:8" x14ac:dyDescent="0.45">
      <c r="A30" s="29" t="s">
        <v>430</v>
      </c>
      <c r="B30" t="s">
        <v>431</v>
      </c>
      <c r="C30" s="45" t="s">
        <v>432</v>
      </c>
      <c r="D30" t="s">
        <v>433</v>
      </c>
      <c r="E30" s="47" t="s">
        <v>434</v>
      </c>
      <c r="G30">
        <v>10</v>
      </c>
    </row>
    <row r="31" spans="1:8" x14ac:dyDescent="0.45">
      <c r="A31" s="32" t="s">
        <v>435</v>
      </c>
      <c r="B31" t="s">
        <v>436</v>
      </c>
      <c r="C31" t="s">
        <v>437</v>
      </c>
      <c r="D31" t="s">
        <v>438</v>
      </c>
      <c r="E31" s="45" t="s">
        <v>439</v>
      </c>
      <c r="G31">
        <v>5</v>
      </c>
    </row>
    <row r="32" spans="1:8" x14ac:dyDescent="0.45">
      <c r="A32" s="32" t="s">
        <v>440</v>
      </c>
      <c r="B32" s="44" t="s">
        <v>441</v>
      </c>
      <c r="C32" t="s">
        <v>442</v>
      </c>
      <c r="D32" t="s">
        <v>443</v>
      </c>
      <c r="E32" s="45" t="s">
        <v>444</v>
      </c>
      <c r="G32">
        <v>4</v>
      </c>
    </row>
    <row r="33" spans="1:7" x14ac:dyDescent="0.45">
      <c r="A33" s="29" t="s">
        <v>445</v>
      </c>
      <c r="B33" t="s">
        <v>446</v>
      </c>
      <c r="C33" t="s">
        <v>447</v>
      </c>
      <c r="D33" t="s">
        <v>329</v>
      </c>
      <c r="E33" s="35" t="s">
        <v>448</v>
      </c>
      <c r="G33">
        <v>9</v>
      </c>
    </row>
    <row r="34" spans="1:7" x14ac:dyDescent="0.45">
      <c r="A34" s="29" t="s">
        <v>449</v>
      </c>
      <c r="B34" t="s">
        <v>450</v>
      </c>
      <c r="C34" t="s">
        <v>451</v>
      </c>
      <c r="D34" t="s">
        <v>452</v>
      </c>
      <c r="E34" s="35" t="s">
        <v>453</v>
      </c>
      <c r="G34">
        <v>4</v>
      </c>
    </row>
    <row r="35" spans="1:7" x14ac:dyDescent="0.45">
      <c r="A35" s="31" t="s">
        <v>454</v>
      </c>
      <c r="C35" s="45" t="s">
        <v>326</v>
      </c>
      <c r="D35" t="s">
        <v>455</v>
      </c>
      <c r="E35" t="s">
        <v>456</v>
      </c>
      <c r="G35">
        <v>5</v>
      </c>
    </row>
    <row r="36" spans="1:7" x14ac:dyDescent="0.45">
      <c r="A36" s="31" t="s">
        <v>457</v>
      </c>
      <c r="C36" s="45" t="s">
        <v>330</v>
      </c>
      <c r="D36" t="s">
        <v>458</v>
      </c>
      <c r="E36" t="s">
        <v>459</v>
      </c>
      <c r="G36">
        <v>7</v>
      </c>
    </row>
    <row r="37" spans="1:7" x14ac:dyDescent="0.45">
      <c r="A37" s="29" t="s">
        <v>460</v>
      </c>
      <c r="C37" s="45" t="s">
        <v>461</v>
      </c>
      <c r="D37" t="s">
        <v>462</v>
      </c>
      <c r="E37" s="35" t="s">
        <v>463</v>
      </c>
      <c r="G37">
        <v>6</v>
      </c>
    </row>
    <row r="38" spans="1:7" x14ac:dyDescent="0.45">
      <c r="A38" s="31" t="s">
        <v>464</v>
      </c>
      <c r="C38" t="s">
        <v>369</v>
      </c>
      <c r="D38" t="s">
        <v>465</v>
      </c>
      <c r="E38" t="s">
        <v>466</v>
      </c>
      <c r="G38">
        <v>10</v>
      </c>
    </row>
    <row r="39" spans="1:7" x14ac:dyDescent="0.45">
      <c r="A39" s="29" t="s">
        <v>467</v>
      </c>
      <c r="C39" t="s">
        <v>373</v>
      </c>
      <c r="D39" t="s">
        <v>333</v>
      </c>
      <c r="E39" s="35" t="s">
        <v>468</v>
      </c>
      <c r="G39">
        <v>17</v>
      </c>
    </row>
    <row r="40" spans="1:7" x14ac:dyDescent="0.45">
      <c r="A40" s="29" t="s">
        <v>469</v>
      </c>
      <c r="C40" t="s">
        <v>378</v>
      </c>
      <c r="D40" t="s">
        <v>470</v>
      </c>
      <c r="E40" s="35" t="s">
        <v>471</v>
      </c>
      <c r="G40">
        <v>17</v>
      </c>
    </row>
    <row r="41" spans="1:7" x14ac:dyDescent="0.45">
      <c r="A41" s="29" t="s">
        <v>472</v>
      </c>
      <c r="C41" t="s">
        <v>383</v>
      </c>
      <c r="D41" t="s">
        <v>472</v>
      </c>
      <c r="E41" s="47" t="s">
        <v>473</v>
      </c>
      <c r="G41">
        <v>10</v>
      </c>
    </row>
    <row r="42" spans="1:7" x14ac:dyDescent="0.45">
      <c r="A42" s="29" t="s">
        <v>474</v>
      </c>
      <c r="C42" s="46" t="s">
        <v>475</v>
      </c>
      <c r="D42" t="s">
        <v>476</v>
      </c>
      <c r="E42" s="47" t="s">
        <v>477</v>
      </c>
      <c r="G42">
        <v>1</v>
      </c>
    </row>
    <row r="43" spans="1:7" x14ac:dyDescent="0.45">
      <c r="A43" s="29" t="s">
        <v>478</v>
      </c>
      <c r="C43" s="46" t="s">
        <v>479</v>
      </c>
      <c r="D43" t="s">
        <v>480</v>
      </c>
      <c r="E43" s="35" t="s">
        <v>481</v>
      </c>
      <c r="G43">
        <v>4</v>
      </c>
    </row>
    <row r="44" spans="1:7" x14ac:dyDescent="0.45">
      <c r="A44" s="29" t="s">
        <v>482</v>
      </c>
      <c r="C44" s="46" t="s">
        <v>483</v>
      </c>
      <c r="D44" t="s">
        <v>484</v>
      </c>
      <c r="E44" s="47" t="s">
        <v>485</v>
      </c>
      <c r="G44">
        <v>50</v>
      </c>
    </row>
    <row r="45" spans="1:7" x14ac:dyDescent="0.45">
      <c r="A45" s="29" t="s">
        <v>486</v>
      </c>
      <c r="D45" t="s">
        <v>487</v>
      </c>
      <c r="E45" s="47" t="s">
        <v>488</v>
      </c>
      <c r="G45">
        <v>10</v>
      </c>
    </row>
    <row r="46" spans="1:7" x14ac:dyDescent="0.45">
      <c r="A46" s="31"/>
      <c r="C46" t="s">
        <v>489</v>
      </c>
      <c r="D46" t="s">
        <v>490</v>
      </c>
      <c r="E46" s="50" t="s">
        <v>491</v>
      </c>
      <c r="G46">
        <v>1</v>
      </c>
    </row>
    <row r="47" spans="1:7" x14ac:dyDescent="0.45">
      <c r="A47" s="31"/>
      <c r="C47" t="s">
        <v>492</v>
      </c>
      <c r="D47" t="s">
        <v>493</v>
      </c>
      <c r="E47" s="49" t="s">
        <v>494</v>
      </c>
      <c r="G47">
        <v>2</v>
      </c>
    </row>
    <row r="48" spans="1:7" x14ac:dyDescent="0.45">
      <c r="A48" s="31"/>
      <c r="C48" t="s">
        <v>495</v>
      </c>
      <c r="D48" t="s">
        <v>496</v>
      </c>
      <c r="E48" t="s">
        <v>497</v>
      </c>
      <c r="G48">
        <v>3</v>
      </c>
    </row>
    <row r="49" spans="1:8" x14ac:dyDescent="0.45">
      <c r="A49" s="31"/>
      <c r="C49" t="s">
        <v>498</v>
      </c>
      <c r="D49" t="s">
        <v>499</v>
      </c>
      <c r="E49" t="s">
        <v>500</v>
      </c>
      <c r="G49">
        <v>15</v>
      </c>
    </row>
    <row r="50" spans="1:8" x14ac:dyDescent="0.45">
      <c r="A50" s="31" t="s">
        <v>501</v>
      </c>
      <c r="C50" t="s">
        <v>502</v>
      </c>
      <c r="D50" t="s">
        <v>503</v>
      </c>
      <c r="E50" s="45" t="s">
        <v>504</v>
      </c>
      <c r="G50">
        <v>10</v>
      </c>
    </row>
    <row r="51" spans="1:8" x14ac:dyDescent="0.45">
      <c r="C51" t="s">
        <v>505</v>
      </c>
      <c r="E51" s="45" t="s">
        <v>506</v>
      </c>
      <c r="G51">
        <v>5</v>
      </c>
    </row>
    <row r="52" spans="1:8" x14ac:dyDescent="0.45">
      <c r="C52" t="s">
        <v>507</v>
      </c>
      <c r="E52" s="45" t="s">
        <v>508</v>
      </c>
      <c r="G52">
        <v>4</v>
      </c>
    </row>
    <row r="53" spans="1:8" x14ac:dyDescent="0.45">
      <c r="C53" t="s">
        <v>509</v>
      </c>
      <c r="E53" s="45" t="s">
        <v>510</v>
      </c>
      <c r="G53">
        <v>11</v>
      </c>
    </row>
    <row r="54" spans="1:8" x14ac:dyDescent="0.45">
      <c r="C54" s="49" t="s">
        <v>511</v>
      </c>
      <c r="E54" s="45" t="s">
        <v>512</v>
      </c>
      <c r="G54">
        <v>2</v>
      </c>
      <c r="H54">
        <f>SUM(G21:G54)</f>
        <v>271</v>
      </c>
    </row>
    <row r="55" spans="1:8" x14ac:dyDescent="0.45">
      <c r="C55" s="49" t="s">
        <v>513</v>
      </c>
      <c r="E55" s="45" t="s">
        <v>514</v>
      </c>
    </row>
    <row r="56" spans="1:8" x14ac:dyDescent="0.45">
      <c r="C56" t="s">
        <v>515</v>
      </c>
      <c r="E56" s="45" t="s">
        <v>516</v>
      </c>
    </row>
    <row r="57" spans="1:8" x14ac:dyDescent="0.45">
      <c r="C57" t="s">
        <v>517</v>
      </c>
    </row>
    <row r="58" spans="1:8" x14ac:dyDescent="0.45">
      <c r="C58" t="s">
        <v>518</v>
      </c>
    </row>
    <row r="59" spans="1:8" x14ac:dyDescent="0.45">
      <c r="C59" t="s">
        <v>519</v>
      </c>
    </row>
    <row r="61" spans="1:8" x14ac:dyDescent="0.45">
      <c r="B61" t="s">
        <v>520</v>
      </c>
      <c r="C61" s="45" t="s">
        <v>521</v>
      </c>
    </row>
    <row r="62" spans="1:8" x14ac:dyDescent="0.45">
      <c r="C62" s="45" t="s">
        <v>522</v>
      </c>
    </row>
    <row r="63" spans="1:8" x14ac:dyDescent="0.45">
      <c r="C63" s="45" t="s">
        <v>70</v>
      </c>
    </row>
    <row r="64" spans="1:8" x14ac:dyDescent="0.45">
      <c r="C64" s="45" t="s">
        <v>334</v>
      </c>
    </row>
    <row r="65" spans="2:3" x14ac:dyDescent="0.45">
      <c r="C65" t="s">
        <v>523</v>
      </c>
    </row>
    <row r="66" spans="2:3" x14ac:dyDescent="0.45">
      <c r="C66" t="s">
        <v>524</v>
      </c>
    </row>
    <row r="67" spans="2:3" x14ac:dyDescent="0.45">
      <c r="C67" s="45" t="s">
        <v>525</v>
      </c>
    </row>
    <row r="68" spans="2:3" x14ac:dyDescent="0.45">
      <c r="C68" t="s">
        <v>348</v>
      </c>
    </row>
    <row r="70" spans="2:3" x14ac:dyDescent="0.45">
      <c r="B70" t="s">
        <v>526</v>
      </c>
      <c r="C70" s="50" t="s">
        <v>527</v>
      </c>
    </row>
    <row r="71" spans="2:3" x14ac:dyDescent="0.45">
      <c r="C71" s="50" t="s">
        <v>348</v>
      </c>
    </row>
  </sheetData>
  <pageMargins left="0.7" right="0.7" top="0.75" bottom="0.75" header="0.3" footer="0.3"/>
  <pageSetup orientation="portrait" r:id="rId1"/>
  <headerFooter>
    <oddHeader>&amp;L&amp;"Calibri"&amp;10&amp;K000000Confidential&amp;1#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4"/>
  <sheetViews>
    <sheetView zoomScale="110" zoomScaleNormal="110" workbookViewId="0">
      <selection activeCell="C22" sqref="C22"/>
    </sheetView>
  </sheetViews>
  <sheetFormatPr defaultColWidth="8.86328125" defaultRowHeight="14.25" x14ac:dyDescent="0.45"/>
  <cols>
    <col min="1" max="1" width="14" style="25" bestFit="1" customWidth="1"/>
    <col min="2" max="2" width="32.3984375" style="25" bestFit="1" customWidth="1"/>
    <col min="3" max="3" width="40.59765625" style="25" bestFit="1" customWidth="1"/>
    <col min="4" max="4" width="10.86328125" style="25" bestFit="1" customWidth="1"/>
    <col min="5" max="5" width="43.59765625" style="25" bestFit="1" customWidth="1"/>
    <col min="6" max="6" width="10" style="25" bestFit="1" customWidth="1"/>
    <col min="7" max="16384" width="8.86328125" style="25"/>
  </cols>
  <sheetData>
    <row r="1" spans="1:7" x14ac:dyDescent="0.45">
      <c r="A1" s="34" t="s">
        <v>528</v>
      </c>
      <c r="B1" s="40" t="s">
        <v>529</v>
      </c>
      <c r="C1" s="34" t="s">
        <v>530</v>
      </c>
      <c r="D1" s="34" t="s">
        <v>531</v>
      </c>
      <c r="E1" s="34" t="s">
        <v>532</v>
      </c>
      <c r="F1" s="34" t="s">
        <v>531</v>
      </c>
    </row>
    <row r="2" spans="1:7" x14ac:dyDescent="0.45">
      <c r="A2" s="104" t="s">
        <v>533</v>
      </c>
      <c r="B2" s="39" t="s">
        <v>534</v>
      </c>
      <c r="C2" s="30"/>
      <c r="D2" s="41"/>
      <c r="E2" s="30" t="s">
        <v>535</v>
      </c>
      <c r="F2" s="41" t="s">
        <v>536</v>
      </c>
    </row>
    <row r="3" spans="1:7" x14ac:dyDescent="0.45">
      <c r="A3" s="105"/>
      <c r="B3" s="40" t="s">
        <v>537</v>
      </c>
      <c r="C3" s="34" t="s">
        <v>538</v>
      </c>
      <c r="D3" s="34" t="s">
        <v>539</v>
      </c>
      <c r="E3" s="34" t="s">
        <v>540</v>
      </c>
      <c r="F3" s="34" t="s">
        <v>536</v>
      </c>
    </row>
    <row r="4" spans="1:7" x14ac:dyDescent="0.45">
      <c r="A4" s="106"/>
      <c r="B4" s="25" t="s">
        <v>541</v>
      </c>
      <c r="C4" s="34" t="s">
        <v>542</v>
      </c>
      <c r="D4" s="34"/>
      <c r="E4" s="34" t="s">
        <v>543</v>
      </c>
      <c r="F4" s="34" t="s">
        <v>536</v>
      </c>
    </row>
    <row r="5" spans="1:7" x14ac:dyDescent="0.45">
      <c r="A5" s="34" t="s">
        <v>544</v>
      </c>
      <c r="B5" s="28" t="s">
        <v>545</v>
      </c>
      <c r="C5" s="28" t="s">
        <v>546</v>
      </c>
      <c r="D5" s="34" t="s">
        <v>547</v>
      </c>
      <c r="E5" s="34"/>
      <c r="F5" s="34"/>
    </row>
    <row r="6" spans="1:7" x14ac:dyDescent="0.45">
      <c r="A6" s="34"/>
      <c r="B6" s="34"/>
      <c r="C6" s="34"/>
      <c r="D6" s="34"/>
      <c r="E6" s="34"/>
      <c r="F6" s="34"/>
    </row>
    <row r="7" spans="1:7" ht="28.5" x14ac:dyDescent="0.45">
      <c r="A7" s="34"/>
      <c r="B7" s="28"/>
      <c r="C7" s="28" t="s">
        <v>548</v>
      </c>
      <c r="D7" s="34"/>
      <c r="E7" s="34"/>
      <c r="F7" s="34"/>
      <c r="G7" s="34" t="s">
        <v>549</v>
      </c>
    </row>
    <row r="8" spans="1:7" x14ac:dyDescent="0.45">
      <c r="A8" s="34"/>
      <c r="B8" s="34"/>
      <c r="C8" s="34"/>
      <c r="D8" s="34"/>
      <c r="E8" s="34"/>
      <c r="F8" s="34"/>
    </row>
    <row r="9" spans="1:7" x14ac:dyDescent="0.45">
      <c r="A9" s="34" t="s">
        <v>550</v>
      </c>
      <c r="B9" s="34"/>
      <c r="C9" s="34" t="s">
        <v>551</v>
      </c>
      <c r="D9" s="34"/>
      <c r="E9" s="34"/>
      <c r="F9" s="34"/>
    </row>
    <row r="10" spans="1:7" x14ac:dyDescent="0.45">
      <c r="A10" s="42"/>
      <c r="B10" s="42"/>
      <c r="C10" s="42"/>
      <c r="D10" s="42"/>
      <c r="E10" s="34"/>
      <c r="F10" s="34"/>
    </row>
    <row r="11" spans="1:7" x14ac:dyDescent="0.45">
      <c r="A11" s="34" t="s">
        <v>552</v>
      </c>
      <c r="B11" s="34"/>
      <c r="C11" s="34" t="s">
        <v>553</v>
      </c>
      <c r="D11" s="34"/>
      <c r="E11" s="34"/>
      <c r="F11" s="34"/>
    </row>
    <row r="12" spans="1:7" x14ac:dyDescent="0.45">
      <c r="A12" s="34" t="s">
        <v>552</v>
      </c>
      <c r="B12" s="34"/>
      <c r="C12" s="34" t="s">
        <v>554</v>
      </c>
      <c r="D12" s="34"/>
      <c r="E12" s="34"/>
      <c r="F12" s="34"/>
    </row>
    <row r="13" spans="1:7" x14ac:dyDescent="0.45">
      <c r="A13" s="34" t="s">
        <v>552</v>
      </c>
      <c r="B13" s="34" t="s">
        <v>555</v>
      </c>
      <c r="C13" s="34" t="s">
        <v>556</v>
      </c>
      <c r="D13" s="34"/>
      <c r="E13" s="34" t="s">
        <v>557</v>
      </c>
      <c r="F13" s="34"/>
    </row>
    <row r="14" spans="1:7" x14ac:dyDescent="0.45">
      <c r="A14" s="34" t="s">
        <v>552</v>
      </c>
      <c r="B14" s="34" t="s">
        <v>558</v>
      </c>
      <c r="C14" s="34" t="s">
        <v>559</v>
      </c>
      <c r="D14" s="34"/>
      <c r="E14" s="34" t="s">
        <v>560</v>
      </c>
      <c r="F14" s="34"/>
    </row>
    <row r="15" spans="1:7" x14ac:dyDescent="0.45">
      <c r="A15" s="34"/>
      <c r="B15" s="34"/>
      <c r="C15" s="34"/>
      <c r="D15" s="34"/>
      <c r="E15" s="34"/>
      <c r="F15" s="34"/>
    </row>
    <row r="16" spans="1:7" x14ac:dyDescent="0.45">
      <c r="A16" s="104" t="s">
        <v>561</v>
      </c>
      <c r="B16" s="104" t="s">
        <v>562</v>
      </c>
      <c r="C16" s="34" t="s">
        <v>563</v>
      </c>
      <c r="D16" s="34" t="s">
        <v>179</v>
      </c>
      <c r="E16" s="34" t="s">
        <v>564</v>
      </c>
      <c r="F16" s="34"/>
    </row>
    <row r="17" spans="1:6" x14ac:dyDescent="0.45">
      <c r="A17" s="105"/>
      <c r="B17" s="105"/>
      <c r="C17" s="34" t="s">
        <v>565</v>
      </c>
      <c r="D17" s="34" t="s">
        <v>179</v>
      </c>
      <c r="E17" s="34" t="s">
        <v>566</v>
      </c>
      <c r="F17" s="34"/>
    </row>
    <row r="18" spans="1:6" x14ac:dyDescent="0.45">
      <c r="A18" s="105"/>
      <c r="B18" s="105"/>
      <c r="C18" s="34" t="s">
        <v>567</v>
      </c>
      <c r="D18" s="34" t="s">
        <v>179</v>
      </c>
      <c r="E18" s="34" t="s">
        <v>568</v>
      </c>
      <c r="F18" s="34"/>
    </row>
    <row r="19" spans="1:6" x14ac:dyDescent="0.45">
      <c r="A19" s="106"/>
      <c r="B19" s="106"/>
      <c r="C19" s="34" t="s">
        <v>569</v>
      </c>
      <c r="D19" s="34" t="s">
        <v>179</v>
      </c>
      <c r="E19" s="34" t="s">
        <v>570</v>
      </c>
      <c r="F19" s="34"/>
    </row>
    <row r="20" spans="1:6" x14ac:dyDescent="0.45">
      <c r="A20" s="34"/>
      <c r="B20" s="34"/>
      <c r="C20" s="34"/>
      <c r="D20" s="34"/>
      <c r="E20" s="34"/>
      <c r="F20" s="34"/>
    </row>
    <row r="21" spans="1:6" ht="28.5" x14ac:dyDescent="0.45">
      <c r="A21" s="34" t="s">
        <v>571</v>
      </c>
      <c r="B21" s="34" t="s">
        <v>572</v>
      </c>
      <c r="C21" s="34" t="s">
        <v>573</v>
      </c>
      <c r="D21" s="34" t="s">
        <v>574</v>
      </c>
      <c r="E21" s="34" t="s">
        <v>575</v>
      </c>
      <c r="F21" s="34"/>
    </row>
    <row r="22" spans="1:6" x14ac:dyDescent="0.45">
      <c r="A22" s="34"/>
      <c r="B22" s="34"/>
      <c r="C22" s="34"/>
      <c r="D22" s="34"/>
      <c r="E22" s="34"/>
      <c r="F22" s="34"/>
    </row>
    <row r="23" spans="1:6" x14ac:dyDescent="0.45">
      <c r="A23" s="34"/>
      <c r="B23" s="34"/>
      <c r="C23" s="34"/>
      <c r="D23" s="34"/>
      <c r="E23" s="34"/>
      <c r="F23" s="34"/>
    </row>
    <row r="24" spans="1:6" x14ac:dyDescent="0.45">
      <c r="A24" s="34"/>
      <c r="B24" s="34"/>
      <c r="C24" s="34"/>
      <c r="D24" s="34"/>
      <c r="E24" s="34"/>
      <c r="F24" s="34"/>
    </row>
  </sheetData>
  <mergeCells count="3">
    <mergeCell ref="A2:A4"/>
    <mergeCell ref="A16:A19"/>
    <mergeCell ref="B16:B19"/>
  </mergeCells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9"/>
  <sheetViews>
    <sheetView workbookViewId="0">
      <selection activeCell="B18" sqref="B18"/>
    </sheetView>
  </sheetViews>
  <sheetFormatPr defaultRowHeight="14.25" x14ac:dyDescent="0.45"/>
  <cols>
    <col min="1" max="1" width="10" bestFit="1" customWidth="1"/>
    <col min="2" max="2" width="40.3984375" bestFit="1" customWidth="1"/>
    <col min="3" max="3" width="44.3984375" customWidth="1"/>
    <col min="5" max="5" width="43.59765625" bestFit="1" customWidth="1"/>
    <col min="6" max="6" width="10" bestFit="1" customWidth="1"/>
  </cols>
  <sheetData>
    <row r="1" spans="1:6" x14ac:dyDescent="0.45">
      <c r="A1" s="24" t="s">
        <v>528</v>
      </c>
      <c r="B1" s="26" t="s">
        <v>529</v>
      </c>
      <c r="C1" s="24" t="s">
        <v>530</v>
      </c>
      <c r="D1" s="24" t="s">
        <v>531</v>
      </c>
      <c r="E1" s="24" t="s">
        <v>532</v>
      </c>
      <c r="F1" s="24" t="s">
        <v>531</v>
      </c>
    </row>
    <row r="2" spans="1:6" x14ac:dyDescent="0.45">
      <c r="A2" s="107" t="s">
        <v>533</v>
      </c>
      <c r="B2" s="38" t="s">
        <v>534</v>
      </c>
      <c r="C2" s="28"/>
      <c r="D2" s="24"/>
      <c r="E2" s="28" t="s">
        <v>535</v>
      </c>
      <c r="F2" s="24" t="s">
        <v>536</v>
      </c>
    </row>
    <row r="3" spans="1:6" x14ac:dyDescent="0.45">
      <c r="A3" s="108"/>
      <c r="B3" s="26" t="s">
        <v>537</v>
      </c>
      <c r="C3" s="24" t="s">
        <v>538</v>
      </c>
      <c r="D3" s="24" t="s">
        <v>539</v>
      </c>
      <c r="E3" s="24" t="s">
        <v>540</v>
      </c>
      <c r="F3" s="24" t="s">
        <v>536</v>
      </c>
    </row>
    <row r="4" spans="1:6" x14ac:dyDescent="0.45">
      <c r="A4" s="109"/>
      <c r="B4" t="s">
        <v>541</v>
      </c>
      <c r="C4" s="34" t="s">
        <v>542</v>
      </c>
      <c r="D4" s="24"/>
      <c r="E4" s="34" t="s">
        <v>543</v>
      </c>
      <c r="F4" s="24" t="s">
        <v>536</v>
      </c>
    </row>
    <row r="5" spans="1:6" x14ac:dyDescent="0.45">
      <c r="A5" s="24"/>
      <c r="B5" s="26"/>
      <c r="C5" s="24"/>
      <c r="D5" s="24"/>
      <c r="E5" s="24"/>
      <c r="F5" s="24"/>
    </row>
    <row r="6" spans="1:6" x14ac:dyDescent="0.45">
      <c r="A6" s="110" t="s">
        <v>576</v>
      </c>
      <c r="B6" s="24"/>
      <c r="C6" s="24" t="s">
        <v>577</v>
      </c>
      <c r="D6" s="24"/>
      <c r="E6" s="24" t="s">
        <v>578</v>
      </c>
      <c r="F6" s="26"/>
    </row>
    <row r="7" spans="1:6" x14ac:dyDescent="0.45">
      <c r="A7" s="110"/>
      <c r="B7" s="24"/>
      <c r="C7" s="24" t="s">
        <v>579</v>
      </c>
      <c r="D7" s="24"/>
      <c r="E7" s="24" t="s">
        <v>580</v>
      </c>
      <c r="F7" s="26"/>
    </row>
    <row r="8" spans="1:6" x14ac:dyDescent="0.45">
      <c r="A8" s="110"/>
      <c r="B8" s="24"/>
      <c r="C8" s="24" t="s">
        <v>581</v>
      </c>
      <c r="D8" s="24"/>
      <c r="E8" s="24" t="s">
        <v>582</v>
      </c>
    </row>
    <row r="9" spans="1:6" x14ac:dyDescent="0.45">
      <c r="A9" s="110"/>
      <c r="B9" s="24"/>
      <c r="C9" s="24" t="s">
        <v>583</v>
      </c>
      <c r="D9" s="24"/>
      <c r="E9" s="24" t="s">
        <v>584</v>
      </c>
    </row>
    <row r="10" spans="1:6" x14ac:dyDescent="0.45">
      <c r="A10" s="110"/>
      <c r="B10" s="24"/>
      <c r="C10" s="24" t="s">
        <v>585</v>
      </c>
      <c r="D10" s="24"/>
      <c r="E10" s="24" t="s">
        <v>586</v>
      </c>
    </row>
    <row r="11" spans="1:6" x14ac:dyDescent="0.45">
      <c r="A11" s="110"/>
      <c r="B11" s="24"/>
      <c r="C11" s="24" t="s">
        <v>587</v>
      </c>
      <c r="D11" s="24"/>
      <c r="E11" s="24" t="s">
        <v>588</v>
      </c>
    </row>
    <row r="12" spans="1:6" x14ac:dyDescent="0.45">
      <c r="A12" s="110"/>
      <c r="B12" s="24"/>
      <c r="C12" s="24" t="s">
        <v>589</v>
      </c>
      <c r="D12" s="24"/>
      <c r="E12" s="24" t="s">
        <v>590</v>
      </c>
    </row>
    <row r="13" spans="1:6" x14ac:dyDescent="0.45">
      <c r="A13" s="110"/>
      <c r="B13" s="24"/>
      <c r="C13" s="24" t="s">
        <v>591</v>
      </c>
      <c r="D13" s="24"/>
      <c r="E13" s="24" t="s">
        <v>592</v>
      </c>
    </row>
    <row r="14" spans="1:6" x14ac:dyDescent="0.45">
      <c r="A14" s="110"/>
      <c r="B14" s="24"/>
      <c r="C14" s="24" t="s">
        <v>593</v>
      </c>
      <c r="D14" s="24"/>
      <c r="E14" s="24" t="s">
        <v>594</v>
      </c>
    </row>
    <row r="15" spans="1:6" x14ac:dyDescent="0.45">
      <c r="A15" s="110"/>
      <c r="B15" s="24"/>
      <c r="C15" s="24" t="s">
        <v>595</v>
      </c>
      <c r="D15" s="24"/>
      <c r="E15" s="24" t="s">
        <v>596</v>
      </c>
    </row>
    <row r="16" spans="1:6" x14ac:dyDescent="0.45">
      <c r="A16" s="110"/>
      <c r="B16" s="24"/>
      <c r="C16" s="24" t="s">
        <v>597</v>
      </c>
      <c r="D16" s="24"/>
      <c r="E16" s="24" t="s">
        <v>598</v>
      </c>
    </row>
    <row r="17" spans="1:5" x14ac:dyDescent="0.45">
      <c r="A17" s="110"/>
      <c r="B17" s="24"/>
      <c r="C17" s="24" t="s">
        <v>599</v>
      </c>
      <c r="D17" s="24"/>
      <c r="E17" s="24" t="s">
        <v>600</v>
      </c>
    </row>
    <row r="18" spans="1:5" x14ac:dyDescent="0.45">
      <c r="A18" s="110"/>
      <c r="B18" s="24"/>
      <c r="C18" s="24" t="s">
        <v>601</v>
      </c>
      <c r="D18" s="24"/>
      <c r="E18" s="24" t="s">
        <v>602</v>
      </c>
    </row>
    <row r="19" spans="1:5" x14ac:dyDescent="0.45">
      <c r="A19" s="110"/>
      <c r="B19" s="24"/>
      <c r="C19" s="24" t="s">
        <v>603</v>
      </c>
      <c r="D19" s="24"/>
      <c r="E19" s="24" t="s">
        <v>604</v>
      </c>
    </row>
    <row r="20" spans="1:5" x14ac:dyDescent="0.45">
      <c r="A20" s="107" t="s">
        <v>605</v>
      </c>
      <c r="B20" s="24"/>
      <c r="C20" s="24" t="s">
        <v>606</v>
      </c>
      <c r="D20" s="24"/>
      <c r="E20" s="24" t="s">
        <v>607</v>
      </c>
    </row>
    <row r="21" spans="1:5" x14ac:dyDescent="0.45">
      <c r="A21" s="108"/>
      <c r="B21" s="24"/>
      <c r="C21" s="24" t="s">
        <v>608</v>
      </c>
      <c r="D21" s="24"/>
      <c r="E21" s="24" t="s">
        <v>609</v>
      </c>
    </row>
    <row r="22" spans="1:5" x14ac:dyDescent="0.45">
      <c r="A22" s="108"/>
      <c r="B22" s="24"/>
      <c r="C22" s="24" t="s">
        <v>610</v>
      </c>
      <c r="D22" s="24"/>
      <c r="E22" s="24" t="s">
        <v>611</v>
      </c>
    </row>
    <row r="23" spans="1:5" x14ac:dyDescent="0.45">
      <c r="A23" s="108"/>
      <c r="B23" s="24"/>
      <c r="C23" s="24" t="s">
        <v>612</v>
      </c>
      <c r="D23" s="24"/>
      <c r="E23" s="24" t="s">
        <v>613</v>
      </c>
    </row>
    <row r="24" spans="1:5" x14ac:dyDescent="0.45">
      <c r="A24" s="108"/>
      <c r="B24" s="24"/>
      <c r="C24" s="24" t="s">
        <v>614</v>
      </c>
      <c r="D24" s="24"/>
      <c r="E24" s="24" t="s">
        <v>615</v>
      </c>
    </row>
    <row r="25" spans="1:5" x14ac:dyDescent="0.45">
      <c r="A25" s="108"/>
      <c r="B25" s="24"/>
      <c r="C25" s="24" t="s">
        <v>616</v>
      </c>
      <c r="D25" s="24"/>
      <c r="E25" s="24" t="s">
        <v>617</v>
      </c>
    </row>
    <row r="26" spans="1:5" x14ac:dyDescent="0.45">
      <c r="A26" s="108"/>
      <c r="B26" s="24"/>
      <c r="C26" s="24" t="s">
        <v>618</v>
      </c>
      <c r="D26" s="24"/>
      <c r="E26" s="24" t="s">
        <v>619</v>
      </c>
    </row>
    <row r="27" spans="1:5" x14ac:dyDescent="0.45">
      <c r="A27" s="108"/>
      <c r="B27" s="24"/>
      <c r="C27" s="24" t="s">
        <v>620</v>
      </c>
      <c r="D27" s="24"/>
      <c r="E27" s="24" t="s">
        <v>621</v>
      </c>
    </row>
    <row r="28" spans="1:5" x14ac:dyDescent="0.45">
      <c r="A28" s="108"/>
      <c r="B28" s="24"/>
      <c r="C28" s="24" t="s">
        <v>622</v>
      </c>
      <c r="D28" s="24"/>
      <c r="E28" s="24" t="s">
        <v>623</v>
      </c>
    </row>
    <row r="29" spans="1:5" x14ac:dyDescent="0.45">
      <c r="A29" s="108"/>
      <c r="B29" s="24"/>
      <c r="C29" s="24" t="s">
        <v>624</v>
      </c>
      <c r="D29" s="24"/>
      <c r="E29" s="24" t="s">
        <v>625</v>
      </c>
    </row>
    <row r="30" spans="1:5" x14ac:dyDescent="0.45">
      <c r="A30" s="109"/>
      <c r="B30" s="24"/>
      <c r="C30" s="24" t="s">
        <v>626</v>
      </c>
      <c r="D30" s="24"/>
      <c r="E30" s="24" t="s">
        <v>627</v>
      </c>
    </row>
    <row r="31" spans="1:5" x14ac:dyDescent="0.45">
      <c r="A31" s="24"/>
      <c r="B31" s="24"/>
      <c r="C31" s="24" t="s">
        <v>628</v>
      </c>
      <c r="D31" s="24"/>
      <c r="E31" s="24" t="s">
        <v>629</v>
      </c>
    </row>
    <row r="32" spans="1:5" x14ac:dyDescent="0.45">
      <c r="A32" s="24"/>
      <c r="B32" s="24"/>
      <c r="C32" s="24" t="s">
        <v>630</v>
      </c>
      <c r="D32" s="24"/>
      <c r="E32" s="24" t="s">
        <v>631</v>
      </c>
    </row>
    <row r="33" spans="1:5" x14ac:dyDescent="0.45">
      <c r="A33" s="24"/>
      <c r="B33" s="24"/>
      <c r="C33" s="24" t="s">
        <v>632</v>
      </c>
      <c r="D33" s="24"/>
      <c r="E33" s="24" t="s">
        <v>633</v>
      </c>
    </row>
    <row r="34" spans="1:5" x14ac:dyDescent="0.45">
      <c r="A34" s="24"/>
      <c r="B34" s="24"/>
      <c r="C34" s="24" t="s">
        <v>634</v>
      </c>
      <c r="D34" s="24"/>
      <c r="E34" s="24" t="s">
        <v>635</v>
      </c>
    </row>
    <row r="35" spans="1:5" x14ac:dyDescent="0.45">
      <c r="A35" s="24"/>
      <c r="B35" s="24"/>
      <c r="C35" s="24" t="s">
        <v>636</v>
      </c>
      <c r="D35" s="24"/>
      <c r="E35" s="24" t="s">
        <v>637</v>
      </c>
    </row>
    <row r="36" spans="1:5" x14ac:dyDescent="0.45">
      <c r="A36" s="24"/>
      <c r="B36" s="24"/>
      <c r="C36" s="24" t="s">
        <v>638</v>
      </c>
      <c r="D36" s="24"/>
      <c r="E36" s="24" t="s">
        <v>639</v>
      </c>
    </row>
    <row r="37" spans="1:5" x14ac:dyDescent="0.45">
      <c r="A37" s="24"/>
      <c r="B37" s="24"/>
      <c r="C37" s="24" t="s">
        <v>640</v>
      </c>
      <c r="D37" s="24"/>
      <c r="E37" s="24" t="s">
        <v>641</v>
      </c>
    </row>
    <row r="38" spans="1:5" x14ac:dyDescent="0.45">
      <c r="A38" s="24"/>
      <c r="B38" s="24"/>
      <c r="C38" s="24" t="s">
        <v>642</v>
      </c>
      <c r="D38" s="24"/>
      <c r="E38" s="24" t="s">
        <v>643</v>
      </c>
    </row>
    <row r="39" spans="1:5" x14ac:dyDescent="0.45">
      <c r="A39" s="24"/>
      <c r="B39" s="24"/>
      <c r="C39" s="24" t="s">
        <v>644</v>
      </c>
      <c r="D39" s="24"/>
      <c r="E39" s="24" t="s">
        <v>645</v>
      </c>
    </row>
    <row r="40" spans="1:5" x14ac:dyDescent="0.45">
      <c r="A40" s="24"/>
      <c r="B40" s="24"/>
      <c r="C40" s="24"/>
      <c r="D40" s="24"/>
      <c r="E40" s="24"/>
    </row>
    <row r="41" spans="1:5" x14ac:dyDescent="0.45">
      <c r="A41" s="24"/>
      <c r="B41" s="28"/>
      <c r="C41" s="28" t="s">
        <v>548</v>
      </c>
      <c r="D41" s="24"/>
      <c r="E41" s="24" t="s">
        <v>549</v>
      </c>
    </row>
    <row r="42" spans="1:5" x14ac:dyDescent="0.45">
      <c r="A42" s="24"/>
      <c r="B42" s="24"/>
      <c r="C42" s="24"/>
      <c r="D42" s="24"/>
      <c r="E42" s="24"/>
    </row>
    <row r="43" spans="1:5" x14ac:dyDescent="0.45">
      <c r="A43" s="24" t="s">
        <v>646</v>
      </c>
      <c r="B43" s="24"/>
      <c r="C43" s="24" t="s">
        <v>647</v>
      </c>
      <c r="D43" s="24"/>
      <c r="E43" s="24"/>
    </row>
    <row r="44" spans="1:5" x14ac:dyDescent="0.45">
      <c r="A44" s="24"/>
      <c r="B44" s="24"/>
      <c r="C44" s="24"/>
      <c r="D44" s="24"/>
      <c r="E44" s="24"/>
    </row>
    <row r="45" spans="1:5" x14ac:dyDescent="0.45">
      <c r="A45" s="24" t="s">
        <v>550</v>
      </c>
      <c r="B45" s="24"/>
      <c r="C45" s="24" t="s">
        <v>551</v>
      </c>
      <c r="D45" s="24"/>
      <c r="E45" s="24"/>
    </row>
    <row r="46" spans="1:5" x14ac:dyDescent="0.45">
      <c r="A46" s="24"/>
      <c r="B46" s="24"/>
      <c r="C46" s="24"/>
      <c r="D46" s="24"/>
      <c r="E46" s="24"/>
    </row>
    <row r="47" spans="1:5" x14ac:dyDescent="0.45">
      <c r="A47" s="24"/>
      <c r="B47" s="24"/>
      <c r="C47" s="24"/>
      <c r="D47" s="24"/>
      <c r="E47" s="24"/>
    </row>
    <row r="48" spans="1:5" x14ac:dyDescent="0.45">
      <c r="A48" s="24"/>
      <c r="B48" s="24"/>
      <c r="C48" s="24"/>
      <c r="D48" s="24"/>
      <c r="E48" s="24"/>
    </row>
    <row r="49" spans="1:5" x14ac:dyDescent="0.45">
      <c r="A49" s="24"/>
      <c r="B49" s="24"/>
      <c r="C49" s="24"/>
      <c r="D49" s="24"/>
      <c r="E49" s="24"/>
    </row>
  </sheetData>
  <mergeCells count="3">
    <mergeCell ref="A2:A4"/>
    <mergeCell ref="A6:A19"/>
    <mergeCell ref="A20:A30"/>
  </mergeCells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3:Y358"/>
  <sheetViews>
    <sheetView showGridLines="0" tabSelected="1" zoomScale="85" zoomScaleNormal="85" workbookViewId="0">
      <selection activeCell="B82" sqref="B82"/>
    </sheetView>
  </sheetViews>
  <sheetFormatPr defaultColWidth="8.59765625" defaultRowHeight="14.25" x14ac:dyDescent="0.45"/>
  <cols>
    <col min="1" max="1" width="3.1328125" style="78" customWidth="1"/>
    <col min="2" max="2" width="30.73046875" style="64" customWidth="1"/>
    <col min="3" max="3" width="20.3984375" style="59" customWidth="1"/>
    <col min="4" max="4" width="25.3984375" style="59" customWidth="1"/>
    <col min="5" max="5" width="29.265625" style="56" hidden="1" customWidth="1"/>
    <col min="6" max="6" width="27.9296875" style="59" customWidth="1"/>
    <col min="7" max="7" width="43.59765625" style="59" bestFit="1" customWidth="1"/>
    <col min="8" max="8" width="15.86328125" style="56" customWidth="1"/>
    <col min="9" max="9" width="13.59765625" style="56" customWidth="1"/>
    <col min="10" max="10" width="11.86328125" style="57" customWidth="1"/>
    <col min="11" max="11" width="3.265625" style="57" customWidth="1"/>
    <col min="12" max="12" width="2.265625" style="58" customWidth="1"/>
    <col min="13" max="13" width="73.796875" style="59" customWidth="1"/>
    <col min="14" max="14" width="35.1328125" style="33" hidden="1" customWidth="1"/>
    <col min="15" max="15" width="19" style="59" bestFit="1" customWidth="1"/>
    <col min="16" max="16" width="41" style="33" bestFit="1" customWidth="1"/>
    <col min="17" max="17" width="20.59765625" style="33" customWidth="1"/>
    <col min="18" max="18" width="18.86328125" style="33" customWidth="1"/>
    <col min="19" max="19" width="26.3984375" style="57" customWidth="1"/>
    <col min="20" max="20" width="28.86328125" style="57" customWidth="1"/>
    <col min="21" max="21" width="18" style="57" customWidth="1"/>
    <col min="22" max="22" width="49" style="57" customWidth="1"/>
    <col min="23" max="23" width="10.73046875" style="33" customWidth="1"/>
    <col min="24" max="24" width="10.1328125" style="33" customWidth="1"/>
    <col min="25" max="25" width="10.86328125" style="33" customWidth="1"/>
    <col min="26" max="16383" width="8.59765625" style="33" customWidth="1"/>
    <col min="16384" max="16384" width="10.1328125" style="33" customWidth="1"/>
  </cols>
  <sheetData>
    <row r="3" spans="1:25" x14ac:dyDescent="0.3">
      <c r="A3" s="77"/>
      <c r="B3" s="65"/>
      <c r="C3" s="66"/>
      <c r="D3" s="66"/>
      <c r="E3" s="67"/>
      <c r="F3" s="66"/>
      <c r="G3" s="66"/>
      <c r="H3" s="67"/>
      <c r="I3" s="67"/>
      <c r="J3" s="68"/>
      <c r="K3" s="68"/>
      <c r="L3" s="69"/>
      <c r="M3" s="66"/>
      <c r="N3" s="70"/>
      <c r="O3" s="66"/>
      <c r="P3" s="70"/>
      <c r="Q3" s="70"/>
      <c r="R3" s="70"/>
      <c r="S3" s="68"/>
      <c r="T3" s="68"/>
      <c r="U3" s="68"/>
      <c r="V3" s="68"/>
    </row>
    <row r="5" spans="1:25" s="56" customFormat="1" ht="21" customHeight="1" x14ac:dyDescent="0.45">
      <c r="B5" s="115" t="s">
        <v>648</v>
      </c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9" t="s">
        <v>649</v>
      </c>
      <c r="R5" s="119"/>
      <c r="S5" s="119"/>
      <c r="T5" s="119"/>
      <c r="U5" s="119"/>
      <c r="V5" s="111" t="s">
        <v>650</v>
      </c>
      <c r="W5" s="111"/>
      <c r="X5" s="111"/>
      <c r="Y5" s="54" t="s">
        <v>651</v>
      </c>
    </row>
    <row r="6" spans="1:25" x14ac:dyDescent="0.45">
      <c r="B6" s="116" t="s">
        <v>652</v>
      </c>
      <c r="C6" s="117"/>
      <c r="D6" s="117"/>
      <c r="E6" s="117"/>
      <c r="F6" s="117"/>
      <c r="G6" s="117"/>
      <c r="H6" s="117"/>
      <c r="I6" s="117"/>
      <c r="J6" s="117"/>
      <c r="K6" s="117"/>
      <c r="L6" s="117"/>
      <c r="M6" s="117"/>
      <c r="N6" s="117"/>
      <c r="O6" s="117"/>
      <c r="P6" s="118"/>
      <c r="Q6" s="120" t="s">
        <v>653</v>
      </c>
      <c r="R6" s="121"/>
      <c r="S6" s="122"/>
      <c r="T6" s="120" t="s">
        <v>654</v>
      </c>
      <c r="U6" s="122"/>
      <c r="V6" s="112" t="s">
        <v>655</v>
      </c>
      <c r="W6" s="113"/>
      <c r="X6" s="114"/>
      <c r="Y6" s="55"/>
    </row>
    <row r="7" spans="1:25" s="58" customFormat="1" ht="23.1" customHeight="1" x14ac:dyDescent="0.45">
      <c r="B7" s="89" t="s">
        <v>656</v>
      </c>
      <c r="C7" s="63" t="s">
        <v>657</v>
      </c>
      <c r="D7" s="63" t="s">
        <v>658</v>
      </c>
      <c r="E7" s="63" t="s">
        <v>659</v>
      </c>
      <c r="F7" s="63" t="s">
        <v>660</v>
      </c>
      <c r="G7" s="63" t="s">
        <v>661</v>
      </c>
      <c r="H7" s="63" t="s">
        <v>662</v>
      </c>
      <c r="I7" s="63" t="s">
        <v>663</v>
      </c>
      <c r="J7" s="63" t="s">
        <v>664</v>
      </c>
      <c r="K7" s="63" t="s">
        <v>665</v>
      </c>
      <c r="L7" s="63" t="s">
        <v>666</v>
      </c>
      <c r="M7" s="63" t="s">
        <v>667</v>
      </c>
      <c r="N7" s="63" t="s">
        <v>668</v>
      </c>
      <c r="O7" s="63" t="s">
        <v>669</v>
      </c>
      <c r="P7" s="63" t="s">
        <v>670</v>
      </c>
      <c r="Q7" s="63" t="s">
        <v>671</v>
      </c>
      <c r="R7" s="63" t="s">
        <v>672</v>
      </c>
      <c r="S7" s="63" t="s">
        <v>673</v>
      </c>
      <c r="T7" s="63" t="s">
        <v>674</v>
      </c>
      <c r="U7" s="63" t="s">
        <v>675</v>
      </c>
      <c r="V7" s="63" t="s">
        <v>676</v>
      </c>
      <c r="W7" s="63" t="s">
        <v>677</v>
      </c>
      <c r="X7" s="63" t="s">
        <v>678</v>
      </c>
      <c r="Y7" s="90" t="s">
        <v>679</v>
      </c>
    </row>
    <row r="8" spans="1:25" ht="20.25" hidden="1" customHeight="1" x14ac:dyDescent="0.45">
      <c r="B8" s="86" t="s">
        <v>680</v>
      </c>
      <c r="C8" s="74" t="s">
        <v>681</v>
      </c>
      <c r="D8" s="74" t="s">
        <v>680</v>
      </c>
      <c r="E8" s="75">
        <v>0</v>
      </c>
      <c r="F8" s="74" t="s">
        <v>682</v>
      </c>
      <c r="G8" s="74" t="s">
        <v>683</v>
      </c>
      <c r="H8" s="74" t="s">
        <v>684</v>
      </c>
      <c r="I8" s="75">
        <v>1</v>
      </c>
      <c r="J8" s="60" t="s">
        <v>685</v>
      </c>
      <c r="K8" s="61">
        <v>20</v>
      </c>
      <c r="L8" s="61"/>
      <c r="M8" s="62" t="s">
        <v>686</v>
      </c>
      <c r="N8" s="62" t="s">
        <v>687</v>
      </c>
      <c r="O8" s="61" t="s">
        <v>688</v>
      </c>
      <c r="P8" s="71"/>
      <c r="Q8" s="75"/>
      <c r="R8" s="75"/>
      <c r="S8" s="75"/>
      <c r="T8" s="75"/>
      <c r="U8" s="75"/>
      <c r="V8" s="75"/>
      <c r="W8" s="75"/>
      <c r="X8" s="75"/>
      <c r="Y8" s="75"/>
    </row>
    <row r="9" spans="1:25" ht="20.25" hidden="1" customHeight="1" x14ac:dyDescent="0.45">
      <c r="B9" s="86" t="s">
        <v>680</v>
      </c>
      <c r="C9" s="74" t="s">
        <v>681</v>
      </c>
      <c r="D9" s="74" t="s">
        <v>680</v>
      </c>
      <c r="E9" s="75">
        <v>0</v>
      </c>
      <c r="F9" s="74" t="s">
        <v>689</v>
      </c>
      <c r="G9" s="74" t="s">
        <v>690</v>
      </c>
      <c r="H9" s="74" t="s">
        <v>684</v>
      </c>
      <c r="I9" s="75">
        <v>2</v>
      </c>
      <c r="J9" s="60" t="s">
        <v>685</v>
      </c>
      <c r="K9" s="61">
        <v>30</v>
      </c>
      <c r="L9" s="61"/>
      <c r="M9" s="62" t="s">
        <v>691</v>
      </c>
      <c r="N9" s="62" t="s">
        <v>692</v>
      </c>
      <c r="O9" s="61" t="s">
        <v>688</v>
      </c>
      <c r="P9" s="60"/>
      <c r="Q9" s="75"/>
      <c r="R9" s="75"/>
      <c r="S9" s="75"/>
      <c r="T9" s="75"/>
      <c r="U9" s="75"/>
      <c r="V9" s="75"/>
      <c r="W9" s="75"/>
      <c r="X9" s="75"/>
      <c r="Y9" s="75"/>
    </row>
    <row r="10" spans="1:25" ht="20.25" hidden="1" customHeight="1" x14ac:dyDescent="0.45">
      <c r="B10" s="86" t="s">
        <v>680</v>
      </c>
      <c r="C10" s="74" t="s">
        <v>681</v>
      </c>
      <c r="D10" s="74" t="s">
        <v>680</v>
      </c>
      <c r="E10" s="75">
        <v>0</v>
      </c>
      <c r="F10" s="74" t="s">
        <v>693</v>
      </c>
      <c r="G10" s="74" t="s">
        <v>694</v>
      </c>
      <c r="H10" s="74" t="s">
        <v>695</v>
      </c>
      <c r="I10" s="75">
        <v>3</v>
      </c>
      <c r="J10" s="60" t="s">
        <v>685</v>
      </c>
      <c r="K10" s="61">
        <v>20</v>
      </c>
      <c r="L10" s="61"/>
      <c r="M10" s="62" t="s">
        <v>696</v>
      </c>
      <c r="N10" s="62" t="s">
        <v>697</v>
      </c>
      <c r="O10" s="61"/>
      <c r="P10" s="60" t="s">
        <v>698</v>
      </c>
      <c r="Q10" s="75"/>
      <c r="R10" s="75"/>
      <c r="S10" s="75"/>
      <c r="T10" s="75"/>
      <c r="U10" s="75"/>
      <c r="V10" s="75"/>
      <c r="W10" s="75"/>
      <c r="X10" s="75"/>
      <c r="Y10" s="75"/>
    </row>
    <row r="11" spans="1:25" ht="20.25" hidden="1" customHeight="1" x14ac:dyDescent="0.45">
      <c r="B11" s="86" t="s">
        <v>680</v>
      </c>
      <c r="C11" s="74" t="s">
        <v>681</v>
      </c>
      <c r="D11" s="74" t="s">
        <v>680</v>
      </c>
      <c r="E11" s="75">
        <v>0</v>
      </c>
      <c r="F11" s="74" t="s">
        <v>699</v>
      </c>
      <c r="G11" s="74" t="s">
        <v>700</v>
      </c>
      <c r="H11" s="74" t="s">
        <v>695</v>
      </c>
      <c r="I11" s="75">
        <v>4</v>
      </c>
      <c r="J11" s="60" t="s">
        <v>685</v>
      </c>
      <c r="K11" s="61">
        <v>20</v>
      </c>
      <c r="L11" s="61"/>
      <c r="M11" s="62" t="s">
        <v>701</v>
      </c>
      <c r="N11" s="62" t="s">
        <v>702</v>
      </c>
      <c r="O11" s="61"/>
      <c r="P11" s="60" t="s">
        <v>703</v>
      </c>
      <c r="Q11" s="75"/>
      <c r="R11" s="75"/>
      <c r="S11" s="75"/>
      <c r="T11" s="75"/>
      <c r="U11" s="75"/>
      <c r="V11" s="75"/>
      <c r="W11" s="75"/>
      <c r="X11" s="75"/>
      <c r="Y11" s="75"/>
    </row>
    <row r="12" spans="1:25" ht="20.25" hidden="1" customHeight="1" x14ac:dyDescent="0.45">
      <c r="B12" s="86" t="s">
        <v>680</v>
      </c>
      <c r="C12" s="74" t="s">
        <v>681</v>
      </c>
      <c r="D12" s="74" t="s">
        <v>680</v>
      </c>
      <c r="E12" s="75">
        <v>0</v>
      </c>
      <c r="F12" s="74" t="s">
        <v>704</v>
      </c>
      <c r="G12" s="74" t="s">
        <v>705</v>
      </c>
      <c r="H12" s="74" t="s">
        <v>695</v>
      </c>
      <c r="I12" s="75">
        <v>5</v>
      </c>
      <c r="J12" s="60" t="s">
        <v>685</v>
      </c>
      <c r="K12" s="61">
        <v>20</v>
      </c>
      <c r="L12" s="61"/>
      <c r="M12" s="62" t="s">
        <v>706</v>
      </c>
      <c r="N12" s="62" t="s">
        <v>707</v>
      </c>
      <c r="O12" s="61"/>
      <c r="P12" s="60" t="s">
        <v>708</v>
      </c>
      <c r="Q12" s="75"/>
      <c r="R12" s="75"/>
      <c r="S12" s="75"/>
      <c r="T12" s="75"/>
      <c r="U12" s="75"/>
      <c r="V12" s="75"/>
      <c r="W12" s="75"/>
      <c r="X12" s="75"/>
      <c r="Y12" s="75"/>
    </row>
    <row r="13" spans="1:25" ht="20.25" hidden="1" customHeight="1" x14ac:dyDescent="0.45">
      <c r="B13" s="86" t="s">
        <v>680</v>
      </c>
      <c r="C13" s="74" t="s">
        <v>681</v>
      </c>
      <c r="D13" s="74" t="s">
        <v>680</v>
      </c>
      <c r="E13" s="75">
        <v>0</v>
      </c>
      <c r="F13" s="74" t="s">
        <v>709</v>
      </c>
      <c r="G13" s="74" t="s">
        <v>710</v>
      </c>
      <c r="H13" s="74" t="s">
        <v>711</v>
      </c>
      <c r="I13" s="75">
        <v>6</v>
      </c>
      <c r="J13" s="60" t="s">
        <v>712</v>
      </c>
      <c r="K13" s="61"/>
      <c r="L13" s="61"/>
      <c r="M13" s="62" t="s">
        <v>713</v>
      </c>
      <c r="N13" s="62" t="s">
        <v>714</v>
      </c>
      <c r="O13" s="61"/>
      <c r="P13" s="60"/>
      <c r="Q13" s="75"/>
      <c r="R13" s="75"/>
      <c r="S13" s="75"/>
      <c r="T13" s="75"/>
      <c r="U13" s="75"/>
      <c r="V13" s="75"/>
      <c r="W13" s="75"/>
      <c r="X13" s="75"/>
      <c r="Y13" s="75"/>
    </row>
    <row r="14" spans="1:25" ht="20.25" hidden="1" customHeight="1" x14ac:dyDescent="0.45">
      <c r="B14" s="86" t="s">
        <v>680</v>
      </c>
      <c r="C14" s="74" t="s">
        <v>681</v>
      </c>
      <c r="D14" s="74" t="s">
        <v>680</v>
      </c>
      <c r="E14" s="75">
        <v>0</v>
      </c>
      <c r="F14" s="74" t="s">
        <v>715</v>
      </c>
      <c r="G14" s="74" t="s">
        <v>716</v>
      </c>
      <c r="H14" s="74" t="s">
        <v>717</v>
      </c>
      <c r="I14" s="75">
        <v>7</v>
      </c>
      <c r="J14" s="60" t="s">
        <v>685</v>
      </c>
      <c r="K14" s="61">
        <v>20</v>
      </c>
      <c r="L14" s="61"/>
      <c r="M14" s="62" t="s">
        <v>718</v>
      </c>
      <c r="N14" s="62" t="s">
        <v>719</v>
      </c>
      <c r="O14" s="61"/>
      <c r="P14" s="60"/>
      <c r="Q14" s="75"/>
      <c r="R14" s="75"/>
      <c r="S14" s="75"/>
      <c r="T14" s="75"/>
      <c r="U14" s="75"/>
      <c r="V14" s="75"/>
      <c r="W14" s="75"/>
      <c r="X14" s="75"/>
      <c r="Y14" s="75"/>
    </row>
    <row r="15" spans="1:25" ht="20.25" hidden="1" customHeight="1" x14ac:dyDescent="0.45">
      <c r="B15" s="86" t="s">
        <v>680</v>
      </c>
      <c r="C15" s="74" t="s">
        <v>681</v>
      </c>
      <c r="D15" s="74" t="s">
        <v>680</v>
      </c>
      <c r="E15" s="75">
        <v>0</v>
      </c>
      <c r="F15" s="74" t="s">
        <v>720</v>
      </c>
      <c r="G15" s="74" t="s">
        <v>721</v>
      </c>
      <c r="H15" s="74" t="s">
        <v>717</v>
      </c>
      <c r="I15" s="75">
        <v>8</v>
      </c>
      <c r="J15" s="60" t="s">
        <v>685</v>
      </c>
      <c r="K15" s="61">
        <v>4</v>
      </c>
      <c r="L15" s="61"/>
      <c r="M15" s="62" t="s">
        <v>722</v>
      </c>
      <c r="N15" s="62" t="s">
        <v>723</v>
      </c>
      <c r="O15" s="61"/>
      <c r="P15" s="60"/>
      <c r="Q15" s="75"/>
      <c r="R15" s="75"/>
      <c r="S15" s="75"/>
      <c r="T15" s="75"/>
      <c r="U15" s="75"/>
      <c r="V15" s="75"/>
      <c r="W15" s="75"/>
      <c r="X15" s="75"/>
      <c r="Y15" s="75"/>
    </row>
    <row r="16" spans="1:25" ht="20.25" hidden="1" customHeight="1" x14ac:dyDescent="0.45">
      <c r="B16" s="86" t="s">
        <v>680</v>
      </c>
      <c r="C16" s="74" t="s">
        <v>681</v>
      </c>
      <c r="D16" s="74" t="s">
        <v>680</v>
      </c>
      <c r="E16" s="75">
        <v>0</v>
      </c>
      <c r="F16" s="74" t="s">
        <v>724</v>
      </c>
      <c r="G16" s="74" t="s">
        <v>725</v>
      </c>
      <c r="H16" s="74" t="s">
        <v>717</v>
      </c>
      <c r="I16" s="75">
        <v>9</v>
      </c>
      <c r="J16" s="60" t="s">
        <v>685</v>
      </c>
      <c r="K16" s="61">
        <v>11</v>
      </c>
      <c r="L16" s="61"/>
      <c r="M16" s="62" t="s">
        <v>726</v>
      </c>
      <c r="N16" s="62" t="s">
        <v>727</v>
      </c>
      <c r="O16" s="61"/>
      <c r="P16" s="60"/>
      <c r="Q16" s="75"/>
      <c r="R16" s="75"/>
      <c r="S16" s="75"/>
      <c r="T16" s="75"/>
      <c r="U16" s="75"/>
      <c r="V16" s="75"/>
      <c r="W16" s="75"/>
      <c r="X16" s="75"/>
      <c r="Y16" s="75"/>
    </row>
    <row r="17" spans="1:25" ht="20.25" hidden="1" customHeight="1" x14ac:dyDescent="0.45">
      <c r="B17" s="86" t="s">
        <v>680</v>
      </c>
      <c r="C17" s="74" t="s">
        <v>681</v>
      </c>
      <c r="D17" s="74" t="s">
        <v>680</v>
      </c>
      <c r="E17" s="75">
        <v>0</v>
      </c>
      <c r="F17" s="74" t="s">
        <v>728</v>
      </c>
      <c r="G17" s="74" t="s">
        <v>729</v>
      </c>
      <c r="H17" s="74" t="s">
        <v>717</v>
      </c>
      <c r="I17" s="75">
        <v>10</v>
      </c>
      <c r="J17" s="60" t="s">
        <v>685</v>
      </c>
      <c r="K17" s="61">
        <v>30</v>
      </c>
      <c r="L17" s="61"/>
      <c r="M17" s="62" t="s">
        <v>730</v>
      </c>
      <c r="N17" s="62" t="s">
        <v>731</v>
      </c>
      <c r="O17" s="61"/>
      <c r="P17" s="60"/>
      <c r="Q17" s="75"/>
      <c r="R17" s="75"/>
      <c r="S17" s="75"/>
      <c r="T17" s="75"/>
      <c r="U17" s="75"/>
      <c r="V17" s="75"/>
      <c r="W17" s="75"/>
      <c r="X17" s="75"/>
      <c r="Y17" s="75"/>
    </row>
    <row r="18" spans="1:25" ht="20.25" hidden="1" customHeight="1" x14ac:dyDescent="0.45">
      <c r="B18" s="86" t="s">
        <v>680</v>
      </c>
      <c r="C18" s="74" t="s">
        <v>681</v>
      </c>
      <c r="D18" s="74" t="s">
        <v>680</v>
      </c>
      <c r="E18" s="75">
        <v>0</v>
      </c>
      <c r="F18" s="74" t="s">
        <v>732</v>
      </c>
      <c r="G18" s="74" t="s">
        <v>732</v>
      </c>
      <c r="H18" s="74" t="s">
        <v>733</v>
      </c>
      <c r="I18" s="75">
        <v>11</v>
      </c>
      <c r="J18" s="60" t="s">
        <v>685</v>
      </c>
      <c r="K18" s="61">
        <v>10</v>
      </c>
      <c r="L18" s="61"/>
      <c r="M18" s="62" t="s">
        <v>734</v>
      </c>
      <c r="N18" s="62" t="s">
        <v>735</v>
      </c>
      <c r="O18" s="61" t="s">
        <v>688</v>
      </c>
      <c r="P18" s="60"/>
      <c r="Q18" s="61"/>
      <c r="R18" s="61"/>
      <c r="S18" s="61"/>
      <c r="T18" s="61"/>
      <c r="U18" s="61"/>
      <c r="V18" s="61"/>
      <c r="W18" s="61"/>
      <c r="X18" s="61"/>
      <c r="Y18" s="61"/>
    </row>
    <row r="19" spans="1:25" ht="20.25" hidden="1" customHeight="1" x14ac:dyDescent="0.45">
      <c r="B19" s="86" t="s">
        <v>680</v>
      </c>
      <c r="C19" s="74" t="s">
        <v>681</v>
      </c>
      <c r="D19" s="74" t="s">
        <v>680</v>
      </c>
      <c r="E19" s="75">
        <v>0</v>
      </c>
      <c r="F19" s="74" t="s">
        <v>736</v>
      </c>
      <c r="G19" s="74" t="s">
        <v>736</v>
      </c>
      <c r="H19" s="74" t="s">
        <v>717</v>
      </c>
      <c r="I19" s="75">
        <v>12</v>
      </c>
      <c r="J19" s="60" t="s">
        <v>737</v>
      </c>
      <c r="K19" s="61"/>
      <c r="L19" s="61"/>
      <c r="M19" s="62" t="s">
        <v>738</v>
      </c>
      <c r="N19" s="79" t="s">
        <v>739</v>
      </c>
      <c r="O19" s="61"/>
      <c r="P19" s="60"/>
      <c r="Q19" s="61"/>
      <c r="R19" s="61"/>
      <c r="S19" s="61"/>
      <c r="T19" s="61"/>
      <c r="U19" s="61"/>
      <c r="V19" s="61"/>
      <c r="W19" s="61"/>
      <c r="X19" s="61"/>
      <c r="Y19" s="61"/>
    </row>
    <row r="20" spans="1:25" ht="20.25" customHeight="1" x14ac:dyDescent="0.45">
      <c r="B20" s="86" t="s">
        <v>680</v>
      </c>
      <c r="C20" s="80" t="s">
        <v>740</v>
      </c>
      <c r="D20" s="80" t="s">
        <v>741</v>
      </c>
      <c r="E20" s="75">
        <v>1</v>
      </c>
      <c r="F20" s="80" t="s">
        <v>682</v>
      </c>
      <c r="G20" s="74" t="s">
        <v>683</v>
      </c>
      <c r="H20" s="74" t="s">
        <v>684</v>
      </c>
      <c r="I20" s="75">
        <v>1</v>
      </c>
      <c r="J20" s="60" t="s">
        <v>685</v>
      </c>
      <c r="K20" s="61">
        <v>20</v>
      </c>
      <c r="L20" s="61"/>
      <c r="M20" s="62" t="s">
        <v>686</v>
      </c>
      <c r="N20" s="62" t="s">
        <v>687</v>
      </c>
      <c r="O20" s="61" t="s">
        <v>688</v>
      </c>
      <c r="P20" s="60"/>
      <c r="Q20" s="61"/>
      <c r="R20" s="61"/>
      <c r="S20" s="61"/>
      <c r="T20" s="61"/>
      <c r="U20" s="61"/>
      <c r="V20" s="61"/>
      <c r="W20" s="61"/>
      <c r="X20" s="61"/>
      <c r="Y20" s="61"/>
    </row>
    <row r="21" spans="1:25" ht="20.25" customHeight="1" x14ac:dyDescent="0.45">
      <c r="B21" s="86" t="s">
        <v>680</v>
      </c>
      <c r="C21" s="80" t="s">
        <v>740</v>
      </c>
      <c r="D21" s="80" t="s">
        <v>741</v>
      </c>
      <c r="E21" s="75">
        <v>1</v>
      </c>
      <c r="F21" s="80" t="s">
        <v>689</v>
      </c>
      <c r="G21" s="74" t="s">
        <v>690</v>
      </c>
      <c r="H21" s="74" t="s">
        <v>684</v>
      </c>
      <c r="I21" s="75">
        <v>2</v>
      </c>
      <c r="J21" s="60" t="s">
        <v>685</v>
      </c>
      <c r="K21" s="61">
        <v>30</v>
      </c>
      <c r="L21" s="61"/>
      <c r="M21" s="62" t="s">
        <v>691</v>
      </c>
      <c r="N21" s="62" t="s">
        <v>692</v>
      </c>
      <c r="O21" s="61" t="s">
        <v>688</v>
      </c>
      <c r="P21" s="60"/>
      <c r="Q21" s="75"/>
      <c r="R21" s="75"/>
      <c r="S21" s="75"/>
      <c r="T21" s="75"/>
      <c r="U21" s="75"/>
      <c r="V21" s="75"/>
      <c r="W21" s="75"/>
      <c r="X21" s="75"/>
      <c r="Y21" s="75"/>
    </row>
    <row r="22" spans="1:25" ht="20.25" customHeight="1" x14ac:dyDescent="0.45">
      <c r="B22" s="86" t="s">
        <v>680</v>
      </c>
      <c r="C22" s="80" t="s">
        <v>740</v>
      </c>
      <c r="D22" s="80" t="s">
        <v>741</v>
      </c>
      <c r="E22" s="75">
        <v>1</v>
      </c>
      <c r="F22" s="80" t="s">
        <v>742</v>
      </c>
      <c r="G22" s="74" t="s">
        <v>743</v>
      </c>
      <c r="H22" s="74" t="s">
        <v>684</v>
      </c>
      <c r="I22" s="75">
        <v>3</v>
      </c>
      <c r="J22" s="60" t="s">
        <v>685</v>
      </c>
      <c r="K22" s="61">
        <v>10</v>
      </c>
      <c r="L22" s="61"/>
      <c r="M22" s="62" t="s">
        <v>744</v>
      </c>
      <c r="N22" s="62" t="s">
        <v>745</v>
      </c>
      <c r="O22" s="61" t="s">
        <v>688</v>
      </c>
      <c r="P22" s="60"/>
      <c r="Q22" s="75"/>
      <c r="R22" s="75"/>
      <c r="S22" s="75"/>
      <c r="T22" s="75"/>
      <c r="U22" s="75"/>
      <c r="V22" s="75"/>
      <c r="W22" s="75"/>
      <c r="X22" s="75"/>
      <c r="Y22" s="75"/>
    </row>
    <row r="23" spans="1:25" ht="20.25" customHeight="1" x14ac:dyDescent="0.45">
      <c r="B23" s="86" t="s">
        <v>680</v>
      </c>
      <c r="C23" s="80" t="s">
        <v>740</v>
      </c>
      <c r="D23" s="80" t="s">
        <v>741</v>
      </c>
      <c r="E23" s="75">
        <v>1</v>
      </c>
      <c r="F23" s="80" t="s">
        <v>746</v>
      </c>
      <c r="G23" s="74" t="s">
        <v>747</v>
      </c>
      <c r="H23" s="74" t="s">
        <v>684</v>
      </c>
      <c r="I23" s="75">
        <v>4</v>
      </c>
      <c r="J23" s="60" t="s">
        <v>748</v>
      </c>
      <c r="K23" s="61">
        <v>20</v>
      </c>
      <c r="L23" s="61">
        <v>0</v>
      </c>
      <c r="M23" s="62" t="s">
        <v>749</v>
      </c>
      <c r="N23" s="79" t="s">
        <v>750</v>
      </c>
      <c r="O23" s="61" t="s">
        <v>688</v>
      </c>
      <c r="P23" s="60" t="s">
        <v>751</v>
      </c>
      <c r="Q23" s="61"/>
      <c r="R23" s="61"/>
      <c r="S23" s="61"/>
      <c r="T23" s="61"/>
      <c r="U23" s="61"/>
      <c r="V23" s="61"/>
      <c r="W23" s="61"/>
      <c r="X23" s="61"/>
      <c r="Y23" s="61"/>
    </row>
    <row r="24" spans="1:25" s="72" customFormat="1" ht="20.25" customHeight="1" x14ac:dyDescent="0.45">
      <c r="A24" s="78"/>
      <c r="B24" s="86" t="s">
        <v>680</v>
      </c>
      <c r="C24" s="80" t="s">
        <v>740</v>
      </c>
      <c r="D24" s="80" t="s">
        <v>741</v>
      </c>
      <c r="E24" s="75">
        <v>1</v>
      </c>
      <c r="F24" s="80" t="s">
        <v>752</v>
      </c>
      <c r="G24" s="74" t="s">
        <v>753</v>
      </c>
      <c r="H24" s="74" t="s">
        <v>684</v>
      </c>
      <c r="I24" s="75">
        <v>5</v>
      </c>
      <c r="J24" s="60" t="s">
        <v>748</v>
      </c>
      <c r="K24" s="61">
        <v>17</v>
      </c>
      <c r="L24" s="61">
        <v>6</v>
      </c>
      <c r="M24" s="62" t="s">
        <v>754</v>
      </c>
      <c r="N24" s="62" t="s">
        <v>755</v>
      </c>
      <c r="O24" s="61" t="s">
        <v>688</v>
      </c>
      <c r="P24" s="60"/>
      <c r="Q24" s="61"/>
      <c r="R24" s="61"/>
      <c r="S24" s="61"/>
      <c r="T24" s="61"/>
      <c r="U24" s="61"/>
      <c r="V24" s="61"/>
      <c r="W24" s="61"/>
      <c r="X24" s="61"/>
      <c r="Y24" s="61"/>
    </row>
    <row r="25" spans="1:25" ht="20.25" customHeight="1" x14ac:dyDescent="0.45">
      <c r="B25" s="86" t="s">
        <v>680</v>
      </c>
      <c r="C25" s="80" t="s">
        <v>740</v>
      </c>
      <c r="D25" s="80" t="s">
        <v>741</v>
      </c>
      <c r="E25" s="75">
        <v>1</v>
      </c>
      <c r="F25" s="80" t="s">
        <v>756</v>
      </c>
      <c r="G25" s="74" t="s">
        <v>757</v>
      </c>
      <c r="H25" s="74" t="s">
        <v>758</v>
      </c>
      <c r="I25" s="75">
        <v>6</v>
      </c>
      <c r="J25" s="60" t="s">
        <v>712</v>
      </c>
      <c r="K25" s="61"/>
      <c r="L25" s="61"/>
      <c r="M25" s="62" t="s">
        <v>759</v>
      </c>
      <c r="N25" s="62" t="s">
        <v>760</v>
      </c>
      <c r="O25" s="61"/>
      <c r="P25" s="60"/>
      <c r="Q25" s="75"/>
      <c r="R25" s="75"/>
      <c r="S25" s="75"/>
      <c r="T25" s="75"/>
      <c r="U25" s="75"/>
      <c r="V25" s="75"/>
      <c r="W25" s="75"/>
      <c r="X25" s="75"/>
      <c r="Y25" s="75"/>
    </row>
    <row r="26" spans="1:25" ht="20.25" customHeight="1" x14ac:dyDescent="0.45">
      <c r="B26" s="86" t="s">
        <v>680</v>
      </c>
      <c r="C26" s="80" t="s">
        <v>740</v>
      </c>
      <c r="D26" s="80" t="s">
        <v>741</v>
      </c>
      <c r="E26" s="75">
        <v>1</v>
      </c>
      <c r="F26" s="80" t="s">
        <v>761</v>
      </c>
      <c r="G26" s="74" t="s">
        <v>762</v>
      </c>
      <c r="H26" s="74" t="s">
        <v>758</v>
      </c>
      <c r="I26" s="75">
        <v>7</v>
      </c>
      <c r="J26" s="60" t="s">
        <v>712</v>
      </c>
      <c r="K26" s="61"/>
      <c r="L26" s="61"/>
      <c r="M26" s="62" t="s">
        <v>763</v>
      </c>
      <c r="N26" s="62" t="s">
        <v>764</v>
      </c>
      <c r="O26" s="61"/>
      <c r="P26" s="60"/>
      <c r="Q26" s="61"/>
      <c r="R26" s="61"/>
      <c r="S26" s="61"/>
      <c r="T26" s="61"/>
      <c r="U26" s="61"/>
      <c r="V26" s="61"/>
      <c r="W26" s="61"/>
      <c r="X26" s="61"/>
      <c r="Y26" s="61"/>
    </row>
    <row r="27" spans="1:25" ht="20.25" customHeight="1" x14ac:dyDescent="0.45">
      <c r="B27" s="86" t="s">
        <v>680</v>
      </c>
      <c r="C27" s="80" t="s">
        <v>740</v>
      </c>
      <c r="D27" s="80" t="s">
        <v>741</v>
      </c>
      <c r="E27" s="75">
        <v>1</v>
      </c>
      <c r="F27" s="80" t="s">
        <v>732</v>
      </c>
      <c r="G27" s="74" t="s">
        <v>732</v>
      </c>
      <c r="H27" s="74" t="s">
        <v>733</v>
      </c>
      <c r="I27" s="75">
        <v>8</v>
      </c>
      <c r="J27" s="60" t="s">
        <v>685</v>
      </c>
      <c r="K27" s="61">
        <v>10</v>
      </c>
      <c r="L27" s="61"/>
      <c r="M27" s="62" t="s">
        <v>734</v>
      </c>
      <c r="N27" s="62" t="s">
        <v>765</v>
      </c>
      <c r="O27" s="61" t="s">
        <v>688</v>
      </c>
      <c r="P27" s="60"/>
      <c r="Q27" s="61"/>
      <c r="R27" s="61"/>
      <c r="S27" s="61"/>
      <c r="T27" s="61"/>
      <c r="U27" s="61"/>
      <c r="V27" s="61"/>
      <c r="W27" s="61"/>
      <c r="X27" s="61"/>
      <c r="Y27" s="61"/>
    </row>
    <row r="28" spans="1:25" ht="20.25" customHeight="1" x14ac:dyDescent="0.45">
      <c r="B28" s="86" t="s">
        <v>680</v>
      </c>
      <c r="C28" s="80" t="s">
        <v>740</v>
      </c>
      <c r="D28" s="80" t="s">
        <v>741</v>
      </c>
      <c r="E28" s="75">
        <v>1</v>
      </c>
      <c r="F28" s="80" t="s">
        <v>736</v>
      </c>
      <c r="G28" s="74" t="s">
        <v>736</v>
      </c>
      <c r="H28" s="74" t="s">
        <v>766</v>
      </c>
      <c r="I28" s="75">
        <v>9</v>
      </c>
      <c r="J28" s="60" t="s">
        <v>737</v>
      </c>
      <c r="K28" s="61"/>
      <c r="L28" s="61"/>
      <c r="M28" s="62" t="s">
        <v>738</v>
      </c>
      <c r="N28" s="62" t="s">
        <v>739</v>
      </c>
      <c r="O28" s="61"/>
      <c r="P28" s="60"/>
      <c r="Q28" s="75"/>
      <c r="R28" s="75"/>
      <c r="S28" s="75"/>
      <c r="T28" s="75"/>
      <c r="U28" s="75"/>
      <c r="V28" s="75"/>
      <c r="W28" s="75"/>
      <c r="X28" s="75"/>
      <c r="Y28" s="75"/>
    </row>
    <row r="29" spans="1:25" ht="20.25" hidden="1" customHeight="1" x14ac:dyDescent="0.45">
      <c r="B29" s="86" t="s">
        <v>767</v>
      </c>
      <c r="C29" s="74" t="s">
        <v>768</v>
      </c>
      <c r="D29" s="74" t="s">
        <v>769</v>
      </c>
      <c r="E29" s="75">
        <v>1</v>
      </c>
      <c r="F29" s="74" t="s">
        <v>682</v>
      </c>
      <c r="G29" s="74" t="s">
        <v>683</v>
      </c>
      <c r="H29" s="74" t="s">
        <v>684</v>
      </c>
      <c r="I29" s="75">
        <v>1</v>
      </c>
      <c r="J29" s="60" t="s">
        <v>685</v>
      </c>
      <c r="K29" s="61">
        <v>20</v>
      </c>
      <c r="L29" s="61"/>
      <c r="M29" s="62" t="s">
        <v>686</v>
      </c>
      <c r="N29" s="62" t="s">
        <v>687</v>
      </c>
      <c r="O29" s="61" t="s">
        <v>688</v>
      </c>
      <c r="P29" s="60"/>
      <c r="Q29" s="75"/>
      <c r="R29" s="75"/>
      <c r="S29" s="75"/>
      <c r="T29" s="75"/>
      <c r="U29" s="75"/>
      <c r="V29" s="75"/>
      <c r="W29" s="75"/>
      <c r="X29" s="75"/>
      <c r="Y29" s="75"/>
    </row>
    <row r="30" spans="1:25" ht="20.25" hidden="1" customHeight="1" x14ac:dyDescent="0.45">
      <c r="B30" s="86" t="s">
        <v>767</v>
      </c>
      <c r="C30" s="74" t="s">
        <v>768</v>
      </c>
      <c r="D30" s="74" t="s">
        <v>769</v>
      </c>
      <c r="E30" s="75">
        <v>1</v>
      </c>
      <c r="F30" s="74" t="s">
        <v>689</v>
      </c>
      <c r="G30" s="74" t="s">
        <v>690</v>
      </c>
      <c r="H30" s="74" t="s">
        <v>684</v>
      </c>
      <c r="I30" s="75">
        <v>2</v>
      </c>
      <c r="J30" s="60" t="s">
        <v>685</v>
      </c>
      <c r="K30" s="61">
        <v>30</v>
      </c>
      <c r="L30" s="61"/>
      <c r="M30" s="62" t="s">
        <v>691</v>
      </c>
      <c r="N30" s="62" t="s">
        <v>692</v>
      </c>
      <c r="O30" s="61" t="s">
        <v>688</v>
      </c>
      <c r="P30" s="60"/>
      <c r="Q30" s="75"/>
      <c r="R30" s="75"/>
      <c r="S30" s="75"/>
      <c r="T30" s="75"/>
      <c r="U30" s="75"/>
      <c r="V30" s="75"/>
      <c r="W30" s="75"/>
      <c r="X30" s="75"/>
      <c r="Y30" s="75"/>
    </row>
    <row r="31" spans="1:25" ht="20.25" hidden="1" customHeight="1" x14ac:dyDescent="0.45">
      <c r="B31" s="86" t="s">
        <v>767</v>
      </c>
      <c r="C31" s="74" t="s">
        <v>768</v>
      </c>
      <c r="D31" s="74" t="s">
        <v>769</v>
      </c>
      <c r="E31" s="75">
        <v>1</v>
      </c>
      <c r="F31" s="74" t="s">
        <v>693</v>
      </c>
      <c r="G31" s="74" t="s">
        <v>694</v>
      </c>
      <c r="H31" s="74" t="s">
        <v>695</v>
      </c>
      <c r="I31" s="75">
        <v>3</v>
      </c>
      <c r="J31" s="60" t="s">
        <v>685</v>
      </c>
      <c r="K31" s="61">
        <v>20</v>
      </c>
      <c r="L31" s="61"/>
      <c r="M31" s="62" t="s">
        <v>696</v>
      </c>
      <c r="N31" s="62" t="s">
        <v>697</v>
      </c>
      <c r="O31" s="61"/>
      <c r="P31" s="60" t="s">
        <v>698</v>
      </c>
      <c r="Q31" s="75"/>
      <c r="R31" s="75"/>
      <c r="S31" s="75"/>
      <c r="T31" s="75"/>
      <c r="U31" s="75"/>
      <c r="V31" s="75"/>
      <c r="W31" s="75"/>
      <c r="X31" s="75"/>
      <c r="Y31" s="75"/>
    </row>
    <row r="32" spans="1:25" ht="20.25" hidden="1" customHeight="1" x14ac:dyDescent="0.45">
      <c r="B32" s="86" t="s">
        <v>767</v>
      </c>
      <c r="C32" s="74" t="s">
        <v>768</v>
      </c>
      <c r="D32" s="74" t="s">
        <v>769</v>
      </c>
      <c r="E32" s="75">
        <v>1</v>
      </c>
      <c r="F32" s="74" t="s">
        <v>699</v>
      </c>
      <c r="G32" s="74" t="s">
        <v>700</v>
      </c>
      <c r="H32" s="74" t="s">
        <v>695</v>
      </c>
      <c r="I32" s="75">
        <v>4</v>
      </c>
      <c r="J32" s="60" t="s">
        <v>685</v>
      </c>
      <c r="K32" s="61">
        <v>20</v>
      </c>
      <c r="L32" s="61"/>
      <c r="M32" s="62" t="s">
        <v>701</v>
      </c>
      <c r="N32" s="62" t="s">
        <v>702</v>
      </c>
      <c r="O32" s="61"/>
      <c r="P32" s="60" t="s">
        <v>703</v>
      </c>
      <c r="Q32" s="75"/>
      <c r="R32" s="75"/>
      <c r="S32" s="75"/>
      <c r="T32" s="75"/>
      <c r="U32" s="75"/>
      <c r="V32" s="75"/>
      <c r="W32" s="75"/>
      <c r="X32" s="75"/>
      <c r="Y32" s="75"/>
    </row>
    <row r="33" spans="2:25" ht="20.25" hidden="1" customHeight="1" x14ac:dyDescent="0.45">
      <c r="B33" s="86" t="s">
        <v>767</v>
      </c>
      <c r="C33" s="74" t="s">
        <v>768</v>
      </c>
      <c r="D33" s="74" t="s">
        <v>769</v>
      </c>
      <c r="E33" s="75">
        <v>1</v>
      </c>
      <c r="F33" s="74" t="s">
        <v>709</v>
      </c>
      <c r="G33" s="74" t="s">
        <v>710</v>
      </c>
      <c r="H33" s="74" t="s">
        <v>711</v>
      </c>
      <c r="I33" s="75">
        <v>5</v>
      </c>
      <c r="J33" s="60" t="s">
        <v>712</v>
      </c>
      <c r="K33" s="61"/>
      <c r="L33" s="61"/>
      <c r="M33" s="62" t="s">
        <v>770</v>
      </c>
      <c r="N33" s="62" t="s">
        <v>714</v>
      </c>
      <c r="O33" s="61"/>
      <c r="P33" s="60"/>
      <c r="Q33" s="75"/>
      <c r="R33" s="75"/>
      <c r="S33" s="75"/>
      <c r="T33" s="75"/>
      <c r="U33" s="75"/>
      <c r="V33" s="75"/>
      <c r="W33" s="75"/>
      <c r="X33" s="75"/>
      <c r="Y33" s="75"/>
    </row>
    <row r="34" spans="2:25" ht="20.25" hidden="1" customHeight="1" x14ac:dyDescent="0.45">
      <c r="B34" s="86" t="s">
        <v>767</v>
      </c>
      <c r="C34" s="74" t="s">
        <v>768</v>
      </c>
      <c r="D34" s="74" t="s">
        <v>769</v>
      </c>
      <c r="E34" s="75">
        <v>1</v>
      </c>
      <c r="F34" s="74" t="s">
        <v>771</v>
      </c>
      <c r="G34" s="74" t="s">
        <v>772</v>
      </c>
      <c r="H34" s="74" t="s">
        <v>711</v>
      </c>
      <c r="I34" s="75">
        <v>6</v>
      </c>
      <c r="J34" s="60" t="s">
        <v>712</v>
      </c>
      <c r="K34" s="61"/>
      <c r="L34" s="61"/>
      <c r="M34" s="62" t="s">
        <v>773</v>
      </c>
      <c r="N34" s="62" t="s">
        <v>774</v>
      </c>
      <c r="O34" s="61"/>
      <c r="P34" s="60"/>
      <c r="Q34" s="75"/>
      <c r="R34" s="75"/>
      <c r="S34" s="75"/>
      <c r="T34" s="75"/>
      <c r="U34" s="75"/>
      <c r="V34" s="75"/>
      <c r="W34" s="75"/>
      <c r="X34" s="75"/>
      <c r="Y34" s="75"/>
    </row>
    <row r="35" spans="2:25" ht="20.25" hidden="1" customHeight="1" x14ac:dyDescent="0.45">
      <c r="B35" s="86" t="s">
        <v>767</v>
      </c>
      <c r="C35" s="74" t="s">
        <v>768</v>
      </c>
      <c r="D35" s="74" t="s">
        <v>769</v>
      </c>
      <c r="E35" s="75">
        <v>1</v>
      </c>
      <c r="F35" s="74" t="s">
        <v>775</v>
      </c>
      <c r="G35" s="74" t="s">
        <v>776</v>
      </c>
      <c r="H35" s="74" t="s">
        <v>777</v>
      </c>
      <c r="I35" s="75">
        <v>7</v>
      </c>
      <c r="J35" s="60" t="s">
        <v>685</v>
      </c>
      <c r="K35" s="61">
        <v>20</v>
      </c>
      <c r="L35" s="61"/>
      <c r="M35" s="62" t="s">
        <v>778</v>
      </c>
      <c r="N35" s="79"/>
      <c r="O35" s="61"/>
      <c r="P35" s="60"/>
      <c r="Q35" s="60"/>
      <c r="R35" s="60"/>
      <c r="S35" s="60"/>
      <c r="T35" s="60"/>
      <c r="U35" s="60"/>
      <c r="V35" s="60"/>
      <c r="W35" s="60"/>
      <c r="X35" s="60"/>
      <c r="Y35" s="60"/>
    </row>
    <row r="36" spans="2:25" ht="20.25" hidden="1" customHeight="1" x14ac:dyDescent="0.45">
      <c r="B36" s="86" t="s">
        <v>767</v>
      </c>
      <c r="C36" s="74" t="s">
        <v>768</v>
      </c>
      <c r="D36" s="74" t="s">
        <v>769</v>
      </c>
      <c r="E36" s="75">
        <v>1</v>
      </c>
      <c r="F36" s="74" t="s">
        <v>779</v>
      </c>
      <c r="G36" s="74" t="s">
        <v>780</v>
      </c>
      <c r="H36" s="74" t="s">
        <v>777</v>
      </c>
      <c r="I36" s="75">
        <v>8</v>
      </c>
      <c r="J36" s="60" t="s">
        <v>685</v>
      </c>
      <c r="K36" s="61">
        <v>30</v>
      </c>
      <c r="L36" s="61"/>
      <c r="M36" s="62" t="s">
        <v>781</v>
      </c>
      <c r="N36" s="79" t="s">
        <v>782</v>
      </c>
      <c r="O36" s="61"/>
      <c r="P36" s="60"/>
      <c r="Q36" s="61"/>
      <c r="R36" s="61"/>
      <c r="S36" s="61"/>
      <c r="T36" s="61"/>
      <c r="U36" s="61"/>
      <c r="V36" s="61"/>
      <c r="W36" s="61"/>
      <c r="X36" s="61"/>
      <c r="Y36" s="61"/>
    </row>
    <row r="37" spans="2:25" ht="20.25" hidden="1" customHeight="1" x14ac:dyDescent="0.45">
      <c r="B37" s="86" t="s">
        <v>767</v>
      </c>
      <c r="C37" s="74" t="s">
        <v>768</v>
      </c>
      <c r="D37" s="74" t="s">
        <v>769</v>
      </c>
      <c r="E37" s="75">
        <v>1</v>
      </c>
      <c r="F37" s="74" t="s">
        <v>783</v>
      </c>
      <c r="G37" s="74" t="s">
        <v>784</v>
      </c>
      <c r="H37" s="74" t="s">
        <v>785</v>
      </c>
      <c r="I37" s="75">
        <v>9</v>
      </c>
      <c r="J37" s="60" t="s">
        <v>685</v>
      </c>
      <c r="K37" s="61">
        <v>20</v>
      </c>
      <c r="L37" s="61"/>
      <c r="M37" s="62" t="s">
        <v>786</v>
      </c>
      <c r="N37" s="79" t="s">
        <v>787</v>
      </c>
      <c r="O37" s="61"/>
      <c r="P37" s="76" t="s">
        <v>788</v>
      </c>
      <c r="Q37" s="61"/>
      <c r="R37" s="61"/>
      <c r="S37" s="61"/>
      <c r="T37" s="61"/>
      <c r="U37" s="61"/>
      <c r="V37" s="61"/>
      <c r="W37" s="61"/>
      <c r="X37" s="61"/>
      <c r="Y37" s="61"/>
    </row>
    <row r="38" spans="2:25" ht="20.25" hidden="1" customHeight="1" x14ac:dyDescent="0.45">
      <c r="B38" s="86" t="s">
        <v>1021</v>
      </c>
      <c r="C38" s="74" t="s">
        <v>1022</v>
      </c>
      <c r="D38" s="74" t="s">
        <v>1021</v>
      </c>
      <c r="E38" s="75">
        <v>1</v>
      </c>
      <c r="F38" s="74" t="s">
        <v>789</v>
      </c>
      <c r="G38" s="74" t="s">
        <v>790</v>
      </c>
      <c r="H38" s="74" t="s">
        <v>785</v>
      </c>
      <c r="I38" s="75">
        <v>8</v>
      </c>
      <c r="J38" s="60" t="s">
        <v>748</v>
      </c>
      <c r="K38" s="61">
        <v>20</v>
      </c>
      <c r="L38" s="61">
        <v>0</v>
      </c>
      <c r="M38" s="62" t="s">
        <v>791</v>
      </c>
      <c r="N38" s="79" t="s">
        <v>792</v>
      </c>
      <c r="O38" s="61"/>
      <c r="P38" s="60" t="s">
        <v>793</v>
      </c>
      <c r="Q38" s="61"/>
      <c r="R38" s="61"/>
      <c r="S38" s="61"/>
      <c r="T38" s="61"/>
      <c r="U38" s="61"/>
      <c r="V38" s="61"/>
      <c r="W38" s="61"/>
      <c r="X38" s="61"/>
      <c r="Y38" s="61"/>
    </row>
    <row r="39" spans="2:25" ht="20.25" hidden="1" customHeight="1" x14ac:dyDescent="0.45">
      <c r="B39" s="86" t="s">
        <v>767</v>
      </c>
      <c r="C39" s="74" t="s">
        <v>768</v>
      </c>
      <c r="D39" s="74" t="s">
        <v>769</v>
      </c>
      <c r="E39" s="75">
        <v>1</v>
      </c>
      <c r="F39" s="74" t="s">
        <v>794</v>
      </c>
      <c r="G39" s="74" t="s">
        <v>795</v>
      </c>
      <c r="H39" s="74" t="s">
        <v>785</v>
      </c>
      <c r="I39" s="75">
        <v>11</v>
      </c>
      <c r="J39" s="60" t="s">
        <v>685</v>
      </c>
      <c r="K39" s="61">
        <v>4</v>
      </c>
      <c r="L39" s="61"/>
      <c r="M39" s="62" t="s">
        <v>796</v>
      </c>
      <c r="N39" s="79"/>
      <c r="O39" s="61"/>
      <c r="P39" s="60"/>
      <c r="Q39" s="60"/>
      <c r="R39" s="60"/>
      <c r="S39" s="60"/>
      <c r="T39" s="60"/>
      <c r="U39" s="60"/>
      <c r="V39" s="60"/>
      <c r="W39" s="60"/>
      <c r="X39" s="60"/>
      <c r="Y39" s="60"/>
    </row>
    <row r="40" spans="2:25" ht="20.25" hidden="1" customHeight="1" x14ac:dyDescent="0.45">
      <c r="B40" s="86" t="s">
        <v>767</v>
      </c>
      <c r="C40" s="74" t="s">
        <v>768</v>
      </c>
      <c r="D40" s="74" t="s">
        <v>769</v>
      </c>
      <c r="E40" s="75">
        <v>1</v>
      </c>
      <c r="F40" s="74" t="s">
        <v>797</v>
      </c>
      <c r="G40" s="74" t="s">
        <v>798</v>
      </c>
      <c r="H40" s="74" t="s">
        <v>799</v>
      </c>
      <c r="I40" s="75">
        <v>12</v>
      </c>
      <c r="J40" s="60" t="s">
        <v>685</v>
      </c>
      <c r="K40" s="61">
        <v>20</v>
      </c>
      <c r="L40" s="61"/>
      <c r="M40" s="62" t="s">
        <v>800</v>
      </c>
      <c r="N40" s="79" t="s">
        <v>801</v>
      </c>
      <c r="O40" s="61"/>
      <c r="P40" s="60" t="s">
        <v>802</v>
      </c>
      <c r="Q40" s="61"/>
      <c r="R40" s="61"/>
      <c r="S40" s="61"/>
      <c r="T40" s="61"/>
      <c r="U40" s="61"/>
      <c r="V40" s="61"/>
      <c r="W40" s="61"/>
      <c r="X40" s="61"/>
      <c r="Y40" s="61"/>
    </row>
    <row r="41" spans="2:25" ht="20.25" hidden="1" customHeight="1" x14ac:dyDescent="0.45">
      <c r="B41" s="86" t="s">
        <v>767</v>
      </c>
      <c r="C41" s="74" t="s">
        <v>768</v>
      </c>
      <c r="D41" s="74" t="s">
        <v>769</v>
      </c>
      <c r="E41" s="75">
        <v>1</v>
      </c>
      <c r="F41" s="74" t="s">
        <v>803</v>
      </c>
      <c r="G41" s="74" t="s">
        <v>804</v>
      </c>
      <c r="H41" s="74" t="s">
        <v>799</v>
      </c>
      <c r="I41" s="75">
        <v>13</v>
      </c>
      <c r="J41" s="60" t="s">
        <v>748</v>
      </c>
      <c r="K41" s="61">
        <v>15</v>
      </c>
      <c r="L41" s="61">
        <v>6</v>
      </c>
      <c r="M41" s="62" t="s">
        <v>805</v>
      </c>
      <c r="N41" s="79" t="s">
        <v>806</v>
      </c>
      <c r="O41" s="61"/>
      <c r="P41" s="60"/>
      <c r="Q41" s="61"/>
      <c r="R41" s="61"/>
      <c r="S41" s="61"/>
      <c r="T41" s="61"/>
      <c r="U41" s="61"/>
      <c r="V41" s="61"/>
      <c r="W41" s="61"/>
      <c r="X41" s="61"/>
      <c r="Y41" s="61"/>
    </row>
    <row r="42" spans="2:25" ht="20.25" hidden="1" customHeight="1" x14ac:dyDescent="0.45">
      <c r="B42" s="86" t="s">
        <v>767</v>
      </c>
      <c r="C42" s="74" t="s">
        <v>768</v>
      </c>
      <c r="D42" s="74" t="s">
        <v>769</v>
      </c>
      <c r="E42" s="75">
        <v>1</v>
      </c>
      <c r="F42" s="74" t="s">
        <v>807</v>
      </c>
      <c r="G42" s="74" t="s">
        <v>808</v>
      </c>
      <c r="H42" s="74" t="s">
        <v>799</v>
      </c>
      <c r="I42" s="75">
        <v>14</v>
      </c>
      <c r="J42" s="60" t="s">
        <v>748</v>
      </c>
      <c r="K42" s="61">
        <v>15</v>
      </c>
      <c r="L42" s="61">
        <v>6</v>
      </c>
      <c r="M42" s="62" t="s">
        <v>809</v>
      </c>
      <c r="N42" s="79" t="s">
        <v>810</v>
      </c>
      <c r="O42" s="61"/>
      <c r="P42" s="60"/>
      <c r="Q42" s="61"/>
      <c r="R42" s="61"/>
      <c r="S42" s="61"/>
      <c r="T42" s="61"/>
      <c r="U42" s="61"/>
      <c r="V42" s="61"/>
      <c r="W42" s="61"/>
      <c r="X42" s="61"/>
      <c r="Y42" s="61"/>
    </row>
    <row r="43" spans="2:25" ht="20.25" hidden="1" customHeight="1" x14ac:dyDescent="0.45">
      <c r="B43" s="86" t="s">
        <v>767</v>
      </c>
      <c r="C43" s="74" t="s">
        <v>768</v>
      </c>
      <c r="D43" s="74" t="s">
        <v>769</v>
      </c>
      <c r="E43" s="75">
        <v>1</v>
      </c>
      <c r="F43" s="74" t="s">
        <v>811</v>
      </c>
      <c r="G43" s="74" t="s">
        <v>812</v>
      </c>
      <c r="H43" s="74" t="s">
        <v>799</v>
      </c>
      <c r="I43" s="75">
        <v>15</v>
      </c>
      <c r="J43" s="60" t="s">
        <v>748</v>
      </c>
      <c r="K43" s="61">
        <v>23</v>
      </c>
      <c r="L43" s="61">
        <v>6</v>
      </c>
      <c r="M43" s="62" t="s">
        <v>813</v>
      </c>
      <c r="N43" s="79"/>
      <c r="O43" s="61"/>
      <c r="P43" s="60"/>
      <c r="Q43" s="60"/>
      <c r="R43" s="60"/>
      <c r="S43" s="60"/>
      <c r="T43" s="60"/>
      <c r="U43" s="60"/>
      <c r="V43" s="60"/>
      <c r="W43" s="60"/>
      <c r="X43" s="60"/>
      <c r="Y43" s="60"/>
    </row>
    <row r="44" spans="2:25" ht="20.25" hidden="1" customHeight="1" x14ac:dyDescent="0.45">
      <c r="B44" s="86" t="s">
        <v>767</v>
      </c>
      <c r="C44" s="74" t="s">
        <v>768</v>
      </c>
      <c r="D44" s="74" t="s">
        <v>769</v>
      </c>
      <c r="E44" s="75">
        <v>1</v>
      </c>
      <c r="F44" s="74" t="s">
        <v>814</v>
      </c>
      <c r="G44" s="74" t="s">
        <v>815</v>
      </c>
      <c r="H44" s="74" t="s">
        <v>799</v>
      </c>
      <c r="I44" s="75">
        <v>16</v>
      </c>
      <c r="J44" s="60" t="s">
        <v>748</v>
      </c>
      <c r="K44" s="61">
        <v>23</v>
      </c>
      <c r="L44" s="61">
        <v>6</v>
      </c>
      <c r="M44" s="62" t="s">
        <v>816</v>
      </c>
      <c r="N44" s="79" t="s">
        <v>817</v>
      </c>
      <c r="O44" s="61"/>
      <c r="P44" s="60"/>
      <c r="Q44" s="61"/>
      <c r="R44" s="61"/>
      <c r="S44" s="61"/>
      <c r="T44" s="61"/>
      <c r="U44" s="61"/>
      <c r="V44" s="61"/>
      <c r="W44" s="61"/>
      <c r="X44" s="61"/>
      <c r="Y44" s="61"/>
    </row>
    <row r="45" spans="2:25" ht="20.25" hidden="1" customHeight="1" x14ac:dyDescent="0.45">
      <c r="B45" s="86" t="s">
        <v>767</v>
      </c>
      <c r="C45" s="74" t="s">
        <v>768</v>
      </c>
      <c r="D45" s="74" t="s">
        <v>769</v>
      </c>
      <c r="E45" s="75">
        <v>1</v>
      </c>
      <c r="F45" s="74" t="s">
        <v>732</v>
      </c>
      <c r="G45" s="74" t="s">
        <v>732</v>
      </c>
      <c r="H45" s="74" t="s">
        <v>733</v>
      </c>
      <c r="I45" s="75">
        <v>17</v>
      </c>
      <c r="J45" s="60" t="s">
        <v>685</v>
      </c>
      <c r="K45" s="61">
        <v>10</v>
      </c>
      <c r="L45" s="61"/>
      <c r="M45" s="62" t="s">
        <v>734</v>
      </c>
      <c r="N45" s="79" t="s">
        <v>765</v>
      </c>
      <c r="O45" s="61" t="s">
        <v>688</v>
      </c>
      <c r="P45" s="60"/>
      <c r="Q45" s="61"/>
      <c r="R45" s="61"/>
      <c r="S45" s="61"/>
      <c r="T45" s="61"/>
      <c r="U45" s="61"/>
      <c r="V45" s="61"/>
      <c r="W45" s="61"/>
      <c r="X45" s="61"/>
      <c r="Y45" s="61"/>
    </row>
    <row r="46" spans="2:25" ht="20.25" hidden="1" customHeight="1" x14ac:dyDescent="0.45">
      <c r="B46" s="86" t="s">
        <v>767</v>
      </c>
      <c r="C46" s="74" t="s">
        <v>768</v>
      </c>
      <c r="D46" s="74" t="s">
        <v>769</v>
      </c>
      <c r="E46" s="75">
        <v>1</v>
      </c>
      <c r="F46" s="74" t="s">
        <v>736</v>
      </c>
      <c r="G46" s="74" t="s">
        <v>736</v>
      </c>
      <c r="H46" s="74" t="s">
        <v>818</v>
      </c>
      <c r="I46" s="75">
        <v>18</v>
      </c>
      <c r="J46" s="60" t="s">
        <v>737</v>
      </c>
      <c r="K46" s="61"/>
      <c r="L46" s="61"/>
      <c r="M46" s="62" t="s">
        <v>738</v>
      </c>
      <c r="N46" s="79" t="s">
        <v>739</v>
      </c>
      <c r="O46" s="61"/>
      <c r="P46" s="60"/>
      <c r="Q46" s="61"/>
      <c r="R46" s="61"/>
      <c r="S46" s="61"/>
      <c r="T46" s="61"/>
      <c r="U46" s="61"/>
      <c r="V46" s="61"/>
      <c r="W46" s="61"/>
      <c r="X46" s="61"/>
      <c r="Y46" s="61"/>
    </row>
    <row r="47" spans="2:25" ht="20.25" hidden="1" customHeight="1" x14ac:dyDescent="0.45">
      <c r="B47" s="86" t="s">
        <v>767</v>
      </c>
      <c r="C47" s="74" t="s">
        <v>819</v>
      </c>
      <c r="D47" s="74" t="s">
        <v>820</v>
      </c>
      <c r="E47" s="75">
        <v>2</v>
      </c>
      <c r="F47" s="74" t="s">
        <v>682</v>
      </c>
      <c r="G47" s="74" t="s">
        <v>683</v>
      </c>
      <c r="H47" s="74" t="s">
        <v>684</v>
      </c>
      <c r="I47" s="75">
        <v>1</v>
      </c>
      <c r="J47" s="60" t="s">
        <v>685</v>
      </c>
      <c r="K47" s="61">
        <v>20</v>
      </c>
      <c r="L47" s="61"/>
      <c r="M47" s="62" t="s">
        <v>686</v>
      </c>
      <c r="N47" s="79" t="s">
        <v>687</v>
      </c>
      <c r="O47" s="61" t="s">
        <v>688</v>
      </c>
      <c r="P47" s="60"/>
      <c r="Q47" s="61"/>
      <c r="R47" s="61"/>
      <c r="S47" s="61"/>
      <c r="T47" s="61"/>
      <c r="U47" s="61"/>
      <c r="V47" s="61"/>
      <c r="W47" s="61"/>
      <c r="X47" s="61"/>
      <c r="Y47" s="61"/>
    </row>
    <row r="48" spans="2:25" ht="20.25" hidden="1" customHeight="1" x14ac:dyDescent="0.45">
      <c r="B48" s="86" t="s">
        <v>767</v>
      </c>
      <c r="C48" s="74" t="s">
        <v>819</v>
      </c>
      <c r="D48" s="74" t="s">
        <v>820</v>
      </c>
      <c r="E48" s="75">
        <v>2</v>
      </c>
      <c r="F48" s="74" t="s">
        <v>689</v>
      </c>
      <c r="G48" s="74" t="s">
        <v>690</v>
      </c>
      <c r="H48" s="74" t="s">
        <v>684</v>
      </c>
      <c r="I48" s="75">
        <v>2</v>
      </c>
      <c r="J48" s="60" t="s">
        <v>685</v>
      </c>
      <c r="K48" s="61">
        <v>30</v>
      </c>
      <c r="L48" s="61"/>
      <c r="M48" s="62" t="s">
        <v>691</v>
      </c>
      <c r="N48" s="79" t="s">
        <v>692</v>
      </c>
      <c r="O48" s="61" t="s">
        <v>688</v>
      </c>
      <c r="P48" s="60"/>
      <c r="Q48" s="61"/>
      <c r="R48" s="61"/>
      <c r="S48" s="61"/>
      <c r="T48" s="61"/>
      <c r="U48" s="61"/>
      <c r="V48" s="61"/>
      <c r="W48" s="61"/>
      <c r="X48" s="61"/>
      <c r="Y48" s="61"/>
    </row>
    <row r="49" spans="2:25" ht="20.25" hidden="1" customHeight="1" x14ac:dyDescent="0.45">
      <c r="B49" s="86" t="s">
        <v>767</v>
      </c>
      <c r="C49" s="74" t="s">
        <v>819</v>
      </c>
      <c r="D49" s="74" t="s">
        <v>820</v>
      </c>
      <c r="E49" s="75">
        <v>2</v>
      </c>
      <c r="F49" s="74" t="s">
        <v>821</v>
      </c>
      <c r="G49" s="74" t="s">
        <v>822</v>
      </c>
      <c r="H49" s="74" t="s">
        <v>684</v>
      </c>
      <c r="I49" s="75">
        <v>3</v>
      </c>
      <c r="J49" s="60" t="s">
        <v>685</v>
      </c>
      <c r="K49" s="61">
        <v>20</v>
      </c>
      <c r="L49" s="61"/>
      <c r="M49" s="62" t="s">
        <v>823</v>
      </c>
      <c r="N49" s="62" t="s">
        <v>824</v>
      </c>
      <c r="O49" s="61" t="s">
        <v>688</v>
      </c>
      <c r="P49" s="60" t="s">
        <v>825</v>
      </c>
      <c r="Q49" s="61"/>
      <c r="R49" s="61"/>
      <c r="S49" s="61"/>
      <c r="T49" s="61"/>
      <c r="U49" s="61"/>
      <c r="V49" s="61"/>
      <c r="W49" s="61"/>
      <c r="X49" s="61"/>
      <c r="Y49" s="61"/>
    </row>
    <row r="50" spans="2:25" ht="20.25" hidden="1" customHeight="1" x14ac:dyDescent="0.45">
      <c r="B50" s="86" t="s">
        <v>767</v>
      </c>
      <c r="C50" s="74" t="s">
        <v>819</v>
      </c>
      <c r="D50" s="74" t="s">
        <v>820</v>
      </c>
      <c r="E50" s="75">
        <v>2</v>
      </c>
      <c r="F50" s="74" t="s">
        <v>826</v>
      </c>
      <c r="G50" s="74" t="s">
        <v>827</v>
      </c>
      <c r="H50" s="74" t="s">
        <v>684</v>
      </c>
      <c r="I50" s="75">
        <v>4</v>
      </c>
      <c r="J50" s="60" t="s">
        <v>737</v>
      </c>
      <c r="K50" s="61"/>
      <c r="L50" s="61"/>
      <c r="M50" s="62" t="s">
        <v>828</v>
      </c>
      <c r="N50" s="62" t="s">
        <v>829</v>
      </c>
      <c r="O50" s="61" t="s">
        <v>688</v>
      </c>
      <c r="P50" s="60"/>
      <c r="Q50" s="75"/>
      <c r="R50" s="75"/>
      <c r="S50" s="75"/>
      <c r="T50" s="75"/>
      <c r="U50" s="75"/>
      <c r="V50" s="75"/>
      <c r="W50" s="75"/>
      <c r="X50" s="75"/>
      <c r="Y50" s="75"/>
    </row>
    <row r="51" spans="2:25" ht="20.25" hidden="1" customHeight="1" x14ac:dyDescent="0.45">
      <c r="B51" s="86" t="s">
        <v>767</v>
      </c>
      <c r="C51" s="74" t="s">
        <v>819</v>
      </c>
      <c r="D51" s="74" t="s">
        <v>820</v>
      </c>
      <c r="E51" s="75">
        <v>2</v>
      </c>
      <c r="F51" s="74" t="s">
        <v>830</v>
      </c>
      <c r="G51" s="74" t="s">
        <v>831</v>
      </c>
      <c r="H51" s="74" t="s">
        <v>799</v>
      </c>
      <c r="I51" s="75">
        <v>5</v>
      </c>
      <c r="J51" s="60" t="s">
        <v>685</v>
      </c>
      <c r="K51" s="61">
        <v>20</v>
      </c>
      <c r="L51" s="61"/>
      <c r="M51" s="62" t="s">
        <v>800</v>
      </c>
      <c r="N51" s="62" t="s">
        <v>801</v>
      </c>
      <c r="O51" s="61"/>
      <c r="P51" s="60" t="s">
        <v>802</v>
      </c>
      <c r="Q51" s="75"/>
      <c r="R51" s="75"/>
      <c r="S51" s="75"/>
      <c r="T51" s="75"/>
      <c r="U51" s="75"/>
      <c r="V51" s="75"/>
      <c r="W51" s="75"/>
      <c r="X51" s="75"/>
      <c r="Y51" s="75"/>
    </row>
    <row r="52" spans="2:25" ht="20.25" hidden="1" customHeight="1" x14ac:dyDescent="0.45">
      <c r="B52" s="86" t="s">
        <v>767</v>
      </c>
      <c r="C52" s="74" t="s">
        <v>819</v>
      </c>
      <c r="D52" s="74" t="s">
        <v>820</v>
      </c>
      <c r="E52" s="75">
        <v>2</v>
      </c>
      <c r="F52" s="74" t="s">
        <v>832</v>
      </c>
      <c r="G52" s="74" t="s">
        <v>833</v>
      </c>
      <c r="H52" s="74" t="s">
        <v>799</v>
      </c>
      <c r="I52" s="75">
        <v>6</v>
      </c>
      <c r="J52" s="60" t="s">
        <v>748</v>
      </c>
      <c r="K52" s="61">
        <v>23</v>
      </c>
      <c r="L52" s="61">
        <v>6</v>
      </c>
      <c r="M52" s="62" t="s">
        <v>834</v>
      </c>
      <c r="N52" s="62" t="s">
        <v>835</v>
      </c>
      <c r="O52" s="61"/>
      <c r="P52" s="60"/>
      <c r="Q52" s="75"/>
      <c r="R52" s="75"/>
      <c r="S52" s="75"/>
      <c r="T52" s="75"/>
      <c r="U52" s="75"/>
      <c r="V52" s="75"/>
      <c r="W52" s="75"/>
      <c r="X52" s="75"/>
      <c r="Y52" s="75"/>
    </row>
    <row r="53" spans="2:25" ht="20.25" hidden="1" customHeight="1" x14ac:dyDescent="0.45">
      <c r="B53" s="86" t="s">
        <v>767</v>
      </c>
      <c r="C53" s="74" t="s">
        <v>819</v>
      </c>
      <c r="D53" s="74" t="s">
        <v>820</v>
      </c>
      <c r="E53" s="75">
        <v>2</v>
      </c>
      <c r="F53" s="74" t="s">
        <v>732</v>
      </c>
      <c r="G53" s="74" t="s">
        <v>732</v>
      </c>
      <c r="H53" s="74" t="s">
        <v>733</v>
      </c>
      <c r="I53" s="75">
        <v>7</v>
      </c>
      <c r="J53" s="60" t="s">
        <v>685</v>
      </c>
      <c r="K53" s="61">
        <v>10</v>
      </c>
      <c r="L53" s="61"/>
      <c r="M53" s="62" t="s">
        <v>734</v>
      </c>
      <c r="N53" s="62" t="s">
        <v>765</v>
      </c>
      <c r="O53" s="61" t="s">
        <v>688</v>
      </c>
      <c r="P53" s="60"/>
      <c r="Q53" s="75"/>
      <c r="R53" s="75"/>
      <c r="S53" s="75"/>
      <c r="T53" s="75"/>
      <c r="U53" s="75"/>
      <c r="V53" s="75"/>
      <c r="W53" s="75"/>
      <c r="X53" s="75"/>
      <c r="Y53" s="75"/>
    </row>
    <row r="54" spans="2:25" ht="20.25" hidden="1" customHeight="1" x14ac:dyDescent="0.45">
      <c r="B54" s="86" t="s">
        <v>767</v>
      </c>
      <c r="C54" s="74" t="s">
        <v>819</v>
      </c>
      <c r="D54" s="74" t="s">
        <v>820</v>
      </c>
      <c r="E54" s="75">
        <v>2</v>
      </c>
      <c r="F54" s="74" t="s">
        <v>736</v>
      </c>
      <c r="G54" s="74" t="s">
        <v>736</v>
      </c>
      <c r="H54" s="74" t="s">
        <v>717</v>
      </c>
      <c r="I54" s="75">
        <v>8</v>
      </c>
      <c r="J54" s="60" t="s">
        <v>737</v>
      </c>
      <c r="K54" s="61"/>
      <c r="L54" s="61"/>
      <c r="M54" s="62" t="s">
        <v>738</v>
      </c>
      <c r="N54" s="62" t="s">
        <v>739</v>
      </c>
      <c r="O54" s="61"/>
      <c r="P54" s="60"/>
      <c r="Q54" s="75"/>
      <c r="R54" s="75"/>
      <c r="S54" s="75"/>
      <c r="T54" s="75"/>
      <c r="U54" s="75"/>
      <c r="V54" s="75"/>
      <c r="W54" s="75"/>
      <c r="X54" s="75"/>
      <c r="Y54" s="75"/>
    </row>
    <row r="55" spans="2:25" ht="20.25" hidden="1" customHeight="1" x14ac:dyDescent="0.45">
      <c r="B55" s="86" t="s">
        <v>767</v>
      </c>
      <c r="C55" s="74" t="s">
        <v>836</v>
      </c>
      <c r="D55" s="74" t="s">
        <v>837</v>
      </c>
      <c r="E55" s="75">
        <v>3</v>
      </c>
      <c r="F55" s="74" t="s">
        <v>682</v>
      </c>
      <c r="G55" s="74" t="s">
        <v>683</v>
      </c>
      <c r="H55" s="74" t="s">
        <v>684</v>
      </c>
      <c r="I55" s="75">
        <v>1</v>
      </c>
      <c r="J55" s="60" t="s">
        <v>685</v>
      </c>
      <c r="K55" s="61">
        <v>20</v>
      </c>
      <c r="L55" s="61"/>
      <c r="M55" s="62" t="s">
        <v>686</v>
      </c>
      <c r="N55" s="62"/>
      <c r="O55" s="61" t="s">
        <v>688</v>
      </c>
      <c r="P55" s="60"/>
      <c r="Q55" s="71"/>
      <c r="R55" s="71"/>
      <c r="S55" s="71"/>
      <c r="T55" s="71"/>
      <c r="U55" s="71"/>
      <c r="V55" s="71"/>
      <c r="W55" s="71"/>
      <c r="X55" s="71"/>
      <c r="Y55" s="71"/>
    </row>
    <row r="56" spans="2:25" ht="20.25" hidden="1" customHeight="1" x14ac:dyDescent="0.45">
      <c r="B56" s="86" t="s">
        <v>767</v>
      </c>
      <c r="C56" s="74" t="s">
        <v>836</v>
      </c>
      <c r="D56" s="74" t="s">
        <v>837</v>
      </c>
      <c r="E56" s="75">
        <v>3</v>
      </c>
      <c r="F56" s="74" t="s">
        <v>689</v>
      </c>
      <c r="G56" s="74" t="s">
        <v>690</v>
      </c>
      <c r="H56" s="74" t="s">
        <v>684</v>
      </c>
      <c r="I56" s="75">
        <v>2</v>
      </c>
      <c r="J56" s="60" t="s">
        <v>685</v>
      </c>
      <c r="K56" s="61">
        <v>30</v>
      </c>
      <c r="L56" s="61"/>
      <c r="M56" s="62" t="s">
        <v>691</v>
      </c>
      <c r="N56" s="62"/>
      <c r="O56" s="61" t="s">
        <v>688</v>
      </c>
      <c r="P56" s="60"/>
      <c r="Q56" s="71"/>
      <c r="R56" s="71"/>
      <c r="S56" s="71"/>
      <c r="T56" s="71"/>
      <c r="U56" s="71"/>
      <c r="V56" s="71"/>
      <c r="W56" s="71"/>
      <c r="X56" s="71"/>
      <c r="Y56" s="71"/>
    </row>
    <row r="57" spans="2:25" ht="20.25" hidden="1" customHeight="1" x14ac:dyDescent="0.45">
      <c r="B57" s="86" t="s">
        <v>767</v>
      </c>
      <c r="C57" s="74" t="s">
        <v>836</v>
      </c>
      <c r="D57" s="74" t="s">
        <v>837</v>
      </c>
      <c r="E57" s="75">
        <v>3</v>
      </c>
      <c r="F57" s="74" t="s">
        <v>704</v>
      </c>
      <c r="G57" s="74" t="s">
        <v>705</v>
      </c>
      <c r="H57" s="74" t="s">
        <v>695</v>
      </c>
      <c r="I57" s="75">
        <v>3</v>
      </c>
      <c r="J57" s="60" t="s">
        <v>685</v>
      </c>
      <c r="K57" s="61">
        <v>20</v>
      </c>
      <c r="L57" s="61"/>
      <c r="M57" s="62" t="s">
        <v>706</v>
      </c>
      <c r="N57" s="62"/>
      <c r="O57" s="61"/>
      <c r="P57" s="60"/>
      <c r="Q57" s="71"/>
      <c r="R57" s="71"/>
      <c r="S57" s="71"/>
      <c r="T57" s="71"/>
      <c r="U57" s="71"/>
      <c r="V57" s="71"/>
      <c r="W57" s="71"/>
      <c r="X57" s="71"/>
      <c r="Y57" s="71"/>
    </row>
    <row r="58" spans="2:25" ht="20.25" hidden="1" customHeight="1" x14ac:dyDescent="0.45">
      <c r="B58" s="86" t="s">
        <v>767</v>
      </c>
      <c r="C58" s="74" t="s">
        <v>836</v>
      </c>
      <c r="D58" s="74" t="s">
        <v>837</v>
      </c>
      <c r="E58" s="75">
        <v>3</v>
      </c>
      <c r="F58" s="74" t="s">
        <v>838</v>
      </c>
      <c r="G58" s="74" t="s">
        <v>839</v>
      </c>
      <c r="H58" s="74" t="s">
        <v>711</v>
      </c>
      <c r="I58" s="75">
        <v>4</v>
      </c>
      <c r="J58" s="60" t="s">
        <v>712</v>
      </c>
      <c r="K58" s="61"/>
      <c r="L58" s="61"/>
      <c r="M58" s="62" t="s">
        <v>840</v>
      </c>
      <c r="N58" s="62"/>
      <c r="O58" s="61"/>
      <c r="P58" s="60"/>
      <c r="Q58" s="71"/>
      <c r="R58" s="71"/>
      <c r="S58" s="71"/>
      <c r="T58" s="71"/>
      <c r="U58" s="71"/>
      <c r="V58" s="71"/>
      <c r="W58" s="71"/>
      <c r="X58" s="71"/>
      <c r="Y58" s="71"/>
    </row>
    <row r="59" spans="2:25" ht="20.25" hidden="1" customHeight="1" x14ac:dyDescent="0.45">
      <c r="B59" s="86" t="s">
        <v>767</v>
      </c>
      <c r="C59" s="74" t="s">
        <v>836</v>
      </c>
      <c r="D59" s="74" t="s">
        <v>837</v>
      </c>
      <c r="E59" s="75">
        <v>3</v>
      </c>
      <c r="F59" s="74" t="s">
        <v>841</v>
      </c>
      <c r="G59" s="74" t="s">
        <v>842</v>
      </c>
      <c r="H59" s="74" t="s">
        <v>777</v>
      </c>
      <c r="I59" s="75">
        <v>6</v>
      </c>
      <c r="J59" s="60" t="s">
        <v>685</v>
      </c>
      <c r="K59" s="61">
        <v>20</v>
      </c>
      <c r="L59" s="61"/>
      <c r="M59" s="62" t="s">
        <v>843</v>
      </c>
      <c r="N59" s="62"/>
      <c r="O59" s="61"/>
      <c r="P59" s="60"/>
      <c r="Q59" s="71"/>
      <c r="R59" s="71"/>
      <c r="S59" s="71"/>
      <c r="T59" s="71"/>
      <c r="U59" s="71"/>
      <c r="V59" s="71"/>
      <c r="W59" s="71"/>
      <c r="X59" s="71"/>
      <c r="Y59" s="71"/>
    </row>
    <row r="60" spans="2:25" ht="20.25" hidden="1" customHeight="1" x14ac:dyDescent="0.45">
      <c r="B60" s="86" t="s">
        <v>767</v>
      </c>
      <c r="C60" s="74" t="s">
        <v>836</v>
      </c>
      <c r="D60" s="74" t="s">
        <v>837</v>
      </c>
      <c r="E60" s="75">
        <v>3</v>
      </c>
      <c r="F60" s="74" t="s">
        <v>844</v>
      </c>
      <c r="G60" s="74" t="s">
        <v>845</v>
      </c>
      <c r="H60" s="74" t="s">
        <v>777</v>
      </c>
      <c r="I60" s="75">
        <v>7</v>
      </c>
      <c r="J60" s="60" t="s">
        <v>685</v>
      </c>
      <c r="K60" s="61">
        <v>20</v>
      </c>
      <c r="L60" s="61"/>
      <c r="M60" s="62" t="s">
        <v>846</v>
      </c>
      <c r="N60" s="62"/>
      <c r="O60" s="61"/>
      <c r="P60" s="60"/>
      <c r="Q60" s="71"/>
      <c r="R60" s="71"/>
      <c r="S60" s="71"/>
      <c r="T60" s="71"/>
      <c r="U60" s="71"/>
      <c r="V60" s="71"/>
      <c r="W60" s="71"/>
      <c r="X60" s="71"/>
      <c r="Y60" s="71"/>
    </row>
    <row r="61" spans="2:25" ht="20.25" hidden="1" customHeight="1" x14ac:dyDescent="0.45">
      <c r="B61" s="86" t="s">
        <v>767</v>
      </c>
      <c r="C61" s="74" t="s">
        <v>836</v>
      </c>
      <c r="D61" s="74" t="s">
        <v>837</v>
      </c>
      <c r="E61" s="75">
        <v>3</v>
      </c>
      <c r="F61" s="74" t="s">
        <v>847</v>
      </c>
      <c r="G61" s="74" t="s">
        <v>848</v>
      </c>
      <c r="H61" s="74" t="s">
        <v>777</v>
      </c>
      <c r="I61" s="75">
        <v>8</v>
      </c>
      <c r="J61" s="60" t="s">
        <v>685</v>
      </c>
      <c r="K61" s="61">
        <v>30</v>
      </c>
      <c r="L61" s="61"/>
      <c r="M61" s="62" t="s">
        <v>849</v>
      </c>
      <c r="N61" s="62"/>
      <c r="O61" s="61"/>
      <c r="P61" s="60"/>
      <c r="Q61" s="71"/>
      <c r="R61" s="71"/>
      <c r="S61" s="71"/>
      <c r="T61" s="71"/>
      <c r="U61" s="71"/>
      <c r="V61" s="71"/>
      <c r="W61" s="71"/>
      <c r="X61" s="71"/>
      <c r="Y61" s="71"/>
    </row>
    <row r="62" spans="2:25" ht="20.25" hidden="1" customHeight="1" x14ac:dyDescent="0.45">
      <c r="B62" s="86" t="s">
        <v>767</v>
      </c>
      <c r="C62" s="74" t="s">
        <v>836</v>
      </c>
      <c r="D62" s="74" t="s">
        <v>837</v>
      </c>
      <c r="E62" s="75">
        <v>3</v>
      </c>
      <c r="F62" s="74" t="s">
        <v>850</v>
      </c>
      <c r="G62" s="74" t="s">
        <v>851</v>
      </c>
      <c r="H62" s="74" t="s">
        <v>777</v>
      </c>
      <c r="I62" s="75">
        <v>9</v>
      </c>
      <c r="J62" s="60" t="s">
        <v>685</v>
      </c>
      <c r="K62" s="61">
        <v>10</v>
      </c>
      <c r="L62" s="61"/>
      <c r="M62" s="62" t="s">
        <v>852</v>
      </c>
      <c r="N62" s="62" t="s">
        <v>853</v>
      </c>
      <c r="O62" s="61"/>
      <c r="P62" s="60"/>
      <c r="Q62" s="75"/>
      <c r="R62" s="75"/>
      <c r="S62" s="75"/>
      <c r="T62" s="75"/>
      <c r="U62" s="75"/>
      <c r="V62" s="75"/>
      <c r="W62" s="75"/>
      <c r="X62" s="75"/>
      <c r="Y62" s="75"/>
    </row>
    <row r="63" spans="2:25" ht="20.25" hidden="1" customHeight="1" x14ac:dyDescent="0.45">
      <c r="B63" s="86" t="s">
        <v>767</v>
      </c>
      <c r="C63" s="74" t="s">
        <v>836</v>
      </c>
      <c r="D63" s="74" t="s">
        <v>837</v>
      </c>
      <c r="E63" s="75">
        <v>3</v>
      </c>
      <c r="F63" s="74" t="s">
        <v>854</v>
      </c>
      <c r="G63" s="74" t="s">
        <v>855</v>
      </c>
      <c r="H63" s="74" t="s">
        <v>785</v>
      </c>
      <c r="I63" s="75">
        <v>10</v>
      </c>
      <c r="J63" s="60" t="s">
        <v>685</v>
      </c>
      <c r="K63" s="61">
        <v>20</v>
      </c>
      <c r="L63" s="61"/>
      <c r="M63" s="62" t="s">
        <v>856</v>
      </c>
      <c r="N63" s="62"/>
      <c r="O63" s="61"/>
      <c r="P63" s="60"/>
      <c r="Q63" s="71"/>
      <c r="R63" s="71"/>
      <c r="S63" s="71"/>
      <c r="T63" s="71"/>
      <c r="U63" s="71"/>
      <c r="V63" s="71"/>
      <c r="W63" s="71"/>
      <c r="X63" s="71"/>
      <c r="Y63" s="71"/>
    </row>
    <row r="64" spans="2:25" ht="20.25" hidden="1" customHeight="1" x14ac:dyDescent="0.45">
      <c r="B64" s="86" t="s">
        <v>767</v>
      </c>
      <c r="C64" s="74" t="s">
        <v>836</v>
      </c>
      <c r="D64" s="74" t="s">
        <v>837</v>
      </c>
      <c r="E64" s="75">
        <v>3</v>
      </c>
      <c r="F64" s="74" t="s">
        <v>857</v>
      </c>
      <c r="G64" s="74" t="s">
        <v>858</v>
      </c>
      <c r="H64" s="74" t="s">
        <v>799</v>
      </c>
      <c r="I64" s="75">
        <v>11</v>
      </c>
      <c r="J64" s="60" t="s">
        <v>685</v>
      </c>
      <c r="K64" s="61">
        <v>20</v>
      </c>
      <c r="L64" s="61"/>
      <c r="M64" s="62" t="s">
        <v>800</v>
      </c>
      <c r="N64" s="62"/>
      <c r="O64" s="61"/>
      <c r="P64" s="60"/>
      <c r="Q64" s="71"/>
      <c r="R64" s="71"/>
      <c r="S64" s="71"/>
      <c r="T64" s="71"/>
      <c r="U64" s="71"/>
      <c r="V64" s="71"/>
      <c r="W64" s="71"/>
      <c r="X64" s="71"/>
      <c r="Y64" s="71"/>
    </row>
    <row r="65" spans="2:25" ht="20.25" hidden="1" customHeight="1" x14ac:dyDescent="0.45">
      <c r="B65" s="86" t="s">
        <v>767</v>
      </c>
      <c r="C65" s="74" t="s">
        <v>836</v>
      </c>
      <c r="D65" s="74" t="s">
        <v>837</v>
      </c>
      <c r="E65" s="75">
        <v>3</v>
      </c>
      <c r="F65" s="74" t="s">
        <v>807</v>
      </c>
      <c r="G65" s="74" t="s">
        <v>808</v>
      </c>
      <c r="H65" s="74" t="s">
        <v>799</v>
      </c>
      <c r="I65" s="75">
        <v>13</v>
      </c>
      <c r="J65" s="60" t="s">
        <v>748</v>
      </c>
      <c r="K65" s="61">
        <v>15</v>
      </c>
      <c r="L65" s="61">
        <v>6</v>
      </c>
      <c r="M65" s="62" t="s">
        <v>809</v>
      </c>
      <c r="N65" s="62"/>
      <c r="O65" s="61"/>
      <c r="P65" s="71"/>
      <c r="Q65" s="71"/>
      <c r="R65" s="71"/>
      <c r="S65" s="71"/>
      <c r="T65" s="71"/>
      <c r="U65" s="71"/>
      <c r="V65" s="71"/>
      <c r="W65" s="71"/>
      <c r="X65" s="71"/>
      <c r="Y65" s="71"/>
    </row>
    <row r="66" spans="2:25" ht="20.25" hidden="1" customHeight="1" x14ac:dyDescent="0.45">
      <c r="B66" s="86" t="s">
        <v>767</v>
      </c>
      <c r="C66" s="74" t="s">
        <v>836</v>
      </c>
      <c r="D66" s="74" t="s">
        <v>837</v>
      </c>
      <c r="E66" s="75">
        <v>3</v>
      </c>
      <c r="F66" s="74" t="s">
        <v>803</v>
      </c>
      <c r="G66" s="74" t="s">
        <v>804</v>
      </c>
      <c r="H66" s="74" t="s">
        <v>799</v>
      </c>
      <c r="I66" s="75">
        <v>13</v>
      </c>
      <c r="J66" s="60" t="s">
        <v>748</v>
      </c>
      <c r="K66" s="61">
        <v>15</v>
      </c>
      <c r="L66" s="61">
        <v>6</v>
      </c>
      <c r="M66" s="62" t="s">
        <v>805</v>
      </c>
      <c r="N66" s="62"/>
      <c r="O66" s="61"/>
      <c r="P66" s="60"/>
      <c r="Q66" s="71"/>
      <c r="R66" s="71"/>
      <c r="S66" s="71"/>
      <c r="T66" s="71"/>
      <c r="U66" s="71"/>
      <c r="V66" s="71"/>
      <c r="W66" s="71"/>
      <c r="X66" s="71"/>
      <c r="Y66" s="71"/>
    </row>
    <row r="67" spans="2:25" ht="20.25" hidden="1" customHeight="1" x14ac:dyDescent="0.45">
      <c r="B67" s="86" t="s">
        <v>767</v>
      </c>
      <c r="C67" s="74" t="s">
        <v>836</v>
      </c>
      <c r="D67" s="74" t="s">
        <v>837</v>
      </c>
      <c r="E67" s="75">
        <v>3</v>
      </c>
      <c r="F67" s="74" t="s">
        <v>859</v>
      </c>
      <c r="G67" s="74" t="s">
        <v>860</v>
      </c>
      <c r="H67" s="74" t="s">
        <v>799</v>
      </c>
      <c r="I67" s="75">
        <v>14</v>
      </c>
      <c r="J67" s="60" t="s">
        <v>748</v>
      </c>
      <c r="K67" s="61">
        <v>23</v>
      </c>
      <c r="L67" s="61">
        <v>6</v>
      </c>
      <c r="M67" s="62" t="s">
        <v>861</v>
      </c>
      <c r="N67" s="62"/>
      <c r="O67" s="61"/>
      <c r="P67" s="60"/>
      <c r="Q67" s="71"/>
      <c r="R67" s="71"/>
      <c r="S67" s="71"/>
      <c r="T67" s="71"/>
      <c r="U67" s="71"/>
      <c r="V67" s="71"/>
      <c r="W67" s="71"/>
      <c r="X67" s="71"/>
      <c r="Y67" s="71"/>
    </row>
    <row r="68" spans="2:25" ht="20.25" hidden="1" customHeight="1" x14ac:dyDescent="0.45">
      <c r="B68" s="86" t="s">
        <v>767</v>
      </c>
      <c r="C68" s="74" t="s">
        <v>836</v>
      </c>
      <c r="D68" s="74" t="s">
        <v>837</v>
      </c>
      <c r="E68" s="75">
        <v>3</v>
      </c>
      <c r="F68" s="74" t="s">
        <v>732</v>
      </c>
      <c r="G68" s="74" t="s">
        <v>732</v>
      </c>
      <c r="H68" s="74" t="s">
        <v>733</v>
      </c>
      <c r="I68" s="75">
        <v>15</v>
      </c>
      <c r="J68" s="60" t="s">
        <v>685</v>
      </c>
      <c r="K68" s="61">
        <v>10</v>
      </c>
      <c r="L68" s="61"/>
      <c r="M68" s="62" t="s">
        <v>734</v>
      </c>
      <c r="N68" s="62"/>
      <c r="O68" s="61"/>
      <c r="P68" s="60"/>
      <c r="Q68" s="71"/>
      <c r="R68" s="71"/>
      <c r="S68" s="71"/>
      <c r="T68" s="71"/>
      <c r="U68" s="71"/>
      <c r="V68" s="71"/>
      <c r="W68" s="71"/>
      <c r="X68" s="71"/>
      <c r="Y68" s="71"/>
    </row>
    <row r="69" spans="2:25" ht="20.25" hidden="1" customHeight="1" x14ac:dyDescent="0.45">
      <c r="B69" s="86" t="s">
        <v>767</v>
      </c>
      <c r="C69" s="74" t="s">
        <v>836</v>
      </c>
      <c r="D69" s="74" t="s">
        <v>837</v>
      </c>
      <c r="E69" s="75">
        <v>3</v>
      </c>
      <c r="F69" s="74" t="s">
        <v>736</v>
      </c>
      <c r="G69" s="74" t="s">
        <v>736</v>
      </c>
      <c r="H69" s="74" t="s">
        <v>818</v>
      </c>
      <c r="I69" s="75">
        <v>16</v>
      </c>
      <c r="J69" s="60" t="s">
        <v>737</v>
      </c>
      <c r="K69" s="61"/>
      <c r="L69" s="61"/>
      <c r="M69" s="62" t="s">
        <v>738</v>
      </c>
      <c r="N69" s="62"/>
      <c r="O69" s="61"/>
      <c r="P69" s="60"/>
      <c r="Q69" s="60"/>
      <c r="R69" s="60"/>
      <c r="S69" s="60"/>
      <c r="T69" s="60"/>
      <c r="U69" s="60"/>
      <c r="V69" s="60"/>
      <c r="W69" s="60"/>
      <c r="X69" s="60"/>
      <c r="Y69" s="60"/>
    </row>
    <row r="70" spans="2:25" ht="20.25" hidden="1" customHeight="1" x14ac:dyDescent="0.45">
      <c r="B70" s="86" t="s">
        <v>862</v>
      </c>
      <c r="C70" s="74" t="s">
        <v>863</v>
      </c>
      <c r="D70" s="74" t="s">
        <v>864</v>
      </c>
      <c r="E70" s="75">
        <v>1</v>
      </c>
      <c r="F70" s="74" t="s">
        <v>682</v>
      </c>
      <c r="G70" s="74" t="s">
        <v>683</v>
      </c>
      <c r="H70" s="74" t="s">
        <v>684</v>
      </c>
      <c r="I70" s="75">
        <v>1</v>
      </c>
      <c r="J70" s="60" t="s">
        <v>685</v>
      </c>
      <c r="K70" s="61">
        <v>20</v>
      </c>
      <c r="L70" s="61"/>
      <c r="M70" s="62" t="s">
        <v>686</v>
      </c>
      <c r="N70" s="62" t="s">
        <v>687</v>
      </c>
      <c r="O70" s="61" t="s">
        <v>688</v>
      </c>
      <c r="P70" s="60"/>
      <c r="Q70" s="61"/>
      <c r="R70" s="61"/>
      <c r="S70" s="61"/>
      <c r="T70" s="61"/>
      <c r="U70" s="61"/>
      <c r="V70" s="61"/>
      <c r="W70" s="61"/>
      <c r="X70" s="61"/>
      <c r="Y70" s="61"/>
    </row>
    <row r="71" spans="2:25" ht="20.25" hidden="1" customHeight="1" x14ac:dyDescent="0.45">
      <c r="B71" s="86" t="s">
        <v>862</v>
      </c>
      <c r="C71" s="74" t="s">
        <v>863</v>
      </c>
      <c r="D71" s="74" t="s">
        <v>864</v>
      </c>
      <c r="E71" s="75">
        <v>1</v>
      </c>
      <c r="F71" s="74" t="s">
        <v>689</v>
      </c>
      <c r="G71" s="74" t="s">
        <v>690</v>
      </c>
      <c r="H71" s="74" t="s">
        <v>684</v>
      </c>
      <c r="I71" s="75">
        <v>2</v>
      </c>
      <c r="J71" s="60" t="s">
        <v>685</v>
      </c>
      <c r="K71" s="61">
        <v>30</v>
      </c>
      <c r="L71" s="61"/>
      <c r="M71" s="62" t="s">
        <v>691</v>
      </c>
      <c r="N71" s="62" t="s">
        <v>692</v>
      </c>
      <c r="O71" s="61" t="s">
        <v>688</v>
      </c>
      <c r="P71" s="60"/>
      <c r="Q71" s="61"/>
      <c r="R71" s="61"/>
      <c r="S71" s="61"/>
      <c r="T71" s="61"/>
      <c r="U71" s="61"/>
      <c r="V71" s="61"/>
      <c r="W71" s="61"/>
      <c r="X71" s="61"/>
      <c r="Y71" s="61"/>
    </row>
    <row r="72" spans="2:25" ht="20.25" hidden="1" customHeight="1" x14ac:dyDescent="0.45">
      <c r="B72" s="86" t="s">
        <v>862</v>
      </c>
      <c r="C72" s="74" t="s">
        <v>863</v>
      </c>
      <c r="D72" s="74" t="s">
        <v>864</v>
      </c>
      <c r="E72" s="75">
        <v>1</v>
      </c>
      <c r="F72" s="74" t="s">
        <v>693</v>
      </c>
      <c r="G72" s="74" t="s">
        <v>694</v>
      </c>
      <c r="H72" s="74" t="s">
        <v>695</v>
      </c>
      <c r="I72" s="75">
        <v>3</v>
      </c>
      <c r="J72" s="60" t="s">
        <v>685</v>
      </c>
      <c r="K72" s="61">
        <v>20</v>
      </c>
      <c r="L72" s="61"/>
      <c r="M72" s="62" t="s">
        <v>696</v>
      </c>
      <c r="N72" s="62" t="s">
        <v>697</v>
      </c>
      <c r="O72" s="61"/>
      <c r="P72" s="71" t="s">
        <v>698</v>
      </c>
      <c r="Q72" s="61"/>
      <c r="R72" s="61"/>
      <c r="S72" s="61"/>
      <c r="T72" s="61"/>
      <c r="U72" s="61"/>
      <c r="V72" s="61"/>
      <c r="W72" s="61"/>
      <c r="X72" s="61"/>
      <c r="Y72" s="61"/>
    </row>
    <row r="73" spans="2:25" ht="20.25" hidden="1" customHeight="1" x14ac:dyDescent="0.45">
      <c r="B73" s="86" t="s">
        <v>862</v>
      </c>
      <c r="C73" s="74" t="s">
        <v>863</v>
      </c>
      <c r="D73" s="74" t="s">
        <v>864</v>
      </c>
      <c r="E73" s="75">
        <v>1</v>
      </c>
      <c r="F73" s="74" t="s">
        <v>699</v>
      </c>
      <c r="G73" s="74" t="s">
        <v>700</v>
      </c>
      <c r="H73" s="74" t="s">
        <v>695</v>
      </c>
      <c r="I73" s="75">
        <v>4</v>
      </c>
      <c r="J73" s="60" t="s">
        <v>685</v>
      </c>
      <c r="K73" s="61">
        <v>20</v>
      </c>
      <c r="L73" s="61"/>
      <c r="M73" s="62" t="s">
        <v>701</v>
      </c>
      <c r="N73" s="62" t="s">
        <v>702</v>
      </c>
      <c r="O73" s="61"/>
      <c r="P73" s="71" t="s">
        <v>703</v>
      </c>
      <c r="Q73" s="61"/>
      <c r="R73" s="61"/>
      <c r="S73" s="61"/>
      <c r="T73" s="61"/>
      <c r="U73" s="61"/>
      <c r="V73" s="61"/>
      <c r="W73" s="61"/>
      <c r="X73" s="61"/>
      <c r="Y73" s="61"/>
    </row>
    <row r="74" spans="2:25" ht="20.25" hidden="1" customHeight="1" x14ac:dyDescent="0.45">
      <c r="B74" s="86" t="s">
        <v>862</v>
      </c>
      <c r="C74" s="74" t="s">
        <v>863</v>
      </c>
      <c r="D74" s="74" t="s">
        <v>864</v>
      </c>
      <c r="E74" s="75">
        <v>1</v>
      </c>
      <c r="F74" s="74" t="s">
        <v>704</v>
      </c>
      <c r="G74" s="74" t="s">
        <v>705</v>
      </c>
      <c r="H74" s="74" t="s">
        <v>695</v>
      </c>
      <c r="I74" s="75">
        <v>5</v>
      </c>
      <c r="J74" s="60" t="s">
        <v>685</v>
      </c>
      <c r="K74" s="61">
        <v>20</v>
      </c>
      <c r="L74" s="61"/>
      <c r="M74" s="62" t="s">
        <v>706</v>
      </c>
      <c r="N74" s="62" t="s">
        <v>707</v>
      </c>
      <c r="O74" s="61"/>
      <c r="P74" s="71" t="s">
        <v>708</v>
      </c>
      <c r="Q74" s="61"/>
      <c r="R74" s="61"/>
      <c r="S74" s="61"/>
      <c r="T74" s="61"/>
      <c r="U74" s="61"/>
      <c r="V74" s="61"/>
      <c r="W74" s="61"/>
      <c r="X74" s="61"/>
      <c r="Y74" s="61"/>
    </row>
    <row r="75" spans="2:25" ht="20.25" hidden="1" customHeight="1" x14ac:dyDescent="0.45">
      <c r="B75" s="86" t="s">
        <v>862</v>
      </c>
      <c r="C75" s="74" t="s">
        <v>863</v>
      </c>
      <c r="D75" s="74" t="s">
        <v>864</v>
      </c>
      <c r="E75" s="75">
        <v>1</v>
      </c>
      <c r="F75" s="74" t="s">
        <v>709</v>
      </c>
      <c r="G75" s="74" t="s">
        <v>710</v>
      </c>
      <c r="H75" s="74" t="s">
        <v>711</v>
      </c>
      <c r="I75" s="75">
        <v>6</v>
      </c>
      <c r="J75" s="60" t="s">
        <v>712</v>
      </c>
      <c r="K75" s="61"/>
      <c r="L75" s="61"/>
      <c r="M75" s="62" t="s">
        <v>865</v>
      </c>
      <c r="N75" s="62" t="s">
        <v>714</v>
      </c>
      <c r="O75" s="61"/>
      <c r="P75" s="71"/>
      <c r="Q75" s="61"/>
      <c r="R75" s="61"/>
      <c r="S75" s="61"/>
      <c r="T75" s="61"/>
      <c r="U75" s="61"/>
      <c r="V75" s="61"/>
      <c r="W75" s="61"/>
      <c r="X75" s="61"/>
      <c r="Y75" s="61"/>
    </row>
    <row r="76" spans="2:25" ht="20.25" hidden="1" customHeight="1" x14ac:dyDescent="0.45">
      <c r="B76" s="86" t="s">
        <v>862</v>
      </c>
      <c r="C76" s="74" t="s">
        <v>863</v>
      </c>
      <c r="D76" s="74" t="s">
        <v>864</v>
      </c>
      <c r="E76" s="75">
        <v>1</v>
      </c>
      <c r="F76" s="74" t="s">
        <v>866</v>
      </c>
      <c r="G76" s="80" t="s">
        <v>867</v>
      </c>
      <c r="H76" s="74" t="s">
        <v>711</v>
      </c>
      <c r="I76" s="75">
        <v>7</v>
      </c>
      <c r="J76" s="60" t="s">
        <v>712</v>
      </c>
      <c r="K76" s="61"/>
      <c r="L76" s="61"/>
      <c r="M76" s="62" t="s">
        <v>868</v>
      </c>
      <c r="N76" s="62" t="s">
        <v>774</v>
      </c>
      <c r="O76" s="61"/>
      <c r="P76" s="60"/>
      <c r="Q76" s="60"/>
      <c r="R76" s="60"/>
      <c r="S76" s="60"/>
      <c r="T76" s="60"/>
      <c r="U76" s="60"/>
      <c r="V76" s="60"/>
      <c r="W76" s="60"/>
      <c r="X76" s="60"/>
      <c r="Y76" s="60"/>
    </row>
    <row r="77" spans="2:25" ht="20.25" hidden="1" customHeight="1" x14ac:dyDescent="0.45">
      <c r="B77" s="86" t="s">
        <v>862</v>
      </c>
      <c r="C77" s="74" t="s">
        <v>863</v>
      </c>
      <c r="D77" s="74" t="s">
        <v>864</v>
      </c>
      <c r="E77" s="75">
        <v>1</v>
      </c>
      <c r="F77" s="74" t="s">
        <v>869</v>
      </c>
      <c r="G77" s="74" t="s">
        <v>870</v>
      </c>
      <c r="H77" s="74" t="s">
        <v>785</v>
      </c>
      <c r="I77" s="75">
        <v>8</v>
      </c>
      <c r="J77" s="60" t="s">
        <v>685</v>
      </c>
      <c r="K77" s="61">
        <v>20</v>
      </c>
      <c r="L77" s="61"/>
      <c r="M77" s="62" t="s">
        <v>786</v>
      </c>
      <c r="N77" s="62" t="s">
        <v>787</v>
      </c>
      <c r="O77" s="61"/>
      <c r="P77" s="76" t="s">
        <v>871</v>
      </c>
      <c r="Q77" s="61"/>
      <c r="R77" s="61"/>
      <c r="S77" s="61"/>
      <c r="T77" s="61"/>
      <c r="U77" s="61"/>
      <c r="V77" s="61"/>
      <c r="W77" s="61"/>
      <c r="X77" s="61"/>
      <c r="Y77" s="61"/>
    </row>
    <row r="78" spans="2:25" ht="20.25" hidden="1" customHeight="1" x14ac:dyDescent="0.45">
      <c r="B78" s="86" t="s">
        <v>862</v>
      </c>
      <c r="C78" s="74" t="s">
        <v>863</v>
      </c>
      <c r="D78" s="74" t="s">
        <v>864</v>
      </c>
      <c r="E78" s="75">
        <v>1</v>
      </c>
      <c r="F78" s="74" t="s">
        <v>789</v>
      </c>
      <c r="G78" s="74" t="s">
        <v>790</v>
      </c>
      <c r="H78" s="74" t="s">
        <v>785</v>
      </c>
      <c r="I78" s="75">
        <v>9</v>
      </c>
      <c r="J78" s="60" t="s">
        <v>748</v>
      </c>
      <c r="K78" s="61">
        <v>20</v>
      </c>
      <c r="L78" s="61">
        <v>0</v>
      </c>
      <c r="M78" s="62" t="s">
        <v>791</v>
      </c>
      <c r="N78" s="62" t="s">
        <v>792</v>
      </c>
      <c r="O78" s="61"/>
      <c r="P78" s="60" t="s">
        <v>793</v>
      </c>
      <c r="Q78" s="75"/>
      <c r="R78" s="75"/>
      <c r="S78" s="75"/>
      <c r="T78" s="75"/>
      <c r="U78" s="75"/>
      <c r="V78" s="75"/>
      <c r="W78" s="75"/>
      <c r="X78" s="75"/>
      <c r="Y78" s="75"/>
    </row>
    <row r="79" spans="2:25" ht="20.25" hidden="1" customHeight="1" x14ac:dyDescent="0.45">
      <c r="B79" s="86" t="s">
        <v>862</v>
      </c>
      <c r="C79" s="74" t="s">
        <v>863</v>
      </c>
      <c r="D79" s="74" t="s">
        <v>864</v>
      </c>
      <c r="E79" s="75">
        <v>1</v>
      </c>
      <c r="F79" s="74" t="s">
        <v>794</v>
      </c>
      <c r="G79" s="74" t="s">
        <v>795</v>
      </c>
      <c r="H79" s="74" t="s">
        <v>785</v>
      </c>
      <c r="I79" s="75">
        <v>10</v>
      </c>
      <c r="J79" s="60" t="s">
        <v>685</v>
      </c>
      <c r="K79" s="61">
        <v>4</v>
      </c>
      <c r="L79" s="61"/>
      <c r="M79" s="62" t="s">
        <v>796</v>
      </c>
      <c r="N79" s="62"/>
      <c r="O79" s="61"/>
      <c r="P79" s="60"/>
      <c r="Q79" s="71"/>
      <c r="R79" s="71"/>
      <c r="S79" s="71"/>
      <c r="T79" s="71"/>
      <c r="U79" s="71"/>
      <c r="V79" s="71"/>
      <c r="W79" s="71"/>
      <c r="X79" s="71"/>
      <c r="Y79" s="71"/>
    </row>
    <row r="80" spans="2:25" ht="20.25" hidden="1" customHeight="1" x14ac:dyDescent="0.45">
      <c r="B80" s="86" t="s">
        <v>862</v>
      </c>
      <c r="C80" s="74" t="s">
        <v>863</v>
      </c>
      <c r="D80" s="74" t="s">
        <v>864</v>
      </c>
      <c r="E80" s="75">
        <v>1</v>
      </c>
      <c r="F80" s="74" t="s">
        <v>803</v>
      </c>
      <c r="G80" s="74" t="s">
        <v>804</v>
      </c>
      <c r="H80" s="74" t="s">
        <v>799</v>
      </c>
      <c r="I80" s="75">
        <v>11</v>
      </c>
      <c r="J80" s="60" t="s">
        <v>748</v>
      </c>
      <c r="K80" s="61">
        <v>15</v>
      </c>
      <c r="L80" s="61">
        <v>6</v>
      </c>
      <c r="M80" s="62" t="s">
        <v>805</v>
      </c>
      <c r="N80" s="79" t="s">
        <v>806</v>
      </c>
      <c r="O80" s="61"/>
      <c r="P80" s="60"/>
      <c r="Q80" s="60"/>
      <c r="R80" s="60"/>
      <c r="S80" s="60"/>
      <c r="T80" s="60"/>
      <c r="U80" s="60"/>
      <c r="V80" s="60"/>
      <c r="W80" s="60"/>
      <c r="X80" s="60"/>
      <c r="Y80" s="60"/>
    </row>
    <row r="81" spans="2:25" ht="20.25" hidden="1" customHeight="1" x14ac:dyDescent="0.45">
      <c r="B81" s="86" t="s">
        <v>862</v>
      </c>
      <c r="C81" s="74" t="s">
        <v>863</v>
      </c>
      <c r="D81" s="74" t="s">
        <v>864</v>
      </c>
      <c r="E81" s="75">
        <v>1</v>
      </c>
      <c r="F81" s="74" t="s">
        <v>807</v>
      </c>
      <c r="G81" s="74" t="s">
        <v>808</v>
      </c>
      <c r="H81" s="74" t="s">
        <v>799</v>
      </c>
      <c r="I81" s="75">
        <v>12</v>
      </c>
      <c r="J81" s="60" t="s">
        <v>748</v>
      </c>
      <c r="K81" s="61">
        <v>15</v>
      </c>
      <c r="L81" s="61">
        <v>6</v>
      </c>
      <c r="M81" s="62" t="s">
        <v>872</v>
      </c>
      <c r="N81" s="62" t="s">
        <v>810</v>
      </c>
      <c r="O81" s="61"/>
      <c r="P81" s="60"/>
      <c r="Q81" s="60"/>
      <c r="R81" s="60"/>
      <c r="S81" s="60"/>
      <c r="T81" s="60"/>
      <c r="U81" s="60"/>
      <c r="V81" s="60"/>
      <c r="W81" s="60"/>
      <c r="X81" s="60"/>
      <c r="Y81" s="60"/>
    </row>
    <row r="82" spans="2:25" ht="20.25" hidden="1" customHeight="1" x14ac:dyDescent="0.45">
      <c r="B82" s="86" t="s">
        <v>862</v>
      </c>
      <c r="C82" s="74" t="s">
        <v>863</v>
      </c>
      <c r="D82" s="74" t="s">
        <v>864</v>
      </c>
      <c r="E82" s="75">
        <v>1</v>
      </c>
      <c r="F82" s="74" t="s">
        <v>873</v>
      </c>
      <c r="G82" s="74" t="s">
        <v>874</v>
      </c>
      <c r="H82" s="74" t="s">
        <v>799</v>
      </c>
      <c r="I82" s="75">
        <v>13</v>
      </c>
      <c r="J82" s="60" t="s">
        <v>748</v>
      </c>
      <c r="K82" s="61">
        <v>23</v>
      </c>
      <c r="L82" s="61">
        <v>6</v>
      </c>
      <c r="M82" s="62" t="s">
        <v>875</v>
      </c>
      <c r="N82" s="62" t="s">
        <v>817</v>
      </c>
      <c r="O82" s="61"/>
      <c r="P82" s="60"/>
      <c r="Q82" s="71"/>
      <c r="R82" s="71"/>
      <c r="S82" s="71"/>
      <c r="T82" s="71"/>
      <c r="U82" s="71"/>
      <c r="V82" s="71"/>
      <c r="W82" s="71"/>
      <c r="X82" s="71"/>
      <c r="Y82" s="71"/>
    </row>
    <row r="83" spans="2:25" ht="20.25" hidden="1" customHeight="1" x14ac:dyDescent="0.45">
      <c r="B83" s="86" t="s">
        <v>862</v>
      </c>
      <c r="C83" s="74" t="s">
        <v>863</v>
      </c>
      <c r="D83" s="74" t="s">
        <v>864</v>
      </c>
      <c r="E83" s="75">
        <v>1</v>
      </c>
      <c r="F83" s="74" t="s">
        <v>732</v>
      </c>
      <c r="G83" s="74" t="s">
        <v>732</v>
      </c>
      <c r="H83" s="74" t="s">
        <v>733</v>
      </c>
      <c r="I83" s="75">
        <v>15</v>
      </c>
      <c r="J83" s="60" t="s">
        <v>685</v>
      </c>
      <c r="K83" s="61">
        <v>10</v>
      </c>
      <c r="L83" s="61"/>
      <c r="M83" s="62" t="s">
        <v>734</v>
      </c>
      <c r="N83" s="62" t="s">
        <v>765</v>
      </c>
      <c r="O83" s="61" t="s">
        <v>688</v>
      </c>
      <c r="P83" s="60"/>
      <c r="Q83" s="75"/>
      <c r="R83" s="75"/>
      <c r="S83" s="75"/>
      <c r="T83" s="75"/>
      <c r="U83" s="75"/>
      <c r="V83" s="75"/>
      <c r="W83" s="75"/>
      <c r="X83" s="75"/>
      <c r="Y83" s="75"/>
    </row>
    <row r="84" spans="2:25" ht="20.25" hidden="1" customHeight="1" x14ac:dyDescent="0.45">
      <c r="B84" s="86" t="s">
        <v>862</v>
      </c>
      <c r="C84" s="74" t="s">
        <v>863</v>
      </c>
      <c r="D84" s="74" t="s">
        <v>864</v>
      </c>
      <c r="E84" s="75">
        <v>1</v>
      </c>
      <c r="F84" s="74" t="s">
        <v>736</v>
      </c>
      <c r="G84" s="74" t="s">
        <v>736</v>
      </c>
      <c r="H84" s="74" t="s">
        <v>818</v>
      </c>
      <c r="I84" s="75">
        <v>16</v>
      </c>
      <c r="J84" s="60" t="s">
        <v>737</v>
      </c>
      <c r="K84" s="61"/>
      <c r="L84" s="61"/>
      <c r="M84" s="62" t="s">
        <v>738</v>
      </c>
      <c r="N84" s="62" t="s">
        <v>739</v>
      </c>
      <c r="O84" s="61"/>
      <c r="P84" s="60"/>
      <c r="Q84" s="61"/>
      <c r="R84" s="61"/>
      <c r="S84" s="61"/>
      <c r="T84" s="61"/>
      <c r="U84" s="61"/>
      <c r="V84" s="61"/>
      <c r="W84" s="61"/>
      <c r="X84" s="61"/>
      <c r="Y84" s="61"/>
    </row>
    <row r="85" spans="2:25" ht="20.25" hidden="1" customHeight="1" x14ac:dyDescent="0.45">
      <c r="B85" s="86" t="s">
        <v>862</v>
      </c>
      <c r="C85" s="74" t="s">
        <v>876</v>
      </c>
      <c r="D85" s="74" t="s">
        <v>877</v>
      </c>
      <c r="E85" s="75">
        <v>2</v>
      </c>
      <c r="F85" s="74" t="s">
        <v>682</v>
      </c>
      <c r="G85" s="74" t="s">
        <v>683</v>
      </c>
      <c r="H85" s="74" t="s">
        <v>684</v>
      </c>
      <c r="I85" s="75">
        <v>1</v>
      </c>
      <c r="J85" s="60" t="s">
        <v>685</v>
      </c>
      <c r="K85" s="61">
        <v>20</v>
      </c>
      <c r="L85" s="61"/>
      <c r="M85" s="62" t="s">
        <v>686</v>
      </c>
      <c r="N85" s="62" t="s">
        <v>687</v>
      </c>
      <c r="O85" s="61" t="s">
        <v>688</v>
      </c>
      <c r="P85" s="60"/>
      <c r="Q85" s="61"/>
      <c r="R85" s="61"/>
      <c r="S85" s="61"/>
      <c r="T85" s="61"/>
      <c r="U85" s="61"/>
      <c r="V85" s="61"/>
      <c r="W85" s="61"/>
      <c r="X85" s="61"/>
      <c r="Y85" s="61"/>
    </row>
    <row r="86" spans="2:25" ht="20.25" hidden="1" customHeight="1" x14ac:dyDescent="0.45">
      <c r="B86" s="86" t="s">
        <v>862</v>
      </c>
      <c r="C86" s="74" t="s">
        <v>876</v>
      </c>
      <c r="D86" s="74" t="s">
        <v>877</v>
      </c>
      <c r="E86" s="75">
        <v>2</v>
      </c>
      <c r="F86" s="74" t="s">
        <v>689</v>
      </c>
      <c r="G86" s="74" t="s">
        <v>690</v>
      </c>
      <c r="H86" s="74" t="s">
        <v>684</v>
      </c>
      <c r="I86" s="75">
        <v>2</v>
      </c>
      <c r="J86" s="60" t="s">
        <v>685</v>
      </c>
      <c r="K86" s="61">
        <v>30</v>
      </c>
      <c r="L86" s="61"/>
      <c r="M86" s="62" t="s">
        <v>691</v>
      </c>
      <c r="N86" s="62" t="s">
        <v>692</v>
      </c>
      <c r="O86" s="61" t="s">
        <v>688</v>
      </c>
      <c r="P86" s="60"/>
      <c r="Q86" s="75"/>
      <c r="R86" s="75"/>
      <c r="S86" s="75"/>
      <c r="T86" s="75"/>
      <c r="U86" s="75"/>
      <c r="V86" s="75"/>
      <c r="W86" s="75"/>
      <c r="X86" s="75"/>
      <c r="Y86" s="75"/>
    </row>
    <row r="87" spans="2:25" ht="20.25" hidden="1" customHeight="1" x14ac:dyDescent="0.45">
      <c r="B87" s="86" t="s">
        <v>862</v>
      </c>
      <c r="C87" s="74" t="s">
        <v>876</v>
      </c>
      <c r="D87" s="74" t="s">
        <v>877</v>
      </c>
      <c r="E87" s="75">
        <v>2</v>
      </c>
      <c r="F87" s="74" t="s">
        <v>821</v>
      </c>
      <c r="G87" s="74" t="s">
        <v>822</v>
      </c>
      <c r="H87" s="74" t="s">
        <v>878</v>
      </c>
      <c r="I87" s="75">
        <v>3</v>
      </c>
      <c r="J87" s="60" t="s">
        <v>685</v>
      </c>
      <c r="K87" s="61">
        <v>20</v>
      </c>
      <c r="L87" s="61"/>
      <c r="M87" s="62" t="s">
        <v>823</v>
      </c>
      <c r="N87" s="62" t="s">
        <v>824</v>
      </c>
      <c r="O87" s="61" t="s">
        <v>688</v>
      </c>
      <c r="P87" s="60" t="s">
        <v>825</v>
      </c>
      <c r="Q87" s="75"/>
      <c r="R87" s="75"/>
      <c r="S87" s="75"/>
      <c r="T87" s="75"/>
      <c r="U87" s="75"/>
      <c r="V87" s="75"/>
      <c r="W87" s="75"/>
      <c r="X87" s="75"/>
      <c r="Y87" s="75"/>
    </row>
    <row r="88" spans="2:25" ht="20.25" hidden="1" customHeight="1" x14ac:dyDescent="0.45">
      <c r="B88" s="86" t="s">
        <v>862</v>
      </c>
      <c r="C88" s="74" t="s">
        <v>876</v>
      </c>
      <c r="D88" s="74" t="s">
        <v>877</v>
      </c>
      <c r="E88" s="75">
        <v>2</v>
      </c>
      <c r="F88" s="74" t="s">
        <v>826</v>
      </c>
      <c r="G88" s="74" t="s">
        <v>827</v>
      </c>
      <c r="H88" s="74" t="s">
        <v>879</v>
      </c>
      <c r="I88" s="75">
        <v>4</v>
      </c>
      <c r="J88" s="60" t="s">
        <v>737</v>
      </c>
      <c r="K88" s="61"/>
      <c r="L88" s="61"/>
      <c r="M88" s="62" t="s">
        <v>828</v>
      </c>
      <c r="N88" s="62" t="s">
        <v>829</v>
      </c>
      <c r="O88" s="61" t="s">
        <v>688</v>
      </c>
      <c r="P88" s="60"/>
      <c r="Q88" s="75"/>
      <c r="R88" s="75"/>
      <c r="S88" s="75"/>
      <c r="T88" s="75"/>
      <c r="U88" s="75"/>
      <c r="V88" s="75"/>
      <c r="W88" s="75"/>
      <c r="X88" s="75"/>
      <c r="Y88" s="75"/>
    </row>
    <row r="89" spans="2:25" ht="20.25" hidden="1" customHeight="1" x14ac:dyDescent="0.45">
      <c r="B89" s="86" t="s">
        <v>862</v>
      </c>
      <c r="C89" s="74" t="s">
        <v>876</v>
      </c>
      <c r="D89" s="74" t="s">
        <v>877</v>
      </c>
      <c r="E89" s="75">
        <v>2</v>
      </c>
      <c r="F89" s="74" t="s">
        <v>830</v>
      </c>
      <c r="G89" s="74" t="s">
        <v>831</v>
      </c>
      <c r="H89" s="74" t="s">
        <v>799</v>
      </c>
      <c r="I89" s="75">
        <v>5</v>
      </c>
      <c r="J89" s="60" t="s">
        <v>685</v>
      </c>
      <c r="K89" s="61">
        <v>20</v>
      </c>
      <c r="L89" s="61"/>
      <c r="M89" s="62" t="s">
        <v>800</v>
      </c>
      <c r="N89" s="62" t="s">
        <v>801</v>
      </c>
      <c r="O89" s="61"/>
      <c r="P89" s="60" t="s">
        <v>802</v>
      </c>
      <c r="Q89" s="75"/>
      <c r="R89" s="75"/>
      <c r="S89" s="75"/>
      <c r="T89" s="75"/>
      <c r="U89" s="75"/>
      <c r="V89" s="75"/>
      <c r="W89" s="75"/>
      <c r="X89" s="75"/>
      <c r="Y89" s="75"/>
    </row>
    <row r="90" spans="2:25" ht="20.25" hidden="1" customHeight="1" x14ac:dyDescent="0.45">
      <c r="B90" s="86" t="s">
        <v>862</v>
      </c>
      <c r="C90" s="74" t="s">
        <v>876</v>
      </c>
      <c r="D90" s="74" t="s">
        <v>877</v>
      </c>
      <c r="E90" s="75">
        <v>2</v>
      </c>
      <c r="F90" s="74" t="s">
        <v>832</v>
      </c>
      <c r="G90" s="74" t="s">
        <v>833</v>
      </c>
      <c r="H90" s="74" t="s">
        <v>799</v>
      </c>
      <c r="I90" s="75">
        <v>6</v>
      </c>
      <c r="J90" s="60" t="s">
        <v>748</v>
      </c>
      <c r="K90" s="61">
        <v>23</v>
      </c>
      <c r="L90" s="61">
        <v>6</v>
      </c>
      <c r="M90" s="62" t="s">
        <v>834</v>
      </c>
      <c r="N90" s="62" t="s">
        <v>835</v>
      </c>
      <c r="O90" s="61"/>
      <c r="P90" s="60"/>
      <c r="Q90" s="75"/>
      <c r="R90" s="75"/>
      <c r="S90" s="75"/>
      <c r="T90" s="75"/>
      <c r="U90" s="75"/>
      <c r="V90" s="75"/>
      <c r="W90" s="75"/>
      <c r="X90" s="75"/>
      <c r="Y90" s="75"/>
    </row>
    <row r="91" spans="2:25" ht="20.25" hidden="1" customHeight="1" x14ac:dyDescent="0.45">
      <c r="B91" s="86" t="s">
        <v>862</v>
      </c>
      <c r="C91" s="74" t="s">
        <v>876</v>
      </c>
      <c r="D91" s="74" t="s">
        <v>877</v>
      </c>
      <c r="E91" s="75">
        <v>2</v>
      </c>
      <c r="F91" s="74" t="s">
        <v>732</v>
      </c>
      <c r="G91" s="74" t="s">
        <v>732</v>
      </c>
      <c r="H91" s="74" t="s">
        <v>733</v>
      </c>
      <c r="I91" s="75">
        <v>7</v>
      </c>
      <c r="J91" s="60" t="s">
        <v>685</v>
      </c>
      <c r="K91" s="61">
        <v>10</v>
      </c>
      <c r="L91" s="61"/>
      <c r="M91" s="62" t="s">
        <v>734</v>
      </c>
      <c r="N91" s="62" t="s">
        <v>765</v>
      </c>
      <c r="O91" s="61" t="s">
        <v>688</v>
      </c>
      <c r="P91" s="71"/>
      <c r="Q91" s="75"/>
      <c r="R91" s="75"/>
      <c r="S91" s="75"/>
      <c r="T91" s="75"/>
      <c r="U91" s="75"/>
      <c r="V91" s="75"/>
      <c r="W91" s="75"/>
      <c r="X91" s="75"/>
      <c r="Y91" s="75"/>
    </row>
    <row r="92" spans="2:25" ht="20.25" hidden="1" customHeight="1" x14ac:dyDescent="0.45">
      <c r="B92" s="86" t="s">
        <v>862</v>
      </c>
      <c r="C92" s="74" t="s">
        <v>876</v>
      </c>
      <c r="D92" s="74" t="s">
        <v>877</v>
      </c>
      <c r="E92" s="75">
        <v>2</v>
      </c>
      <c r="F92" s="74" t="s">
        <v>736</v>
      </c>
      <c r="G92" s="74" t="s">
        <v>736</v>
      </c>
      <c r="H92" s="74" t="s">
        <v>818</v>
      </c>
      <c r="I92" s="75">
        <v>8</v>
      </c>
      <c r="J92" s="60" t="s">
        <v>737</v>
      </c>
      <c r="K92" s="61"/>
      <c r="L92" s="61"/>
      <c r="M92" s="62" t="s">
        <v>738</v>
      </c>
      <c r="N92" s="62" t="s">
        <v>739</v>
      </c>
      <c r="O92" s="61"/>
      <c r="P92" s="71"/>
      <c r="Q92" s="75"/>
      <c r="R92" s="75"/>
      <c r="S92" s="75"/>
      <c r="T92" s="75"/>
      <c r="U92" s="75"/>
      <c r="V92" s="75"/>
      <c r="W92" s="75"/>
      <c r="X92" s="75"/>
      <c r="Y92" s="75"/>
    </row>
    <row r="93" spans="2:25" ht="20.25" hidden="1" customHeight="1" x14ac:dyDescent="0.45">
      <c r="B93" s="86" t="s">
        <v>862</v>
      </c>
      <c r="C93" s="74" t="s">
        <v>863</v>
      </c>
      <c r="D93" s="74" t="s">
        <v>864</v>
      </c>
      <c r="E93" s="74"/>
      <c r="F93" s="74" t="s">
        <v>857</v>
      </c>
      <c r="G93" s="74" t="s">
        <v>858</v>
      </c>
      <c r="H93" s="74" t="s">
        <v>799</v>
      </c>
      <c r="I93" s="75">
        <v>14</v>
      </c>
      <c r="J93" s="60" t="s">
        <v>685</v>
      </c>
      <c r="K93" s="61">
        <v>20</v>
      </c>
      <c r="L93" s="61"/>
      <c r="M93" s="62" t="s">
        <v>800</v>
      </c>
      <c r="N93" s="62"/>
      <c r="O93" s="61"/>
      <c r="P93" s="60"/>
      <c r="Q93" s="71"/>
      <c r="R93" s="71"/>
      <c r="S93" s="71"/>
      <c r="T93" s="71"/>
      <c r="U93" s="71"/>
      <c r="V93" s="71"/>
      <c r="W93" s="71"/>
      <c r="X93" s="71"/>
      <c r="Y93" s="71"/>
    </row>
    <row r="94" spans="2:25" ht="20.25" hidden="1" customHeight="1" x14ac:dyDescent="0.45">
      <c r="B94" s="86" t="s">
        <v>880</v>
      </c>
      <c r="C94" s="74" t="s">
        <v>881</v>
      </c>
      <c r="D94" s="74" t="s">
        <v>882</v>
      </c>
      <c r="E94" s="75">
        <v>1</v>
      </c>
      <c r="F94" s="74" t="s">
        <v>682</v>
      </c>
      <c r="G94" s="74" t="s">
        <v>683</v>
      </c>
      <c r="H94" s="74" t="s">
        <v>684</v>
      </c>
      <c r="I94" s="75">
        <v>1</v>
      </c>
      <c r="J94" s="60" t="s">
        <v>685</v>
      </c>
      <c r="K94" s="61">
        <v>20</v>
      </c>
      <c r="L94" s="61"/>
      <c r="M94" s="62" t="s">
        <v>686</v>
      </c>
      <c r="N94" s="62" t="s">
        <v>687</v>
      </c>
      <c r="O94" s="61" t="s">
        <v>688</v>
      </c>
      <c r="P94" s="71"/>
      <c r="Q94" s="75"/>
      <c r="R94" s="75"/>
      <c r="S94" s="75"/>
      <c r="T94" s="75"/>
      <c r="U94" s="75"/>
      <c r="V94" s="75"/>
      <c r="W94" s="75"/>
      <c r="X94" s="75"/>
      <c r="Y94" s="75"/>
    </row>
    <row r="95" spans="2:25" ht="20.25" hidden="1" customHeight="1" x14ac:dyDescent="0.45">
      <c r="B95" s="86" t="s">
        <v>880</v>
      </c>
      <c r="C95" s="74" t="s">
        <v>881</v>
      </c>
      <c r="D95" s="74" t="s">
        <v>882</v>
      </c>
      <c r="E95" s="75">
        <v>1</v>
      </c>
      <c r="F95" s="74" t="s">
        <v>689</v>
      </c>
      <c r="G95" s="74" t="s">
        <v>690</v>
      </c>
      <c r="H95" s="74" t="s">
        <v>684</v>
      </c>
      <c r="I95" s="75">
        <v>2</v>
      </c>
      <c r="J95" s="60" t="s">
        <v>685</v>
      </c>
      <c r="K95" s="61">
        <v>30</v>
      </c>
      <c r="L95" s="61"/>
      <c r="M95" s="62" t="s">
        <v>691</v>
      </c>
      <c r="N95" s="62" t="s">
        <v>692</v>
      </c>
      <c r="O95" s="61" t="s">
        <v>688</v>
      </c>
      <c r="P95" s="60"/>
      <c r="Q95" s="75"/>
      <c r="R95" s="75"/>
      <c r="S95" s="75"/>
      <c r="T95" s="75"/>
      <c r="U95" s="75"/>
      <c r="V95" s="75"/>
      <c r="W95" s="75"/>
      <c r="X95" s="75"/>
      <c r="Y95" s="75"/>
    </row>
    <row r="96" spans="2:25" ht="20.25" hidden="1" customHeight="1" x14ac:dyDescent="0.45">
      <c r="B96" s="86" t="s">
        <v>880</v>
      </c>
      <c r="C96" s="74" t="s">
        <v>881</v>
      </c>
      <c r="D96" s="74" t="s">
        <v>882</v>
      </c>
      <c r="E96" s="75">
        <v>1</v>
      </c>
      <c r="F96" s="74" t="s">
        <v>693</v>
      </c>
      <c r="G96" s="74" t="s">
        <v>694</v>
      </c>
      <c r="H96" s="74" t="s">
        <v>695</v>
      </c>
      <c r="I96" s="75">
        <v>3</v>
      </c>
      <c r="J96" s="60" t="s">
        <v>685</v>
      </c>
      <c r="K96" s="61">
        <v>20</v>
      </c>
      <c r="L96" s="61"/>
      <c r="M96" s="62" t="s">
        <v>696</v>
      </c>
      <c r="N96" s="62" t="s">
        <v>697</v>
      </c>
      <c r="O96" s="61"/>
      <c r="P96" s="60" t="s">
        <v>698</v>
      </c>
      <c r="Q96" s="75"/>
      <c r="R96" s="75"/>
      <c r="S96" s="75"/>
      <c r="T96" s="75"/>
      <c r="U96" s="75"/>
      <c r="V96" s="75"/>
      <c r="W96" s="75"/>
      <c r="X96" s="75"/>
      <c r="Y96" s="75"/>
    </row>
    <row r="97" spans="1:25" ht="20.25" hidden="1" customHeight="1" x14ac:dyDescent="0.45">
      <c r="B97" s="86" t="s">
        <v>880</v>
      </c>
      <c r="C97" s="74" t="s">
        <v>881</v>
      </c>
      <c r="D97" s="74" t="s">
        <v>882</v>
      </c>
      <c r="E97" s="75">
        <v>1</v>
      </c>
      <c r="F97" s="74" t="s">
        <v>699</v>
      </c>
      <c r="G97" s="74" t="s">
        <v>700</v>
      </c>
      <c r="H97" s="74" t="s">
        <v>695</v>
      </c>
      <c r="I97" s="75">
        <v>4</v>
      </c>
      <c r="J97" s="60" t="s">
        <v>685</v>
      </c>
      <c r="K97" s="61">
        <v>20</v>
      </c>
      <c r="L97" s="61"/>
      <c r="M97" s="62" t="s">
        <v>701</v>
      </c>
      <c r="N97" s="62" t="s">
        <v>702</v>
      </c>
      <c r="O97" s="61"/>
      <c r="P97" s="60" t="s">
        <v>703</v>
      </c>
      <c r="Q97" s="75"/>
      <c r="R97" s="75"/>
      <c r="S97" s="75"/>
      <c r="T97" s="75"/>
      <c r="U97" s="75"/>
      <c r="V97" s="75"/>
      <c r="W97" s="75"/>
      <c r="X97" s="75"/>
      <c r="Y97" s="75"/>
    </row>
    <row r="98" spans="1:25" ht="20.25" hidden="1" customHeight="1" x14ac:dyDescent="0.45">
      <c r="B98" s="86" t="s">
        <v>880</v>
      </c>
      <c r="C98" s="74" t="s">
        <v>881</v>
      </c>
      <c r="D98" s="74" t="s">
        <v>882</v>
      </c>
      <c r="E98" s="75">
        <v>1</v>
      </c>
      <c r="F98" s="74" t="s">
        <v>709</v>
      </c>
      <c r="G98" s="74" t="s">
        <v>710</v>
      </c>
      <c r="H98" s="74" t="s">
        <v>711</v>
      </c>
      <c r="I98" s="75">
        <v>5</v>
      </c>
      <c r="J98" s="60" t="s">
        <v>712</v>
      </c>
      <c r="K98" s="61"/>
      <c r="L98" s="61"/>
      <c r="M98" s="62" t="s">
        <v>865</v>
      </c>
      <c r="N98" s="62" t="s">
        <v>714</v>
      </c>
      <c r="O98" s="61"/>
      <c r="P98" s="60"/>
      <c r="Q98" s="75"/>
      <c r="R98" s="75"/>
      <c r="S98" s="75"/>
      <c r="T98" s="75"/>
      <c r="U98" s="75"/>
      <c r="V98" s="75"/>
      <c r="W98" s="75"/>
      <c r="X98" s="75"/>
      <c r="Y98" s="75"/>
    </row>
    <row r="99" spans="1:25" ht="20.25" hidden="1" customHeight="1" x14ac:dyDescent="0.45">
      <c r="B99" s="86" t="s">
        <v>880</v>
      </c>
      <c r="C99" s="74" t="s">
        <v>881</v>
      </c>
      <c r="D99" s="74" t="s">
        <v>882</v>
      </c>
      <c r="E99" s="75">
        <v>1</v>
      </c>
      <c r="F99" s="74" t="s">
        <v>771</v>
      </c>
      <c r="G99" s="74" t="s">
        <v>772</v>
      </c>
      <c r="H99" s="74" t="s">
        <v>711</v>
      </c>
      <c r="I99" s="75">
        <v>6</v>
      </c>
      <c r="J99" s="60" t="s">
        <v>712</v>
      </c>
      <c r="K99" s="61"/>
      <c r="L99" s="61"/>
      <c r="M99" s="62" t="s">
        <v>868</v>
      </c>
      <c r="N99" s="62" t="s">
        <v>774</v>
      </c>
      <c r="O99" s="61"/>
      <c r="P99" s="60"/>
      <c r="Q99" s="75"/>
      <c r="R99" s="75"/>
      <c r="S99" s="75"/>
      <c r="T99" s="75"/>
      <c r="U99" s="75"/>
      <c r="V99" s="75"/>
      <c r="W99" s="75"/>
      <c r="X99" s="75"/>
      <c r="Y99" s="75"/>
    </row>
    <row r="100" spans="1:25" ht="20.25" hidden="1" customHeight="1" x14ac:dyDescent="0.45">
      <c r="B100" s="86" t="s">
        <v>880</v>
      </c>
      <c r="C100" s="74" t="s">
        <v>881</v>
      </c>
      <c r="D100" s="74" t="s">
        <v>882</v>
      </c>
      <c r="E100" s="75">
        <v>1</v>
      </c>
      <c r="F100" s="74" t="s">
        <v>775</v>
      </c>
      <c r="G100" s="74" t="s">
        <v>776</v>
      </c>
      <c r="H100" s="74" t="s">
        <v>777</v>
      </c>
      <c r="I100" s="75">
        <v>7</v>
      </c>
      <c r="J100" s="60" t="s">
        <v>685</v>
      </c>
      <c r="K100" s="61">
        <v>20</v>
      </c>
      <c r="L100" s="61"/>
      <c r="M100" s="62" t="s">
        <v>778</v>
      </c>
      <c r="N100" s="62"/>
      <c r="O100" s="61"/>
      <c r="P100" s="60"/>
      <c r="Q100" s="75"/>
      <c r="R100" s="75"/>
      <c r="S100" s="75"/>
      <c r="T100" s="75"/>
      <c r="U100" s="75"/>
      <c r="V100" s="75"/>
      <c r="W100" s="75"/>
      <c r="X100" s="75"/>
      <c r="Y100" s="75"/>
    </row>
    <row r="101" spans="1:25" ht="20.25" hidden="1" customHeight="1" x14ac:dyDescent="0.45">
      <c r="B101" s="86" t="s">
        <v>880</v>
      </c>
      <c r="C101" s="74" t="s">
        <v>881</v>
      </c>
      <c r="D101" s="74" t="s">
        <v>882</v>
      </c>
      <c r="E101" s="75">
        <v>1</v>
      </c>
      <c r="F101" s="74" t="s">
        <v>779</v>
      </c>
      <c r="G101" s="74" t="s">
        <v>780</v>
      </c>
      <c r="H101" s="74" t="s">
        <v>777</v>
      </c>
      <c r="I101" s="75">
        <v>8</v>
      </c>
      <c r="J101" s="60" t="s">
        <v>685</v>
      </c>
      <c r="K101" s="61">
        <v>30</v>
      </c>
      <c r="L101" s="61"/>
      <c r="M101" s="62" t="s">
        <v>781</v>
      </c>
      <c r="N101" s="62" t="s">
        <v>782</v>
      </c>
      <c r="O101" s="61"/>
      <c r="P101" s="60"/>
      <c r="Q101" s="71"/>
      <c r="R101" s="71"/>
      <c r="S101" s="71"/>
      <c r="T101" s="71"/>
      <c r="U101" s="71"/>
      <c r="V101" s="71"/>
      <c r="W101" s="71"/>
      <c r="X101" s="71"/>
      <c r="Y101" s="71"/>
    </row>
    <row r="102" spans="1:25" ht="20.25" hidden="1" customHeight="1" x14ac:dyDescent="0.45">
      <c r="B102" s="86" t="s">
        <v>880</v>
      </c>
      <c r="C102" s="74" t="s">
        <v>881</v>
      </c>
      <c r="D102" s="74" t="s">
        <v>882</v>
      </c>
      <c r="E102" s="75">
        <v>1</v>
      </c>
      <c r="F102" s="74" t="s">
        <v>783</v>
      </c>
      <c r="G102" s="74" t="s">
        <v>784</v>
      </c>
      <c r="H102" s="74" t="s">
        <v>785</v>
      </c>
      <c r="I102" s="75">
        <v>9</v>
      </c>
      <c r="J102" s="60" t="s">
        <v>685</v>
      </c>
      <c r="K102" s="61">
        <v>20</v>
      </c>
      <c r="L102" s="61"/>
      <c r="M102" s="62" t="s">
        <v>786</v>
      </c>
      <c r="N102" s="62" t="s">
        <v>787</v>
      </c>
      <c r="O102" s="61"/>
      <c r="P102" s="76" t="s">
        <v>788</v>
      </c>
      <c r="Q102" s="75"/>
      <c r="R102" s="75"/>
      <c r="S102" s="75"/>
      <c r="T102" s="75"/>
      <c r="U102" s="75"/>
      <c r="V102" s="75"/>
      <c r="W102" s="75"/>
      <c r="X102" s="75"/>
      <c r="Y102" s="75"/>
    </row>
    <row r="103" spans="1:25" ht="20.25" hidden="1" customHeight="1" x14ac:dyDescent="0.45">
      <c r="B103" s="86" t="s">
        <v>767</v>
      </c>
      <c r="C103" s="74" t="s">
        <v>768</v>
      </c>
      <c r="D103" s="74" t="s">
        <v>769</v>
      </c>
      <c r="E103" s="75">
        <v>1</v>
      </c>
      <c r="F103" s="74" t="s">
        <v>789</v>
      </c>
      <c r="G103" s="74" t="s">
        <v>790</v>
      </c>
      <c r="H103" s="74" t="s">
        <v>785</v>
      </c>
      <c r="I103" s="75">
        <v>10</v>
      </c>
      <c r="J103" s="60" t="s">
        <v>748</v>
      </c>
      <c r="K103" s="61">
        <v>20</v>
      </c>
      <c r="L103" s="61">
        <v>0</v>
      </c>
      <c r="M103" s="62" t="s">
        <v>791</v>
      </c>
      <c r="N103" s="62" t="s">
        <v>792</v>
      </c>
      <c r="O103" s="61"/>
      <c r="P103" s="60" t="s">
        <v>793</v>
      </c>
      <c r="Q103" s="61"/>
      <c r="R103" s="61"/>
      <c r="S103" s="61"/>
      <c r="T103" s="61"/>
      <c r="U103" s="61"/>
      <c r="V103" s="61"/>
      <c r="W103" s="61"/>
      <c r="X103" s="61"/>
      <c r="Y103" s="61"/>
    </row>
    <row r="104" spans="1:25" ht="20.25" hidden="1" customHeight="1" x14ac:dyDescent="0.45">
      <c r="B104" s="86" t="s">
        <v>880</v>
      </c>
      <c r="C104" s="74" t="s">
        <v>881</v>
      </c>
      <c r="D104" s="74" t="s">
        <v>882</v>
      </c>
      <c r="E104" s="75">
        <v>1</v>
      </c>
      <c r="F104" s="74" t="s">
        <v>794</v>
      </c>
      <c r="G104" s="74" t="s">
        <v>795</v>
      </c>
      <c r="H104" s="74" t="s">
        <v>785</v>
      </c>
      <c r="I104" s="75">
        <v>11</v>
      </c>
      <c r="J104" s="60" t="s">
        <v>685</v>
      </c>
      <c r="K104" s="61">
        <v>4</v>
      </c>
      <c r="L104" s="61"/>
      <c r="M104" s="62" t="s">
        <v>796</v>
      </c>
      <c r="N104" s="62"/>
      <c r="O104" s="61"/>
      <c r="P104" s="60"/>
      <c r="Q104" s="61"/>
      <c r="R104" s="61"/>
      <c r="S104" s="61"/>
      <c r="T104" s="61"/>
      <c r="U104" s="61"/>
      <c r="V104" s="61"/>
      <c r="W104" s="61"/>
      <c r="X104" s="61"/>
      <c r="Y104" s="61"/>
    </row>
    <row r="105" spans="1:25" ht="20.25" hidden="1" customHeight="1" x14ac:dyDescent="0.45">
      <c r="B105" s="86" t="s">
        <v>880</v>
      </c>
      <c r="C105" s="74" t="s">
        <v>881</v>
      </c>
      <c r="D105" s="74" t="s">
        <v>882</v>
      </c>
      <c r="E105" s="75">
        <v>1</v>
      </c>
      <c r="F105" s="74" t="s">
        <v>797</v>
      </c>
      <c r="G105" s="74" t="s">
        <v>798</v>
      </c>
      <c r="H105" s="74" t="s">
        <v>799</v>
      </c>
      <c r="I105" s="75">
        <v>12</v>
      </c>
      <c r="J105" s="60" t="s">
        <v>685</v>
      </c>
      <c r="K105" s="61">
        <v>20</v>
      </c>
      <c r="L105" s="61"/>
      <c r="M105" s="62" t="s">
        <v>800</v>
      </c>
      <c r="N105" s="79" t="s">
        <v>801</v>
      </c>
      <c r="O105" s="61"/>
      <c r="P105" s="60" t="s">
        <v>802</v>
      </c>
      <c r="Q105" s="61"/>
      <c r="R105" s="61"/>
      <c r="S105" s="61"/>
      <c r="T105" s="61"/>
      <c r="U105" s="61"/>
      <c r="V105" s="61"/>
      <c r="W105" s="61"/>
      <c r="X105" s="61"/>
      <c r="Y105" s="61"/>
    </row>
    <row r="106" spans="1:25" ht="20.25" hidden="1" customHeight="1" x14ac:dyDescent="0.45">
      <c r="B106" s="86" t="s">
        <v>880</v>
      </c>
      <c r="C106" s="74" t="s">
        <v>881</v>
      </c>
      <c r="D106" s="74" t="s">
        <v>882</v>
      </c>
      <c r="E106" s="75">
        <v>1</v>
      </c>
      <c r="F106" s="74" t="s">
        <v>803</v>
      </c>
      <c r="G106" s="74" t="s">
        <v>804</v>
      </c>
      <c r="H106" s="74" t="s">
        <v>799</v>
      </c>
      <c r="I106" s="75">
        <v>13</v>
      </c>
      <c r="J106" s="60" t="s">
        <v>748</v>
      </c>
      <c r="K106" s="61">
        <v>15</v>
      </c>
      <c r="L106" s="61">
        <v>6</v>
      </c>
      <c r="M106" s="62" t="s">
        <v>805</v>
      </c>
      <c r="N106" s="62" t="s">
        <v>883</v>
      </c>
      <c r="O106" s="61"/>
      <c r="P106" s="60"/>
      <c r="Q106" s="71"/>
      <c r="R106" s="71"/>
      <c r="S106" s="71"/>
      <c r="T106" s="71"/>
      <c r="U106" s="71"/>
      <c r="V106" s="71"/>
      <c r="W106" s="71"/>
      <c r="X106" s="71"/>
      <c r="Y106" s="71"/>
    </row>
    <row r="107" spans="1:25" ht="20.25" hidden="1" customHeight="1" x14ac:dyDescent="0.45">
      <c r="B107" s="86" t="s">
        <v>880</v>
      </c>
      <c r="C107" s="74" t="s">
        <v>881</v>
      </c>
      <c r="D107" s="74" t="s">
        <v>882</v>
      </c>
      <c r="E107" s="75">
        <v>1</v>
      </c>
      <c r="F107" s="74" t="s">
        <v>807</v>
      </c>
      <c r="G107" s="74" t="s">
        <v>808</v>
      </c>
      <c r="H107" s="74" t="s">
        <v>799</v>
      </c>
      <c r="I107" s="75">
        <v>14</v>
      </c>
      <c r="J107" s="60" t="s">
        <v>748</v>
      </c>
      <c r="K107" s="61">
        <v>15</v>
      </c>
      <c r="L107" s="61">
        <v>6</v>
      </c>
      <c r="M107" s="62" t="s">
        <v>809</v>
      </c>
      <c r="N107" s="62" t="s">
        <v>884</v>
      </c>
      <c r="O107" s="61"/>
      <c r="P107" s="60"/>
      <c r="Q107" s="75"/>
      <c r="R107" s="75"/>
      <c r="S107" s="75"/>
      <c r="T107" s="75"/>
      <c r="U107" s="75"/>
      <c r="V107" s="75"/>
      <c r="W107" s="75"/>
      <c r="X107" s="75"/>
      <c r="Y107" s="75"/>
    </row>
    <row r="108" spans="1:25" ht="20.25" hidden="1" customHeight="1" x14ac:dyDescent="0.45">
      <c r="B108" s="86" t="s">
        <v>880</v>
      </c>
      <c r="C108" s="74" t="s">
        <v>881</v>
      </c>
      <c r="D108" s="74" t="s">
        <v>882</v>
      </c>
      <c r="E108" s="75">
        <v>1</v>
      </c>
      <c r="F108" s="74" t="s">
        <v>811</v>
      </c>
      <c r="G108" s="74" t="s">
        <v>812</v>
      </c>
      <c r="H108" s="74" t="s">
        <v>799</v>
      </c>
      <c r="I108" s="75">
        <v>15</v>
      </c>
      <c r="J108" s="60" t="s">
        <v>748</v>
      </c>
      <c r="K108" s="61">
        <v>23</v>
      </c>
      <c r="L108" s="61">
        <v>6</v>
      </c>
      <c r="M108" s="62" t="s">
        <v>885</v>
      </c>
      <c r="N108" s="62" t="s">
        <v>886</v>
      </c>
      <c r="O108" s="61"/>
      <c r="P108" s="60"/>
      <c r="Q108" s="75"/>
      <c r="R108" s="75"/>
      <c r="S108" s="75"/>
      <c r="T108" s="75"/>
      <c r="U108" s="75"/>
      <c r="V108" s="75"/>
      <c r="W108" s="75"/>
      <c r="X108" s="75"/>
      <c r="Y108" s="75"/>
    </row>
    <row r="109" spans="1:25" ht="20.25" hidden="1" customHeight="1" x14ac:dyDescent="0.45">
      <c r="B109" s="86" t="s">
        <v>880</v>
      </c>
      <c r="C109" s="74" t="s">
        <v>881</v>
      </c>
      <c r="D109" s="74" t="s">
        <v>882</v>
      </c>
      <c r="E109" s="75">
        <v>1</v>
      </c>
      <c r="F109" s="74" t="s">
        <v>814</v>
      </c>
      <c r="G109" s="74" t="s">
        <v>815</v>
      </c>
      <c r="H109" s="74" t="s">
        <v>799</v>
      </c>
      <c r="I109" s="75">
        <v>16</v>
      </c>
      <c r="J109" s="60" t="s">
        <v>748</v>
      </c>
      <c r="K109" s="61">
        <v>23</v>
      </c>
      <c r="L109" s="61">
        <v>6</v>
      </c>
      <c r="M109" s="62" t="s">
        <v>887</v>
      </c>
      <c r="N109" s="79" t="s">
        <v>888</v>
      </c>
      <c r="O109" s="61"/>
      <c r="P109" s="60"/>
      <c r="Q109" s="75"/>
      <c r="R109" s="75"/>
      <c r="S109" s="75"/>
      <c r="T109" s="75"/>
      <c r="U109" s="75"/>
      <c r="V109" s="75"/>
      <c r="W109" s="75"/>
      <c r="X109" s="75"/>
      <c r="Y109" s="75"/>
    </row>
    <row r="110" spans="1:25" ht="20.25" hidden="1" customHeight="1" x14ac:dyDescent="0.45">
      <c r="B110" s="86" t="s">
        <v>880</v>
      </c>
      <c r="C110" s="74" t="s">
        <v>881</v>
      </c>
      <c r="D110" s="74" t="s">
        <v>882</v>
      </c>
      <c r="E110" s="75">
        <v>1</v>
      </c>
      <c r="F110" s="74" t="s">
        <v>732</v>
      </c>
      <c r="G110" s="74" t="s">
        <v>732</v>
      </c>
      <c r="H110" s="74" t="s">
        <v>733</v>
      </c>
      <c r="I110" s="75">
        <v>17</v>
      </c>
      <c r="J110" s="60" t="s">
        <v>685</v>
      </c>
      <c r="K110" s="61">
        <v>10</v>
      </c>
      <c r="L110" s="61"/>
      <c r="M110" s="62" t="s">
        <v>734</v>
      </c>
      <c r="N110" s="62" t="s">
        <v>765</v>
      </c>
      <c r="O110" s="61" t="s">
        <v>688</v>
      </c>
      <c r="P110" s="60"/>
      <c r="Q110" s="75"/>
      <c r="R110" s="75"/>
      <c r="S110" s="75"/>
      <c r="T110" s="75"/>
      <c r="U110" s="75"/>
      <c r="V110" s="75"/>
      <c r="W110" s="75"/>
      <c r="X110" s="75"/>
      <c r="Y110" s="75"/>
    </row>
    <row r="111" spans="1:25" ht="20.25" hidden="1" customHeight="1" x14ac:dyDescent="0.45">
      <c r="B111" s="86" t="s">
        <v>880</v>
      </c>
      <c r="C111" s="74" t="s">
        <v>881</v>
      </c>
      <c r="D111" s="74" t="s">
        <v>882</v>
      </c>
      <c r="E111" s="75">
        <v>1</v>
      </c>
      <c r="F111" s="74" t="s">
        <v>736</v>
      </c>
      <c r="G111" s="74" t="s">
        <v>736</v>
      </c>
      <c r="H111" s="74" t="s">
        <v>818</v>
      </c>
      <c r="I111" s="75">
        <v>18</v>
      </c>
      <c r="J111" s="60" t="s">
        <v>737</v>
      </c>
      <c r="K111" s="61"/>
      <c r="L111" s="61"/>
      <c r="M111" s="62" t="s">
        <v>738</v>
      </c>
      <c r="N111" s="62" t="s">
        <v>739</v>
      </c>
      <c r="O111" s="61"/>
      <c r="P111" s="60"/>
      <c r="Q111" s="75"/>
      <c r="R111" s="75"/>
      <c r="S111" s="75"/>
      <c r="T111" s="75"/>
      <c r="U111" s="75"/>
      <c r="V111" s="75"/>
      <c r="W111" s="75"/>
      <c r="X111" s="75"/>
      <c r="Y111" s="75"/>
    </row>
    <row r="112" spans="1:25" s="73" customFormat="1" ht="20.25" hidden="1" customHeight="1" x14ac:dyDescent="0.45">
      <c r="A112" s="78"/>
      <c r="B112" s="86" t="s">
        <v>880</v>
      </c>
      <c r="C112" s="74" t="s">
        <v>889</v>
      </c>
      <c r="D112" s="74" t="s">
        <v>890</v>
      </c>
      <c r="E112" s="75">
        <v>2</v>
      </c>
      <c r="F112" s="74" t="s">
        <v>682</v>
      </c>
      <c r="G112" s="74" t="s">
        <v>683</v>
      </c>
      <c r="H112" s="74" t="s">
        <v>684</v>
      </c>
      <c r="I112" s="75">
        <v>1</v>
      </c>
      <c r="J112" s="60" t="s">
        <v>685</v>
      </c>
      <c r="K112" s="61">
        <v>20</v>
      </c>
      <c r="L112" s="61"/>
      <c r="M112" s="62" t="s">
        <v>686</v>
      </c>
      <c r="N112" s="62" t="s">
        <v>687</v>
      </c>
      <c r="O112" s="61" t="s">
        <v>688</v>
      </c>
      <c r="P112" s="60"/>
      <c r="Q112" s="75"/>
      <c r="R112" s="75"/>
      <c r="S112" s="75"/>
      <c r="T112" s="75"/>
      <c r="U112" s="75"/>
      <c r="V112" s="75"/>
      <c r="W112" s="75"/>
      <c r="X112" s="75"/>
      <c r="Y112" s="75"/>
    </row>
    <row r="113" spans="1:25" s="73" customFormat="1" ht="20.25" hidden="1" customHeight="1" x14ac:dyDescent="0.45">
      <c r="A113" s="78"/>
      <c r="B113" s="86" t="s">
        <v>880</v>
      </c>
      <c r="C113" s="74" t="s">
        <v>889</v>
      </c>
      <c r="D113" s="74" t="s">
        <v>890</v>
      </c>
      <c r="E113" s="75">
        <v>2</v>
      </c>
      <c r="F113" s="74" t="s">
        <v>689</v>
      </c>
      <c r="G113" s="74" t="s">
        <v>690</v>
      </c>
      <c r="H113" s="74" t="s">
        <v>684</v>
      </c>
      <c r="I113" s="75">
        <v>2</v>
      </c>
      <c r="J113" s="60" t="s">
        <v>685</v>
      </c>
      <c r="K113" s="61">
        <v>30</v>
      </c>
      <c r="L113" s="61"/>
      <c r="M113" s="62" t="s">
        <v>691</v>
      </c>
      <c r="N113" s="62" t="s">
        <v>692</v>
      </c>
      <c r="O113" s="61" t="s">
        <v>688</v>
      </c>
      <c r="P113" s="60"/>
      <c r="Q113" s="75"/>
      <c r="R113" s="75"/>
      <c r="S113" s="75"/>
      <c r="T113" s="75"/>
      <c r="U113" s="75"/>
      <c r="V113" s="75"/>
      <c r="W113" s="75"/>
      <c r="X113" s="75"/>
      <c r="Y113" s="75"/>
    </row>
    <row r="114" spans="1:25" s="73" customFormat="1" ht="20.25" hidden="1" customHeight="1" x14ac:dyDescent="0.45">
      <c r="A114" s="78"/>
      <c r="B114" s="86" t="s">
        <v>880</v>
      </c>
      <c r="C114" s="74" t="s">
        <v>889</v>
      </c>
      <c r="D114" s="74" t="s">
        <v>890</v>
      </c>
      <c r="E114" s="75">
        <v>2</v>
      </c>
      <c r="F114" s="74" t="s">
        <v>821</v>
      </c>
      <c r="G114" s="74" t="s">
        <v>822</v>
      </c>
      <c r="H114" s="74" t="s">
        <v>878</v>
      </c>
      <c r="I114" s="75">
        <v>3</v>
      </c>
      <c r="J114" s="60" t="s">
        <v>685</v>
      </c>
      <c r="K114" s="61">
        <v>20</v>
      </c>
      <c r="L114" s="61"/>
      <c r="M114" s="62" t="s">
        <v>823</v>
      </c>
      <c r="N114" s="62" t="s">
        <v>824</v>
      </c>
      <c r="O114" s="61" t="s">
        <v>688</v>
      </c>
      <c r="P114" s="60" t="s">
        <v>825</v>
      </c>
      <c r="Q114" s="75"/>
      <c r="R114" s="75"/>
      <c r="S114" s="75"/>
      <c r="T114" s="75"/>
      <c r="U114" s="75"/>
      <c r="V114" s="75"/>
      <c r="W114" s="75"/>
      <c r="X114" s="75"/>
      <c r="Y114" s="75"/>
    </row>
    <row r="115" spans="1:25" s="73" customFormat="1" ht="20.25" hidden="1" customHeight="1" x14ac:dyDescent="0.45">
      <c r="A115" s="78"/>
      <c r="B115" s="86" t="s">
        <v>880</v>
      </c>
      <c r="C115" s="74" t="s">
        <v>889</v>
      </c>
      <c r="D115" s="74" t="s">
        <v>890</v>
      </c>
      <c r="E115" s="75">
        <v>2</v>
      </c>
      <c r="F115" s="74" t="s">
        <v>826</v>
      </c>
      <c r="G115" s="74" t="s">
        <v>827</v>
      </c>
      <c r="H115" s="74" t="s">
        <v>879</v>
      </c>
      <c r="I115" s="75">
        <v>4</v>
      </c>
      <c r="J115" s="60" t="s">
        <v>737</v>
      </c>
      <c r="K115" s="61"/>
      <c r="L115" s="61"/>
      <c r="M115" s="62" t="s">
        <v>828</v>
      </c>
      <c r="N115" s="62" t="s">
        <v>829</v>
      </c>
      <c r="O115" s="61" t="s">
        <v>688</v>
      </c>
      <c r="P115" s="60"/>
      <c r="Q115" s="75"/>
      <c r="R115" s="75"/>
      <c r="S115" s="75"/>
      <c r="T115" s="75"/>
      <c r="U115" s="75"/>
      <c r="V115" s="75"/>
      <c r="W115" s="75"/>
      <c r="X115" s="75"/>
      <c r="Y115" s="75"/>
    </row>
    <row r="116" spans="1:25" s="73" customFormat="1" ht="20.25" hidden="1" customHeight="1" x14ac:dyDescent="0.45">
      <c r="A116" s="78"/>
      <c r="B116" s="86" t="s">
        <v>880</v>
      </c>
      <c r="C116" s="74" t="s">
        <v>889</v>
      </c>
      <c r="D116" s="74" t="s">
        <v>890</v>
      </c>
      <c r="E116" s="75">
        <v>2</v>
      </c>
      <c r="F116" s="74" t="s">
        <v>830</v>
      </c>
      <c r="G116" s="74" t="s">
        <v>831</v>
      </c>
      <c r="H116" s="74" t="s">
        <v>891</v>
      </c>
      <c r="I116" s="75">
        <v>5</v>
      </c>
      <c r="J116" s="60" t="s">
        <v>685</v>
      </c>
      <c r="K116" s="61">
        <v>20</v>
      </c>
      <c r="L116" s="61"/>
      <c r="M116" s="62" t="s">
        <v>800</v>
      </c>
      <c r="N116" s="62" t="s">
        <v>801</v>
      </c>
      <c r="O116" s="61"/>
      <c r="P116" s="60" t="s">
        <v>802</v>
      </c>
      <c r="Q116" s="75"/>
      <c r="R116" s="75"/>
      <c r="S116" s="75"/>
      <c r="T116" s="75"/>
      <c r="U116" s="75"/>
      <c r="V116" s="75"/>
      <c r="W116" s="75"/>
      <c r="X116" s="75"/>
      <c r="Y116" s="75"/>
    </row>
    <row r="117" spans="1:25" s="73" customFormat="1" ht="20.25" hidden="1" customHeight="1" x14ac:dyDescent="0.45">
      <c r="A117" s="78"/>
      <c r="B117" s="86" t="s">
        <v>880</v>
      </c>
      <c r="C117" s="74" t="s">
        <v>889</v>
      </c>
      <c r="D117" s="74" t="s">
        <v>890</v>
      </c>
      <c r="E117" s="75">
        <v>2</v>
      </c>
      <c r="F117" s="74" t="s">
        <v>832</v>
      </c>
      <c r="G117" s="74" t="s">
        <v>833</v>
      </c>
      <c r="H117" s="74" t="s">
        <v>892</v>
      </c>
      <c r="I117" s="75">
        <v>6</v>
      </c>
      <c r="J117" s="60" t="s">
        <v>748</v>
      </c>
      <c r="K117" s="61">
        <v>23</v>
      </c>
      <c r="L117" s="61">
        <v>6</v>
      </c>
      <c r="M117" s="62" t="s">
        <v>834</v>
      </c>
      <c r="N117" s="62" t="s">
        <v>835</v>
      </c>
      <c r="O117" s="61"/>
      <c r="P117" s="60"/>
      <c r="Q117" s="75"/>
      <c r="R117" s="75"/>
      <c r="S117" s="75"/>
      <c r="T117" s="75"/>
      <c r="U117" s="75"/>
      <c r="V117" s="75"/>
      <c r="W117" s="75"/>
      <c r="X117" s="75"/>
      <c r="Y117" s="75"/>
    </row>
    <row r="118" spans="1:25" s="73" customFormat="1" ht="20.25" hidden="1" customHeight="1" x14ac:dyDescent="0.45">
      <c r="A118" s="78"/>
      <c r="B118" s="86" t="s">
        <v>880</v>
      </c>
      <c r="C118" s="74" t="s">
        <v>889</v>
      </c>
      <c r="D118" s="74" t="s">
        <v>890</v>
      </c>
      <c r="E118" s="75">
        <v>2</v>
      </c>
      <c r="F118" s="74" t="s">
        <v>732</v>
      </c>
      <c r="G118" s="74" t="s">
        <v>732</v>
      </c>
      <c r="H118" s="74" t="s">
        <v>733</v>
      </c>
      <c r="I118" s="75">
        <v>7</v>
      </c>
      <c r="J118" s="60" t="s">
        <v>685</v>
      </c>
      <c r="K118" s="61">
        <v>10</v>
      </c>
      <c r="L118" s="61"/>
      <c r="M118" s="62" t="s">
        <v>734</v>
      </c>
      <c r="N118" s="62" t="s">
        <v>765</v>
      </c>
      <c r="O118" s="61" t="s">
        <v>688</v>
      </c>
      <c r="P118" s="60"/>
      <c r="Q118" s="75"/>
      <c r="R118" s="75"/>
      <c r="S118" s="75"/>
      <c r="T118" s="75"/>
      <c r="U118" s="75"/>
      <c r="V118" s="75"/>
      <c r="W118" s="75"/>
      <c r="X118" s="75"/>
      <c r="Y118" s="75"/>
    </row>
    <row r="119" spans="1:25" s="73" customFormat="1" ht="20.25" hidden="1" customHeight="1" x14ac:dyDescent="0.45">
      <c r="A119" s="78"/>
      <c r="B119" s="86" t="s">
        <v>880</v>
      </c>
      <c r="C119" s="74" t="s">
        <v>889</v>
      </c>
      <c r="D119" s="74" t="s">
        <v>890</v>
      </c>
      <c r="E119" s="75">
        <v>2</v>
      </c>
      <c r="F119" s="74" t="s">
        <v>736</v>
      </c>
      <c r="G119" s="74" t="s">
        <v>736</v>
      </c>
      <c r="H119" s="74" t="s">
        <v>717</v>
      </c>
      <c r="I119" s="75">
        <v>8</v>
      </c>
      <c r="J119" s="60" t="s">
        <v>737</v>
      </c>
      <c r="K119" s="61"/>
      <c r="L119" s="61"/>
      <c r="M119" s="62" t="s">
        <v>738</v>
      </c>
      <c r="N119" s="62" t="s">
        <v>739</v>
      </c>
      <c r="O119" s="61"/>
      <c r="P119" s="60"/>
      <c r="Q119" s="75"/>
      <c r="R119" s="75"/>
      <c r="S119" s="75"/>
      <c r="T119" s="75"/>
      <c r="U119" s="75"/>
      <c r="V119" s="75"/>
      <c r="W119" s="75"/>
      <c r="X119" s="75"/>
      <c r="Y119" s="75"/>
    </row>
    <row r="120" spans="1:25" ht="20.25" hidden="1" customHeight="1" x14ac:dyDescent="0.45">
      <c r="B120" s="86" t="s">
        <v>880</v>
      </c>
      <c r="C120" s="74" t="s">
        <v>893</v>
      </c>
      <c r="D120" s="74" t="s">
        <v>894</v>
      </c>
      <c r="E120" s="75">
        <v>3</v>
      </c>
      <c r="F120" s="74" t="s">
        <v>682</v>
      </c>
      <c r="G120" s="74" t="s">
        <v>683</v>
      </c>
      <c r="H120" s="74" t="s">
        <v>684</v>
      </c>
      <c r="I120" s="75">
        <v>1</v>
      </c>
      <c r="J120" s="60" t="s">
        <v>685</v>
      </c>
      <c r="K120" s="61">
        <v>20</v>
      </c>
      <c r="L120" s="61"/>
      <c r="M120" s="62" t="s">
        <v>686</v>
      </c>
      <c r="N120" s="62" t="s">
        <v>687</v>
      </c>
      <c r="O120" s="61" t="s">
        <v>688</v>
      </c>
      <c r="P120" s="60"/>
      <c r="Q120" s="61"/>
      <c r="R120" s="61"/>
      <c r="S120" s="61"/>
      <c r="T120" s="61"/>
      <c r="U120" s="61"/>
      <c r="V120" s="61"/>
      <c r="W120" s="61"/>
      <c r="X120" s="61"/>
      <c r="Y120" s="61"/>
    </row>
    <row r="121" spans="1:25" ht="20.25" hidden="1" customHeight="1" x14ac:dyDescent="0.45">
      <c r="B121" s="86" t="s">
        <v>880</v>
      </c>
      <c r="C121" s="74" t="s">
        <v>893</v>
      </c>
      <c r="D121" s="74" t="s">
        <v>894</v>
      </c>
      <c r="E121" s="75">
        <v>3</v>
      </c>
      <c r="F121" s="74" t="s">
        <v>689</v>
      </c>
      <c r="G121" s="74" t="s">
        <v>690</v>
      </c>
      <c r="H121" s="74" t="s">
        <v>684</v>
      </c>
      <c r="I121" s="75">
        <v>2</v>
      </c>
      <c r="J121" s="60" t="s">
        <v>685</v>
      </c>
      <c r="K121" s="61">
        <v>30</v>
      </c>
      <c r="L121" s="61"/>
      <c r="M121" s="62" t="s">
        <v>691</v>
      </c>
      <c r="N121" s="62" t="s">
        <v>692</v>
      </c>
      <c r="O121" s="61" t="s">
        <v>688</v>
      </c>
      <c r="P121" s="60"/>
      <c r="Q121" s="75"/>
      <c r="R121" s="75"/>
      <c r="S121" s="75"/>
      <c r="T121" s="75"/>
      <c r="U121" s="75"/>
      <c r="V121" s="75"/>
      <c r="W121" s="75"/>
      <c r="X121" s="75"/>
      <c r="Y121" s="75"/>
    </row>
    <row r="122" spans="1:25" ht="20.25" hidden="1" customHeight="1" x14ac:dyDescent="0.45">
      <c r="B122" s="86" t="s">
        <v>880</v>
      </c>
      <c r="C122" s="74" t="s">
        <v>893</v>
      </c>
      <c r="D122" s="74" t="s">
        <v>894</v>
      </c>
      <c r="E122" s="75">
        <v>3</v>
      </c>
      <c r="F122" s="74" t="s">
        <v>704</v>
      </c>
      <c r="G122" s="74" t="s">
        <v>705</v>
      </c>
      <c r="H122" s="74" t="s">
        <v>695</v>
      </c>
      <c r="I122" s="75">
        <v>3</v>
      </c>
      <c r="J122" s="60" t="s">
        <v>685</v>
      </c>
      <c r="K122" s="61">
        <v>20</v>
      </c>
      <c r="L122" s="61"/>
      <c r="M122" s="62" t="s">
        <v>706</v>
      </c>
      <c r="N122" s="62" t="s">
        <v>707</v>
      </c>
      <c r="O122" s="61"/>
      <c r="P122" s="60"/>
      <c r="Q122" s="75"/>
      <c r="R122" s="75"/>
      <c r="S122" s="75"/>
      <c r="T122" s="75"/>
      <c r="U122" s="75"/>
      <c r="V122" s="75"/>
      <c r="W122" s="75"/>
      <c r="X122" s="75"/>
      <c r="Y122" s="75"/>
    </row>
    <row r="123" spans="1:25" ht="20.25" hidden="1" customHeight="1" x14ac:dyDescent="0.45">
      <c r="B123" s="86" t="s">
        <v>880</v>
      </c>
      <c r="C123" s="74" t="s">
        <v>893</v>
      </c>
      <c r="D123" s="74" t="s">
        <v>894</v>
      </c>
      <c r="E123" s="75">
        <v>3</v>
      </c>
      <c r="F123" s="74" t="s">
        <v>838</v>
      </c>
      <c r="G123" s="74" t="s">
        <v>839</v>
      </c>
      <c r="H123" s="74" t="s">
        <v>711</v>
      </c>
      <c r="I123" s="75">
        <v>4</v>
      </c>
      <c r="J123" s="60" t="s">
        <v>712</v>
      </c>
      <c r="K123" s="61"/>
      <c r="L123" s="61"/>
      <c r="M123" s="62" t="s">
        <v>895</v>
      </c>
      <c r="N123" s="62" t="s">
        <v>896</v>
      </c>
      <c r="O123" s="61"/>
      <c r="P123" s="60"/>
      <c r="Q123" s="75"/>
      <c r="R123" s="75"/>
      <c r="S123" s="75"/>
      <c r="T123" s="75"/>
      <c r="U123" s="75"/>
      <c r="V123" s="75"/>
      <c r="W123" s="75"/>
      <c r="X123" s="75"/>
      <c r="Y123" s="75"/>
    </row>
    <row r="124" spans="1:25" ht="20.25" hidden="1" customHeight="1" x14ac:dyDescent="0.45">
      <c r="B124" s="86" t="s">
        <v>880</v>
      </c>
      <c r="C124" s="74" t="s">
        <v>893</v>
      </c>
      <c r="D124" s="74" t="s">
        <v>894</v>
      </c>
      <c r="E124" s="75">
        <v>3</v>
      </c>
      <c r="F124" s="74" t="s">
        <v>841</v>
      </c>
      <c r="G124" s="74" t="s">
        <v>842</v>
      </c>
      <c r="H124" s="74" t="s">
        <v>777</v>
      </c>
      <c r="I124" s="75">
        <v>6</v>
      </c>
      <c r="J124" s="60" t="s">
        <v>685</v>
      </c>
      <c r="K124" s="61">
        <v>20</v>
      </c>
      <c r="L124" s="61"/>
      <c r="M124" s="62" t="s">
        <v>897</v>
      </c>
      <c r="N124" s="62" t="s">
        <v>898</v>
      </c>
      <c r="O124" s="61"/>
      <c r="P124" s="60"/>
      <c r="Q124" s="61"/>
      <c r="R124" s="61"/>
      <c r="S124" s="61"/>
      <c r="T124" s="61"/>
      <c r="U124" s="61"/>
      <c r="V124" s="61"/>
      <c r="W124" s="61"/>
      <c r="X124" s="61"/>
      <c r="Y124" s="61"/>
    </row>
    <row r="125" spans="1:25" ht="20.25" hidden="1" customHeight="1" x14ac:dyDescent="0.45">
      <c r="B125" s="86" t="s">
        <v>880</v>
      </c>
      <c r="C125" s="74" t="s">
        <v>893</v>
      </c>
      <c r="D125" s="74" t="s">
        <v>894</v>
      </c>
      <c r="E125" s="75">
        <v>3</v>
      </c>
      <c r="F125" s="74" t="s">
        <v>844</v>
      </c>
      <c r="G125" s="74" t="s">
        <v>845</v>
      </c>
      <c r="H125" s="74" t="s">
        <v>777</v>
      </c>
      <c r="I125" s="75">
        <v>7</v>
      </c>
      <c r="J125" s="60" t="s">
        <v>685</v>
      </c>
      <c r="K125" s="61">
        <v>20</v>
      </c>
      <c r="L125" s="61"/>
      <c r="M125" s="62" t="s">
        <v>899</v>
      </c>
      <c r="N125" s="62"/>
      <c r="O125" s="61"/>
      <c r="P125" s="60"/>
      <c r="Q125" s="61"/>
      <c r="R125" s="61"/>
      <c r="S125" s="61"/>
      <c r="T125" s="61"/>
      <c r="U125" s="61"/>
      <c r="V125" s="61"/>
      <c r="W125" s="61"/>
      <c r="X125" s="61"/>
      <c r="Y125" s="61"/>
    </row>
    <row r="126" spans="1:25" ht="20.25" hidden="1" customHeight="1" x14ac:dyDescent="0.45">
      <c r="B126" s="86" t="s">
        <v>880</v>
      </c>
      <c r="C126" s="74" t="s">
        <v>893</v>
      </c>
      <c r="D126" s="74" t="s">
        <v>894</v>
      </c>
      <c r="E126" s="75">
        <v>3</v>
      </c>
      <c r="F126" s="74" t="s">
        <v>847</v>
      </c>
      <c r="G126" s="74" t="s">
        <v>848</v>
      </c>
      <c r="H126" s="74" t="s">
        <v>777</v>
      </c>
      <c r="I126" s="75">
        <v>8</v>
      </c>
      <c r="J126" s="60" t="s">
        <v>685</v>
      </c>
      <c r="K126" s="61">
        <v>30</v>
      </c>
      <c r="L126" s="61"/>
      <c r="M126" s="62" t="s">
        <v>900</v>
      </c>
      <c r="N126" s="62"/>
      <c r="O126" s="61"/>
      <c r="P126" s="60"/>
      <c r="Q126" s="75"/>
      <c r="R126" s="75"/>
      <c r="S126" s="75"/>
      <c r="T126" s="75"/>
      <c r="U126" s="75"/>
      <c r="V126" s="75"/>
      <c r="W126" s="75"/>
      <c r="X126" s="75"/>
      <c r="Y126" s="75"/>
    </row>
    <row r="127" spans="1:25" ht="20.25" hidden="1" customHeight="1" x14ac:dyDescent="0.45">
      <c r="B127" s="86" t="s">
        <v>880</v>
      </c>
      <c r="C127" s="74" t="s">
        <v>893</v>
      </c>
      <c r="D127" s="74" t="s">
        <v>894</v>
      </c>
      <c r="E127" s="75">
        <v>3</v>
      </c>
      <c r="F127" s="74" t="s">
        <v>850</v>
      </c>
      <c r="G127" s="74" t="s">
        <v>851</v>
      </c>
      <c r="H127" s="74" t="s">
        <v>777</v>
      </c>
      <c r="I127" s="75">
        <v>9</v>
      </c>
      <c r="J127" s="60" t="s">
        <v>685</v>
      </c>
      <c r="K127" s="61">
        <v>10</v>
      </c>
      <c r="L127" s="61"/>
      <c r="M127" s="62" t="s">
        <v>852</v>
      </c>
      <c r="N127" s="62" t="s">
        <v>853</v>
      </c>
      <c r="O127" s="61"/>
      <c r="P127" s="60"/>
      <c r="Q127" s="75"/>
      <c r="R127" s="75"/>
      <c r="S127" s="75"/>
      <c r="T127" s="75"/>
      <c r="U127" s="75"/>
      <c r="V127" s="75"/>
      <c r="W127" s="75"/>
      <c r="X127" s="75"/>
      <c r="Y127" s="75"/>
    </row>
    <row r="128" spans="1:25" ht="20.25" hidden="1" customHeight="1" x14ac:dyDescent="0.45">
      <c r="B128" s="86" t="s">
        <v>880</v>
      </c>
      <c r="C128" s="74" t="s">
        <v>893</v>
      </c>
      <c r="D128" s="74" t="s">
        <v>894</v>
      </c>
      <c r="E128" s="75">
        <v>3</v>
      </c>
      <c r="F128" s="74" t="s">
        <v>854</v>
      </c>
      <c r="G128" s="74" t="s">
        <v>855</v>
      </c>
      <c r="H128" s="74" t="s">
        <v>785</v>
      </c>
      <c r="I128" s="75">
        <v>10</v>
      </c>
      <c r="J128" s="60" t="s">
        <v>685</v>
      </c>
      <c r="K128" s="61">
        <v>20</v>
      </c>
      <c r="L128" s="61"/>
      <c r="M128" s="62" t="s">
        <v>901</v>
      </c>
      <c r="N128" s="62" t="s">
        <v>902</v>
      </c>
      <c r="O128" s="61"/>
      <c r="P128" s="60"/>
      <c r="Q128" s="75"/>
      <c r="R128" s="75"/>
      <c r="S128" s="75"/>
      <c r="T128" s="75"/>
      <c r="U128" s="75"/>
      <c r="V128" s="75"/>
      <c r="W128" s="75"/>
      <c r="X128" s="75"/>
      <c r="Y128" s="75"/>
    </row>
    <row r="129" spans="2:25" ht="20.25" hidden="1" customHeight="1" x14ac:dyDescent="0.45">
      <c r="B129" s="86" t="s">
        <v>880</v>
      </c>
      <c r="C129" s="74" t="s">
        <v>893</v>
      </c>
      <c r="D129" s="74" t="s">
        <v>894</v>
      </c>
      <c r="E129" s="75">
        <v>3</v>
      </c>
      <c r="F129" s="74" t="s">
        <v>857</v>
      </c>
      <c r="G129" s="74" t="s">
        <v>858</v>
      </c>
      <c r="H129" s="74" t="s">
        <v>799</v>
      </c>
      <c r="I129" s="75">
        <v>11</v>
      </c>
      <c r="J129" s="60" t="s">
        <v>685</v>
      </c>
      <c r="K129" s="61">
        <v>20</v>
      </c>
      <c r="L129" s="61"/>
      <c r="M129" s="62" t="s">
        <v>800</v>
      </c>
      <c r="N129" s="62" t="s">
        <v>903</v>
      </c>
      <c r="O129" s="61"/>
      <c r="P129" s="60"/>
      <c r="Q129" s="75"/>
      <c r="R129" s="75"/>
      <c r="S129" s="75"/>
      <c r="T129" s="75"/>
      <c r="U129" s="75"/>
      <c r="V129" s="75"/>
      <c r="W129" s="75"/>
      <c r="X129" s="75"/>
      <c r="Y129" s="75"/>
    </row>
    <row r="130" spans="2:25" ht="20.25" hidden="1" customHeight="1" x14ac:dyDescent="0.45">
      <c r="B130" s="86" t="s">
        <v>880</v>
      </c>
      <c r="C130" s="74" t="s">
        <v>893</v>
      </c>
      <c r="D130" s="74" t="s">
        <v>894</v>
      </c>
      <c r="E130" s="75">
        <v>3</v>
      </c>
      <c r="F130" s="74" t="s">
        <v>803</v>
      </c>
      <c r="G130" s="74" t="s">
        <v>804</v>
      </c>
      <c r="H130" s="74" t="s">
        <v>799</v>
      </c>
      <c r="I130" s="75">
        <v>12</v>
      </c>
      <c r="J130" s="60" t="s">
        <v>748</v>
      </c>
      <c r="K130" s="61">
        <v>15</v>
      </c>
      <c r="L130" s="61">
        <v>6</v>
      </c>
      <c r="M130" s="62" t="s">
        <v>805</v>
      </c>
      <c r="N130" s="62"/>
      <c r="O130" s="61"/>
      <c r="P130" s="60"/>
      <c r="Q130" s="61"/>
      <c r="R130" s="61"/>
      <c r="S130" s="61"/>
      <c r="T130" s="61"/>
      <c r="U130" s="61"/>
      <c r="V130" s="61"/>
      <c r="W130" s="61"/>
      <c r="X130" s="61"/>
      <c r="Y130" s="61"/>
    </row>
    <row r="131" spans="2:25" ht="20.25" hidden="1" customHeight="1" x14ac:dyDescent="0.45">
      <c r="B131" s="86" t="s">
        <v>880</v>
      </c>
      <c r="C131" s="74" t="s">
        <v>893</v>
      </c>
      <c r="D131" s="74" t="s">
        <v>894</v>
      </c>
      <c r="E131" s="75">
        <v>3</v>
      </c>
      <c r="F131" s="74" t="s">
        <v>807</v>
      </c>
      <c r="G131" s="74" t="s">
        <v>808</v>
      </c>
      <c r="H131" s="74" t="s">
        <v>799</v>
      </c>
      <c r="I131" s="75">
        <v>13</v>
      </c>
      <c r="J131" s="60" t="s">
        <v>748</v>
      </c>
      <c r="K131" s="61">
        <v>15</v>
      </c>
      <c r="L131" s="61">
        <v>6</v>
      </c>
      <c r="M131" s="62" t="s">
        <v>904</v>
      </c>
      <c r="N131" s="62"/>
      <c r="O131" s="61"/>
      <c r="P131" s="60"/>
      <c r="Q131" s="61"/>
      <c r="R131" s="61"/>
      <c r="S131" s="61"/>
      <c r="T131" s="61"/>
      <c r="U131" s="61"/>
      <c r="V131" s="61"/>
      <c r="W131" s="61"/>
      <c r="X131" s="61"/>
      <c r="Y131" s="61"/>
    </row>
    <row r="132" spans="2:25" ht="20.25" hidden="1" customHeight="1" x14ac:dyDescent="0.45">
      <c r="B132" s="86" t="s">
        <v>880</v>
      </c>
      <c r="C132" s="74" t="s">
        <v>893</v>
      </c>
      <c r="D132" s="74" t="s">
        <v>894</v>
      </c>
      <c r="E132" s="75">
        <v>3</v>
      </c>
      <c r="F132" s="74" t="s">
        <v>859</v>
      </c>
      <c r="G132" s="74" t="s">
        <v>860</v>
      </c>
      <c r="H132" s="74" t="s">
        <v>799</v>
      </c>
      <c r="I132" s="75">
        <v>14</v>
      </c>
      <c r="J132" s="60" t="s">
        <v>748</v>
      </c>
      <c r="K132" s="61">
        <v>23</v>
      </c>
      <c r="L132" s="61">
        <v>6</v>
      </c>
      <c r="M132" s="62" t="s">
        <v>905</v>
      </c>
      <c r="N132" s="62"/>
      <c r="O132" s="61"/>
      <c r="P132" s="60"/>
      <c r="Q132" s="75"/>
      <c r="R132" s="75"/>
      <c r="S132" s="75"/>
      <c r="T132" s="75"/>
      <c r="U132" s="75"/>
      <c r="V132" s="75"/>
      <c r="W132" s="75"/>
      <c r="X132" s="75"/>
      <c r="Y132" s="75"/>
    </row>
    <row r="133" spans="2:25" ht="20.25" hidden="1" customHeight="1" x14ac:dyDescent="0.45">
      <c r="B133" s="86" t="s">
        <v>880</v>
      </c>
      <c r="C133" s="74" t="s">
        <v>893</v>
      </c>
      <c r="D133" s="74" t="s">
        <v>894</v>
      </c>
      <c r="E133" s="75">
        <v>3</v>
      </c>
      <c r="F133" s="74" t="s">
        <v>732</v>
      </c>
      <c r="G133" s="74" t="s">
        <v>732</v>
      </c>
      <c r="H133" s="74" t="s">
        <v>733</v>
      </c>
      <c r="I133" s="75">
        <v>15</v>
      </c>
      <c r="J133" s="60" t="s">
        <v>685</v>
      </c>
      <c r="K133" s="61">
        <v>10</v>
      </c>
      <c r="L133" s="61"/>
      <c r="M133" s="62" t="s">
        <v>734</v>
      </c>
      <c r="N133" s="62"/>
      <c r="O133" s="61"/>
      <c r="P133" s="60"/>
      <c r="Q133" s="75"/>
      <c r="R133" s="75"/>
      <c r="S133" s="75"/>
      <c r="T133" s="75"/>
      <c r="U133" s="75"/>
      <c r="V133" s="75"/>
      <c r="W133" s="75"/>
      <c r="X133" s="75"/>
      <c r="Y133" s="75"/>
    </row>
    <row r="134" spans="2:25" ht="20.25" hidden="1" customHeight="1" x14ac:dyDescent="0.45">
      <c r="B134" s="86" t="s">
        <v>880</v>
      </c>
      <c r="C134" s="74" t="s">
        <v>893</v>
      </c>
      <c r="D134" s="74" t="s">
        <v>894</v>
      </c>
      <c r="E134" s="75">
        <v>3</v>
      </c>
      <c r="F134" s="74" t="s">
        <v>736</v>
      </c>
      <c r="G134" s="74" t="s">
        <v>736</v>
      </c>
      <c r="H134" s="74" t="s">
        <v>818</v>
      </c>
      <c r="I134" s="75">
        <v>16</v>
      </c>
      <c r="J134" s="60" t="s">
        <v>737</v>
      </c>
      <c r="K134" s="61"/>
      <c r="L134" s="61"/>
      <c r="M134" s="62" t="s">
        <v>738</v>
      </c>
      <c r="N134" s="62"/>
      <c r="O134" s="61"/>
      <c r="P134" s="60"/>
      <c r="Q134" s="75"/>
      <c r="R134" s="75"/>
      <c r="S134" s="75"/>
      <c r="T134" s="75"/>
      <c r="U134" s="75"/>
      <c r="V134" s="75"/>
      <c r="W134" s="75"/>
      <c r="X134" s="75"/>
      <c r="Y134" s="75"/>
    </row>
    <row r="135" spans="2:25" ht="20.25" hidden="1" customHeight="1" x14ac:dyDescent="0.45">
      <c r="B135" s="86" t="s">
        <v>906</v>
      </c>
      <c r="C135" s="74" t="s">
        <v>907</v>
      </c>
      <c r="D135" s="74" t="s">
        <v>908</v>
      </c>
      <c r="E135" s="75">
        <v>1</v>
      </c>
      <c r="F135" s="74" t="s">
        <v>682</v>
      </c>
      <c r="G135" s="74" t="s">
        <v>683</v>
      </c>
      <c r="H135" s="74" t="s">
        <v>684</v>
      </c>
      <c r="I135" s="75">
        <v>1</v>
      </c>
      <c r="J135" s="60" t="s">
        <v>685</v>
      </c>
      <c r="K135" s="61">
        <v>20</v>
      </c>
      <c r="L135" s="61"/>
      <c r="M135" s="62" t="s">
        <v>686</v>
      </c>
      <c r="N135" s="62" t="s">
        <v>687</v>
      </c>
      <c r="O135" s="61" t="s">
        <v>688</v>
      </c>
      <c r="P135" s="60"/>
      <c r="Q135" s="75"/>
      <c r="R135" s="75"/>
      <c r="S135" s="75"/>
      <c r="T135" s="75"/>
      <c r="U135" s="75"/>
      <c r="V135" s="75"/>
      <c r="W135" s="75"/>
      <c r="X135" s="75"/>
      <c r="Y135" s="75"/>
    </row>
    <row r="136" spans="2:25" ht="20.25" hidden="1" customHeight="1" x14ac:dyDescent="0.45">
      <c r="B136" s="86" t="s">
        <v>906</v>
      </c>
      <c r="C136" s="74" t="s">
        <v>907</v>
      </c>
      <c r="D136" s="74" t="s">
        <v>908</v>
      </c>
      <c r="E136" s="75">
        <v>1</v>
      </c>
      <c r="F136" s="74" t="s">
        <v>689</v>
      </c>
      <c r="G136" s="74" t="s">
        <v>690</v>
      </c>
      <c r="H136" s="74" t="s">
        <v>684</v>
      </c>
      <c r="I136" s="75">
        <v>2</v>
      </c>
      <c r="J136" s="60" t="s">
        <v>685</v>
      </c>
      <c r="K136" s="61">
        <v>30</v>
      </c>
      <c r="L136" s="61"/>
      <c r="M136" s="62" t="s">
        <v>691</v>
      </c>
      <c r="N136" s="62" t="s">
        <v>692</v>
      </c>
      <c r="O136" s="61" t="s">
        <v>688</v>
      </c>
      <c r="P136" s="60"/>
      <c r="Q136" s="75"/>
      <c r="R136" s="75"/>
      <c r="S136" s="75"/>
      <c r="T136" s="75"/>
      <c r="U136" s="75"/>
      <c r="V136" s="75"/>
      <c r="W136" s="75"/>
      <c r="X136" s="75"/>
      <c r="Y136" s="75"/>
    </row>
    <row r="137" spans="2:25" ht="20.25" hidden="1" customHeight="1" x14ac:dyDescent="0.45">
      <c r="B137" s="86" t="s">
        <v>906</v>
      </c>
      <c r="C137" s="74" t="s">
        <v>907</v>
      </c>
      <c r="D137" s="74" t="s">
        <v>908</v>
      </c>
      <c r="E137" s="75">
        <v>1</v>
      </c>
      <c r="F137" s="74" t="s">
        <v>693</v>
      </c>
      <c r="G137" s="74" t="s">
        <v>694</v>
      </c>
      <c r="H137" s="74" t="s">
        <v>695</v>
      </c>
      <c r="I137" s="75">
        <v>3</v>
      </c>
      <c r="J137" s="60" t="s">
        <v>685</v>
      </c>
      <c r="K137" s="61">
        <v>20</v>
      </c>
      <c r="L137" s="61"/>
      <c r="M137" s="62" t="s">
        <v>696</v>
      </c>
      <c r="N137" s="62" t="s">
        <v>697</v>
      </c>
      <c r="O137" s="61"/>
      <c r="P137" s="60" t="s">
        <v>698</v>
      </c>
      <c r="Q137" s="75"/>
      <c r="R137" s="75"/>
      <c r="S137" s="75"/>
      <c r="T137" s="75"/>
      <c r="U137" s="75"/>
      <c r="V137" s="75"/>
      <c r="W137" s="75"/>
      <c r="X137" s="75"/>
      <c r="Y137" s="75"/>
    </row>
    <row r="138" spans="2:25" ht="20.25" hidden="1" customHeight="1" x14ac:dyDescent="0.45">
      <c r="B138" s="86" t="s">
        <v>906</v>
      </c>
      <c r="C138" s="74" t="s">
        <v>907</v>
      </c>
      <c r="D138" s="74" t="s">
        <v>908</v>
      </c>
      <c r="E138" s="75">
        <v>1</v>
      </c>
      <c r="F138" s="74" t="s">
        <v>699</v>
      </c>
      <c r="G138" s="74" t="s">
        <v>700</v>
      </c>
      <c r="H138" s="74" t="s">
        <v>695</v>
      </c>
      <c r="I138" s="75">
        <v>4</v>
      </c>
      <c r="J138" s="60" t="s">
        <v>685</v>
      </c>
      <c r="K138" s="61">
        <v>20</v>
      </c>
      <c r="L138" s="61"/>
      <c r="M138" s="62" t="s">
        <v>701</v>
      </c>
      <c r="N138" s="62" t="s">
        <v>702</v>
      </c>
      <c r="O138" s="61"/>
      <c r="P138" s="60" t="s">
        <v>703</v>
      </c>
      <c r="Q138" s="75"/>
      <c r="R138" s="75"/>
      <c r="S138" s="75"/>
      <c r="T138" s="75"/>
      <c r="U138" s="75"/>
      <c r="V138" s="75"/>
      <c r="W138" s="75"/>
      <c r="X138" s="75"/>
      <c r="Y138" s="75"/>
    </row>
    <row r="139" spans="2:25" ht="20.25" hidden="1" customHeight="1" x14ac:dyDescent="0.45">
      <c r="B139" s="86" t="s">
        <v>906</v>
      </c>
      <c r="C139" s="74" t="s">
        <v>907</v>
      </c>
      <c r="D139" s="74" t="s">
        <v>908</v>
      </c>
      <c r="E139" s="75">
        <v>1</v>
      </c>
      <c r="F139" s="74" t="s">
        <v>704</v>
      </c>
      <c r="G139" s="74" t="s">
        <v>705</v>
      </c>
      <c r="H139" s="74" t="s">
        <v>695</v>
      </c>
      <c r="I139" s="75">
        <v>5</v>
      </c>
      <c r="J139" s="60" t="s">
        <v>685</v>
      </c>
      <c r="K139" s="61">
        <v>20</v>
      </c>
      <c r="L139" s="61"/>
      <c r="M139" s="62" t="s">
        <v>706</v>
      </c>
      <c r="N139" s="62" t="s">
        <v>707</v>
      </c>
      <c r="O139" s="61"/>
      <c r="P139" s="60" t="s">
        <v>708</v>
      </c>
      <c r="Q139" s="75"/>
      <c r="R139" s="75"/>
      <c r="S139" s="75"/>
      <c r="T139" s="75"/>
      <c r="U139" s="75"/>
      <c r="V139" s="75"/>
      <c r="W139" s="75"/>
      <c r="X139" s="75"/>
      <c r="Y139" s="75"/>
    </row>
    <row r="140" spans="2:25" ht="20.25" hidden="1" customHeight="1" x14ac:dyDescent="0.45">
      <c r="B140" s="86" t="s">
        <v>906</v>
      </c>
      <c r="C140" s="74" t="s">
        <v>907</v>
      </c>
      <c r="D140" s="74" t="s">
        <v>908</v>
      </c>
      <c r="E140" s="75">
        <v>1</v>
      </c>
      <c r="F140" s="74" t="s">
        <v>709</v>
      </c>
      <c r="G140" s="74" t="s">
        <v>710</v>
      </c>
      <c r="H140" s="74" t="s">
        <v>711</v>
      </c>
      <c r="I140" s="75">
        <v>6</v>
      </c>
      <c r="J140" s="60" t="s">
        <v>712</v>
      </c>
      <c r="K140" s="61"/>
      <c r="L140" s="61"/>
      <c r="M140" s="62" t="s">
        <v>713</v>
      </c>
      <c r="N140" s="62" t="s">
        <v>714</v>
      </c>
      <c r="O140" s="61"/>
      <c r="P140" s="60"/>
      <c r="Q140" s="75"/>
      <c r="R140" s="75"/>
      <c r="S140" s="75"/>
      <c r="T140" s="75"/>
      <c r="U140" s="75"/>
      <c r="V140" s="75"/>
      <c r="W140" s="75"/>
      <c r="X140" s="75"/>
      <c r="Y140" s="75"/>
    </row>
    <row r="141" spans="2:25" ht="20.25" hidden="1" customHeight="1" x14ac:dyDescent="0.45">
      <c r="B141" s="86" t="s">
        <v>906</v>
      </c>
      <c r="C141" s="74" t="s">
        <v>907</v>
      </c>
      <c r="D141" s="74" t="s">
        <v>908</v>
      </c>
      <c r="E141" s="75">
        <v>1</v>
      </c>
      <c r="F141" s="74" t="s">
        <v>771</v>
      </c>
      <c r="G141" s="74" t="s">
        <v>772</v>
      </c>
      <c r="H141" s="74" t="s">
        <v>711</v>
      </c>
      <c r="I141" s="75">
        <v>7</v>
      </c>
      <c r="J141" s="60" t="s">
        <v>712</v>
      </c>
      <c r="K141" s="61"/>
      <c r="L141" s="61"/>
      <c r="M141" s="62" t="s">
        <v>868</v>
      </c>
      <c r="N141" s="62" t="s">
        <v>774</v>
      </c>
      <c r="O141" s="61"/>
      <c r="P141" s="60"/>
      <c r="Q141" s="61"/>
      <c r="R141" s="61"/>
      <c r="S141" s="61"/>
      <c r="T141" s="61"/>
      <c r="U141" s="61"/>
      <c r="V141" s="61"/>
      <c r="W141" s="61"/>
      <c r="X141" s="61"/>
      <c r="Y141" s="61"/>
    </row>
    <row r="142" spans="2:25" ht="20.25" hidden="1" customHeight="1" x14ac:dyDescent="0.45">
      <c r="B142" s="86" t="s">
        <v>906</v>
      </c>
      <c r="C142" s="74" t="s">
        <v>907</v>
      </c>
      <c r="D142" s="74" t="s">
        <v>908</v>
      </c>
      <c r="E142" s="75">
        <v>1</v>
      </c>
      <c r="F142" s="74" t="s">
        <v>909</v>
      </c>
      <c r="G142" s="74" t="s">
        <v>910</v>
      </c>
      <c r="H142" s="74" t="s">
        <v>777</v>
      </c>
      <c r="I142" s="75">
        <v>8</v>
      </c>
      <c r="J142" s="60" t="s">
        <v>685</v>
      </c>
      <c r="K142" s="61">
        <v>20</v>
      </c>
      <c r="L142" s="61"/>
      <c r="M142" s="62" t="s">
        <v>911</v>
      </c>
      <c r="N142" s="62"/>
      <c r="O142" s="61"/>
      <c r="P142" s="60"/>
      <c r="Q142" s="60"/>
      <c r="R142" s="60"/>
      <c r="S142" s="60"/>
      <c r="T142" s="60"/>
      <c r="U142" s="60"/>
      <c r="V142" s="60"/>
      <c r="W142" s="60"/>
      <c r="X142" s="60"/>
      <c r="Y142" s="60"/>
    </row>
    <row r="143" spans="2:25" ht="20.25" hidden="1" customHeight="1" x14ac:dyDescent="0.45">
      <c r="B143" s="86" t="s">
        <v>906</v>
      </c>
      <c r="C143" s="74" t="s">
        <v>907</v>
      </c>
      <c r="D143" s="74" t="s">
        <v>908</v>
      </c>
      <c r="E143" s="75">
        <v>1</v>
      </c>
      <c r="F143" s="74" t="s">
        <v>912</v>
      </c>
      <c r="G143" s="74" t="s">
        <v>848</v>
      </c>
      <c r="H143" s="74" t="s">
        <v>777</v>
      </c>
      <c r="I143" s="75">
        <v>9</v>
      </c>
      <c r="J143" s="60" t="s">
        <v>685</v>
      </c>
      <c r="K143" s="61">
        <v>30</v>
      </c>
      <c r="L143" s="61"/>
      <c r="M143" s="62" t="s">
        <v>781</v>
      </c>
      <c r="N143" s="62" t="s">
        <v>782</v>
      </c>
      <c r="O143" s="61"/>
      <c r="P143" s="60"/>
      <c r="Q143" s="75"/>
      <c r="R143" s="75"/>
      <c r="S143" s="75"/>
      <c r="T143" s="75"/>
      <c r="U143" s="75"/>
      <c r="V143" s="75"/>
      <c r="W143" s="75"/>
      <c r="X143" s="75"/>
      <c r="Y143" s="75"/>
    </row>
    <row r="144" spans="2:25" ht="20.25" hidden="1" customHeight="1" x14ac:dyDescent="0.45">
      <c r="B144" s="86" t="s">
        <v>906</v>
      </c>
      <c r="C144" s="74" t="s">
        <v>907</v>
      </c>
      <c r="D144" s="74" t="s">
        <v>908</v>
      </c>
      <c r="E144" s="75">
        <v>1</v>
      </c>
      <c r="F144" s="74" t="s">
        <v>913</v>
      </c>
      <c r="G144" s="74" t="s">
        <v>914</v>
      </c>
      <c r="H144" s="74" t="s">
        <v>785</v>
      </c>
      <c r="I144" s="75">
        <v>10</v>
      </c>
      <c r="J144" s="60" t="s">
        <v>685</v>
      </c>
      <c r="K144" s="61">
        <v>20</v>
      </c>
      <c r="L144" s="61"/>
      <c r="M144" s="62" t="s">
        <v>786</v>
      </c>
      <c r="N144" s="62" t="s">
        <v>787</v>
      </c>
      <c r="O144" s="61"/>
      <c r="P144" s="76" t="s">
        <v>915</v>
      </c>
      <c r="Q144" s="75"/>
      <c r="R144" s="75"/>
      <c r="S144" s="75"/>
      <c r="T144" s="75"/>
      <c r="U144" s="75"/>
      <c r="V144" s="75"/>
      <c r="W144" s="75"/>
      <c r="X144" s="75"/>
      <c r="Y144" s="75"/>
    </row>
    <row r="145" spans="2:25" ht="20.25" hidden="1" customHeight="1" x14ac:dyDescent="0.45">
      <c r="B145" s="86" t="s">
        <v>880</v>
      </c>
      <c r="C145" s="74" t="s">
        <v>881</v>
      </c>
      <c r="D145" s="74" t="s">
        <v>882</v>
      </c>
      <c r="E145" s="75">
        <v>1</v>
      </c>
      <c r="F145" s="74" t="s">
        <v>789</v>
      </c>
      <c r="G145" s="74" t="s">
        <v>790</v>
      </c>
      <c r="H145" s="74" t="s">
        <v>785</v>
      </c>
      <c r="I145" s="75">
        <v>10</v>
      </c>
      <c r="J145" s="60" t="s">
        <v>748</v>
      </c>
      <c r="K145" s="61">
        <v>20</v>
      </c>
      <c r="L145" s="61">
        <v>0</v>
      </c>
      <c r="M145" s="62" t="s">
        <v>791</v>
      </c>
      <c r="N145" s="62" t="s">
        <v>792</v>
      </c>
      <c r="O145" s="61"/>
      <c r="P145" s="60" t="s">
        <v>793</v>
      </c>
      <c r="Q145" s="75"/>
      <c r="R145" s="75"/>
      <c r="S145" s="75"/>
      <c r="T145" s="75"/>
      <c r="U145" s="75"/>
      <c r="V145" s="75"/>
      <c r="W145" s="75"/>
      <c r="X145" s="75"/>
      <c r="Y145" s="75"/>
    </row>
    <row r="146" spans="2:25" ht="20.25" hidden="1" customHeight="1" x14ac:dyDescent="0.45">
      <c r="B146" s="86" t="s">
        <v>906</v>
      </c>
      <c r="C146" s="74" t="s">
        <v>907</v>
      </c>
      <c r="D146" s="74" t="s">
        <v>908</v>
      </c>
      <c r="E146" s="75">
        <v>1</v>
      </c>
      <c r="F146" s="74" t="s">
        <v>794</v>
      </c>
      <c r="G146" s="74" t="s">
        <v>795</v>
      </c>
      <c r="H146" s="74" t="s">
        <v>785</v>
      </c>
      <c r="I146" s="75">
        <v>12</v>
      </c>
      <c r="J146" s="60" t="s">
        <v>685</v>
      </c>
      <c r="K146" s="61">
        <v>4</v>
      </c>
      <c r="L146" s="61"/>
      <c r="M146" s="62" t="s">
        <v>796</v>
      </c>
      <c r="N146" s="62"/>
      <c r="O146" s="61"/>
      <c r="P146" s="60"/>
      <c r="Q146" s="71"/>
      <c r="R146" s="71"/>
      <c r="S146" s="71"/>
      <c r="T146" s="71"/>
      <c r="U146" s="71"/>
      <c r="V146" s="71"/>
      <c r="W146" s="71"/>
      <c r="X146" s="71"/>
      <c r="Y146" s="71"/>
    </row>
    <row r="147" spans="2:25" ht="20.25" hidden="1" customHeight="1" x14ac:dyDescent="0.45">
      <c r="B147" s="86" t="s">
        <v>906</v>
      </c>
      <c r="C147" s="74" t="s">
        <v>907</v>
      </c>
      <c r="D147" s="74" t="s">
        <v>908</v>
      </c>
      <c r="E147" s="75">
        <v>1</v>
      </c>
      <c r="F147" s="74" t="s">
        <v>803</v>
      </c>
      <c r="G147" s="74" t="s">
        <v>804</v>
      </c>
      <c r="H147" s="74" t="s">
        <v>892</v>
      </c>
      <c r="I147" s="75">
        <v>13</v>
      </c>
      <c r="J147" s="60" t="s">
        <v>748</v>
      </c>
      <c r="K147" s="61">
        <v>15</v>
      </c>
      <c r="L147" s="61">
        <v>6</v>
      </c>
      <c r="M147" s="62" t="s">
        <v>805</v>
      </c>
      <c r="N147" s="62" t="s">
        <v>806</v>
      </c>
      <c r="O147" s="61"/>
      <c r="P147" s="60"/>
      <c r="Q147" s="75"/>
      <c r="R147" s="75"/>
      <c r="S147" s="75"/>
      <c r="T147" s="75"/>
      <c r="U147" s="75"/>
      <c r="V147" s="75"/>
      <c r="W147" s="75"/>
      <c r="X147" s="75"/>
      <c r="Y147" s="75"/>
    </row>
    <row r="148" spans="2:25" ht="20.25" hidden="1" customHeight="1" x14ac:dyDescent="0.45">
      <c r="B148" s="86" t="s">
        <v>906</v>
      </c>
      <c r="C148" s="74" t="s">
        <v>907</v>
      </c>
      <c r="D148" s="74" t="s">
        <v>908</v>
      </c>
      <c r="E148" s="75">
        <v>1</v>
      </c>
      <c r="F148" s="74" t="s">
        <v>807</v>
      </c>
      <c r="G148" s="74" t="s">
        <v>808</v>
      </c>
      <c r="H148" s="74" t="s">
        <v>892</v>
      </c>
      <c r="I148" s="75">
        <v>14</v>
      </c>
      <c r="J148" s="60" t="s">
        <v>748</v>
      </c>
      <c r="K148" s="61">
        <v>15</v>
      </c>
      <c r="L148" s="61">
        <v>6</v>
      </c>
      <c r="M148" s="62" t="s">
        <v>904</v>
      </c>
      <c r="N148" s="62" t="s">
        <v>810</v>
      </c>
      <c r="O148" s="61"/>
      <c r="P148" s="60"/>
      <c r="Q148" s="75"/>
      <c r="R148" s="75"/>
      <c r="S148" s="75"/>
      <c r="T148" s="75"/>
      <c r="U148" s="75"/>
      <c r="V148" s="75"/>
      <c r="W148" s="75"/>
      <c r="X148" s="75"/>
      <c r="Y148" s="75"/>
    </row>
    <row r="149" spans="2:25" ht="20.25" hidden="1" customHeight="1" x14ac:dyDescent="0.45">
      <c r="B149" s="86" t="s">
        <v>906</v>
      </c>
      <c r="C149" s="74" t="s">
        <v>907</v>
      </c>
      <c r="D149" s="74" t="s">
        <v>908</v>
      </c>
      <c r="E149" s="75">
        <v>1</v>
      </c>
      <c r="F149" s="74" t="s">
        <v>732</v>
      </c>
      <c r="G149" s="74" t="s">
        <v>732</v>
      </c>
      <c r="H149" s="74" t="s">
        <v>733</v>
      </c>
      <c r="I149" s="75">
        <v>15</v>
      </c>
      <c r="J149" s="60" t="s">
        <v>685</v>
      </c>
      <c r="K149" s="61">
        <v>10</v>
      </c>
      <c r="L149" s="61"/>
      <c r="M149" s="62" t="s">
        <v>734</v>
      </c>
      <c r="N149" s="62" t="s">
        <v>765</v>
      </c>
      <c r="O149" s="61" t="s">
        <v>688</v>
      </c>
      <c r="P149" s="60"/>
      <c r="Q149" s="75"/>
      <c r="R149" s="75"/>
      <c r="S149" s="75"/>
      <c r="T149" s="75"/>
      <c r="U149" s="75"/>
      <c r="V149" s="75"/>
      <c r="W149" s="75"/>
      <c r="X149" s="75"/>
      <c r="Y149" s="75"/>
    </row>
    <row r="150" spans="2:25" ht="20.25" hidden="1" customHeight="1" x14ac:dyDescent="0.45">
      <c r="B150" s="86" t="s">
        <v>906</v>
      </c>
      <c r="C150" s="74" t="s">
        <v>907</v>
      </c>
      <c r="D150" s="74" t="s">
        <v>908</v>
      </c>
      <c r="E150" s="75">
        <v>1</v>
      </c>
      <c r="F150" s="74" t="s">
        <v>736</v>
      </c>
      <c r="G150" s="74" t="s">
        <v>736</v>
      </c>
      <c r="H150" s="74" t="s">
        <v>717</v>
      </c>
      <c r="I150" s="75">
        <v>16</v>
      </c>
      <c r="J150" s="60" t="s">
        <v>737</v>
      </c>
      <c r="K150" s="61"/>
      <c r="L150" s="61"/>
      <c r="M150" s="62" t="s">
        <v>738</v>
      </c>
      <c r="N150" s="62" t="s">
        <v>739</v>
      </c>
      <c r="O150" s="61"/>
      <c r="P150" s="60"/>
      <c r="Q150" s="75"/>
      <c r="R150" s="75"/>
      <c r="S150" s="75"/>
      <c r="T150" s="75"/>
      <c r="U150" s="75"/>
      <c r="V150" s="75"/>
      <c r="W150" s="75"/>
      <c r="X150" s="75"/>
      <c r="Y150" s="75"/>
    </row>
    <row r="151" spans="2:25" ht="20.25" hidden="1" customHeight="1" x14ac:dyDescent="0.45">
      <c r="B151" s="86" t="s">
        <v>906</v>
      </c>
      <c r="C151" s="74" t="s">
        <v>916</v>
      </c>
      <c r="D151" s="74" t="s">
        <v>917</v>
      </c>
      <c r="E151" s="75">
        <v>2</v>
      </c>
      <c r="F151" s="74" t="s">
        <v>682</v>
      </c>
      <c r="G151" s="74" t="s">
        <v>683</v>
      </c>
      <c r="H151" s="74" t="s">
        <v>684</v>
      </c>
      <c r="I151" s="75">
        <v>1</v>
      </c>
      <c r="J151" s="60" t="s">
        <v>685</v>
      </c>
      <c r="K151" s="61">
        <v>20</v>
      </c>
      <c r="L151" s="61"/>
      <c r="M151" s="62" t="s">
        <v>686</v>
      </c>
      <c r="N151" s="62" t="s">
        <v>687</v>
      </c>
      <c r="O151" s="61" t="s">
        <v>688</v>
      </c>
      <c r="P151" s="60"/>
      <c r="Q151" s="61"/>
      <c r="R151" s="61"/>
      <c r="S151" s="61"/>
      <c r="T151" s="61"/>
      <c r="U151" s="61"/>
      <c r="V151" s="61"/>
      <c r="W151" s="61"/>
      <c r="X151" s="61"/>
      <c r="Y151" s="61"/>
    </row>
    <row r="152" spans="2:25" ht="20.25" hidden="1" customHeight="1" x14ac:dyDescent="0.45">
      <c r="B152" s="86" t="s">
        <v>906</v>
      </c>
      <c r="C152" s="74" t="s">
        <v>916</v>
      </c>
      <c r="D152" s="76" t="s">
        <v>917</v>
      </c>
      <c r="E152" s="75">
        <v>2</v>
      </c>
      <c r="F152" s="74" t="s">
        <v>689</v>
      </c>
      <c r="G152" s="74" t="s">
        <v>690</v>
      </c>
      <c r="H152" s="74" t="s">
        <v>684</v>
      </c>
      <c r="I152" s="75">
        <v>2</v>
      </c>
      <c r="J152" s="60" t="s">
        <v>685</v>
      </c>
      <c r="K152" s="61">
        <v>30</v>
      </c>
      <c r="L152" s="61"/>
      <c r="M152" s="62" t="s">
        <v>691</v>
      </c>
      <c r="N152" s="79" t="s">
        <v>692</v>
      </c>
      <c r="O152" s="61" t="s">
        <v>688</v>
      </c>
      <c r="P152" s="60"/>
      <c r="Q152" s="61"/>
      <c r="R152" s="61"/>
      <c r="S152" s="61"/>
      <c r="T152" s="61"/>
      <c r="U152" s="61"/>
      <c r="V152" s="61"/>
      <c r="W152" s="61"/>
      <c r="X152" s="61"/>
      <c r="Y152" s="61"/>
    </row>
    <row r="153" spans="2:25" ht="20.25" hidden="1" customHeight="1" x14ac:dyDescent="0.45">
      <c r="B153" s="86" t="s">
        <v>906</v>
      </c>
      <c r="C153" s="74" t="s">
        <v>916</v>
      </c>
      <c r="D153" s="74" t="s">
        <v>917</v>
      </c>
      <c r="E153" s="75">
        <v>2</v>
      </c>
      <c r="F153" s="74" t="s">
        <v>821</v>
      </c>
      <c r="G153" s="74" t="s">
        <v>822</v>
      </c>
      <c r="H153" s="74" t="s">
        <v>878</v>
      </c>
      <c r="I153" s="75">
        <v>3</v>
      </c>
      <c r="J153" s="60" t="s">
        <v>685</v>
      </c>
      <c r="K153" s="61">
        <v>20</v>
      </c>
      <c r="L153" s="61"/>
      <c r="M153" s="62" t="s">
        <v>823</v>
      </c>
      <c r="N153" s="62" t="s">
        <v>824</v>
      </c>
      <c r="O153" s="61" t="s">
        <v>688</v>
      </c>
      <c r="P153" s="60" t="s">
        <v>825</v>
      </c>
      <c r="Q153" s="61"/>
      <c r="R153" s="61"/>
      <c r="S153" s="61"/>
      <c r="T153" s="61"/>
      <c r="U153" s="61"/>
      <c r="V153" s="61"/>
      <c r="W153" s="61"/>
      <c r="X153" s="61"/>
      <c r="Y153" s="61"/>
    </row>
    <row r="154" spans="2:25" ht="20.25" hidden="1" customHeight="1" x14ac:dyDescent="0.45">
      <c r="B154" s="86" t="s">
        <v>906</v>
      </c>
      <c r="C154" s="74" t="s">
        <v>916</v>
      </c>
      <c r="D154" s="74" t="s">
        <v>917</v>
      </c>
      <c r="E154" s="75">
        <v>2</v>
      </c>
      <c r="F154" s="74" t="s">
        <v>826</v>
      </c>
      <c r="G154" s="74" t="s">
        <v>827</v>
      </c>
      <c r="H154" s="74" t="s">
        <v>879</v>
      </c>
      <c r="I154" s="75">
        <v>4</v>
      </c>
      <c r="J154" s="60" t="s">
        <v>737</v>
      </c>
      <c r="K154" s="61"/>
      <c r="L154" s="61"/>
      <c r="M154" s="62" t="s">
        <v>828</v>
      </c>
      <c r="N154" s="62" t="s">
        <v>829</v>
      </c>
      <c r="O154" s="61" t="s">
        <v>688</v>
      </c>
      <c r="P154" s="60"/>
      <c r="Q154" s="75"/>
      <c r="R154" s="75"/>
      <c r="S154" s="75"/>
      <c r="T154" s="75"/>
      <c r="U154" s="75"/>
      <c r="V154" s="75"/>
      <c r="W154" s="75"/>
      <c r="X154" s="75"/>
      <c r="Y154" s="75"/>
    </row>
    <row r="155" spans="2:25" ht="20.25" hidden="1" customHeight="1" x14ac:dyDescent="0.45">
      <c r="B155" s="86" t="s">
        <v>906</v>
      </c>
      <c r="C155" s="74" t="s">
        <v>916</v>
      </c>
      <c r="D155" s="74" t="s">
        <v>917</v>
      </c>
      <c r="E155" s="75">
        <v>2</v>
      </c>
      <c r="F155" s="74" t="s">
        <v>830</v>
      </c>
      <c r="G155" s="74" t="s">
        <v>831</v>
      </c>
      <c r="H155" s="74" t="s">
        <v>891</v>
      </c>
      <c r="I155" s="75">
        <v>5</v>
      </c>
      <c r="J155" s="60" t="s">
        <v>685</v>
      </c>
      <c r="K155" s="61">
        <v>20</v>
      </c>
      <c r="L155" s="61"/>
      <c r="M155" s="62" t="s">
        <v>800</v>
      </c>
      <c r="N155" s="62" t="s">
        <v>801</v>
      </c>
      <c r="O155" s="61"/>
      <c r="P155" s="60" t="s">
        <v>802</v>
      </c>
      <c r="Q155" s="75"/>
      <c r="R155" s="75"/>
      <c r="S155" s="75"/>
      <c r="T155" s="75"/>
      <c r="U155" s="75"/>
      <c r="V155" s="75"/>
      <c r="W155" s="75"/>
      <c r="X155" s="75"/>
      <c r="Y155" s="75"/>
    </row>
    <row r="156" spans="2:25" ht="20.25" hidden="1" customHeight="1" x14ac:dyDescent="0.45">
      <c r="B156" s="86" t="s">
        <v>906</v>
      </c>
      <c r="C156" s="74" t="s">
        <v>916</v>
      </c>
      <c r="D156" s="74" t="s">
        <v>917</v>
      </c>
      <c r="E156" s="75">
        <v>2</v>
      </c>
      <c r="F156" s="74" t="s">
        <v>832</v>
      </c>
      <c r="G156" s="74" t="s">
        <v>833</v>
      </c>
      <c r="H156" s="74" t="s">
        <v>892</v>
      </c>
      <c r="I156" s="75">
        <v>6</v>
      </c>
      <c r="J156" s="60" t="s">
        <v>748</v>
      </c>
      <c r="K156" s="61">
        <v>23</v>
      </c>
      <c r="L156" s="61">
        <v>6</v>
      </c>
      <c r="M156" s="62" t="s">
        <v>834</v>
      </c>
      <c r="N156" s="62" t="s">
        <v>835</v>
      </c>
      <c r="O156" s="61"/>
      <c r="P156" s="60"/>
      <c r="Q156" s="75"/>
      <c r="R156" s="75"/>
      <c r="S156" s="75"/>
      <c r="T156" s="75"/>
      <c r="U156" s="75"/>
      <c r="V156" s="75"/>
      <c r="W156" s="75"/>
      <c r="X156" s="75"/>
      <c r="Y156" s="75"/>
    </row>
    <row r="157" spans="2:25" ht="20.25" hidden="1" customHeight="1" x14ac:dyDescent="0.45">
      <c r="B157" s="86" t="s">
        <v>906</v>
      </c>
      <c r="C157" s="74" t="s">
        <v>916</v>
      </c>
      <c r="D157" s="74" t="s">
        <v>917</v>
      </c>
      <c r="E157" s="75">
        <v>2</v>
      </c>
      <c r="F157" s="74" t="s">
        <v>732</v>
      </c>
      <c r="G157" s="74" t="s">
        <v>732</v>
      </c>
      <c r="H157" s="74" t="s">
        <v>733</v>
      </c>
      <c r="I157" s="75">
        <v>7</v>
      </c>
      <c r="J157" s="60" t="s">
        <v>685</v>
      </c>
      <c r="K157" s="61">
        <v>10</v>
      </c>
      <c r="L157" s="61"/>
      <c r="M157" s="62" t="s">
        <v>734</v>
      </c>
      <c r="N157" s="62" t="s">
        <v>765</v>
      </c>
      <c r="O157" s="61" t="s">
        <v>688</v>
      </c>
      <c r="P157" s="60"/>
      <c r="Q157" s="75"/>
      <c r="R157" s="75"/>
      <c r="S157" s="75"/>
      <c r="T157" s="75"/>
      <c r="U157" s="75"/>
      <c r="V157" s="75"/>
      <c r="W157" s="75"/>
      <c r="X157" s="75"/>
      <c r="Y157" s="75"/>
    </row>
    <row r="158" spans="2:25" ht="20.25" hidden="1" customHeight="1" x14ac:dyDescent="0.45">
      <c r="B158" s="86" t="s">
        <v>906</v>
      </c>
      <c r="C158" s="74" t="s">
        <v>916</v>
      </c>
      <c r="D158" s="74" t="s">
        <v>917</v>
      </c>
      <c r="E158" s="75">
        <v>2</v>
      </c>
      <c r="F158" s="74" t="s">
        <v>736</v>
      </c>
      <c r="G158" s="74" t="s">
        <v>736</v>
      </c>
      <c r="H158" s="74" t="s">
        <v>717</v>
      </c>
      <c r="I158" s="75">
        <v>8</v>
      </c>
      <c r="J158" s="60" t="s">
        <v>737</v>
      </c>
      <c r="K158" s="61"/>
      <c r="L158" s="61"/>
      <c r="M158" s="62" t="s">
        <v>738</v>
      </c>
      <c r="N158" s="62" t="s">
        <v>739</v>
      </c>
      <c r="O158" s="61"/>
      <c r="P158" s="60"/>
      <c r="Q158" s="75"/>
      <c r="R158" s="75"/>
      <c r="S158" s="75"/>
      <c r="T158" s="75"/>
      <c r="U158" s="75"/>
      <c r="V158" s="75"/>
      <c r="W158" s="75"/>
      <c r="X158" s="75"/>
      <c r="Y158" s="75"/>
    </row>
    <row r="159" spans="2:25" ht="20.25" hidden="1" customHeight="1" x14ac:dyDescent="0.45">
      <c r="B159" s="86" t="s">
        <v>918</v>
      </c>
      <c r="C159" s="74" t="s">
        <v>919</v>
      </c>
      <c r="D159" s="74" t="s">
        <v>920</v>
      </c>
      <c r="E159" s="75">
        <v>1</v>
      </c>
      <c r="F159" s="74" t="s">
        <v>682</v>
      </c>
      <c r="G159" s="74" t="s">
        <v>683</v>
      </c>
      <c r="H159" s="74" t="s">
        <v>684</v>
      </c>
      <c r="I159" s="75">
        <v>1</v>
      </c>
      <c r="J159" s="60" t="s">
        <v>685</v>
      </c>
      <c r="K159" s="61">
        <v>20</v>
      </c>
      <c r="L159" s="61"/>
      <c r="M159" s="62" t="s">
        <v>686</v>
      </c>
      <c r="N159" s="62" t="s">
        <v>687</v>
      </c>
      <c r="O159" s="61" t="s">
        <v>688</v>
      </c>
      <c r="P159" s="60"/>
      <c r="Q159" s="75"/>
      <c r="R159" s="75"/>
      <c r="S159" s="75"/>
      <c r="T159" s="75"/>
      <c r="U159" s="75"/>
      <c r="V159" s="75"/>
      <c r="W159" s="75"/>
      <c r="X159" s="75"/>
      <c r="Y159" s="75"/>
    </row>
    <row r="160" spans="2:25" ht="20.25" hidden="1" customHeight="1" x14ac:dyDescent="0.45">
      <c r="B160" s="86" t="s">
        <v>918</v>
      </c>
      <c r="C160" s="74" t="s">
        <v>919</v>
      </c>
      <c r="D160" s="74" t="s">
        <v>920</v>
      </c>
      <c r="E160" s="75">
        <v>1</v>
      </c>
      <c r="F160" s="74" t="s">
        <v>689</v>
      </c>
      <c r="G160" s="74" t="s">
        <v>690</v>
      </c>
      <c r="H160" s="74" t="s">
        <v>684</v>
      </c>
      <c r="I160" s="75">
        <v>2</v>
      </c>
      <c r="J160" s="60" t="s">
        <v>685</v>
      </c>
      <c r="K160" s="61">
        <v>30</v>
      </c>
      <c r="L160" s="61"/>
      <c r="M160" s="62" t="s">
        <v>691</v>
      </c>
      <c r="N160" s="62" t="s">
        <v>692</v>
      </c>
      <c r="O160" s="61" t="s">
        <v>688</v>
      </c>
      <c r="P160" s="60"/>
      <c r="Q160" s="75"/>
      <c r="R160" s="75"/>
      <c r="S160" s="75"/>
      <c r="T160" s="75"/>
      <c r="U160" s="75"/>
      <c r="V160" s="75"/>
      <c r="W160" s="75"/>
      <c r="X160" s="75"/>
      <c r="Y160" s="75"/>
    </row>
    <row r="161" spans="2:25" ht="20.25" hidden="1" customHeight="1" x14ac:dyDescent="0.45">
      <c r="B161" s="86" t="s">
        <v>918</v>
      </c>
      <c r="C161" s="74" t="s">
        <v>919</v>
      </c>
      <c r="D161" s="74" t="s">
        <v>920</v>
      </c>
      <c r="E161" s="75">
        <v>1</v>
      </c>
      <c r="F161" s="74" t="s">
        <v>693</v>
      </c>
      <c r="G161" s="74" t="s">
        <v>694</v>
      </c>
      <c r="H161" s="74" t="s">
        <v>695</v>
      </c>
      <c r="I161" s="75">
        <v>3</v>
      </c>
      <c r="J161" s="60" t="s">
        <v>685</v>
      </c>
      <c r="K161" s="61">
        <v>20</v>
      </c>
      <c r="L161" s="61"/>
      <c r="M161" s="62" t="s">
        <v>696</v>
      </c>
      <c r="N161" s="62" t="s">
        <v>697</v>
      </c>
      <c r="O161" s="61"/>
      <c r="P161" s="60" t="s">
        <v>698</v>
      </c>
      <c r="Q161" s="75"/>
      <c r="R161" s="75"/>
      <c r="S161" s="75"/>
      <c r="T161" s="75"/>
      <c r="U161" s="75"/>
      <c r="V161" s="75"/>
      <c r="W161" s="75"/>
      <c r="X161" s="75"/>
      <c r="Y161" s="75"/>
    </row>
    <row r="162" spans="2:25" ht="20.25" hidden="1" customHeight="1" x14ac:dyDescent="0.45">
      <c r="B162" s="86" t="s">
        <v>918</v>
      </c>
      <c r="C162" s="74" t="s">
        <v>919</v>
      </c>
      <c r="D162" s="74" t="s">
        <v>920</v>
      </c>
      <c r="E162" s="75">
        <v>1</v>
      </c>
      <c r="F162" s="74" t="s">
        <v>699</v>
      </c>
      <c r="G162" s="74" t="s">
        <v>700</v>
      </c>
      <c r="H162" s="74" t="s">
        <v>695</v>
      </c>
      <c r="I162" s="75">
        <v>4</v>
      </c>
      <c r="J162" s="60" t="s">
        <v>685</v>
      </c>
      <c r="K162" s="61">
        <v>20</v>
      </c>
      <c r="L162" s="61"/>
      <c r="M162" s="62" t="s">
        <v>701</v>
      </c>
      <c r="N162" s="62" t="s">
        <v>702</v>
      </c>
      <c r="O162" s="61"/>
      <c r="P162" s="60" t="s">
        <v>703</v>
      </c>
      <c r="Q162" s="75"/>
      <c r="R162" s="75"/>
      <c r="S162" s="75"/>
      <c r="T162" s="75"/>
      <c r="U162" s="75"/>
      <c r="V162" s="75"/>
      <c r="W162" s="75"/>
      <c r="X162" s="75"/>
      <c r="Y162" s="75"/>
    </row>
    <row r="163" spans="2:25" ht="20.25" hidden="1" customHeight="1" x14ac:dyDescent="0.45">
      <c r="B163" s="86" t="s">
        <v>918</v>
      </c>
      <c r="C163" s="74" t="s">
        <v>919</v>
      </c>
      <c r="D163" s="74" t="s">
        <v>920</v>
      </c>
      <c r="E163" s="75">
        <v>1</v>
      </c>
      <c r="F163" s="74" t="s">
        <v>704</v>
      </c>
      <c r="G163" s="74" t="s">
        <v>705</v>
      </c>
      <c r="H163" s="74" t="s">
        <v>695</v>
      </c>
      <c r="I163" s="75">
        <v>5</v>
      </c>
      <c r="J163" s="60" t="s">
        <v>685</v>
      </c>
      <c r="K163" s="61">
        <v>20</v>
      </c>
      <c r="L163" s="61"/>
      <c r="M163" s="62" t="s">
        <v>706</v>
      </c>
      <c r="N163" s="62" t="s">
        <v>707</v>
      </c>
      <c r="O163" s="61"/>
      <c r="P163" s="60" t="s">
        <v>708</v>
      </c>
      <c r="Q163" s="75"/>
      <c r="R163" s="75"/>
      <c r="S163" s="75"/>
      <c r="T163" s="75"/>
      <c r="U163" s="75"/>
      <c r="V163" s="75"/>
      <c r="W163" s="75"/>
      <c r="X163" s="75"/>
      <c r="Y163" s="75"/>
    </row>
    <row r="164" spans="2:25" ht="20.25" hidden="1" customHeight="1" x14ac:dyDescent="0.45">
      <c r="B164" s="86" t="s">
        <v>918</v>
      </c>
      <c r="C164" s="74" t="s">
        <v>919</v>
      </c>
      <c r="D164" s="74" t="s">
        <v>920</v>
      </c>
      <c r="E164" s="75">
        <v>1</v>
      </c>
      <c r="F164" s="74" t="s">
        <v>709</v>
      </c>
      <c r="G164" s="74" t="s">
        <v>710</v>
      </c>
      <c r="H164" s="74" t="s">
        <v>711</v>
      </c>
      <c r="I164" s="75">
        <v>6</v>
      </c>
      <c r="J164" s="60" t="s">
        <v>712</v>
      </c>
      <c r="K164" s="61"/>
      <c r="L164" s="61"/>
      <c r="M164" s="62" t="s">
        <v>713</v>
      </c>
      <c r="N164" s="62" t="s">
        <v>714</v>
      </c>
      <c r="O164" s="61"/>
      <c r="P164" s="60"/>
      <c r="Q164" s="75"/>
      <c r="R164" s="75"/>
      <c r="S164" s="75"/>
      <c r="T164" s="75"/>
      <c r="U164" s="75"/>
      <c r="V164" s="75"/>
      <c r="W164" s="75"/>
      <c r="X164" s="75"/>
      <c r="Y164" s="75"/>
    </row>
    <row r="165" spans="2:25" ht="20.25" hidden="1" customHeight="1" x14ac:dyDescent="0.45">
      <c r="B165" s="86" t="s">
        <v>918</v>
      </c>
      <c r="C165" s="74" t="s">
        <v>919</v>
      </c>
      <c r="D165" s="74" t="s">
        <v>920</v>
      </c>
      <c r="E165" s="75">
        <v>1</v>
      </c>
      <c r="F165" s="74" t="s">
        <v>909</v>
      </c>
      <c r="G165" s="74" t="s">
        <v>910</v>
      </c>
      <c r="H165" s="74" t="s">
        <v>777</v>
      </c>
      <c r="I165" s="75">
        <v>7</v>
      </c>
      <c r="J165" s="60" t="s">
        <v>685</v>
      </c>
      <c r="K165" s="61">
        <v>20</v>
      </c>
      <c r="L165" s="61"/>
      <c r="M165" s="62" t="s">
        <v>911</v>
      </c>
      <c r="N165" s="62"/>
      <c r="O165" s="61"/>
      <c r="P165" s="60"/>
      <c r="Q165" s="71"/>
      <c r="R165" s="71"/>
      <c r="S165" s="71"/>
      <c r="T165" s="71"/>
      <c r="U165" s="71"/>
      <c r="V165" s="71"/>
      <c r="W165" s="71"/>
      <c r="X165" s="71"/>
      <c r="Y165" s="71"/>
    </row>
    <row r="166" spans="2:25" ht="20.25" hidden="1" customHeight="1" x14ac:dyDescent="0.45">
      <c r="B166" s="86" t="s">
        <v>918</v>
      </c>
      <c r="C166" s="74" t="s">
        <v>919</v>
      </c>
      <c r="D166" s="74" t="s">
        <v>920</v>
      </c>
      <c r="E166" s="75">
        <v>1</v>
      </c>
      <c r="F166" s="74" t="s">
        <v>912</v>
      </c>
      <c r="G166" s="74" t="s">
        <v>848</v>
      </c>
      <c r="H166" s="74" t="s">
        <v>777</v>
      </c>
      <c r="I166" s="75">
        <v>8</v>
      </c>
      <c r="J166" s="60" t="s">
        <v>685</v>
      </c>
      <c r="K166" s="61">
        <v>30</v>
      </c>
      <c r="L166" s="61"/>
      <c r="M166" s="62" t="s">
        <v>781</v>
      </c>
      <c r="N166" s="62" t="s">
        <v>782</v>
      </c>
      <c r="O166" s="61"/>
      <c r="P166" s="60"/>
      <c r="Q166" s="75"/>
      <c r="R166" s="75"/>
      <c r="S166" s="75"/>
      <c r="T166" s="75"/>
      <c r="U166" s="75"/>
      <c r="V166" s="75"/>
      <c r="W166" s="75"/>
      <c r="X166" s="75"/>
      <c r="Y166" s="75"/>
    </row>
    <row r="167" spans="2:25" ht="20.25" hidden="1" customHeight="1" x14ac:dyDescent="0.45">
      <c r="B167" s="86" t="s">
        <v>918</v>
      </c>
      <c r="C167" s="74" t="s">
        <v>919</v>
      </c>
      <c r="D167" s="74" t="s">
        <v>920</v>
      </c>
      <c r="E167" s="75">
        <v>1</v>
      </c>
      <c r="F167" s="74" t="s">
        <v>921</v>
      </c>
      <c r="G167" s="74" t="s">
        <v>922</v>
      </c>
      <c r="H167" s="74" t="s">
        <v>785</v>
      </c>
      <c r="I167" s="75">
        <v>9</v>
      </c>
      <c r="J167" s="60" t="s">
        <v>685</v>
      </c>
      <c r="K167" s="61">
        <v>20</v>
      </c>
      <c r="L167" s="61"/>
      <c r="M167" s="62" t="s">
        <v>786</v>
      </c>
      <c r="N167" s="62" t="s">
        <v>787</v>
      </c>
      <c r="O167" s="61"/>
      <c r="P167" s="76" t="s">
        <v>923</v>
      </c>
      <c r="Q167" s="75"/>
      <c r="R167" s="75"/>
      <c r="S167" s="75"/>
      <c r="T167" s="75"/>
      <c r="U167" s="75"/>
      <c r="V167" s="75"/>
      <c r="W167" s="75"/>
      <c r="X167" s="75"/>
      <c r="Y167" s="75"/>
    </row>
    <row r="168" spans="2:25" ht="20.25" hidden="1" customHeight="1" x14ac:dyDescent="0.45">
      <c r="B168" s="86" t="s">
        <v>918</v>
      </c>
      <c r="C168" s="74" t="s">
        <v>919</v>
      </c>
      <c r="D168" s="74" t="s">
        <v>920</v>
      </c>
      <c r="E168" s="75">
        <v>1</v>
      </c>
      <c r="F168" s="74" t="s">
        <v>789</v>
      </c>
      <c r="G168" s="74" t="s">
        <v>790</v>
      </c>
      <c r="H168" s="74" t="s">
        <v>785</v>
      </c>
      <c r="I168" s="75">
        <v>10</v>
      </c>
      <c r="J168" s="60" t="s">
        <v>748</v>
      </c>
      <c r="K168" s="61">
        <v>20</v>
      </c>
      <c r="L168" s="61">
        <v>0</v>
      </c>
      <c r="M168" s="62" t="s">
        <v>791</v>
      </c>
      <c r="N168" s="62" t="s">
        <v>792</v>
      </c>
      <c r="O168" s="61"/>
      <c r="P168" s="60" t="s">
        <v>793</v>
      </c>
      <c r="Q168" s="75"/>
      <c r="R168" s="75"/>
      <c r="S168" s="75"/>
      <c r="T168" s="75"/>
      <c r="U168" s="75"/>
      <c r="V168" s="75"/>
      <c r="W168" s="75"/>
      <c r="X168" s="75"/>
      <c r="Y168" s="75"/>
    </row>
    <row r="169" spans="2:25" ht="20.25" hidden="1" customHeight="1" x14ac:dyDescent="0.45">
      <c r="B169" s="86" t="s">
        <v>918</v>
      </c>
      <c r="C169" s="74" t="s">
        <v>919</v>
      </c>
      <c r="D169" s="74" t="s">
        <v>920</v>
      </c>
      <c r="E169" s="75">
        <v>1</v>
      </c>
      <c r="F169" s="74" t="s">
        <v>794</v>
      </c>
      <c r="G169" s="74" t="s">
        <v>795</v>
      </c>
      <c r="H169" s="74" t="s">
        <v>785</v>
      </c>
      <c r="I169" s="75">
        <v>11</v>
      </c>
      <c r="J169" s="60" t="s">
        <v>685</v>
      </c>
      <c r="K169" s="61">
        <v>4</v>
      </c>
      <c r="L169" s="61"/>
      <c r="M169" s="62" t="s">
        <v>796</v>
      </c>
      <c r="N169" s="62"/>
      <c r="O169" s="61"/>
      <c r="P169" s="60"/>
      <c r="Q169" s="71"/>
      <c r="R169" s="71"/>
      <c r="S169" s="71"/>
      <c r="T169" s="71"/>
      <c r="U169" s="71"/>
      <c r="V169" s="71"/>
      <c r="W169" s="71"/>
      <c r="X169" s="71"/>
      <c r="Y169" s="71"/>
    </row>
    <row r="170" spans="2:25" ht="20.25" hidden="1" customHeight="1" x14ac:dyDescent="0.45">
      <c r="B170" s="86" t="s">
        <v>918</v>
      </c>
      <c r="C170" s="74" t="s">
        <v>919</v>
      </c>
      <c r="D170" s="74" t="s">
        <v>920</v>
      </c>
      <c r="E170" s="75">
        <v>1</v>
      </c>
      <c r="F170" s="74" t="s">
        <v>732</v>
      </c>
      <c r="G170" s="74" t="s">
        <v>732</v>
      </c>
      <c r="H170" s="74" t="s">
        <v>733</v>
      </c>
      <c r="I170" s="75">
        <v>12</v>
      </c>
      <c r="J170" s="60" t="s">
        <v>685</v>
      </c>
      <c r="K170" s="61">
        <v>10</v>
      </c>
      <c r="L170" s="61"/>
      <c r="M170" s="62" t="s">
        <v>734</v>
      </c>
      <c r="N170" s="62" t="s">
        <v>765</v>
      </c>
      <c r="O170" s="61" t="s">
        <v>688</v>
      </c>
      <c r="P170" s="60"/>
      <c r="Q170" s="75"/>
      <c r="R170" s="75"/>
      <c r="S170" s="75"/>
      <c r="T170" s="75"/>
      <c r="U170" s="75"/>
      <c r="V170" s="75"/>
      <c r="W170" s="75"/>
      <c r="X170" s="75"/>
      <c r="Y170" s="75"/>
    </row>
    <row r="171" spans="2:25" ht="20.25" hidden="1" customHeight="1" x14ac:dyDescent="0.45">
      <c r="B171" s="86" t="s">
        <v>918</v>
      </c>
      <c r="C171" s="74" t="s">
        <v>919</v>
      </c>
      <c r="D171" s="74" t="s">
        <v>920</v>
      </c>
      <c r="E171" s="75">
        <v>1</v>
      </c>
      <c r="F171" s="74" t="s">
        <v>736</v>
      </c>
      <c r="G171" s="74" t="s">
        <v>736</v>
      </c>
      <c r="H171" s="74" t="s">
        <v>717</v>
      </c>
      <c r="I171" s="75">
        <v>13</v>
      </c>
      <c r="J171" s="60" t="s">
        <v>737</v>
      </c>
      <c r="K171" s="61"/>
      <c r="L171" s="61"/>
      <c r="M171" s="62" t="s">
        <v>738</v>
      </c>
      <c r="N171" s="62" t="s">
        <v>739</v>
      </c>
      <c r="O171" s="61"/>
      <c r="P171" s="60"/>
      <c r="Q171" s="61"/>
      <c r="R171" s="61"/>
      <c r="S171" s="61"/>
      <c r="T171" s="61"/>
      <c r="U171" s="61"/>
      <c r="V171" s="61"/>
      <c r="W171" s="61"/>
      <c r="X171" s="61"/>
      <c r="Y171" s="61"/>
    </row>
    <row r="172" spans="2:25" ht="20.25" hidden="1" customHeight="1" x14ac:dyDescent="0.45">
      <c r="B172" s="86" t="s">
        <v>918</v>
      </c>
      <c r="C172" s="74" t="s">
        <v>924</v>
      </c>
      <c r="D172" s="74" t="s">
        <v>925</v>
      </c>
      <c r="E172" s="75">
        <v>2</v>
      </c>
      <c r="F172" s="74" t="s">
        <v>682</v>
      </c>
      <c r="G172" s="74" t="s">
        <v>683</v>
      </c>
      <c r="H172" s="74" t="s">
        <v>684</v>
      </c>
      <c r="I172" s="75">
        <v>1</v>
      </c>
      <c r="J172" s="60" t="s">
        <v>685</v>
      </c>
      <c r="K172" s="61">
        <v>20</v>
      </c>
      <c r="L172" s="61"/>
      <c r="M172" s="62" t="s">
        <v>686</v>
      </c>
      <c r="N172" s="79" t="s">
        <v>687</v>
      </c>
      <c r="O172" s="61" t="s">
        <v>688</v>
      </c>
      <c r="P172" s="60"/>
      <c r="Q172" s="61"/>
      <c r="R172" s="61"/>
      <c r="S172" s="61"/>
      <c r="T172" s="61"/>
      <c r="U172" s="61"/>
      <c r="V172" s="61"/>
      <c r="W172" s="61"/>
      <c r="X172" s="61"/>
      <c r="Y172" s="61"/>
    </row>
    <row r="173" spans="2:25" ht="20.25" hidden="1" customHeight="1" x14ac:dyDescent="0.45">
      <c r="B173" s="86" t="s">
        <v>918</v>
      </c>
      <c r="C173" s="74" t="s">
        <v>924</v>
      </c>
      <c r="D173" s="74" t="s">
        <v>925</v>
      </c>
      <c r="E173" s="75">
        <v>2</v>
      </c>
      <c r="F173" s="74" t="s">
        <v>689</v>
      </c>
      <c r="G173" s="74" t="s">
        <v>690</v>
      </c>
      <c r="H173" s="74" t="s">
        <v>684</v>
      </c>
      <c r="I173" s="75">
        <v>2</v>
      </c>
      <c r="J173" s="60" t="s">
        <v>685</v>
      </c>
      <c r="K173" s="61">
        <v>30</v>
      </c>
      <c r="L173" s="61"/>
      <c r="M173" s="62" t="s">
        <v>691</v>
      </c>
      <c r="N173" s="62" t="s">
        <v>692</v>
      </c>
      <c r="O173" s="61" t="s">
        <v>688</v>
      </c>
      <c r="P173" s="60"/>
      <c r="Q173" s="61"/>
      <c r="R173" s="61"/>
      <c r="S173" s="61"/>
      <c r="T173" s="61"/>
      <c r="U173" s="61"/>
      <c r="V173" s="61"/>
      <c r="W173" s="61"/>
      <c r="X173" s="61"/>
      <c r="Y173" s="61"/>
    </row>
    <row r="174" spans="2:25" ht="20.25" hidden="1" customHeight="1" x14ac:dyDescent="0.45">
      <c r="B174" s="86" t="s">
        <v>918</v>
      </c>
      <c r="C174" s="74" t="s">
        <v>924</v>
      </c>
      <c r="D174" s="74" t="s">
        <v>925</v>
      </c>
      <c r="E174" s="75">
        <v>2</v>
      </c>
      <c r="F174" s="74" t="s">
        <v>821</v>
      </c>
      <c r="G174" s="74" t="s">
        <v>822</v>
      </c>
      <c r="H174" s="74" t="s">
        <v>878</v>
      </c>
      <c r="I174" s="75">
        <v>3</v>
      </c>
      <c r="J174" s="60" t="s">
        <v>685</v>
      </c>
      <c r="K174" s="61">
        <v>20</v>
      </c>
      <c r="L174" s="61"/>
      <c r="M174" s="62" t="s">
        <v>823</v>
      </c>
      <c r="N174" s="62" t="s">
        <v>824</v>
      </c>
      <c r="O174" s="61" t="s">
        <v>688</v>
      </c>
      <c r="P174" s="60" t="s">
        <v>825</v>
      </c>
      <c r="Q174" s="75"/>
      <c r="R174" s="75"/>
      <c r="S174" s="75"/>
      <c r="T174" s="75"/>
      <c r="U174" s="75"/>
      <c r="V174" s="75"/>
      <c r="W174" s="75"/>
      <c r="X174" s="75"/>
      <c r="Y174" s="75"/>
    </row>
    <row r="175" spans="2:25" ht="20.25" hidden="1" customHeight="1" x14ac:dyDescent="0.45">
      <c r="B175" s="86" t="s">
        <v>918</v>
      </c>
      <c r="C175" s="74" t="s">
        <v>924</v>
      </c>
      <c r="D175" s="74" t="s">
        <v>925</v>
      </c>
      <c r="E175" s="75">
        <v>2</v>
      </c>
      <c r="F175" s="74" t="s">
        <v>826</v>
      </c>
      <c r="G175" s="74" t="s">
        <v>827</v>
      </c>
      <c r="H175" s="74" t="s">
        <v>879</v>
      </c>
      <c r="I175" s="75">
        <v>4</v>
      </c>
      <c r="J175" s="60" t="s">
        <v>737</v>
      </c>
      <c r="K175" s="61"/>
      <c r="L175" s="61"/>
      <c r="M175" s="62" t="s">
        <v>828</v>
      </c>
      <c r="N175" s="62" t="s">
        <v>829</v>
      </c>
      <c r="O175" s="61" t="s">
        <v>688</v>
      </c>
      <c r="P175" s="60"/>
      <c r="Q175" s="75"/>
      <c r="R175" s="75"/>
      <c r="S175" s="75"/>
      <c r="T175" s="75"/>
      <c r="U175" s="75"/>
      <c r="V175" s="75"/>
      <c r="W175" s="75"/>
      <c r="X175" s="75"/>
      <c r="Y175" s="75"/>
    </row>
    <row r="176" spans="2:25" ht="20.25" hidden="1" customHeight="1" x14ac:dyDescent="0.45">
      <c r="B176" s="86" t="s">
        <v>918</v>
      </c>
      <c r="C176" s="74" t="s">
        <v>924</v>
      </c>
      <c r="D176" s="74" t="s">
        <v>925</v>
      </c>
      <c r="E176" s="75">
        <v>2</v>
      </c>
      <c r="F176" s="74" t="s">
        <v>830</v>
      </c>
      <c r="G176" s="74" t="s">
        <v>831</v>
      </c>
      <c r="H176" s="74" t="s">
        <v>891</v>
      </c>
      <c r="I176" s="75">
        <v>5</v>
      </c>
      <c r="J176" s="60" t="s">
        <v>685</v>
      </c>
      <c r="K176" s="61">
        <v>20</v>
      </c>
      <c r="L176" s="61"/>
      <c r="M176" s="62" t="s">
        <v>800</v>
      </c>
      <c r="N176" s="62" t="s">
        <v>801</v>
      </c>
      <c r="O176" s="61"/>
      <c r="P176" s="60" t="s">
        <v>802</v>
      </c>
      <c r="Q176" s="75"/>
      <c r="R176" s="75"/>
      <c r="S176" s="75"/>
      <c r="T176" s="75"/>
      <c r="U176" s="75"/>
      <c r="V176" s="75"/>
      <c r="W176" s="75"/>
      <c r="X176" s="75"/>
      <c r="Y176" s="75"/>
    </row>
    <row r="177" spans="2:25" ht="20.25" hidden="1" customHeight="1" x14ac:dyDescent="0.45">
      <c r="B177" s="86" t="s">
        <v>918</v>
      </c>
      <c r="C177" s="74" t="s">
        <v>924</v>
      </c>
      <c r="D177" s="74" t="s">
        <v>925</v>
      </c>
      <c r="E177" s="75">
        <v>2</v>
      </c>
      <c r="F177" s="74" t="s">
        <v>832</v>
      </c>
      <c r="G177" s="74" t="s">
        <v>833</v>
      </c>
      <c r="H177" s="74" t="s">
        <v>892</v>
      </c>
      <c r="I177" s="75">
        <v>6</v>
      </c>
      <c r="J177" s="60" t="s">
        <v>748</v>
      </c>
      <c r="K177" s="61">
        <v>23</v>
      </c>
      <c r="L177" s="61">
        <v>6</v>
      </c>
      <c r="M177" s="62" t="s">
        <v>834</v>
      </c>
      <c r="N177" s="62" t="s">
        <v>835</v>
      </c>
      <c r="O177" s="61"/>
      <c r="P177" s="60"/>
      <c r="Q177" s="61"/>
      <c r="R177" s="61"/>
      <c r="S177" s="61"/>
      <c r="T177" s="61"/>
      <c r="U177" s="61"/>
      <c r="V177" s="61"/>
      <c r="W177" s="61"/>
      <c r="X177" s="61"/>
      <c r="Y177" s="61"/>
    </row>
    <row r="178" spans="2:25" ht="20.25" hidden="1" customHeight="1" x14ac:dyDescent="0.45">
      <c r="B178" s="86" t="s">
        <v>918</v>
      </c>
      <c r="C178" s="74" t="s">
        <v>924</v>
      </c>
      <c r="D178" s="74" t="s">
        <v>925</v>
      </c>
      <c r="E178" s="75">
        <v>2</v>
      </c>
      <c r="F178" s="74" t="s">
        <v>732</v>
      </c>
      <c r="G178" s="74" t="s">
        <v>732</v>
      </c>
      <c r="H178" s="74" t="s">
        <v>733</v>
      </c>
      <c r="I178" s="75">
        <v>7</v>
      </c>
      <c r="J178" s="60" t="s">
        <v>685</v>
      </c>
      <c r="K178" s="61">
        <v>10</v>
      </c>
      <c r="L178" s="61"/>
      <c r="M178" s="62" t="s">
        <v>734</v>
      </c>
      <c r="N178" s="62" t="s">
        <v>765</v>
      </c>
      <c r="O178" s="61" t="s">
        <v>688</v>
      </c>
      <c r="P178" s="60"/>
      <c r="Q178" s="61"/>
      <c r="R178" s="61"/>
      <c r="S178" s="61"/>
      <c r="T178" s="61"/>
      <c r="U178" s="61"/>
      <c r="V178" s="61"/>
      <c r="W178" s="61"/>
      <c r="X178" s="61"/>
      <c r="Y178" s="61"/>
    </row>
    <row r="179" spans="2:25" ht="20.25" hidden="1" customHeight="1" x14ac:dyDescent="0.45">
      <c r="B179" s="86" t="s">
        <v>918</v>
      </c>
      <c r="C179" s="74" t="s">
        <v>924</v>
      </c>
      <c r="D179" s="74" t="s">
        <v>925</v>
      </c>
      <c r="E179" s="75">
        <v>2</v>
      </c>
      <c r="F179" s="74" t="s">
        <v>736</v>
      </c>
      <c r="G179" s="74" t="s">
        <v>736</v>
      </c>
      <c r="H179" s="74" t="s">
        <v>717</v>
      </c>
      <c r="I179" s="75">
        <v>8</v>
      </c>
      <c r="J179" s="60" t="s">
        <v>737</v>
      </c>
      <c r="K179" s="61"/>
      <c r="L179" s="61"/>
      <c r="M179" s="62" t="s">
        <v>738</v>
      </c>
      <c r="N179" s="62" t="s">
        <v>739</v>
      </c>
      <c r="O179" s="61"/>
      <c r="P179" s="60"/>
      <c r="Q179" s="75"/>
      <c r="R179" s="75"/>
      <c r="S179" s="75"/>
      <c r="T179" s="75"/>
      <c r="U179" s="75"/>
      <c r="V179" s="75"/>
      <c r="W179" s="75"/>
      <c r="X179" s="75"/>
      <c r="Y179" s="75"/>
    </row>
    <row r="180" spans="2:25" ht="20.25" hidden="1" customHeight="1" x14ac:dyDescent="0.45">
      <c r="B180" s="86" t="s">
        <v>926</v>
      </c>
      <c r="C180" s="74" t="s">
        <v>927</v>
      </c>
      <c r="D180" s="74" t="s">
        <v>928</v>
      </c>
      <c r="E180" s="75">
        <v>1</v>
      </c>
      <c r="F180" s="74" t="s">
        <v>682</v>
      </c>
      <c r="G180" s="74" t="s">
        <v>683</v>
      </c>
      <c r="H180" s="74" t="s">
        <v>684</v>
      </c>
      <c r="I180" s="75">
        <v>1</v>
      </c>
      <c r="J180" s="60" t="s">
        <v>685</v>
      </c>
      <c r="K180" s="61">
        <v>20</v>
      </c>
      <c r="L180" s="61"/>
      <c r="M180" s="62" t="s">
        <v>686</v>
      </c>
      <c r="N180" s="62" t="s">
        <v>687</v>
      </c>
      <c r="O180" s="61" t="s">
        <v>688</v>
      </c>
      <c r="P180" s="60"/>
      <c r="Q180" s="75"/>
      <c r="R180" s="75"/>
      <c r="S180" s="75"/>
      <c r="T180" s="75"/>
      <c r="U180" s="75"/>
      <c r="V180" s="75"/>
      <c r="W180" s="75"/>
      <c r="X180" s="75"/>
      <c r="Y180" s="75"/>
    </row>
    <row r="181" spans="2:25" ht="20.25" hidden="1" customHeight="1" x14ac:dyDescent="0.45">
      <c r="B181" s="86" t="s">
        <v>926</v>
      </c>
      <c r="C181" s="74" t="s">
        <v>927</v>
      </c>
      <c r="D181" s="74" t="s">
        <v>928</v>
      </c>
      <c r="E181" s="75">
        <v>1</v>
      </c>
      <c r="F181" s="74" t="s">
        <v>689</v>
      </c>
      <c r="G181" s="74" t="s">
        <v>690</v>
      </c>
      <c r="H181" s="74" t="s">
        <v>684</v>
      </c>
      <c r="I181" s="75">
        <v>2</v>
      </c>
      <c r="J181" s="60" t="s">
        <v>685</v>
      </c>
      <c r="K181" s="61">
        <v>30</v>
      </c>
      <c r="L181" s="61"/>
      <c r="M181" s="62" t="s">
        <v>691</v>
      </c>
      <c r="N181" s="62" t="s">
        <v>692</v>
      </c>
      <c r="O181" s="61" t="s">
        <v>688</v>
      </c>
      <c r="P181" s="60"/>
      <c r="Q181" s="75"/>
      <c r="R181" s="75"/>
      <c r="S181" s="75"/>
      <c r="T181" s="75"/>
      <c r="U181" s="75"/>
      <c r="V181" s="75"/>
      <c r="W181" s="75"/>
      <c r="X181" s="75"/>
      <c r="Y181" s="75"/>
    </row>
    <row r="182" spans="2:25" ht="20.25" hidden="1" customHeight="1" x14ac:dyDescent="0.45">
      <c r="B182" s="86" t="s">
        <v>926</v>
      </c>
      <c r="C182" s="74" t="s">
        <v>927</v>
      </c>
      <c r="D182" s="74" t="s">
        <v>928</v>
      </c>
      <c r="E182" s="75">
        <v>1</v>
      </c>
      <c r="F182" s="74" t="s">
        <v>693</v>
      </c>
      <c r="G182" s="74" t="s">
        <v>694</v>
      </c>
      <c r="H182" s="74" t="s">
        <v>695</v>
      </c>
      <c r="I182" s="75">
        <v>3</v>
      </c>
      <c r="J182" s="60" t="s">
        <v>685</v>
      </c>
      <c r="K182" s="61">
        <v>20</v>
      </c>
      <c r="L182" s="61"/>
      <c r="M182" s="62" t="s">
        <v>696</v>
      </c>
      <c r="N182" s="62" t="s">
        <v>697</v>
      </c>
      <c r="O182" s="61"/>
      <c r="P182" s="60" t="s">
        <v>698</v>
      </c>
      <c r="Q182" s="75"/>
      <c r="R182" s="75"/>
      <c r="S182" s="75"/>
      <c r="T182" s="75"/>
      <c r="U182" s="75"/>
      <c r="V182" s="75"/>
      <c r="W182" s="75"/>
      <c r="X182" s="75"/>
      <c r="Y182" s="75"/>
    </row>
    <row r="183" spans="2:25" ht="20.25" hidden="1" customHeight="1" x14ac:dyDescent="0.45">
      <c r="B183" s="86" t="s">
        <v>926</v>
      </c>
      <c r="C183" s="74" t="s">
        <v>927</v>
      </c>
      <c r="D183" s="74" t="s">
        <v>928</v>
      </c>
      <c r="E183" s="75">
        <v>1</v>
      </c>
      <c r="F183" s="74" t="s">
        <v>699</v>
      </c>
      <c r="G183" s="74" t="s">
        <v>700</v>
      </c>
      <c r="H183" s="74" t="s">
        <v>695</v>
      </c>
      <c r="I183" s="75">
        <v>4</v>
      </c>
      <c r="J183" s="60" t="s">
        <v>685</v>
      </c>
      <c r="K183" s="61">
        <v>20</v>
      </c>
      <c r="L183" s="61"/>
      <c r="M183" s="62" t="s">
        <v>701</v>
      </c>
      <c r="N183" s="62" t="s">
        <v>702</v>
      </c>
      <c r="O183" s="61"/>
      <c r="P183" s="60" t="s">
        <v>703</v>
      </c>
      <c r="Q183" s="75"/>
      <c r="R183" s="75"/>
      <c r="S183" s="75"/>
      <c r="T183" s="75"/>
      <c r="U183" s="75"/>
      <c r="V183" s="75"/>
      <c r="W183" s="75"/>
      <c r="X183" s="75"/>
      <c r="Y183" s="75"/>
    </row>
    <row r="184" spans="2:25" ht="20.25" hidden="1" customHeight="1" x14ac:dyDescent="0.45">
      <c r="B184" s="86" t="s">
        <v>926</v>
      </c>
      <c r="C184" s="74" t="s">
        <v>927</v>
      </c>
      <c r="D184" s="74" t="s">
        <v>928</v>
      </c>
      <c r="E184" s="75">
        <v>1</v>
      </c>
      <c r="F184" s="74" t="s">
        <v>704</v>
      </c>
      <c r="G184" s="74" t="s">
        <v>705</v>
      </c>
      <c r="H184" s="74" t="s">
        <v>695</v>
      </c>
      <c r="I184" s="75">
        <v>5</v>
      </c>
      <c r="J184" s="60" t="s">
        <v>685</v>
      </c>
      <c r="K184" s="61">
        <v>20</v>
      </c>
      <c r="L184" s="61"/>
      <c r="M184" s="62" t="s">
        <v>706</v>
      </c>
      <c r="N184" s="62" t="s">
        <v>707</v>
      </c>
      <c r="O184" s="61"/>
      <c r="P184" s="60" t="s">
        <v>708</v>
      </c>
      <c r="Q184" s="75"/>
      <c r="R184" s="75"/>
      <c r="S184" s="75"/>
      <c r="T184" s="75"/>
      <c r="U184" s="75"/>
      <c r="V184" s="75"/>
      <c r="W184" s="75"/>
      <c r="X184" s="75"/>
      <c r="Y184" s="75"/>
    </row>
    <row r="185" spans="2:25" ht="20.25" hidden="1" customHeight="1" x14ac:dyDescent="0.45">
      <c r="B185" s="86" t="s">
        <v>926</v>
      </c>
      <c r="C185" s="74" t="s">
        <v>927</v>
      </c>
      <c r="D185" s="74" t="s">
        <v>928</v>
      </c>
      <c r="E185" s="75">
        <v>1</v>
      </c>
      <c r="F185" s="74" t="s">
        <v>709</v>
      </c>
      <c r="G185" s="74" t="s">
        <v>710</v>
      </c>
      <c r="H185" s="74" t="s">
        <v>711</v>
      </c>
      <c r="I185" s="75">
        <v>6</v>
      </c>
      <c r="J185" s="60" t="s">
        <v>712</v>
      </c>
      <c r="K185" s="61"/>
      <c r="L185" s="61"/>
      <c r="M185" s="62" t="s">
        <v>865</v>
      </c>
      <c r="N185" s="62" t="s">
        <v>714</v>
      </c>
      <c r="O185" s="61"/>
      <c r="P185" s="60"/>
      <c r="Q185" s="75"/>
      <c r="R185" s="75"/>
      <c r="S185" s="75"/>
      <c r="T185" s="75"/>
      <c r="U185" s="75"/>
      <c r="V185" s="75"/>
      <c r="W185" s="75"/>
      <c r="X185" s="75"/>
      <c r="Y185" s="75"/>
    </row>
    <row r="186" spans="2:25" ht="20.25" hidden="1" customHeight="1" x14ac:dyDescent="0.45">
      <c r="B186" s="86" t="s">
        <v>926</v>
      </c>
      <c r="C186" s="74" t="s">
        <v>927</v>
      </c>
      <c r="D186" s="74" t="s">
        <v>928</v>
      </c>
      <c r="E186" s="75">
        <v>1</v>
      </c>
      <c r="F186" s="74" t="s">
        <v>771</v>
      </c>
      <c r="G186" s="74" t="s">
        <v>772</v>
      </c>
      <c r="H186" s="74" t="s">
        <v>711</v>
      </c>
      <c r="I186" s="75">
        <v>7</v>
      </c>
      <c r="J186" s="60" t="s">
        <v>712</v>
      </c>
      <c r="K186" s="61"/>
      <c r="L186" s="61"/>
      <c r="M186" s="62" t="s">
        <v>868</v>
      </c>
      <c r="N186" s="62" t="s">
        <v>774</v>
      </c>
      <c r="O186" s="61"/>
      <c r="P186" s="60"/>
      <c r="Q186" s="75"/>
      <c r="R186" s="75"/>
      <c r="S186" s="75"/>
      <c r="T186" s="75"/>
      <c r="U186" s="75"/>
      <c r="V186" s="75"/>
      <c r="W186" s="75"/>
      <c r="X186" s="75"/>
      <c r="Y186" s="75"/>
    </row>
    <row r="187" spans="2:25" ht="20.25" hidden="1" customHeight="1" x14ac:dyDescent="0.45">
      <c r="B187" s="86" t="s">
        <v>926</v>
      </c>
      <c r="C187" s="74" t="s">
        <v>927</v>
      </c>
      <c r="D187" s="74" t="s">
        <v>928</v>
      </c>
      <c r="E187" s="75">
        <v>1</v>
      </c>
      <c r="F187" s="74" t="s">
        <v>909</v>
      </c>
      <c r="G187" s="74" t="s">
        <v>910</v>
      </c>
      <c r="H187" s="74" t="s">
        <v>777</v>
      </c>
      <c r="I187" s="75">
        <v>8</v>
      </c>
      <c r="J187" s="60" t="s">
        <v>685</v>
      </c>
      <c r="K187" s="61">
        <v>20</v>
      </c>
      <c r="L187" s="61"/>
      <c r="M187" s="62" t="s">
        <v>911</v>
      </c>
      <c r="N187" s="62"/>
      <c r="O187" s="61"/>
      <c r="P187" s="60"/>
      <c r="Q187" s="71"/>
      <c r="R187" s="71"/>
      <c r="S187" s="71"/>
      <c r="T187" s="71"/>
      <c r="U187" s="71"/>
      <c r="V187" s="71"/>
      <c r="W187" s="71"/>
      <c r="X187" s="71"/>
      <c r="Y187" s="71"/>
    </row>
    <row r="188" spans="2:25" ht="20.25" hidden="1" customHeight="1" x14ac:dyDescent="0.45">
      <c r="B188" s="86" t="s">
        <v>926</v>
      </c>
      <c r="C188" s="74" t="s">
        <v>927</v>
      </c>
      <c r="D188" s="74" t="s">
        <v>928</v>
      </c>
      <c r="E188" s="75">
        <v>1</v>
      </c>
      <c r="F188" s="74" t="s">
        <v>912</v>
      </c>
      <c r="G188" s="74" t="s">
        <v>848</v>
      </c>
      <c r="H188" s="74" t="s">
        <v>777</v>
      </c>
      <c r="I188" s="75">
        <v>9</v>
      </c>
      <c r="J188" s="60" t="s">
        <v>685</v>
      </c>
      <c r="K188" s="61">
        <v>30</v>
      </c>
      <c r="L188" s="61"/>
      <c r="M188" s="62" t="s">
        <v>781</v>
      </c>
      <c r="N188" s="62" t="s">
        <v>782</v>
      </c>
      <c r="O188" s="61"/>
      <c r="P188" s="60"/>
      <c r="Q188" s="75"/>
      <c r="R188" s="75"/>
      <c r="S188" s="75"/>
      <c r="T188" s="75"/>
      <c r="U188" s="75"/>
      <c r="V188" s="75"/>
      <c r="W188" s="75"/>
      <c r="X188" s="75"/>
      <c r="Y188" s="75"/>
    </row>
    <row r="189" spans="2:25" ht="20.25" hidden="1" customHeight="1" x14ac:dyDescent="0.45">
      <c r="B189" s="86" t="s">
        <v>926</v>
      </c>
      <c r="C189" s="74" t="s">
        <v>927</v>
      </c>
      <c r="D189" s="74" t="s">
        <v>928</v>
      </c>
      <c r="E189" s="75">
        <v>1</v>
      </c>
      <c r="F189" s="74" t="s">
        <v>929</v>
      </c>
      <c r="G189" s="74" t="s">
        <v>930</v>
      </c>
      <c r="H189" s="74" t="s">
        <v>785</v>
      </c>
      <c r="I189" s="75">
        <v>10</v>
      </c>
      <c r="J189" s="60" t="s">
        <v>685</v>
      </c>
      <c r="K189" s="61">
        <v>20</v>
      </c>
      <c r="L189" s="61"/>
      <c r="M189" s="62" t="s">
        <v>786</v>
      </c>
      <c r="N189" s="62" t="s">
        <v>787</v>
      </c>
      <c r="O189" s="61"/>
      <c r="P189" s="76" t="s">
        <v>931</v>
      </c>
      <c r="Q189" s="75"/>
      <c r="R189" s="75"/>
      <c r="S189" s="75"/>
      <c r="T189" s="75"/>
      <c r="U189" s="75"/>
      <c r="V189" s="75"/>
      <c r="W189" s="75"/>
      <c r="X189" s="75"/>
      <c r="Y189" s="75"/>
    </row>
    <row r="190" spans="2:25" ht="20.25" hidden="1" customHeight="1" x14ac:dyDescent="0.45">
      <c r="B190" s="86" t="s">
        <v>906</v>
      </c>
      <c r="C190" s="74" t="s">
        <v>907</v>
      </c>
      <c r="D190" s="74" t="s">
        <v>908</v>
      </c>
      <c r="E190" s="75">
        <v>1</v>
      </c>
      <c r="F190" s="74" t="s">
        <v>789</v>
      </c>
      <c r="G190" s="74" t="s">
        <v>790</v>
      </c>
      <c r="H190" s="74" t="s">
        <v>785</v>
      </c>
      <c r="I190" s="75">
        <v>11</v>
      </c>
      <c r="J190" s="60" t="s">
        <v>748</v>
      </c>
      <c r="K190" s="61">
        <v>20</v>
      </c>
      <c r="L190" s="61">
        <v>0</v>
      </c>
      <c r="M190" s="62" t="s">
        <v>791</v>
      </c>
      <c r="N190" s="62" t="s">
        <v>792</v>
      </c>
      <c r="O190" s="61"/>
      <c r="P190" s="60" t="s">
        <v>793</v>
      </c>
      <c r="Q190" s="75"/>
      <c r="R190" s="75"/>
      <c r="S190" s="75"/>
      <c r="T190" s="75"/>
      <c r="U190" s="75"/>
      <c r="V190" s="75"/>
      <c r="W190" s="75"/>
      <c r="X190" s="75"/>
      <c r="Y190" s="75"/>
    </row>
    <row r="191" spans="2:25" ht="20.25" hidden="1" customHeight="1" x14ac:dyDescent="0.45">
      <c r="B191" s="86" t="s">
        <v>926</v>
      </c>
      <c r="C191" s="74" t="s">
        <v>927</v>
      </c>
      <c r="D191" s="74" t="s">
        <v>928</v>
      </c>
      <c r="E191" s="75">
        <v>1</v>
      </c>
      <c r="F191" s="74" t="s">
        <v>794</v>
      </c>
      <c r="G191" s="74" t="s">
        <v>795</v>
      </c>
      <c r="H191" s="74" t="s">
        <v>785</v>
      </c>
      <c r="I191" s="75">
        <v>12</v>
      </c>
      <c r="J191" s="60" t="s">
        <v>685</v>
      </c>
      <c r="K191" s="61">
        <v>4</v>
      </c>
      <c r="L191" s="61"/>
      <c r="M191" s="62" t="s">
        <v>796</v>
      </c>
      <c r="N191" s="62"/>
      <c r="O191" s="61"/>
      <c r="P191" s="60"/>
      <c r="Q191" s="71"/>
      <c r="R191" s="71"/>
      <c r="S191" s="71"/>
      <c r="T191" s="71"/>
      <c r="U191" s="71"/>
      <c r="V191" s="71"/>
      <c r="W191" s="71"/>
      <c r="X191" s="71"/>
      <c r="Y191" s="71"/>
    </row>
    <row r="192" spans="2:25" ht="20.25" hidden="1" customHeight="1" x14ac:dyDescent="0.45">
      <c r="B192" s="86" t="s">
        <v>926</v>
      </c>
      <c r="C192" s="74" t="s">
        <v>927</v>
      </c>
      <c r="D192" s="74" t="s">
        <v>928</v>
      </c>
      <c r="E192" s="75">
        <v>1</v>
      </c>
      <c r="F192" s="74" t="s">
        <v>857</v>
      </c>
      <c r="G192" s="74" t="s">
        <v>858</v>
      </c>
      <c r="H192" s="74" t="s">
        <v>891</v>
      </c>
      <c r="I192" s="75">
        <v>13</v>
      </c>
      <c r="J192" s="60" t="s">
        <v>685</v>
      </c>
      <c r="K192" s="61">
        <v>20</v>
      </c>
      <c r="L192" s="61"/>
      <c r="M192" s="62" t="s">
        <v>800</v>
      </c>
      <c r="N192" s="62" t="s">
        <v>801</v>
      </c>
      <c r="O192" s="61"/>
      <c r="P192" s="60" t="s">
        <v>802</v>
      </c>
      <c r="Q192" s="75"/>
      <c r="R192" s="75"/>
      <c r="S192" s="75"/>
      <c r="T192" s="75"/>
      <c r="U192" s="75"/>
      <c r="V192" s="75"/>
      <c r="W192" s="75"/>
      <c r="X192" s="75"/>
      <c r="Y192" s="75"/>
    </row>
    <row r="193" spans="2:25" ht="20.25" hidden="1" customHeight="1" x14ac:dyDescent="0.45">
      <c r="B193" s="86" t="s">
        <v>926</v>
      </c>
      <c r="C193" s="74" t="s">
        <v>927</v>
      </c>
      <c r="D193" s="74" t="s">
        <v>928</v>
      </c>
      <c r="E193" s="75">
        <v>1</v>
      </c>
      <c r="F193" s="74" t="s">
        <v>803</v>
      </c>
      <c r="G193" s="74" t="s">
        <v>804</v>
      </c>
      <c r="H193" s="74" t="s">
        <v>892</v>
      </c>
      <c r="I193" s="75">
        <v>14</v>
      </c>
      <c r="J193" s="60" t="s">
        <v>748</v>
      </c>
      <c r="K193" s="61">
        <v>15</v>
      </c>
      <c r="L193" s="61">
        <v>6</v>
      </c>
      <c r="M193" s="62" t="s">
        <v>805</v>
      </c>
      <c r="N193" s="62" t="s">
        <v>806</v>
      </c>
      <c r="O193" s="61"/>
      <c r="P193" s="60"/>
      <c r="Q193" s="75"/>
      <c r="R193" s="75"/>
      <c r="S193" s="75"/>
      <c r="T193" s="75"/>
      <c r="U193" s="75"/>
      <c r="V193" s="75"/>
      <c r="W193" s="75"/>
      <c r="X193" s="75"/>
      <c r="Y193" s="75"/>
    </row>
    <row r="194" spans="2:25" ht="20.25" hidden="1" customHeight="1" x14ac:dyDescent="0.45">
      <c r="B194" s="86" t="s">
        <v>926</v>
      </c>
      <c r="C194" s="74" t="s">
        <v>927</v>
      </c>
      <c r="D194" s="74" t="s">
        <v>928</v>
      </c>
      <c r="E194" s="75">
        <v>1</v>
      </c>
      <c r="F194" s="74" t="s">
        <v>807</v>
      </c>
      <c r="G194" s="74" t="s">
        <v>808</v>
      </c>
      <c r="H194" s="74" t="s">
        <v>892</v>
      </c>
      <c r="I194" s="75">
        <v>15</v>
      </c>
      <c r="J194" s="60" t="s">
        <v>748</v>
      </c>
      <c r="K194" s="61">
        <v>15</v>
      </c>
      <c r="L194" s="61">
        <v>6</v>
      </c>
      <c r="M194" s="62" t="s">
        <v>904</v>
      </c>
      <c r="N194" s="62" t="s">
        <v>810</v>
      </c>
      <c r="O194" s="61"/>
      <c r="P194" s="60"/>
      <c r="Q194" s="75"/>
      <c r="R194" s="75"/>
      <c r="S194" s="75"/>
      <c r="T194" s="75"/>
      <c r="U194" s="75"/>
      <c r="V194" s="75"/>
      <c r="W194" s="75"/>
      <c r="X194" s="75"/>
      <c r="Y194" s="75"/>
    </row>
    <row r="195" spans="2:25" ht="20.25" hidden="1" customHeight="1" x14ac:dyDescent="0.45">
      <c r="B195" s="86" t="s">
        <v>926</v>
      </c>
      <c r="C195" s="74" t="s">
        <v>927</v>
      </c>
      <c r="D195" s="74" t="s">
        <v>928</v>
      </c>
      <c r="E195" s="75">
        <v>1</v>
      </c>
      <c r="F195" s="74" t="s">
        <v>873</v>
      </c>
      <c r="G195" s="74" t="s">
        <v>932</v>
      </c>
      <c r="H195" s="74" t="s">
        <v>892</v>
      </c>
      <c r="I195" s="75">
        <v>16</v>
      </c>
      <c r="J195" s="60" t="s">
        <v>748</v>
      </c>
      <c r="K195" s="61">
        <v>23</v>
      </c>
      <c r="L195" s="61">
        <v>6</v>
      </c>
      <c r="M195" s="62" t="s">
        <v>933</v>
      </c>
      <c r="N195" s="62" t="s">
        <v>817</v>
      </c>
      <c r="O195" s="61"/>
      <c r="P195" s="60"/>
      <c r="Q195" s="75"/>
      <c r="R195" s="75"/>
      <c r="S195" s="75"/>
      <c r="T195" s="75"/>
      <c r="U195" s="75"/>
      <c r="V195" s="75"/>
      <c r="W195" s="75"/>
      <c r="X195" s="75"/>
      <c r="Y195" s="75"/>
    </row>
    <row r="196" spans="2:25" ht="20.25" hidden="1" customHeight="1" x14ac:dyDescent="0.45">
      <c r="B196" s="86" t="s">
        <v>926</v>
      </c>
      <c r="C196" s="74" t="s">
        <v>927</v>
      </c>
      <c r="D196" s="74" t="s">
        <v>928</v>
      </c>
      <c r="E196" s="75">
        <v>1</v>
      </c>
      <c r="F196" s="74" t="s">
        <v>732</v>
      </c>
      <c r="G196" s="74" t="s">
        <v>732</v>
      </c>
      <c r="H196" s="74" t="s">
        <v>733</v>
      </c>
      <c r="I196" s="75">
        <v>17</v>
      </c>
      <c r="J196" s="60" t="s">
        <v>685</v>
      </c>
      <c r="K196" s="61">
        <v>10</v>
      </c>
      <c r="L196" s="61"/>
      <c r="M196" s="62" t="s">
        <v>734</v>
      </c>
      <c r="N196" s="62" t="s">
        <v>765</v>
      </c>
      <c r="O196" s="61" t="s">
        <v>688</v>
      </c>
      <c r="P196" s="60"/>
      <c r="Q196" s="75"/>
      <c r="R196" s="75"/>
      <c r="S196" s="75"/>
      <c r="T196" s="75"/>
      <c r="U196" s="75"/>
      <c r="V196" s="75"/>
      <c r="W196" s="75"/>
      <c r="X196" s="75"/>
      <c r="Y196" s="75"/>
    </row>
    <row r="197" spans="2:25" ht="20.25" hidden="1" customHeight="1" x14ac:dyDescent="0.45">
      <c r="B197" s="86" t="s">
        <v>926</v>
      </c>
      <c r="C197" s="74" t="s">
        <v>927</v>
      </c>
      <c r="D197" s="74" t="s">
        <v>928</v>
      </c>
      <c r="E197" s="75">
        <v>1</v>
      </c>
      <c r="F197" s="74" t="s">
        <v>736</v>
      </c>
      <c r="G197" s="74" t="s">
        <v>736</v>
      </c>
      <c r="H197" s="74" t="s">
        <v>717</v>
      </c>
      <c r="I197" s="75">
        <v>18</v>
      </c>
      <c r="J197" s="60" t="s">
        <v>737</v>
      </c>
      <c r="K197" s="61"/>
      <c r="L197" s="61"/>
      <c r="M197" s="62" t="s">
        <v>738</v>
      </c>
      <c r="N197" s="62" t="s">
        <v>739</v>
      </c>
      <c r="O197" s="61"/>
      <c r="P197" s="60"/>
      <c r="Q197" s="75"/>
      <c r="R197" s="75"/>
      <c r="S197" s="75"/>
      <c r="T197" s="75"/>
      <c r="U197" s="75"/>
      <c r="V197" s="75"/>
      <c r="W197" s="75"/>
      <c r="X197" s="75"/>
      <c r="Y197" s="75"/>
    </row>
    <row r="198" spans="2:25" ht="20.25" hidden="1" customHeight="1" x14ac:dyDescent="0.45">
      <c r="B198" s="86" t="s">
        <v>926</v>
      </c>
      <c r="C198" s="74" t="s">
        <v>934</v>
      </c>
      <c r="D198" s="74" t="s">
        <v>935</v>
      </c>
      <c r="E198" s="75">
        <v>2</v>
      </c>
      <c r="F198" s="74" t="s">
        <v>682</v>
      </c>
      <c r="G198" s="74" t="s">
        <v>683</v>
      </c>
      <c r="H198" s="74" t="s">
        <v>684</v>
      </c>
      <c r="I198" s="75">
        <v>1</v>
      </c>
      <c r="J198" s="60" t="s">
        <v>685</v>
      </c>
      <c r="K198" s="61">
        <v>20</v>
      </c>
      <c r="L198" s="61"/>
      <c r="M198" s="62" t="s">
        <v>686</v>
      </c>
      <c r="N198" s="62" t="s">
        <v>687</v>
      </c>
      <c r="O198" s="61" t="s">
        <v>688</v>
      </c>
      <c r="P198" s="60"/>
      <c r="Q198" s="75"/>
      <c r="R198" s="75"/>
      <c r="S198" s="75"/>
      <c r="T198" s="75"/>
      <c r="U198" s="75"/>
      <c r="V198" s="75"/>
      <c r="W198" s="75"/>
      <c r="X198" s="75"/>
      <c r="Y198" s="75"/>
    </row>
    <row r="199" spans="2:25" ht="20.25" hidden="1" customHeight="1" x14ac:dyDescent="0.45">
      <c r="B199" s="86" t="s">
        <v>926</v>
      </c>
      <c r="C199" s="74" t="s">
        <v>934</v>
      </c>
      <c r="D199" s="74" t="s">
        <v>935</v>
      </c>
      <c r="E199" s="75">
        <v>2</v>
      </c>
      <c r="F199" s="74" t="s">
        <v>689</v>
      </c>
      <c r="G199" s="74" t="s">
        <v>690</v>
      </c>
      <c r="H199" s="74" t="s">
        <v>684</v>
      </c>
      <c r="I199" s="75">
        <v>2</v>
      </c>
      <c r="J199" s="60" t="s">
        <v>685</v>
      </c>
      <c r="K199" s="61">
        <v>30</v>
      </c>
      <c r="L199" s="61"/>
      <c r="M199" s="62" t="s">
        <v>691</v>
      </c>
      <c r="N199" s="62" t="s">
        <v>692</v>
      </c>
      <c r="O199" s="61" t="s">
        <v>688</v>
      </c>
      <c r="P199" s="60"/>
      <c r="Q199" s="75"/>
      <c r="R199" s="75"/>
      <c r="S199" s="75"/>
      <c r="T199" s="75"/>
      <c r="U199" s="75"/>
      <c r="V199" s="75"/>
      <c r="W199" s="75"/>
      <c r="X199" s="75"/>
      <c r="Y199" s="75"/>
    </row>
    <row r="200" spans="2:25" ht="20.25" hidden="1" customHeight="1" x14ac:dyDescent="0.45">
      <c r="B200" s="86" t="s">
        <v>926</v>
      </c>
      <c r="C200" s="74" t="s">
        <v>934</v>
      </c>
      <c r="D200" s="74" t="s">
        <v>935</v>
      </c>
      <c r="E200" s="75">
        <v>2</v>
      </c>
      <c r="F200" s="74" t="s">
        <v>821</v>
      </c>
      <c r="G200" s="74" t="s">
        <v>822</v>
      </c>
      <c r="H200" s="74" t="s">
        <v>878</v>
      </c>
      <c r="I200" s="75">
        <v>3</v>
      </c>
      <c r="J200" s="60" t="s">
        <v>685</v>
      </c>
      <c r="K200" s="61">
        <v>20</v>
      </c>
      <c r="L200" s="61"/>
      <c r="M200" s="62" t="s">
        <v>823</v>
      </c>
      <c r="N200" s="62" t="s">
        <v>824</v>
      </c>
      <c r="O200" s="61" t="s">
        <v>688</v>
      </c>
      <c r="P200" s="60" t="s">
        <v>825</v>
      </c>
      <c r="Q200" s="75"/>
      <c r="R200" s="75"/>
      <c r="S200" s="75"/>
      <c r="T200" s="75"/>
      <c r="U200" s="75"/>
      <c r="V200" s="75"/>
      <c r="W200" s="75"/>
      <c r="X200" s="75"/>
      <c r="Y200" s="75"/>
    </row>
    <row r="201" spans="2:25" ht="20.25" hidden="1" customHeight="1" x14ac:dyDescent="0.45">
      <c r="B201" s="86" t="s">
        <v>926</v>
      </c>
      <c r="C201" s="74" t="s">
        <v>934</v>
      </c>
      <c r="D201" s="74" t="s">
        <v>935</v>
      </c>
      <c r="E201" s="75">
        <v>2</v>
      </c>
      <c r="F201" s="74" t="s">
        <v>826</v>
      </c>
      <c r="G201" s="74" t="s">
        <v>827</v>
      </c>
      <c r="H201" s="74" t="s">
        <v>879</v>
      </c>
      <c r="I201" s="75">
        <v>4</v>
      </c>
      <c r="J201" s="60" t="s">
        <v>737</v>
      </c>
      <c r="K201" s="61"/>
      <c r="L201" s="61"/>
      <c r="M201" s="62" t="s">
        <v>828</v>
      </c>
      <c r="N201" s="62" t="s">
        <v>829</v>
      </c>
      <c r="O201" s="61" t="s">
        <v>688</v>
      </c>
      <c r="P201" s="60"/>
      <c r="Q201" s="75"/>
      <c r="R201" s="75"/>
      <c r="S201" s="75"/>
      <c r="T201" s="75"/>
      <c r="U201" s="75"/>
      <c r="V201" s="75"/>
      <c r="W201" s="75"/>
      <c r="X201" s="75"/>
      <c r="Y201" s="75"/>
    </row>
    <row r="202" spans="2:25" ht="20.25" hidden="1" customHeight="1" x14ac:dyDescent="0.45">
      <c r="B202" s="86" t="s">
        <v>926</v>
      </c>
      <c r="C202" s="74" t="s">
        <v>934</v>
      </c>
      <c r="D202" s="74" t="s">
        <v>935</v>
      </c>
      <c r="E202" s="75">
        <v>2</v>
      </c>
      <c r="F202" s="74" t="s">
        <v>830</v>
      </c>
      <c r="G202" s="74" t="s">
        <v>831</v>
      </c>
      <c r="H202" s="74" t="s">
        <v>891</v>
      </c>
      <c r="I202" s="75">
        <v>5</v>
      </c>
      <c r="J202" s="60" t="s">
        <v>685</v>
      </c>
      <c r="K202" s="61">
        <v>20</v>
      </c>
      <c r="L202" s="61"/>
      <c r="M202" s="62" t="s">
        <v>800</v>
      </c>
      <c r="N202" s="62" t="s">
        <v>801</v>
      </c>
      <c r="O202" s="61"/>
      <c r="P202" s="60" t="s">
        <v>802</v>
      </c>
      <c r="Q202" s="75"/>
      <c r="R202" s="75"/>
      <c r="S202" s="75"/>
      <c r="T202" s="75"/>
      <c r="U202" s="75"/>
      <c r="V202" s="75"/>
      <c r="W202" s="75"/>
      <c r="X202" s="75"/>
      <c r="Y202" s="75"/>
    </row>
    <row r="203" spans="2:25" ht="20.25" hidden="1" customHeight="1" x14ac:dyDescent="0.45">
      <c r="B203" s="86" t="s">
        <v>926</v>
      </c>
      <c r="C203" s="74" t="s">
        <v>934</v>
      </c>
      <c r="D203" s="74" t="s">
        <v>935</v>
      </c>
      <c r="E203" s="75">
        <v>2</v>
      </c>
      <c r="F203" s="74" t="s">
        <v>832</v>
      </c>
      <c r="G203" s="74" t="s">
        <v>833</v>
      </c>
      <c r="H203" s="74" t="s">
        <v>892</v>
      </c>
      <c r="I203" s="75">
        <v>6</v>
      </c>
      <c r="J203" s="60" t="s">
        <v>748</v>
      </c>
      <c r="K203" s="61">
        <v>23</v>
      </c>
      <c r="L203" s="61">
        <v>6</v>
      </c>
      <c r="M203" s="62" t="s">
        <v>834</v>
      </c>
      <c r="N203" s="62" t="s">
        <v>835</v>
      </c>
      <c r="O203" s="61"/>
      <c r="P203" s="60"/>
      <c r="Q203" s="61"/>
      <c r="R203" s="61"/>
      <c r="S203" s="61"/>
      <c r="T203" s="61"/>
      <c r="U203" s="61"/>
      <c r="V203" s="61"/>
      <c r="W203" s="61"/>
      <c r="X203" s="61"/>
      <c r="Y203" s="61"/>
    </row>
    <row r="204" spans="2:25" ht="20.25" hidden="1" customHeight="1" x14ac:dyDescent="0.45">
      <c r="B204" s="86" t="s">
        <v>926</v>
      </c>
      <c r="C204" s="74" t="s">
        <v>934</v>
      </c>
      <c r="D204" s="74" t="s">
        <v>935</v>
      </c>
      <c r="E204" s="75">
        <v>2</v>
      </c>
      <c r="F204" s="74" t="s">
        <v>732</v>
      </c>
      <c r="G204" s="74" t="s">
        <v>732</v>
      </c>
      <c r="H204" s="74" t="s">
        <v>733</v>
      </c>
      <c r="I204" s="75">
        <v>7</v>
      </c>
      <c r="J204" s="60" t="s">
        <v>685</v>
      </c>
      <c r="K204" s="61">
        <v>10</v>
      </c>
      <c r="L204" s="61"/>
      <c r="M204" s="62" t="s">
        <v>734</v>
      </c>
      <c r="N204" s="62" t="s">
        <v>765</v>
      </c>
      <c r="O204" s="61" t="s">
        <v>688</v>
      </c>
      <c r="P204" s="60"/>
      <c r="Q204" s="61"/>
      <c r="R204" s="61"/>
      <c r="S204" s="61"/>
      <c r="T204" s="61"/>
      <c r="U204" s="61"/>
      <c r="V204" s="61"/>
      <c r="W204" s="61"/>
      <c r="X204" s="61"/>
      <c r="Y204" s="61"/>
    </row>
    <row r="205" spans="2:25" ht="20.25" hidden="1" customHeight="1" x14ac:dyDescent="0.45">
      <c r="B205" s="86" t="s">
        <v>926</v>
      </c>
      <c r="C205" s="74" t="s">
        <v>934</v>
      </c>
      <c r="D205" s="74" t="s">
        <v>935</v>
      </c>
      <c r="E205" s="75">
        <v>2</v>
      </c>
      <c r="F205" s="74" t="s">
        <v>736</v>
      </c>
      <c r="G205" s="74" t="s">
        <v>736</v>
      </c>
      <c r="H205" s="74" t="s">
        <v>717</v>
      </c>
      <c r="I205" s="75">
        <v>8</v>
      </c>
      <c r="J205" s="60" t="s">
        <v>737</v>
      </c>
      <c r="K205" s="61"/>
      <c r="L205" s="61"/>
      <c r="M205" s="62" t="s">
        <v>738</v>
      </c>
      <c r="N205" s="62" t="s">
        <v>739</v>
      </c>
      <c r="O205" s="61"/>
      <c r="P205" s="60"/>
      <c r="Q205" s="75"/>
      <c r="R205" s="75"/>
      <c r="S205" s="75"/>
      <c r="T205" s="75"/>
      <c r="U205" s="75"/>
      <c r="V205" s="75"/>
      <c r="W205" s="75"/>
      <c r="X205" s="75"/>
      <c r="Y205" s="75"/>
    </row>
    <row r="206" spans="2:25" ht="20.25" hidden="1" customHeight="1" x14ac:dyDescent="0.45">
      <c r="B206" s="92" t="s">
        <v>926</v>
      </c>
      <c r="C206" s="93" t="s">
        <v>936</v>
      </c>
      <c r="D206" s="93" t="s">
        <v>937</v>
      </c>
      <c r="E206" s="94">
        <v>3</v>
      </c>
      <c r="F206" s="93" t="s">
        <v>682</v>
      </c>
      <c r="G206" s="93" t="s">
        <v>683</v>
      </c>
      <c r="H206" s="93" t="s">
        <v>684</v>
      </c>
      <c r="I206" s="94">
        <v>1</v>
      </c>
      <c r="J206" s="95" t="s">
        <v>685</v>
      </c>
      <c r="K206" s="96">
        <v>20</v>
      </c>
      <c r="L206" s="96"/>
      <c r="M206" s="97" t="s">
        <v>686</v>
      </c>
      <c r="N206" s="62" t="s">
        <v>687</v>
      </c>
      <c r="O206" s="61" t="s">
        <v>688</v>
      </c>
      <c r="P206" s="60"/>
      <c r="Q206" s="75"/>
      <c r="R206" s="75"/>
      <c r="S206" s="75"/>
      <c r="T206" s="75"/>
      <c r="U206" s="75"/>
      <c r="V206" s="75"/>
      <c r="W206" s="75"/>
      <c r="X206" s="75"/>
      <c r="Y206" s="75"/>
    </row>
    <row r="207" spans="2:25" ht="20.25" hidden="1" customHeight="1" x14ac:dyDescent="0.45">
      <c r="B207" s="92" t="s">
        <v>926</v>
      </c>
      <c r="C207" s="93" t="s">
        <v>936</v>
      </c>
      <c r="D207" s="93" t="s">
        <v>937</v>
      </c>
      <c r="E207" s="94">
        <v>3</v>
      </c>
      <c r="F207" s="93" t="s">
        <v>689</v>
      </c>
      <c r="G207" s="93" t="s">
        <v>690</v>
      </c>
      <c r="H207" s="93" t="s">
        <v>684</v>
      </c>
      <c r="I207" s="94">
        <v>2</v>
      </c>
      <c r="J207" s="95" t="s">
        <v>685</v>
      </c>
      <c r="K207" s="96">
        <v>30</v>
      </c>
      <c r="L207" s="96"/>
      <c r="M207" s="97" t="s">
        <v>691</v>
      </c>
      <c r="N207" s="62" t="s">
        <v>692</v>
      </c>
      <c r="O207" s="61" t="s">
        <v>688</v>
      </c>
      <c r="P207" s="60"/>
      <c r="Q207" s="75"/>
      <c r="R207" s="75"/>
      <c r="S207" s="75"/>
      <c r="T207" s="75"/>
      <c r="U207" s="75"/>
      <c r="V207" s="75"/>
      <c r="W207" s="75"/>
      <c r="X207" s="75"/>
      <c r="Y207" s="75"/>
    </row>
    <row r="208" spans="2:25" ht="20.25" hidden="1" customHeight="1" x14ac:dyDescent="0.45">
      <c r="B208" s="92" t="s">
        <v>926</v>
      </c>
      <c r="C208" s="93" t="s">
        <v>936</v>
      </c>
      <c r="D208" s="93" t="s">
        <v>937</v>
      </c>
      <c r="E208" s="94">
        <v>3</v>
      </c>
      <c r="F208" s="93" t="s">
        <v>938</v>
      </c>
      <c r="G208" s="93" t="s">
        <v>939</v>
      </c>
      <c r="H208" s="93" t="s">
        <v>940</v>
      </c>
      <c r="I208" s="94">
        <v>3</v>
      </c>
      <c r="J208" s="95" t="s">
        <v>748</v>
      </c>
      <c r="K208" s="96">
        <v>9</v>
      </c>
      <c r="L208" s="96">
        <v>0</v>
      </c>
      <c r="M208" s="97" t="s">
        <v>941</v>
      </c>
      <c r="N208" s="62"/>
      <c r="O208" s="61" t="s">
        <v>688</v>
      </c>
      <c r="P208" s="60"/>
      <c r="Q208" s="75"/>
      <c r="R208" s="75"/>
      <c r="S208" s="75"/>
      <c r="T208" s="75"/>
      <c r="U208" s="75"/>
      <c r="V208" s="75"/>
      <c r="W208" s="75"/>
      <c r="X208" s="75"/>
      <c r="Y208" s="75"/>
    </row>
    <row r="209" spans="2:25" ht="20.25" hidden="1" customHeight="1" x14ac:dyDescent="0.45">
      <c r="B209" s="92" t="s">
        <v>926</v>
      </c>
      <c r="C209" s="93" t="s">
        <v>936</v>
      </c>
      <c r="D209" s="93" t="s">
        <v>937</v>
      </c>
      <c r="E209" s="94">
        <v>3</v>
      </c>
      <c r="F209" s="93" t="s">
        <v>942</v>
      </c>
      <c r="G209" s="93" t="s">
        <v>943</v>
      </c>
      <c r="H209" s="93" t="s">
        <v>711</v>
      </c>
      <c r="I209" s="94">
        <v>4</v>
      </c>
      <c r="J209" s="95" t="s">
        <v>712</v>
      </c>
      <c r="K209" s="96"/>
      <c r="L209" s="96"/>
      <c r="M209" s="97" t="s">
        <v>944</v>
      </c>
      <c r="N209" s="62" t="s">
        <v>945</v>
      </c>
      <c r="O209" s="61"/>
      <c r="P209" s="60"/>
      <c r="Q209" s="75"/>
      <c r="R209" s="75"/>
      <c r="S209" s="75"/>
      <c r="T209" s="75"/>
      <c r="U209" s="75"/>
      <c r="V209" s="75"/>
      <c r="W209" s="75"/>
      <c r="X209" s="75"/>
      <c r="Y209" s="75"/>
    </row>
    <row r="210" spans="2:25" ht="20.25" hidden="1" customHeight="1" x14ac:dyDescent="0.45">
      <c r="B210" s="92" t="s">
        <v>926</v>
      </c>
      <c r="C210" s="93" t="s">
        <v>936</v>
      </c>
      <c r="D210" s="93" t="s">
        <v>937</v>
      </c>
      <c r="E210" s="94">
        <v>3</v>
      </c>
      <c r="F210" s="93" t="s">
        <v>946</v>
      </c>
      <c r="G210" s="93" t="s">
        <v>947</v>
      </c>
      <c r="H210" s="93" t="s">
        <v>758</v>
      </c>
      <c r="I210" s="94">
        <v>5</v>
      </c>
      <c r="J210" s="95" t="s">
        <v>748</v>
      </c>
      <c r="K210" s="96">
        <v>15</v>
      </c>
      <c r="L210" s="96">
        <v>2</v>
      </c>
      <c r="M210" s="97" t="s">
        <v>948</v>
      </c>
      <c r="N210" s="62" t="s">
        <v>949</v>
      </c>
      <c r="O210" s="61"/>
      <c r="P210" s="60"/>
      <c r="Q210" s="75"/>
      <c r="R210" s="75"/>
      <c r="S210" s="75"/>
      <c r="T210" s="75"/>
      <c r="U210" s="75"/>
      <c r="V210" s="75"/>
      <c r="W210" s="75"/>
      <c r="X210" s="75"/>
      <c r="Y210" s="75"/>
    </row>
    <row r="211" spans="2:25" ht="20.25" hidden="1" customHeight="1" x14ac:dyDescent="0.45">
      <c r="B211" s="92" t="s">
        <v>926</v>
      </c>
      <c r="C211" s="93" t="s">
        <v>936</v>
      </c>
      <c r="D211" s="93" t="s">
        <v>937</v>
      </c>
      <c r="E211" s="94">
        <v>3</v>
      </c>
      <c r="F211" s="93" t="s">
        <v>950</v>
      </c>
      <c r="G211" s="93" t="s">
        <v>951</v>
      </c>
      <c r="H211" s="93" t="s">
        <v>758</v>
      </c>
      <c r="I211" s="94">
        <v>6</v>
      </c>
      <c r="J211" s="95" t="s">
        <v>748</v>
      </c>
      <c r="K211" s="96">
        <v>15</v>
      </c>
      <c r="L211" s="96">
        <v>2</v>
      </c>
      <c r="M211" s="97" t="s">
        <v>952</v>
      </c>
      <c r="N211" s="62" t="s">
        <v>953</v>
      </c>
      <c r="O211" s="61"/>
      <c r="P211" s="60"/>
      <c r="Q211" s="75"/>
      <c r="R211" s="75"/>
      <c r="S211" s="75"/>
      <c r="T211" s="75"/>
      <c r="U211" s="75"/>
      <c r="V211" s="75"/>
      <c r="W211" s="75"/>
      <c r="X211" s="75"/>
      <c r="Y211" s="75"/>
    </row>
    <row r="212" spans="2:25" ht="20.25" hidden="1" customHeight="1" x14ac:dyDescent="0.45">
      <c r="B212" s="92" t="s">
        <v>926</v>
      </c>
      <c r="C212" s="93" t="s">
        <v>936</v>
      </c>
      <c r="D212" s="93" t="s">
        <v>937</v>
      </c>
      <c r="E212" s="94">
        <v>3</v>
      </c>
      <c r="F212" s="93" t="s">
        <v>954</v>
      </c>
      <c r="G212" s="93" t="s">
        <v>955</v>
      </c>
      <c r="H212" s="93" t="s">
        <v>758</v>
      </c>
      <c r="I212" s="94">
        <v>7</v>
      </c>
      <c r="J212" s="95" t="s">
        <v>748</v>
      </c>
      <c r="K212" s="96">
        <v>15</v>
      </c>
      <c r="L212" s="96">
        <v>2</v>
      </c>
      <c r="M212" s="97" t="s">
        <v>956</v>
      </c>
      <c r="N212" s="62" t="s">
        <v>957</v>
      </c>
      <c r="O212" s="61"/>
      <c r="P212" s="60"/>
      <c r="Q212" s="75"/>
      <c r="R212" s="75"/>
      <c r="S212" s="75"/>
      <c r="T212" s="75"/>
      <c r="U212" s="75"/>
      <c r="V212" s="75"/>
      <c r="W212" s="75"/>
      <c r="X212" s="75"/>
      <c r="Y212" s="75"/>
    </row>
    <row r="213" spans="2:25" ht="20.25" hidden="1" customHeight="1" x14ac:dyDescent="0.45">
      <c r="B213" s="92" t="s">
        <v>926</v>
      </c>
      <c r="C213" s="93" t="s">
        <v>936</v>
      </c>
      <c r="D213" s="93" t="s">
        <v>937</v>
      </c>
      <c r="E213" s="94">
        <v>3</v>
      </c>
      <c r="F213" s="93" t="s">
        <v>958</v>
      </c>
      <c r="G213" s="93" t="s">
        <v>959</v>
      </c>
      <c r="H213" s="93" t="s">
        <v>758</v>
      </c>
      <c r="I213" s="94">
        <v>8</v>
      </c>
      <c r="J213" s="95" t="s">
        <v>748</v>
      </c>
      <c r="K213" s="96">
        <v>15</v>
      </c>
      <c r="L213" s="96">
        <v>2</v>
      </c>
      <c r="M213" s="97" t="s">
        <v>960</v>
      </c>
      <c r="N213" s="62" t="s">
        <v>961</v>
      </c>
      <c r="O213" s="61"/>
      <c r="P213" s="60"/>
      <c r="Q213" s="75"/>
      <c r="R213" s="75"/>
      <c r="S213" s="75"/>
      <c r="T213" s="75"/>
      <c r="U213" s="75"/>
      <c r="V213" s="75"/>
      <c r="W213" s="75"/>
      <c r="X213" s="75"/>
      <c r="Y213" s="75"/>
    </row>
    <row r="214" spans="2:25" ht="20.25" hidden="1" customHeight="1" x14ac:dyDescent="0.45">
      <c r="B214" s="92" t="s">
        <v>926</v>
      </c>
      <c r="C214" s="93" t="s">
        <v>936</v>
      </c>
      <c r="D214" s="93" t="s">
        <v>937</v>
      </c>
      <c r="E214" s="94">
        <v>3</v>
      </c>
      <c r="F214" s="93" t="s">
        <v>962</v>
      </c>
      <c r="G214" s="93" t="s">
        <v>963</v>
      </c>
      <c r="H214" s="93" t="s">
        <v>758</v>
      </c>
      <c r="I214" s="94">
        <v>9</v>
      </c>
      <c r="J214" s="95" t="s">
        <v>748</v>
      </c>
      <c r="K214" s="96">
        <v>15</v>
      </c>
      <c r="L214" s="96">
        <v>2</v>
      </c>
      <c r="M214" s="97" t="s">
        <v>964</v>
      </c>
      <c r="N214" s="62" t="s">
        <v>965</v>
      </c>
      <c r="O214" s="61"/>
      <c r="P214" s="60"/>
      <c r="Q214" s="75"/>
      <c r="R214" s="75"/>
      <c r="S214" s="75"/>
      <c r="T214" s="75"/>
      <c r="U214" s="75"/>
      <c r="V214" s="75"/>
      <c r="W214" s="75"/>
      <c r="X214" s="75"/>
      <c r="Y214" s="75"/>
    </row>
    <row r="215" spans="2:25" ht="20.25" hidden="1" customHeight="1" x14ac:dyDescent="0.45">
      <c r="B215" s="92" t="s">
        <v>926</v>
      </c>
      <c r="C215" s="93" t="s">
        <v>936</v>
      </c>
      <c r="D215" s="93" t="s">
        <v>937</v>
      </c>
      <c r="E215" s="94">
        <v>3</v>
      </c>
      <c r="F215" s="93" t="s">
        <v>966</v>
      </c>
      <c r="G215" s="93" t="s">
        <v>967</v>
      </c>
      <c r="H215" s="93" t="s">
        <v>758</v>
      </c>
      <c r="I215" s="94">
        <v>10</v>
      </c>
      <c r="J215" s="95" t="s">
        <v>748</v>
      </c>
      <c r="K215" s="96">
        <v>15</v>
      </c>
      <c r="L215" s="96">
        <v>2</v>
      </c>
      <c r="M215" s="97" t="s">
        <v>968</v>
      </c>
      <c r="N215" s="62" t="s">
        <v>969</v>
      </c>
      <c r="O215" s="61"/>
      <c r="P215" s="60"/>
      <c r="Q215" s="75"/>
      <c r="R215" s="75"/>
      <c r="S215" s="75"/>
      <c r="T215" s="75"/>
      <c r="U215" s="75"/>
      <c r="V215" s="75"/>
      <c r="W215" s="75"/>
      <c r="X215" s="75"/>
      <c r="Y215" s="75"/>
    </row>
    <row r="216" spans="2:25" ht="20.25" hidden="1" customHeight="1" x14ac:dyDescent="0.45">
      <c r="B216" s="92" t="s">
        <v>926</v>
      </c>
      <c r="C216" s="93" t="s">
        <v>936</v>
      </c>
      <c r="D216" s="93" t="s">
        <v>937</v>
      </c>
      <c r="E216" s="94">
        <v>3</v>
      </c>
      <c r="F216" s="93" t="s">
        <v>970</v>
      </c>
      <c r="G216" s="93" t="s">
        <v>971</v>
      </c>
      <c r="H216" s="93" t="s">
        <v>758</v>
      </c>
      <c r="I216" s="94">
        <v>11</v>
      </c>
      <c r="J216" s="95" t="s">
        <v>748</v>
      </c>
      <c r="K216" s="96">
        <v>15</v>
      </c>
      <c r="L216" s="96">
        <v>2</v>
      </c>
      <c r="M216" s="97" t="s">
        <v>972</v>
      </c>
      <c r="N216" s="62" t="s">
        <v>973</v>
      </c>
      <c r="O216" s="61"/>
      <c r="P216" s="60"/>
      <c r="Q216" s="75"/>
      <c r="R216" s="75"/>
      <c r="S216" s="75"/>
      <c r="T216" s="75"/>
      <c r="U216" s="75"/>
      <c r="V216" s="75"/>
      <c r="W216" s="75"/>
      <c r="X216" s="75"/>
      <c r="Y216" s="75"/>
    </row>
    <row r="217" spans="2:25" ht="20.25" hidden="1" customHeight="1" x14ac:dyDescent="0.45">
      <c r="B217" s="92" t="s">
        <v>926</v>
      </c>
      <c r="C217" s="93" t="s">
        <v>936</v>
      </c>
      <c r="D217" s="93" t="s">
        <v>937</v>
      </c>
      <c r="E217" s="94">
        <v>3</v>
      </c>
      <c r="F217" s="93" t="s">
        <v>974</v>
      </c>
      <c r="G217" s="93" t="s">
        <v>975</v>
      </c>
      <c r="H217" s="93" t="s">
        <v>758</v>
      </c>
      <c r="I217" s="94">
        <v>12</v>
      </c>
      <c r="J217" s="95" t="s">
        <v>748</v>
      </c>
      <c r="K217" s="96">
        <v>15</v>
      </c>
      <c r="L217" s="96">
        <v>2</v>
      </c>
      <c r="M217" s="97" t="s">
        <v>976</v>
      </c>
      <c r="N217" s="62" t="s">
        <v>977</v>
      </c>
      <c r="O217" s="61"/>
      <c r="P217" s="60"/>
      <c r="Q217" s="75"/>
      <c r="R217" s="75"/>
      <c r="S217" s="75"/>
      <c r="T217" s="75"/>
      <c r="U217" s="75"/>
      <c r="V217" s="75"/>
      <c r="W217" s="75"/>
      <c r="X217" s="75"/>
      <c r="Y217" s="75"/>
    </row>
    <row r="218" spans="2:25" ht="20.25" hidden="1" customHeight="1" x14ac:dyDescent="0.45">
      <c r="B218" s="92" t="s">
        <v>926</v>
      </c>
      <c r="C218" s="93" t="s">
        <v>936</v>
      </c>
      <c r="D218" s="93" t="s">
        <v>937</v>
      </c>
      <c r="E218" s="94">
        <v>3</v>
      </c>
      <c r="F218" s="93" t="s">
        <v>732</v>
      </c>
      <c r="G218" s="93" t="s">
        <v>732</v>
      </c>
      <c r="H218" s="93" t="s">
        <v>733</v>
      </c>
      <c r="I218" s="94">
        <v>13</v>
      </c>
      <c r="J218" s="95" t="s">
        <v>685</v>
      </c>
      <c r="K218" s="96">
        <v>10</v>
      </c>
      <c r="L218" s="96"/>
      <c r="M218" s="97" t="s">
        <v>734</v>
      </c>
      <c r="N218" s="62" t="s">
        <v>765</v>
      </c>
      <c r="O218" s="61" t="s">
        <v>688</v>
      </c>
      <c r="P218" s="60"/>
      <c r="Q218" s="75"/>
      <c r="R218" s="75"/>
      <c r="S218" s="75"/>
      <c r="T218" s="75"/>
      <c r="U218" s="75"/>
      <c r="V218" s="75"/>
      <c r="W218" s="75"/>
      <c r="X218" s="75"/>
      <c r="Y218" s="75"/>
    </row>
    <row r="219" spans="2:25" ht="20.25" hidden="1" customHeight="1" x14ac:dyDescent="0.45">
      <c r="B219" s="86" t="s">
        <v>978</v>
      </c>
      <c r="C219" s="74" t="s">
        <v>979</v>
      </c>
      <c r="D219" s="74" t="s">
        <v>980</v>
      </c>
      <c r="E219" s="75">
        <v>1</v>
      </c>
      <c r="F219" s="74" t="s">
        <v>682</v>
      </c>
      <c r="G219" s="101" t="s">
        <v>683</v>
      </c>
      <c r="H219" s="74" t="s">
        <v>684</v>
      </c>
      <c r="I219" s="75">
        <v>1</v>
      </c>
      <c r="J219" s="60" t="s">
        <v>685</v>
      </c>
      <c r="K219" s="61">
        <v>20</v>
      </c>
      <c r="L219" s="61"/>
      <c r="M219" s="62" t="s">
        <v>686</v>
      </c>
      <c r="N219" s="62" t="s">
        <v>687</v>
      </c>
      <c r="O219" s="61" t="s">
        <v>688</v>
      </c>
      <c r="P219" s="60"/>
      <c r="Q219" s="75"/>
      <c r="R219" s="75"/>
      <c r="S219" s="75"/>
      <c r="T219" s="75"/>
      <c r="U219" s="75"/>
      <c r="V219" s="75"/>
      <c r="W219" s="75"/>
      <c r="X219" s="75"/>
      <c r="Y219" s="75"/>
    </row>
    <row r="220" spans="2:25" ht="20.25" hidden="1" customHeight="1" x14ac:dyDescent="0.45">
      <c r="B220" s="86" t="s">
        <v>978</v>
      </c>
      <c r="C220" s="74" t="s">
        <v>979</v>
      </c>
      <c r="D220" s="74" t="s">
        <v>980</v>
      </c>
      <c r="E220" s="75">
        <v>1</v>
      </c>
      <c r="F220" s="74" t="s">
        <v>689</v>
      </c>
      <c r="G220" s="101" t="s">
        <v>690</v>
      </c>
      <c r="H220" s="74" t="s">
        <v>684</v>
      </c>
      <c r="I220" s="75">
        <v>2</v>
      </c>
      <c r="J220" s="60" t="s">
        <v>685</v>
      </c>
      <c r="K220" s="61">
        <v>30</v>
      </c>
      <c r="L220" s="61"/>
      <c r="M220" s="62" t="s">
        <v>691</v>
      </c>
      <c r="N220" s="62" t="s">
        <v>692</v>
      </c>
      <c r="O220" s="61" t="s">
        <v>688</v>
      </c>
      <c r="P220" s="60"/>
      <c r="Q220" s="61"/>
      <c r="R220" s="61"/>
      <c r="S220" s="61"/>
      <c r="T220" s="61"/>
      <c r="U220" s="61"/>
      <c r="V220" s="61"/>
      <c r="W220" s="61"/>
      <c r="X220" s="61"/>
      <c r="Y220" s="61"/>
    </row>
    <row r="221" spans="2:25" ht="20.25" hidden="1" customHeight="1" x14ac:dyDescent="0.45">
      <c r="B221" s="86" t="s">
        <v>978</v>
      </c>
      <c r="C221" s="74" t="s">
        <v>979</v>
      </c>
      <c r="D221" s="74" t="s">
        <v>980</v>
      </c>
      <c r="E221" s="75">
        <v>1</v>
      </c>
      <c r="F221" s="74" t="s">
        <v>693</v>
      </c>
      <c r="G221" s="101" t="s">
        <v>694</v>
      </c>
      <c r="H221" s="74" t="s">
        <v>695</v>
      </c>
      <c r="I221" s="75">
        <v>3</v>
      </c>
      <c r="J221" s="60" t="s">
        <v>685</v>
      </c>
      <c r="K221" s="61">
        <v>20</v>
      </c>
      <c r="L221" s="61"/>
      <c r="M221" s="62" t="s">
        <v>696</v>
      </c>
      <c r="N221" s="62" t="s">
        <v>697</v>
      </c>
      <c r="O221" s="61"/>
      <c r="P221" s="60" t="s">
        <v>698</v>
      </c>
      <c r="Q221" s="61"/>
      <c r="R221" s="61"/>
      <c r="S221" s="61"/>
      <c r="T221" s="61"/>
      <c r="U221" s="61"/>
      <c r="V221" s="61"/>
      <c r="W221" s="61"/>
      <c r="X221" s="61"/>
      <c r="Y221" s="61"/>
    </row>
    <row r="222" spans="2:25" ht="20.25" hidden="1" customHeight="1" x14ac:dyDescent="0.45">
      <c r="B222" s="86" t="s">
        <v>978</v>
      </c>
      <c r="C222" s="74" t="s">
        <v>979</v>
      </c>
      <c r="D222" s="74" t="s">
        <v>980</v>
      </c>
      <c r="E222" s="75">
        <v>1</v>
      </c>
      <c r="F222" s="74" t="s">
        <v>699</v>
      </c>
      <c r="G222" s="101" t="s">
        <v>700</v>
      </c>
      <c r="H222" s="74" t="s">
        <v>695</v>
      </c>
      <c r="I222" s="75">
        <v>4</v>
      </c>
      <c r="J222" s="60" t="s">
        <v>685</v>
      </c>
      <c r="K222" s="61">
        <v>20</v>
      </c>
      <c r="L222" s="61"/>
      <c r="M222" s="62" t="s">
        <v>701</v>
      </c>
      <c r="N222" s="62" t="s">
        <v>702</v>
      </c>
      <c r="O222" s="61"/>
      <c r="P222" s="60" t="s">
        <v>703</v>
      </c>
      <c r="Q222" s="61"/>
      <c r="R222" s="61"/>
      <c r="S222" s="61"/>
      <c r="T222" s="61"/>
      <c r="U222" s="61"/>
      <c r="V222" s="61"/>
      <c r="W222" s="61"/>
      <c r="X222" s="61"/>
      <c r="Y222" s="61"/>
    </row>
    <row r="223" spans="2:25" ht="20.25" hidden="1" customHeight="1" x14ac:dyDescent="0.45">
      <c r="B223" s="86" t="s">
        <v>978</v>
      </c>
      <c r="C223" s="74" t="s">
        <v>979</v>
      </c>
      <c r="D223" s="74" t="s">
        <v>980</v>
      </c>
      <c r="E223" s="75">
        <v>1</v>
      </c>
      <c r="F223" s="74" t="s">
        <v>704</v>
      </c>
      <c r="G223" s="101" t="s">
        <v>705</v>
      </c>
      <c r="H223" s="74" t="s">
        <v>695</v>
      </c>
      <c r="I223" s="75">
        <v>5</v>
      </c>
      <c r="J223" s="60" t="s">
        <v>685</v>
      </c>
      <c r="K223" s="61">
        <v>20</v>
      </c>
      <c r="L223" s="61"/>
      <c r="M223" s="62" t="s">
        <v>706</v>
      </c>
      <c r="N223" s="62" t="s">
        <v>707</v>
      </c>
      <c r="O223" s="61"/>
      <c r="P223" s="60" t="s">
        <v>708</v>
      </c>
      <c r="Q223" s="61"/>
      <c r="R223" s="61"/>
      <c r="S223" s="61"/>
      <c r="T223" s="61"/>
      <c r="U223" s="61"/>
      <c r="V223" s="61"/>
      <c r="W223" s="61"/>
      <c r="X223" s="61"/>
      <c r="Y223" s="61"/>
    </row>
    <row r="224" spans="2:25" ht="20.25" hidden="1" customHeight="1" x14ac:dyDescent="0.45">
      <c r="B224" s="86" t="s">
        <v>978</v>
      </c>
      <c r="C224" s="74" t="s">
        <v>979</v>
      </c>
      <c r="D224" s="74" t="s">
        <v>980</v>
      </c>
      <c r="E224" s="75">
        <v>1</v>
      </c>
      <c r="F224" s="74" t="s">
        <v>709</v>
      </c>
      <c r="G224" s="101" t="s">
        <v>710</v>
      </c>
      <c r="H224" s="74" t="s">
        <v>711</v>
      </c>
      <c r="I224" s="75">
        <v>6</v>
      </c>
      <c r="J224" s="60" t="s">
        <v>712</v>
      </c>
      <c r="K224" s="61"/>
      <c r="L224" s="61"/>
      <c r="M224" s="62" t="s">
        <v>865</v>
      </c>
      <c r="N224" s="62" t="s">
        <v>714</v>
      </c>
      <c r="O224" s="61"/>
      <c r="P224" s="60"/>
      <c r="Q224" s="75"/>
      <c r="R224" s="75"/>
      <c r="S224" s="75"/>
      <c r="T224" s="75"/>
      <c r="U224" s="75"/>
      <c r="V224" s="75"/>
      <c r="W224" s="75"/>
      <c r="X224" s="75"/>
      <c r="Y224" s="75"/>
    </row>
    <row r="225" spans="2:25" ht="20.25" hidden="1" customHeight="1" x14ac:dyDescent="0.45">
      <c r="B225" s="86" t="s">
        <v>978</v>
      </c>
      <c r="C225" s="74" t="s">
        <v>979</v>
      </c>
      <c r="D225" s="74" t="s">
        <v>980</v>
      </c>
      <c r="E225" s="75">
        <v>1</v>
      </c>
      <c r="F225" s="74" t="s">
        <v>771</v>
      </c>
      <c r="G225" s="101" t="s">
        <v>772</v>
      </c>
      <c r="H225" s="74" t="s">
        <v>711</v>
      </c>
      <c r="I225" s="75">
        <v>7</v>
      </c>
      <c r="J225" s="60" t="s">
        <v>712</v>
      </c>
      <c r="K225" s="61"/>
      <c r="L225" s="61"/>
      <c r="M225" s="62" t="s">
        <v>868</v>
      </c>
      <c r="N225" s="62" t="s">
        <v>774</v>
      </c>
      <c r="O225" s="61"/>
      <c r="P225" s="60"/>
      <c r="Q225" s="75"/>
      <c r="R225" s="75"/>
      <c r="S225" s="75"/>
      <c r="T225" s="75"/>
      <c r="U225" s="75"/>
      <c r="V225" s="75"/>
      <c r="W225" s="75"/>
      <c r="X225" s="75"/>
      <c r="Y225" s="75"/>
    </row>
    <row r="226" spans="2:25" ht="20.25" hidden="1" customHeight="1" x14ac:dyDescent="0.45">
      <c r="B226" s="86" t="s">
        <v>978</v>
      </c>
      <c r="C226" s="74" t="s">
        <v>979</v>
      </c>
      <c r="D226" s="74" t="s">
        <v>980</v>
      </c>
      <c r="E226" s="75">
        <v>1</v>
      </c>
      <c r="F226" s="74" t="s">
        <v>909</v>
      </c>
      <c r="G226" s="123" t="s">
        <v>910</v>
      </c>
      <c r="H226" s="74" t="s">
        <v>777</v>
      </c>
      <c r="I226" s="75">
        <v>8</v>
      </c>
      <c r="J226" s="60" t="s">
        <v>685</v>
      </c>
      <c r="K226" s="61">
        <v>20</v>
      </c>
      <c r="L226" s="61"/>
      <c r="M226" s="62" t="s">
        <v>911</v>
      </c>
      <c r="N226" s="62"/>
      <c r="O226" s="61"/>
      <c r="P226" s="60"/>
      <c r="Q226" s="71"/>
      <c r="R226" s="71"/>
      <c r="S226" s="71"/>
      <c r="T226" s="71"/>
      <c r="U226" s="71"/>
      <c r="V226" s="71"/>
      <c r="W226" s="71"/>
      <c r="X226" s="71"/>
      <c r="Y226" s="71"/>
    </row>
    <row r="227" spans="2:25" ht="20.25" hidden="1" customHeight="1" x14ac:dyDescent="0.45">
      <c r="B227" s="86" t="s">
        <v>978</v>
      </c>
      <c r="C227" s="74" t="s">
        <v>979</v>
      </c>
      <c r="D227" s="74" t="s">
        <v>980</v>
      </c>
      <c r="E227" s="75">
        <v>1</v>
      </c>
      <c r="F227" s="74" t="s">
        <v>912</v>
      </c>
      <c r="G227" s="123" t="s">
        <v>848</v>
      </c>
      <c r="H227" s="74" t="s">
        <v>777</v>
      </c>
      <c r="I227" s="75">
        <v>9</v>
      </c>
      <c r="J227" s="60" t="s">
        <v>685</v>
      </c>
      <c r="K227" s="61">
        <v>30</v>
      </c>
      <c r="L227" s="61"/>
      <c r="M227" s="62" t="s">
        <v>781</v>
      </c>
      <c r="N227" s="62" t="s">
        <v>782</v>
      </c>
      <c r="O227" s="61"/>
      <c r="P227" s="60"/>
      <c r="Q227" s="75"/>
      <c r="R227" s="75"/>
      <c r="S227" s="75"/>
      <c r="T227" s="75"/>
      <c r="U227" s="75"/>
      <c r="V227" s="75"/>
      <c r="W227" s="75"/>
      <c r="X227" s="75"/>
      <c r="Y227" s="75"/>
    </row>
    <row r="228" spans="2:25" ht="20.25" hidden="1" customHeight="1" x14ac:dyDescent="0.45">
      <c r="B228" s="86" t="s">
        <v>978</v>
      </c>
      <c r="C228" s="74" t="s">
        <v>979</v>
      </c>
      <c r="D228" s="74" t="s">
        <v>980</v>
      </c>
      <c r="E228" s="75">
        <v>1</v>
      </c>
      <c r="F228" s="74" t="s">
        <v>794</v>
      </c>
      <c r="G228" s="101" t="s">
        <v>795</v>
      </c>
      <c r="H228" s="74" t="s">
        <v>785</v>
      </c>
      <c r="I228" s="75">
        <v>10</v>
      </c>
      <c r="J228" s="60" t="s">
        <v>685</v>
      </c>
      <c r="K228" s="61">
        <v>4</v>
      </c>
      <c r="L228" s="61"/>
      <c r="M228" s="62" t="s">
        <v>796</v>
      </c>
      <c r="N228" s="62"/>
      <c r="O228" s="61"/>
      <c r="P228" s="60"/>
      <c r="Q228" s="71"/>
      <c r="R228" s="71"/>
      <c r="S228" s="71"/>
      <c r="T228" s="71"/>
      <c r="U228" s="71"/>
      <c r="V228" s="71"/>
      <c r="W228" s="71"/>
      <c r="X228" s="71"/>
      <c r="Y228" s="71"/>
    </row>
    <row r="229" spans="2:25" ht="20.25" hidden="1" customHeight="1" x14ac:dyDescent="0.45">
      <c r="B229" s="86" t="s">
        <v>978</v>
      </c>
      <c r="C229" s="74" t="s">
        <v>979</v>
      </c>
      <c r="D229" s="74" t="s">
        <v>980</v>
      </c>
      <c r="E229" s="75">
        <v>1</v>
      </c>
      <c r="F229" s="74" t="s">
        <v>981</v>
      </c>
      <c r="G229" s="123" t="s">
        <v>982</v>
      </c>
      <c r="H229" s="74" t="s">
        <v>785</v>
      </c>
      <c r="I229" s="75">
        <v>11</v>
      </c>
      <c r="J229" s="60" t="s">
        <v>685</v>
      </c>
      <c r="K229" s="61">
        <v>20</v>
      </c>
      <c r="L229" s="61"/>
      <c r="M229" s="62" t="s">
        <v>786</v>
      </c>
      <c r="N229" s="62" t="s">
        <v>787</v>
      </c>
      <c r="O229" s="61"/>
      <c r="P229" s="76" t="s">
        <v>983</v>
      </c>
      <c r="Q229" s="75"/>
      <c r="R229" s="75"/>
      <c r="S229" s="75"/>
      <c r="T229" s="75"/>
      <c r="U229" s="75"/>
      <c r="V229" s="75"/>
      <c r="W229" s="75"/>
      <c r="X229" s="75"/>
      <c r="Y229" s="75"/>
    </row>
    <row r="230" spans="2:25" ht="20.25" hidden="1" customHeight="1" x14ac:dyDescent="0.45">
      <c r="B230" s="86" t="s">
        <v>926</v>
      </c>
      <c r="C230" s="74" t="s">
        <v>927</v>
      </c>
      <c r="D230" s="74" t="s">
        <v>928</v>
      </c>
      <c r="E230" s="75">
        <v>1</v>
      </c>
      <c r="F230" s="74" t="s">
        <v>789</v>
      </c>
      <c r="G230" s="74" t="s">
        <v>790</v>
      </c>
      <c r="H230" s="74" t="s">
        <v>785</v>
      </c>
      <c r="I230" s="75">
        <v>11</v>
      </c>
      <c r="J230" s="60" t="s">
        <v>748</v>
      </c>
      <c r="K230" s="61">
        <v>20</v>
      </c>
      <c r="L230" s="61">
        <v>0</v>
      </c>
      <c r="M230" s="62" t="s">
        <v>791</v>
      </c>
      <c r="N230" s="62" t="s">
        <v>792</v>
      </c>
      <c r="O230" s="61"/>
      <c r="P230" s="60" t="s">
        <v>793</v>
      </c>
      <c r="Q230" s="75"/>
      <c r="R230" s="75"/>
      <c r="S230" s="75"/>
      <c r="T230" s="75"/>
      <c r="U230" s="75"/>
      <c r="V230" s="75"/>
      <c r="W230" s="75"/>
      <c r="X230" s="75"/>
      <c r="Y230" s="75"/>
    </row>
    <row r="231" spans="2:25" ht="20.25" hidden="1" customHeight="1" x14ac:dyDescent="0.45">
      <c r="B231" s="86" t="s">
        <v>978</v>
      </c>
      <c r="C231" s="74" t="s">
        <v>979</v>
      </c>
      <c r="D231" s="74" t="s">
        <v>980</v>
      </c>
      <c r="E231" s="75">
        <v>1</v>
      </c>
      <c r="F231" s="74" t="s">
        <v>857</v>
      </c>
      <c r="G231" s="101" t="s">
        <v>858</v>
      </c>
      <c r="H231" s="74" t="s">
        <v>891</v>
      </c>
      <c r="I231" s="75">
        <v>13</v>
      </c>
      <c r="J231" s="60" t="s">
        <v>685</v>
      </c>
      <c r="K231" s="61">
        <v>20</v>
      </c>
      <c r="L231" s="61"/>
      <c r="M231" s="62" t="s">
        <v>800</v>
      </c>
      <c r="N231" s="62" t="s">
        <v>801</v>
      </c>
      <c r="O231" s="61"/>
      <c r="P231" s="60" t="s">
        <v>802</v>
      </c>
      <c r="Q231" s="75"/>
      <c r="R231" s="75"/>
      <c r="S231" s="75"/>
      <c r="T231" s="75"/>
      <c r="U231" s="75"/>
      <c r="V231" s="75"/>
      <c r="W231" s="75"/>
      <c r="X231" s="75"/>
      <c r="Y231" s="75"/>
    </row>
    <row r="232" spans="2:25" ht="20.25" hidden="1" customHeight="1" x14ac:dyDescent="0.45">
      <c r="B232" s="86" t="s">
        <v>978</v>
      </c>
      <c r="C232" s="74" t="s">
        <v>979</v>
      </c>
      <c r="D232" s="74" t="s">
        <v>980</v>
      </c>
      <c r="E232" s="75">
        <v>1</v>
      </c>
      <c r="F232" s="74" t="s">
        <v>803</v>
      </c>
      <c r="G232" s="102" t="s">
        <v>804</v>
      </c>
      <c r="H232" s="74" t="s">
        <v>892</v>
      </c>
      <c r="I232" s="75">
        <v>14</v>
      </c>
      <c r="J232" s="60" t="s">
        <v>748</v>
      </c>
      <c r="K232" s="61">
        <v>15</v>
      </c>
      <c r="L232" s="61">
        <v>6</v>
      </c>
      <c r="M232" s="62"/>
      <c r="N232" s="62" t="s">
        <v>806</v>
      </c>
      <c r="O232" s="61"/>
      <c r="P232" s="60"/>
      <c r="Q232" s="75"/>
      <c r="R232" s="75"/>
      <c r="S232" s="75"/>
      <c r="T232" s="75"/>
      <c r="U232" s="75"/>
      <c r="V232" s="75"/>
      <c r="W232" s="75"/>
      <c r="X232" s="75"/>
      <c r="Y232" s="75"/>
    </row>
    <row r="233" spans="2:25" ht="20.25" hidden="1" customHeight="1" x14ac:dyDescent="0.45">
      <c r="B233" s="86" t="s">
        <v>978</v>
      </c>
      <c r="C233" s="74" t="s">
        <v>979</v>
      </c>
      <c r="D233" s="74" t="s">
        <v>980</v>
      </c>
      <c r="E233" s="75">
        <v>1</v>
      </c>
      <c r="F233" s="74" t="s">
        <v>807</v>
      </c>
      <c r="G233" s="101" t="s">
        <v>808</v>
      </c>
      <c r="H233" s="74" t="s">
        <v>892</v>
      </c>
      <c r="I233" s="75">
        <v>15</v>
      </c>
      <c r="J233" s="60" t="s">
        <v>748</v>
      </c>
      <c r="K233" s="61">
        <v>15</v>
      </c>
      <c r="L233" s="61">
        <v>6</v>
      </c>
      <c r="M233" s="103" t="s">
        <v>904</v>
      </c>
      <c r="N233" s="62" t="s">
        <v>810</v>
      </c>
      <c r="O233" s="61"/>
      <c r="P233" s="60"/>
      <c r="Q233" s="75"/>
      <c r="R233" s="75"/>
      <c r="S233" s="75"/>
      <c r="T233" s="75"/>
      <c r="U233" s="75"/>
      <c r="V233" s="75"/>
      <c r="W233" s="75"/>
      <c r="X233" s="75"/>
      <c r="Y233" s="75"/>
    </row>
    <row r="234" spans="2:25" ht="20.25" hidden="1" customHeight="1" x14ac:dyDescent="0.45">
      <c r="B234" s="86" t="s">
        <v>978</v>
      </c>
      <c r="C234" s="74" t="s">
        <v>979</v>
      </c>
      <c r="D234" s="74" t="s">
        <v>980</v>
      </c>
      <c r="E234" s="75">
        <v>1</v>
      </c>
      <c r="F234" s="74" t="s">
        <v>873</v>
      </c>
      <c r="G234" s="74" t="s">
        <v>932</v>
      </c>
      <c r="H234" s="74" t="s">
        <v>892</v>
      </c>
      <c r="I234" s="75">
        <v>16</v>
      </c>
      <c r="J234" s="60" t="s">
        <v>748</v>
      </c>
      <c r="K234" s="61">
        <v>23</v>
      </c>
      <c r="L234" s="61">
        <v>6</v>
      </c>
      <c r="M234" s="62" t="s">
        <v>984</v>
      </c>
      <c r="N234" s="62" t="s">
        <v>817</v>
      </c>
      <c r="O234" s="61"/>
      <c r="P234" s="60"/>
      <c r="Q234" s="75"/>
      <c r="R234" s="75"/>
      <c r="S234" s="75"/>
      <c r="T234" s="75"/>
      <c r="U234" s="75"/>
      <c r="V234" s="75"/>
      <c r="W234" s="75"/>
      <c r="X234" s="75"/>
      <c r="Y234" s="75"/>
    </row>
    <row r="235" spans="2:25" ht="20.25" hidden="1" customHeight="1" x14ac:dyDescent="0.45">
      <c r="B235" s="86" t="s">
        <v>978</v>
      </c>
      <c r="C235" s="74" t="s">
        <v>979</v>
      </c>
      <c r="D235" s="74" t="s">
        <v>980</v>
      </c>
      <c r="E235" s="75">
        <v>1</v>
      </c>
      <c r="F235" s="74" t="s">
        <v>732</v>
      </c>
      <c r="G235" s="74" t="s">
        <v>732</v>
      </c>
      <c r="H235" s="74" t="s">
        <v>733</v>
      </c>
      <c r="I235" s="75">
        <v>17</v>
      </c>
      <c r="J235" s="60" t="s">
        <v>685</v>
      </c>
      <c r="K235" s="61">
        <v>10</v>
      </c>
      <c r="L235" s="61"/>
      <c r="M235" s="62" t="s">
        <v>734</v>
      </c>
      <c r="N235" s="62" t="s">
        <v>765</v>
      </c>
      <c r="O235" s="61" t="s">
        <v>688</v>
      </c>
      <c r="P235" s="60"/>
      <c r="Q235" s="75"/>
      <c r="R235" s="75"/>
      <c r="S235" s="75"/>
      <c r="T235" s="75"/>
      <c r="U235" s="75"/>
      <c r="V235" s="75"/>
      <c r="W235" s="75"/>
      <c r="X235" s="75"/>
      <c r="Y235" s="75"/>
    </row>
    <row r="236" spans="2:25" ht="20.25" hidden="1" customHeight="1" x14ac:dyDescent="0.45">
      <c r="B236" s="86" t="s">
        <v>978</v>
      </c>
      <c r="C236" s="74" t="s">
        <v>979</v>
      </c>
      <c r="D236" s="74" t="s">
        <v>980</v>
      </c>
      <c r="E236" s="75">
        <v>1</v>
      </c>
      <c r="F236" s="74" t="s">
        <v>736</v>
      </c>
      <c r="G236" s="74" t="s">
        <v>736</v>
      </c>
      <c r="H236" s="74" t="s">
        <v>818</v>
      </c>
      <c r="I236" s="75">
        <v>18</v>
      </c>
      <c r="J236" s="60" t="s">
        <v>737</v>
      </c>
      <c r="K236" s="61"/>
      <c r="L236" s="61"/>
      <c r="M236" s="62" t="s">
        <v>738</v>
      </c>
      <c r="N236" s="62" t="s">
        <v>739</v>
      </c>
      <c r="O236" s="61"/>
      <c r="P236" s="60"/>
      <c r="Q236" s="75"/>
      <c r="R236" s="75"/>
      <c r="S236" s="75"/>
      <c r="T236" s="75"/>
      <c r="U236" s="75"/>
      <c r="V236" s="75"/>
      <c r="W236" s="75"/>
      <c r="X236" s="75"/>
      <c r="Y236" s="75"/>
    </row>
    <row r="237" spans="2:25" ht="20.25" hidden="1" customHeight="1" x14ac:dyDescent="0.45">
      <c r="B237" s="86" t="s">
        <v>978</v>
      </c>
      <c r="C237" s="74" t="s">
        <v>985</v>
      </c>
      <c r="D237" s="74" t="s">
        <v>986</v>
      </c>
      <c r="E237" s="75">
        <v>2</v>
      </c>
      <c r="F237" s="74" t="s">
        <v>682</v>
      </c>
      <c r="G237" s="101" t="s">
        <v>683</v>
      </c>
      <c r="H237" s="74" t="s">
        <v>684</v>
      </c>
      <c r="I237" s="75">
        <v>1</v>
      </c>
      <c r="J237" s="60" t="s">
        <v>685</v>
      </c>
      <c r="K237" s="61">
        <v>20</v>
      </c>
      <c r="L237" s="61"/>
      <c r="M237" s="62" t="s">
        <v>686</v>
      </c>
      <c r="N237" s="62" t="s">
        <v>687</v>
      </c>
      <c r="O237" s="61" t="s">
        <v>688</v>
      </c>
      <c r="P237" s="60"/>
      <c r="Q237" s="75"/>
      <c r="R237" s="75"/>
      <c r="S237" s="75"/>
      <c r="T237" s="75"/>
      <c r="U237" s="75"/>
      <c r="V237" s="75"/>
      <c r="W237" s="75"/>
      <c r="X237" s="75"/>
      <c r="Y237" s="75"/>
    </row>
    <row r="238" spans="2:25" ht="20.25" hidden="1" customHeight="1" x14ac:dyDescent="0.45">
      <c r="B238" s="86" t="s">
        <v>978</v>
      </c>
      <c r="C238" s="74" t="s">
        <v>985</v>
      </c>
      <c r="D238" s="74" t="s">
        <v>986</v>
      </c>
      <c r="E238" s="75">
        <v>2</v>
      </c>
      <c r="F238" s="74" t="s">
        <v>689</v>
      </c>
      <c r="G238" s="101" t="s">
        <v>690</v>
      </c>
      <c r="H238" s="74" t="s">
        <v>684</v>
      </c>
      <c r="I238" s="75">
        <v>2</v>
      </c>
      <c r="J238" s="60" t="s">
        <v>685</v>
      </c>
      <c r="K238" s="61">
        <v>30</v>
      </c>
      <c r="L238" s="61"/>
      <c r="M238" s="62" t="s">
        <v>691</v>
      </c>
      <c r="N238" s="62" t="s">
        <v>692</v>
      </c>
      <c r="O238" s="61" t="s">
        <v>688</v>
      </c>
      <c r="P238" s="60"/>
      <c r="Q238" s="75"/>
      <c r="R238" s="75"/>
      <c r="S238" s="75"/>
      <c r="T238" s="75"/>
      <c r="U238" s="75"/>
      <c r="V238" s="75"/>
      <c r="W238" s="75"/>
      <c r="X238" s="75"/>
      <c r="Y238" s="75"/>
    </row>
    <row r="239" spans="2:25" ht="20.25" hidden="1" customHeight="1" x14ac:dyDescent="0.45">
      <c r="B239" s="86" t="s">
        <v>978</v>
      </c>
      <c r="C239" s="74" t="s">
        <v>985</v>
      </c>
      <c r="D239" s="74" t="s">
        <v>986</v>
      </c>
      <c r="E239" s="75">
        <v>2</v>
      </c>
      <c r="F239" s="74" t="s">
        <v>821</v>
      </c>
      <c r="G239" s="74" t="s">
        <v>822</v>
      </c>
      <c r="H239" s="74" t="s">
        <v>878</v>
      </c>
      <c r="I239" s="75">
        <v>3</v>
      </c>
      <c r="J239" s="60" t="s">
        <v>685</v>
      </c>
      <c r="K239" s="61">
        <v>20</v>
      </c>
      <c r="L239" s="61"/>
      <c r="M239" s="62" t="s">
        <v>823</v>
      </c>
      <c r="N239" s="62" t="s">
        <v>824</v>
      </c>
      <c r="O239" s="61" t="s">
        <v>688</v>
      </c>
      <c r="P239" s="60" t="s">
        <v>825</v>
      </c>
      <c r="Q239" s="75"/>
      <c r="R239" s="75"/>
      <c r="S239" s="75"/>
      <c r="T239" s="75"/>
      <c r="U239" s="75"/>
      <c r="V239" s="75"/>
      <c r="W239" s="75"/>
      <c r="X239" s="75"/>
      <c r="Y239" s="75"/>
    </row>
    <row r="240" spans="2:25" ht="20.25" hidden="1" customHeight="1" x14ac:dyDescent="0.45">
      <c r="B240" s="86" t="s">
        <v>978</v>
      </c>
      <c r="C240" s="74" t="s">
        <v>985</v>
      </c>
      <c r="D240" s="74" t="s">
        <v>986</v>
      </c>
      <c r="E240" s="75">
        <v>2</v>
      </c>
      <c r="F240" s="74" t="s">
        <v>826</v>
      </c>
      <c r="G240" s="74" t="s">
        <v>827</v>
      </c>
      <c r="H240" s="74" t="s">
        <v>879</v>
      </c>
      <c r="I240" s="75">
        <v>4</v>
      </c>
      <c r="J240" s="60" t="s">
        <v>737</v>
      </c>
      <c r="K240" s="61"/>
      <c r="L240" s="61"/>
      <c r="M240" s="62" t="s">
        <v>828</v>
      </c>
      <c r="N240" s="62" t="s">
        <v>829</v>
      </c>
      <c r="O240" s="61" t="s">
        <v>688</v>
      </c>
      <c r="P240" s="60"/>
      <c r="Q240" s="75"/>
      <c r="R240" s="75"/>
      <c r="S240" s="75"/>
      <c r="T240" s="75"/>
      <c r="U240" s="75"/>
      <c r="V240" s="75"/>
      <c r="W240" s="75"/>
      <c r="X240" s="75"/>
      <c r="Y240" s="75"/>
    </row>
    <row r="241" spans="2:25" ht="20.25" hidden="1" customHeight="1" x14ac:dyDescent="0.45">
      <c r="B241" s="86" t="s">
        <v>978</v>
      </c>
      <c r="C241" s="74" t="s">
        <v>985</v>
      </c>
      <c r="D241" s="74" t="s">
        <v>986</v>
      </c>
      <c r="E241" s="75">
        <v>2</v>
      </c>
      <c r="F241" s="74" t="s">
        <v>830</v>
      </c>
      <c r="G241" s="74" t="s">
        <v>831</v>
      </c>
      <c r="H241" s="74" t="s">
        <v>891</v>
      </c>
      <c r="I241" s="75">
        <v>5</v>
      </c>
      <c r="J241" s="60" t="s">
        <v>685</v>
      </c>
      <c r="K241" s="61">
        <v>20</v>
      </c>
      <c r="L241" s="61"/>
      <c r="M241" s="62" t="s">
        <v>800</v>
      </c>
      <c r="N241" s="62" t="s">
        <v>801</v>
      </c>
      <c r="O241" s="61"/>
      <c r="P241" s="60" t="s">
        <v>802</v>
      </c>
      <c r="Q241" s="75"/>
      <c r="R241" s="75"/>
      <c r="S241" s="75"/>
      <c r="T241" s="75"/>
      <c r="U241" s="75"/>
      <c r="V241" s="75"/>
      <c r="W241" s="75"/>
      <c r="X241" s="75"/>
      <c r="Y241" s="75"/>
    </row>
    <row r="242" spans="2:25" ht="20.25" hidden="1" customHeight="1" x14ac:dyDescent="0.45">
      <c r="B242" s="86" t="s">
        <v>978</v>
      </c>
      <c r="C242" s="74" t="s">
        <v>985</v>
      </c>
      <c r="D242" s="74" t="s">
        <v>986</v>
      </c>
      <c r="E242" s="75">
        <v>2</v>
      </c>
      <c r="F242" s="74" t="s">
        <v>832</v>
      </c>
      <c r="G242" s="74" t="s">
        <v>833</v>
      </c>
      <c r="H242" s="74" t="s">
        <v>892</v>
      </c>
      <c r="I242" s="75">
        <v>6</v>
      </c>
      <c r="J242" s="60" t="s">
        <v>748</v>
      </c>
      <c r="K242" s="61">
        <v>23</v>
      </c>
      <c r="L242" s="61">
        <v>6</v>
      </c>
      <c r="M242" s="62" t="s">
        <v>834</v>
      </c>
      <c r="N242" s="62" t="s">
        <v>835</v>
      </c>
      <c r="O242" s="61"/>
      <c r="P242" s="60"/>
      <c r="Q242" s="75"/>
      <c r="R242" s="75"/>
      <c r="S242" s="75"/>
      <c r="T242" s="75"/>
      <c r="U242" s="75"/>
      <c r="V242" s="75"/>
      <c r="W242" s="75"/>
      <c r="X242" s="75"/>
      <c r="Y242" s="75"/>
    </row>
    <row r="243" spans="2:25" ht="20.25" hidden="1" customHeight="1" x14ac:dyDescent="0.45">
      <c r="B243" s="86" t="s">
        <v>978</v>
      </c>
      <c r="C243" s="74" t="s">
        <v>985</v>
      </c>
      <c r="D243" s="74" t="s">
        <v>986</v>
      </c>
      <c r="E243" s="75">
        <v>2</v>
      </c>
      <c r="F243" s="74" t="s">
        <v>732</v>
      </c>
      <c r="G243" s="74" t="s">
        <v>732</v>
      </c>
      <c r="H243" s="74" t="s">
        <v>733</v>
      </c>
      <c r="I243" s="75">
        <v>7</v>
      </c>
      <c r="J243" s="60" t="s">
        <v>685</v>
      </c>
      <c r="K243" s="61">
        <v>10</v>
      </c>
      <c r="L243" s="61"/>
      <c r="M243" s="62" t="s">
        <v>734</v>
      </c>
      <c r="N243" s="62" t="s">
        <v>765</v>
      </c>
      <c r="O243" s="61" t="s">
        <v>688</v>
      </c>
      <c r="P243" s="60"/>
      <c r="Q243" s="75"/>
      <c r="R243" s="75"/>
      <c r="S243" s="75"/>
      <c r="T243" s="75"/>
      <c r="U243" s="75"/>
      <c r="V243" s="75"/>
      <c r="W243" s="75"/>
      <c r="X243" s="75"/>
      <c r="Y243" s="75"/>
    </row>
    <row r="244" spans="2:25" ht="20.25" hidden="1" customHeight="1" x14ac:dyDescent="0.45">
      <c r="B244" s="86" t="s">
        <v>978</v>
      </c>
      <c r="C244" s="74" t="s">
        <v>985</v>
      </c>
      <c r="D244" s="74" t="s">
        <v>986</v>
      </c>
      <c r="E244" s="75">
        <v>2</v>
      </c>
      <c r="F244" s="74" t="s">
        <v>736</v>
      </c>
      <c r="G244" s="74" t="s">
        <v>736</v>
      </c>
      <c r="H244" s="74" t="s">
        <v>717</v>
      </c>
      <c r="I244" s="75">
        <v>8</v>
      </c>
      <c r="J244" s="60" t="s">
        <v>737</v>
      </c>
      <c r="K244" s="61"/>
      <c r="L244" s="61"/>
      <c r="M244" s="62" t="s">
        <v>738</v>
      </c>
      <c r="N244" s="62" t="s">
        <v>739</v>
      </c>
      <c r="O244" s="61"/>
      <c r="P244" s="60"/>
      <c r="Q244" s="75"/>
      <c r="R244" s="75"/>
      <c r="S244" s="75"/>
      <c r="T244" s="75"/>
      <c r="U244" s="75"/>
      <c r="V244" s="75"/>
      <c r="W244" s="75"/>
      <c r="X244" s="75"/>
      <c r="Y244" s="75"/>
    </row>
    <row r="245" spans="2:25" ht="20.25" hidden="1" customHeight="1" x14ac:dyDescent="0.45">
      <c r="B245" s="92" t="s">
        <v>978</v>
      </c>
      <c r="C245" s="93" t="s">
        <v>987</v>
      </c>
      <c r="D245" s="93" t="s">
        <v>988</v>
      </c>
      <c r="E245" s="94">
        <v>3</v>
      </c>
      <c r="F245" s="93" t="s">
        <v>682</v>
      </c>
      <c r="G245" s="93" t="s">
        <v>683</v>
      </c>
      <c r="H245" s="93" t="s">
        <v>684</v>
      </c>
      <c r="I245" s="94">
        <v>1</v>
      </c>
      <c r="J245" s="95" t="s">
        <v>685</v>
      </c>
      <c r="K245" s="96">
        <v>20</v>
      </c>
      <c r="L245" s="96"/>
      <c r="M245" s="97" t="s">
        <v>686</v>
      </c>
      <c r="N245" s="62" t="s">
        <v>687</v>
      </c>
      <c r="O245" s="61" t="s">
        <v>688</v>
      </c>
      <c r="P245" s="60"/>
      <c r="Q245" s="75"/>
      <c r="R245" s="75"/>
      <c r="S245" s="75"/>
      <c r="T245" s="75"/>
      <c r="U245" s="75"/>
      <c r="V245" s="75"/>
      <c r="W245" s="75"/>
      <c r="X245" s="75"/>
      <c r="Y245" s="75"/>
    </row>
    <row r="246" spans="2:25" ht="20.25" hidden="1" customHeight="1" x14ac:dyDescent="0.45">
      <c r="B246" s="92" t="s">
        <v>978</v>
      </c>
      <c r="C246" s="93" t="s">
        <v>987</v>
      </c>
      <c r="D246" s="93" t="s">
        <v>988</v>
      </c>
      <c r="E246" s="94">
        <v>3</v>
      </c>
      <c r="F246" s="93" t="s">
        <v>689</v>
      </c>
      <c r="G246" s="93" t="s">
        <v>690</v>
      </c>
      <c r="H246" s="93" t="s">
        <v>684</v>
      </c>
      <c r="I246" s="94">
        <v>2</v>
      </c>
      <c r="J246" s="95" t="s">
        <v>685</v>
      </c>
      <c r="K246" s="96">
        <v>30</v>
      </c>
      <c r="L246" s="96"/>
      <c r="M246" s="97" t="s">
        <v>691</v>
      </c>
      <c r="N246" s="62" t="s">
        <v>692</v>
      </c>
      <c r="O246" s="61" t="s">
        <v>688</v>
      </c>
      <c r="P246" s="60"/>
      <c r="Q246" s="75"/>
      <c r="R246" s="75"/>
      <c r="S246" s="75"/>
      <c r="T246" s="75"/>
      <c r="U246" s="75"/>
      <c r="V246" s="75"/>
      <c r="W246" s="75"/>
      <c r="X246" s="75"/>
      <c r="Y246" s="75"/>
    </row>
    <row r="247" spans="2:25" ht="20.25" hidden="1" customHeight="1" x14ac:dyDescent="0.45">
      <c r="B247" s="92" t="s">
        <v>978</v>
      </c>
      <c r="C247" s="93" t="s">
        <v>987</v>
      </c>
      <c r="D247" s="93" t="s">
        <v>988</v>
      </c>
      <c r="E247" s="94">
        <v>3</v>
      </c>
      <c r="F247" s="93" t="s">
        <v>938</v>
      </c>
      <c r="G247" s="93" t="s">
        <v>939</v>
      </c>
      <c r="H247" s="93" t="s">
        <v>940</v>
      </c>
      <c r="I247" s="94">
        <v>3</v>
      </c>
      <c r="J247" s="95" t="s">
        <v>748</v>
      </c>
      <c r="K247" s="96">
        <v>9</v>
      </c>
      <c r="L247" s="96">
        <v>0</v>
      </c>
      <c r="M247" s="97" t="s">
        <v>941</v>
      </c>
      <c r="N247" s="62"/>
      <c r="O247" s="61" t="s">
        <v>688</v>
      </c>
      <c r="P247" s="60"/>
      <c r="Q247" s="75"/>
      <c r="R247" s="75"/>
      <c r="S247" s="75"/>
      <c r="T247" s="75"/>
      <c r="U247" s="75"/>
      <c r="V247" s="75"/>
      <c r="W247" s="75"/>
      <c r="X247" s="75"/>
      <c r="Y247" s="75"/>
    </row>
    <row r="248" spans="2:25" ht="20.25" hidden="1" customHeight="1" x14ac:dyDescent="0.45">
      <c r="B248" s="92" t="s">
        <v>978</v>
      </c>
      <c r="C248" s="93" t="s">
        <v>987</v>
      </c>
      <c r="D248" s="93" t="s">
        <v>988</v>
      </c>
      <c r="E248" s="94">
        <v>3</v>
      </c>
      <c r="F248" s="93" t="s">
        <v>942</v>
      </c>
      <c r="G248" s="93" t="s">
        <v>943</v>
      </c>
      <c r="H248" s="93" t="s">
        <v>711</v>
      </c>
      <c r="I248" s="94">
        <v>4</v>
      </c>
      <c r="J248" s="95" t="s">
        <v>712</v>
      </c>
      <c r="K248" s="96"/>
      <c r="L248" s="96"/>
      <c r="M248" s="97" t="s">
        <v>989</v>
      </c>
      <c r="N248" s="62" t="s">
        <v>945</v>
      </c>
      <c r="O248" s="61"/>
      <c r="P248" s="60"/>
      <c r="Q248" s="61"/>
      <c r="R248" s="61"/>
      <c r="S248" s="61"/>
      <c r="T248" s="61"/>
      <c r="U248" s="61"/>
      <c r="V248" s="61"/>
      <c r="W248" s="61"/>
      <c r="X248" s="61"/>
      <c r="Y248" s="61"/>
    </row>
    <row r="249" spans="2:25" ht="20.25" hidden="1" customHeight="1" x14ac:dyDescent="0.45">
      <c r="B249" s="92" t="s">
        <v>978</v>
      </c>
      <c r="C249" s="93" t="s">
        <v>987</v>
      </c>
      <c r="D249" s="93" t="s">
        <v>988</v>
      </c>
      <c r="E249" s="94">
        <v>3</v>
      </c>
      <c r="F249" s="93" t="s">
        <v>946</v>
      </c>
      <c r="G249" s="93" t="s">
        <v>947</v>
      </c>
      <c r="H249" s="93" t="s">
        <v>758</v>
      </c>
      <c r="I249" s="94">
        <v>5</v>
      </c>
      <c r="J249" s="95" t="s">
        <v>748</v>
      </c>
      <c r="K249" s="96">
        <v>15</v>
      </c>
      <c r="L249" s="96">
        <v>2</v>
      </c>
      <c r="M249" s="97" t="s">
        <v>948</v>
      </c>
      <c r="N249" s="62" t="s">
        <v>949</v>
      </c>
      <c r="O249" s="61"/>
      <c r="P249" s="60"/>
      <c r="Q249" s="61"/>
      <c r="R249" s="61"/>
      <c r="S249" s="61"/>
      <c r="T249" s="61"/>
      <c r="U249" s="61"/>
      <c r="V249" s="61"/>
      <c r="W249" s="61"/>
      <c r="X249" s="61"/>
      <c r="Y249" s="61"/>
    </row>
    <row r="250" spans="2:25" ht="20.25" hidden="1" customHeight="1" x14ac:dyDescent="0.45">
      <c r="B250" s="92" t="s">
        <v>978</v>
      </c>
      <c r="C250" s="93" t="s">
        <v>987</v>
      </c>
      <c r="D250" s="93" t="s">
        <v>988</v>
      </c>
      <c r="E250" s="94">
        <v>3</v>
      </c>
      <c r="F250" s="93" t="s">
        <v>950</v>
      </c>
      <c r="G250" s="93" t="s">
        <v>951</v>
      </c>
      <c r="H250" s="93" t="s">
        <v>758</v>
      </c>
      <c r="I250" s="94">
        <v>6</v>
      </c>
      <c r="J250" s="95" t="s">
        <v>748</v>
      </c>
      <c r="K250" s="96">
        <v>15</v>
      </c>
      <c r="L250" s="96">
        <v>2</v>
      </c>
      <c r="M250" s="97" t="s">
        <v>952</v>
      </c>
      <c r="N250" s="62" t="s">
        <v>953</v>
      </c>
      <c r="O250" s="61"/>
      <c r="P250" s="60"/>
      <c r="Q250" s="61"/>
      <c r="R250" s="61"/>
      <c r="S250" s="61"/>
      <c r="T250" s="61"/>
      <c r="U250" s="61"/>
      <c r="V250" s="61"/>
      <c r="W250" s="61"/>
      <c r="X250" s="61"/>
      <c r="Y250" s="61"/>
    </row>
    <row r="251" spans="2:25" ht="20.25" hidden="1" customHeight="1" x14ac:dyDescent="0.45">
      <c r="B251" s="92" t="s">
        <v>978</v>
      </c>
      <c r="C251" s="93" t="s">
        <v>987</v>
      </c>
      <c r="D251" s="93" t="s">
        <v>988</v>
      </c>
      <c r="E251" s="94">
        <v>3</v>
      </c>
      <c r="F251" s="93" t="s">
        <v>954</v>
      </c>
      <c r="G251" s="93" t="s">
        <v>955</v>
      </c>
      <c r="H251" s="93" t="s">
        <v>758</v>
      </c>
      <c r="I251" s="94">
        <v>7</v>
      </c>
      <c r="J251" s="95" t="s">
        <v>748</v>
      </c>
      <c r="K251" s="96">
        <v>15</v>
      </c>
      <c r="L251" s="96">
        <v>2</v>
      </c>
      <c r="M251" s="97" t="s">
        <v>956</v>
      </c>
      <c r="N251" s="62" t="s">
        <v>957</v>
      </c>
      <c r="O251" s="61"/>
      <c r="P251" s="60"/>
      <c r="Q251" s="75"/>
      <c r="R251" s="75"/>
      <c r="S251" s="75"/>
      <c r="T251" s="75"/>
      <c r="U251" s="75"/>
      <c r="V251" s="75"/>
      <c r="W251" s="75"/>
      <c r="X251" s="75"/>
      <c r="Y251" s="75"/>
    </row>
    <row r="252" spans="2:25" ht="20.25" hidden="1" customHeight="1" x14ac:dyDescent="0.45">
      <c r="B252" s="92" t="s">
        <v>978</v>
      </c>
      <c r="C252" s="93" t="s">
        <v>987</v>
      </c>
      <c r="D252" s="93" t="s">
        <v>988</v>
      </c>
      <c r="E252" s="94">
        <v>3</v>
      </c>
      <c r="F252" s="93" t="s">
        <v>958</v>
      </c>
      <c r="G252" s="93" t="s">
        <v>959</v>
      </c>
      <c r="H252" s="93" t="s">
        <v>758</v>
      </c>
      <c r="I252" s="94">
        <v>8</v>
      </c>
      <c r="J252" s="95" t="s">
        <v>748</v>
      </c>
      <c r="K252" s="96">
        <v>15</v>
      </c>
      <c r="L252" s="96">
        <v>2</v>
      </c>
      <c r="M252" s="97" t="s">
        <v>990</v>
      </c>
      <c r="N252" s="62" t="s">
        <v>961</v>
      </c>
      <c r="O252" s="61"/>
      <c r="P252" s="60"/>
      <c r="Q252" s="75"/>
      <c r="R252" s="75"/>
      <c r="S252" s="75"/>
      <c r="T252" s="75"/>
      <c r="U252" s="75"/>
      <c r="V252" s="75"/>
      <c r="W252" s="75"/>
      <c r="X252" s="75"/>
      <c r="Y252" s="75"/>
    </row>
    <row r="253" spans="2:25" ht="20.25" hidden="1" customHeight="1" x14ac:dyDescent="0.45">
      <c r="B253" s="92" t="s">
        <v>978</v>
      </c>
      <c r="C253" s="93" t="s">
        <v>987</v>
      </c>
      <c r="D253" s="93" t="s">
        <v>988</v>
      </c>
      <c r="E253" s="94">
        <v>3</v>
      </c>
      <c r="F253" s="93" t="s">
        <v>962</v>
      </c>
      <c r="G253" s="93" t="s">
        <v>963</v>
      </c>
      <c r="H253" s="93" t="s">
        <v>758</v>
      </c>
      <c r="I253" s="94">
        <v>9</v>
      </c>
      <c r="J253" s="95" t="s">
        <v>748</v>
      </c>
      <c r="K253" s="96">
        <v>15</v>
      </c>
      <c r="L253" s="96">
        <v>2</v>
      </c>
      <c r="M253" s="97" t="s">
        <v>964</v>
      </c>
      <c r="N253" s="62" t="s">
        <v>965</v>
      </c>
      <c r="O253" s="61"/>
      <c r="P253" s="60"/>
      <c r="Q253" s="75"/>
      <c r="R253" s="75"/>
      <c r="S253" s="75"/>
      <c r="T253" s="75"/>
      <c r="U253" s="75"/>
      <c r="V253" s="75"/>
      <c r="W253" s="75"/>
      <c r="X253" s="75"/>
      <c r="Y253" s="75"/>
    </row>
    <row r="254" spans="2:25" ht="20.25" hidden="1" customHeight="1" x14ac:dyDescent="0.45">
      <c r="B254" s="92" t="s">
        <v>978</v>
      </c>
      <c r="C254" s="93" t="s">
        <v>987</v>
      </c>
      <c r="D254" s="93" t="s">
        <v>988</v>
      </c>
      <c r="E254" s="94">
        <v>3</v>
      </c>
      <c r="F254" s="93" t="s">
        <v>966</v>
      </c>
      <c r="G254" s="93" t="s">
        <v>967</v>
      </c>
      <c r="H254" s="93" t="s">
        <v>758</v>
      </c>
      <c r="I254" s="94">
        <v>10</v>
      </c>
      <c r="J254" s="95" t="s">
        <v>748</v>
      </c>
      <c r="K254" s="96">
        <v>15</v>
      </c>
      <c r="L254" s="96">
        <v>2</v>
      </c>
      <c r="M254" s="97" t="s">
        <v>968</v>
      </c>
      <c r="N254" s="62" t="s">
        <v>969</v>
      </c>
      <c r="O254" s="61"/>
      <c r="P254" s="60"/>
      <c r="Q254" s="75"/>
      <c r="R254" s="75"/>
      <c r="S254" s="75"/>
      <c r="T254" s="75"/>
      <c r="U254" s="75"/>
      <c r="V254" s="75"/>
      <c r="W254" s="75"/>
      <c r="X254" s="75"/>
      <c r="Y254" s="75"/>
    </row>
    <row r="255" spans="2:25" ht="20.25" hidden="1" customHeight="1" x14ac:dyDescent="0.45">
      <c r="B255" s="92" t="s">
        <v>978</v>
      </c>
      <c r="C255" s="93" t="s">
        <v>987</v>
      </c>
      <c r="D255" s="93" t="s">
        <v>988</v>
      </c>
      <c r="E255" s="94">
        <v>3</v>
      </c>
      <c r="F255" s="93" t="s">
        <v>970</v>
      </c>
      <c r="G255" s="93" t="s">
        <v>971</v>
      </c>
      <c r="H255" s="93" t="s">
        <v>758</v>
      </c>
      <c r="I255" s="94">
        <v>11</v>
      </c>
      <c r="J255" s="95" t="s">
        <v>748</v>
      </c>
      <c r="K255" s="96">
        <v>15</v>
      </c>
      <c r="L255" s="96">
        <v>2</v>
      </c>
      <c r="M255" s="97" t="s">
        <v>972</v>
      </c>
      <c r="N255" s="62" t="s">
        <v>973</v>
      </c>
      <c r="O255" s="61"/>
      <c r="P255" s="60"/>
      <c r="Q255" s="75"/>
      <c r="R255" s="75"/>
      <c r="S255" s="75"/>
      <c r="T255" s="75"/>
      <c r="U255" s="75"/>
      <c r="V255" s="75"/>
      <c r="W255" s="75"/>
      <c r="X255" s="75"/>
      <c r="Y255" s="75"/>
    </row>
    <row r="256" spans="2:25" ht="20.25" hidden="1" customHeight="1" x14ac:dyDescent="0.45">
      <c r="B256" s="92" t="s">
        <v>978</v>
      </c>
      <c r="C256" s="93" t="s">
        <v>987</v>
      </c>
      <c r="D256" s="93" t="s">
        <v>988</v>
      </c>
      <c r="E256" s="94">
        <v>3</v>
      </c>
      <c r="F256" s="93" t="s">
        <v>974</v>
      </c>
      <c r="G256" s="93" t="s">
        <v>975</v>
      </c>
      <c r="H256" s="93" t="s">
        <v>758</v>
      </c>
      <c r="I256" s="94">
        <v>12</v>
      </c>
      <c r="J256" s="95" t="s">
        <v>748</v>
      </c>
      <c r="K256" s="96">
        <v>15</v>
      </c>
      <c r="L256" s="96">
        <v>2</v>
      </c>
      <c r="M256" s="97" t="s">
        <v>976</v>
      </c>
      <c r="N256" s="62" t="s">
        <v>977</v>
      </c>
      <c r="O256" s="61"/>
      <c r="P256" s="60"/>
      <c r="Q256" s="75"/>
      <c r="R256" s="75"/>
      <c r="S256" s="75"/>
      <c r="T256" s="75"/>
      <c r="U256" s="75"/>
      <c r="V256" s="75"/>
      <c r="W256" s="75"/>
      <c r="X256" s="75"/>
      <c r="Y256" s="75"/>
    </row>
    <row r="257" spans="1:25" ht="20.25" hidden="1" customHeight="1" x14ac:dyDescent="0.45">
      <c r="B257" s="92" t="s">
        <v>978</v>
      </c>
      <c r="C257" s="93" t="s">
        <v>987</v>
      </c>
      <c r="D257" s="93" t="s">
        <v>988</v>
      </c>
      <c r="E257" s="94">
        <v>3</v>
      </c>
      <c r="F257" s="93" t="s">
        <v>732</v>
      </c>
      <c r="G257" s="93" t="s">
        <v>732</v>
      </c>
      <c r="H257" s="93" t="s">
        <v>733</v>
      </c>
      <c r="I257" s="94">
        <v>13</v>
      </c>
      <c r="J257" s="95" t="s">
        <v>685</v>
      </c>
      <c r="K257" s="96">
        <v>10</v>
      </c>
      <c r="L257" s="96"/>
      <c r="M257" s="97" t="s">
        <v>734</v>
      </c>
      <c r="N257" s="62" t="s">
        <v>765</v>
      </c>
      <c r="O257" s="61" t="s">
        <v>688</v>
      </c>
      <c r="P257" s="60"/>
      <c r="Q257" s="75"/>
      <c r="R257" s="75"/>
      <c r="S257" s="75"/>
      <c r="T257" s="75"/>
      <c r="U257" s="75"/>
      <c r="V257" s="75"/>
      <c r="W257" s="75"/>
      <c r="X257" s="75"/>
      <c r="Y257" s="75"/>
    </row>
    <row r="258" spans="1:25" ht="20.25" hidden="1" customHeight="1" x14ac:dyDescent="0.45">
      <c r="B258" s="92" t="s">
        <v>978</v>
      </c>
      <c r="C258" s="93" t="s">
        <v>987</v>
      </c>
      <c r="D258" s="93" t="s">
        <v>988</v>
      </c>
      <c r="E258" s="94">
        <v>3</v>
      </c>
      <c r="F258" s="93" t="s">
        <v>736</v>
      </c>
      <c r="G258" s="93" t="s">
        <v>736</v>
      </c>
      <c r="H258" s="93" t="s">
        <v>717</v>
      </c>
      <c r="I258" s="94">
        <v>14</v>
      </c>
      <c r="J258" s="95" t="s">
        <v>737</v>
      </c>
      <c r="K258" s="96"/>
      <c r="L258" s="96"/>
      <c r="M258" s="97" t="s">
        <v>738</v>
      </c>
      <c r="N258" s="62" t="s">
        <v>739</v>
      </c>
      <c r="O258" s="61"/>
      <c r="P258" s="60"/>
      <c r="Q258" s="75"/>
      <c r="R258" s="75"/>
      <c r="S258" s="75"/>
      <c r="T258" s="75"/>
      <c r="U258" s="75"/>
      <c r="V258" s="75"/>
      <c r="W258" s="75"/>
      <c r="X258" s="75"/>
      <c r="Y258" s="75"/>
    </row>
    <row r="259" spans="1:25" ht="20.25" hidden="1" customHeight="1" x14ac:dyDescent="0.45">
      <c r="B259" s="86" t="s">
        <v>991</v>
      </c>
      <c r="C259" s="74" t="s">
        <v>992</v>
      </c>
      <c r="D259" s="74" t="s">
        <v>993</v>
      </c>
      <c r="E259" s="75">
        <v>1</v>
      </c>
      <c r="F259" s="74" t="s">
        <v>682</v>
      </c>
      <c r="G259" s="74" t="s">
        <v>683</v>
      </c>
      <c r="H259" s="74" t="s">
        <v>684</v>
      </c>
      <c r="I259" s="75">
        <v>1</v>
      </c>
      <c r="J259" s="60" t="s">
        <v>685</v>
      </c>
      <c r="K259" s="61">
        <v>20</v>
      </c>
      <c r="L259" s="61"/>
      <c r="M259" s="62" t="s">
        <v>686</v>
      </c>
      <c r="N259" s="62" t="s">
        <v>687</v>
      </c>
      <c r="O259" s="61" t="s">
        <v>688</v>
      </c>
      <c r="P259" s="60"/>
      <c r="Q259" s="75"/>
      <c r="R259" s="75"/>
      <c r="S259" s="75"/>
      <c r="T259" s="75"/>
      <c r="U259" s="75"/>
      <c r="V259" s="75"/>
      <c r="W259" s="75"/>
      <c r="X259" s="75"/>
      <c r="Y259" s="75"/>
    </row>
    <row r="260" spans="1:25" ht="20.25" hidden="1" customHeight="1" x14ac:dyDescent="0.45">
      <c r="B260" s="86" t="s">
        <v>991</v>
      </c>
      <c r="C260" s="74" t="s">
        <v>992</v>
      </c>
      <c r="D260" s="74" t="s">
        <v>993</v>
      </c>
      <c r="E260" s="75">
        <v>1</v>
      </c>
      <c r="F260" s="74" t="s">
        <v>689</v>
      </c>
      <c r="G260" s="74" t="s">
        <v>690</v>
      </c>
      <c r="H260" s="74" t="s">
        <v>684</v>
      </c>
      <c r="I260" s="75">
        <v>2</v>
      </c>
      <c r="J260" s="60" t="s">
        <v>685</v>
      </c>
      <c r="K260" s="61">
        <v>30</v>
      </c>
      <c r="L260" s="61"/>
      <c r="M260" s="62" t="s">
        <v>691</v>
      </c>
      <c r="N260" s="62" t="s">
        <v>692</v>
      </c>
      <c r="O260" s="61" t="s">
        <v>688</v>
      </c>
      <c r="P260" s="60"/>
      <c r="Q260" s="75"/>
      <c r="R260" s="75"/>
      <c r="S260" s="75"/>
      <c r="T260" s="75"/>
      <c r="U260" s="75"/>
      <c r="V260" s="75"/>
      <c r="W260" s="75"/>
      <c r="X260" s="75"/>
      <c r="Y260" s="75"/>
    </row>
    <row r="261" spans="1:25" ht="20.25" hidden="1" customHeight="1" x14ac:dyDescent="0.45">
      <c r="B261" s="86" t="s">
        <v>991</v>
      </c>
      <c r="C261" s="74" t="s">
        <v>992</v>
      </c>
      <c r="D261" s="74" t="s">
        <v>993</v>
      </c>
      <c r="E261" s="75">
        <v>1</v>
      </c>
      <c r="F261" s="74" t="s">
        <v>693</v>
      </c>
      <c r="G261" s="74" t="s">
        <v>694</v>
      </c>
      <c r="H261" s="74" t="s">
        <v>695</v>
      </c>
      <c r="I261" s="75">
        <v>3</v>
      </c>
      <c r="J261" s="60" t="s">
        <v>685</v>
      </c>
      <c r="K261" s="61">
        <v>20</v>
      </c>
      <c r="L261" s="61"/>
      <c r="M261" s="62" t="s">
        <v>696</v>
      </c>
      <c r="N261" s="62" t="s">
        <v>697</v>
      </c>
      <c r="O261" s="61"/>
      <c r="P261" s="60" t="s">
        <v>698</v>
      </c>
      <c r="Q261" s="75"/>
      <c r="R261" s="75"/>
      <c r="S261" s="75"/>
      <c r="T261" s="75"/>
      <c r="U261" s="75"/>
      <c r="V261" s="75"/>
      <c r="W261" s="75"/>
      <c r="X261" s="75"/>
      <c r="Y261" s="75"/>
    </row>
    <row r="262" spans="1:25" ht="20.25" hidden="1" customHeight="1" x14ac:dyDescent="0.45">
      <c r="B262" s="86" t="s">
        <v>991</v>
      </c>
      <c r="C262" s="74" t="s">
        <v>992</v>
      </c>
      <c r="D262" s="74" t="s">
        <v>993</v>
      </c>
      <c r="E262" s="75">
        <v>1</v>
      </c>
      <c r="F262" s="74" t="s">
        <v>699</v>
      </c>
      <c r="G262" s="74" t="s">
        <v>700</v>
      </c>
      <c r="H262" s="74" t="s">
        <v>695</v>
      </c>
      <c r="I262" s="75">
        <v>4</v>
      </c>
      <c r="J262" s="60" t="s">
        <v>685</v>
      </c>
      <c r="K262" s="61">
        <v>20</v>
      </c>
      <c r="L262" s="61"/>
      <c r="M262" s="62" t="s">
        <v>701</v>
      </c>
      <c r="N262" s="62" t="s">
        <v>702</v>
      </c>
      <c r="O262" s="61"/>
      <c r="P262" s="60" t="s">
        <v>703</v>
      </c>
      <c r="Q262" s="75"/>
      <c r="R262" s="75"/>
      <c r="S262" s="75"/>
      <c r="T262" s="75"/>
      <c r="U262" s="75"/>
      <c r="V262" s="75"/>
      <c r="W262" s="75"/>
      <c r="X262" s="75"/>
      <c r="Y262" s="75"/>
    </row>
    <row r="263" spans="1:25" s="73" customFormat="1" ht="20.25" hidden="1" customHeight="1" x14ac:dyDescent="0.45">
      <c r="A263" s="78"/>
      <c r="B263" s="86" t="s">
        <v>991</v>
      </c>
      <c r="C263" s="74" t="s">
        <v>992</v>
      </c>
      <c r="D263" s="74" t="s">
        <v>993</v>
      </c>
      <c r="E263" s="75">
        <v>1</v>
      </c>
      <c r="F263" s="74" t="s">
        <v>704</v>
      </c>
      <c r="G263" s="74" t="s">
        <v>705</v>
      </c>
      <c r="H263" s="74" t="s">
        <v>695</v>
      </c>
      <c r="I263" s="75">
        <v>5</v>
      </c>
      <c r="J263" s="60" t="s">
        <v>685</v>
      </c>
      <c r="K263" s="61">
        <v>20</v>
      </c>
      <c r="L263" s="61"/>
      <c r="M263" s="62" t="s">
        <v>706</v>
      </c>
      <c r="N263" s="62" t="s">
        <v>707</v>
      </c>
      <c r="O263" s="61"/>
      <c r="P263" s="60" t="s">
        <v>708</v>
      </c>
      <c r="Q263" s="75"/>
      <c r="R263" s="75"/>
      <c r="S263" s="75"/>
      <c r="T263" s="75"/>
      <c r="U263" s="75"/>
      <c r="V263" s="75"/>
      <c r="W263" s="75"/>
      <c r="X263" s="75"/>
      <c r="Y263" s="75"/>
    </row>
    <row r="264" spans="1:25" s="72" customFormat="1" ht="20.25" hidden="1" customHeight="1" x14ac:dyDescent="0.45">
      <c r="A264" s="78"/>
      <c r="B264" s="86" t="s">
        <v>991</v>
      </c>
      <c r="C264" s="74" t="s">
        <v>992</v>
      </c>
      <c r="D264" s="74" t="s">
        <v>993</v>
      </c>
      <c r="E264" s="75">
        <v>1</v>
      </c>
      <c r="F264" s="74" t="s">
        <v>771</v>
      </c>
      <c r="G264" s="74" t="s">
        <v>772</v>
      </c>
      <c r="H264" s="74" t="s">
        <v>711</v>
      </c>
      <c r="I264" s="75">
        <v>6</v>
      </c>
      <c r="J264" s="60" t="s">
        <v>712</v>
      </c>
      <c r="K264" s="61"/>
      <c r="L264" s="61"/>
      <c r="M264" s="62" t="s">
        <v>868</v>
      </c>
      <c r="N264" s="62" t="s">
        <v>994</v>
      </c>
      <c r="O264" s="61"/>
      <c r="P264" s="60"/>
      <c r="Q264" s="75"/>
      <c r="R264" s="75"/>
      <c r="S264" s="75"/>
      <c r="T264" s="75"/>
      <c r="U264" s="75"/>
      <c r="V264" s="75"/>
      <c r="W264" s="75"/>
      <c r="X264" s="75"/>
      <c r="Y264" s="75"/>
    </row>
    <row r="265" spans="1:25" s="73" customFormat="1" ht="20.25" hidden="1" customHeight="1" x14ac:dyDescent="0.45">
      <c r="A265" s="78"/>
      <c r="B265" s="86" t="s">
        <v>991</v>
      </c>
      <c r="C265" s="74" t="s">
        <v>992</v>
      </c>
      <c r="D265" s="74" t="s">
        <v>993</v>
      </c>
      <c r="E265" s="75">
        <v>1</v>
      </c>
      <c r="F265" s="74" t="s">
        <v>709</v>
      </c>
      <c r="G265" s="74" t="s">
        <v>710</v>
      </c>
      <c r="H265" s="74" t="s">
        <v>711</v>
      </c>
      <c r="I265" s="75">
        <v>7</v>
      </c>
      <c r="J265" s="60" t="s">
        <v>712</v>
      </c>
      <c r="K265" s="61"/>
      <c r="L265" s="61"/>
      <c r="M265" s="62" t="s">
        <v>865</v>
      </c>
      <c r="N265" s="62" t="s">
        <v>714</v>
      </c>
      <c r="O265" s="61"/>
      <c r="P265" s="60"/>
      <c r="Q265" s="75"/>
      <c r="R265" s="75"/>
      <c r="S265" s="75"/>
      <c r="T265" s="75"/>
      <c r="U265" s="75"/>
      <c r="V265" s="75"/>
      <c r="W265" s="75"/>
      <c r="X265" s="75"/>
      <c r="Y265" s="75"/>
    </row>
    <row r="266" spans="1:25" s="73" customFormat="1" ht="20.25" hidden="1" customHeight="1" x14ac:dyDescent="0.45">
      <c r="A266" s="78"/>
      <c r="B266" s="86" t="s">
        <v>991</v>
      </c>
      <c r="C266" s="74" t="s">
        <v>992</v>
      </c>
      <c r="D266" s="74" t="s">
        <v>993</v>
      </c>
      <c r="E266" s="75">
        <v>1</v>
      </c>
      <c r="F266" s="74" t="s">
        <v>909</v>
      </c>
      <c r="G266" s="74" t="s">
        <v>910</v>
      </c>
      <c r="H266" s="74" t="s">
        <v>777</v>
      </c>
      <c r="I266" s="75">
        <v>8</v>
      </c>
      <c r="J266" s="60" t="s">
        <v>685</v>
      </c>
      <c r="K266" s="61">
        <v>20</v>
      </c>
      <c r="L266" s="61"/>
      <c r="M266" s="62" t="s">
        <v>911</v>
      </c>
      <c r="N266" s="62"/>
      <c r="O266" s="61"/>
      <c r="P266" s="60"/>
      <c r="Q266" s="71"/>
      <c r="R266" s="71"/>
      <c r="S266" s="71"/>
      <c r="T266" s="71"/>
      <c r="U266" s="71"/>
      <c r="V266" s="71"/>
      <c r="W266" s="71"/>
      <c r="X266" s="71"/>
      <c r="Y266" s="71"/>
    </row>
    <row r="267" spans="1:25" s="73" customFormat="1" ht="20.25" hidden="1" customHeight="1" x14ac:dyDescent="0.45">
      <c r="A267" s="78"/>
      <c r="B267" s="86" t="s">
        <v>991</v>
      </c>
      <c r="C267" s="74" t="s">
        <v>992</v>
      </c>
      <c r="D267" s="74" t="s">
        <v>993</v>
      </c>
      <c r="E267" s="75">
        <v>1</v>
      </c>
      <c r="F267" s="74" t="s">
        <v>912</v>
      </c>
      <c r="G267" s="74" t="s">
        <v>848</v>
      </c>
      <c r="H267" s="74" t="s">
        <v>777</v>
      </c>
      <c r="I267" s="75">
        <v>9</v>
      </c>
      <c r="J267" s="60" t="s">
        <v>685</v>
      </c>
      <c r="K267" s="61">
        <v>30</v>
      </c>
      <c r="L267" s="61"/>
      <c r="M267" s="62" t="s">
        <v>781</v>
      </c>
      <c r="N267" s="62" t="s">
        <v>782</v>
      </c>
      <c r="O267" s="61"/>
      <c r="P267" s="60"/>
      <c r="Q267" s="75"/>
      <c r="R267" s="75"/>
      <c r="S267" s="75"/>
      <c r="T267" s="75"/>
      <c r="U267" s="75"/>
      <c r="V267" s="75"/>
      <c r="W267" s="75"/>
      <c r="X267" s="75"/>
      <c r="Y267" s="75"/>
    </row>
    <row r="268" spans="1:25" s="73" customFormat="1" ht="20.25" hidden="1" customHeight="1" x14ac:dyDescent="0.45">
      <c r="A268" s="78"/>
      <c r="B268" s="86" t="s">
        <v>991</v>
      </c>
      <c r="C268" s="74" t="s">
        <v>992</v>
      </c>
      <c r="D268" s="74" t="s">
        <v>993</v>
      </c>
      <c r="E268" s="75">
        <v>1</v>
      </c>
      <c r="F268" s="74" t="s">
        <v>995</v>
      </c>
      <c r="G268" s="74" t="s">
        <v>996</v>
      </c>
      <c r="H268" s="74" t="s">
        <v>785</v>
      </c>
      <c r="I268" s="75">
        <v>10</v>
      </c>
      <c r="J268" s="60" t="s">
        <v>685</v>
      </c>
      <c r="K268" s="61">
        <v>20</v>
      </c>
      <c r="L268" s="61"/>
      <c r="M268" s="62" t="s">
        <v>786</v>
      </c>
      <c r="N268" s="62" t="s">
        <v>787</v>
      </c>
      <c r="O268" s="61"/>
      <c r="P268" s="76" t="s">
        <v>997</v>
      </c>
      <c r="Q268" s="75"/>
      <c r="R268" s="75"/>
      <c r="S268" s="75"/>
      <c r="T268" s="75"/>
      <c r="U268" s="75"/>
      <c r="V268" s="75"/>
      <c r="W268" s="75"/>
      <c r="X268" s="75"/>
      <c r="Y268" s="75"/>
    </row>
    <row r="269" spans="1:25" s="73" customFormat="1" ht="20.25" hidden="1" customHeight="1" x14ac:dyDescent="0.45">
      <c r="A269" s="78"/>
      <c r="B269" s="86" t="s">
        <v>991</v>
      </c>
      <c r="C269" s="74" t="s">
        <v>992</v>
      </c>
      <c r="D269" s="74" t="s">
        <v>993</v>
      </c>
      <c r="E269" s="75">
        <v>1</v>
      </c>
      <c r="F269" s="74" t="s">
        <v>789</v>
      </c>
      <c r="G269" s="74" t="s">
        <v>790</v>
      </c>
      <c r="H269" s="74" t="s">
        <v>785</v>
      </c>
      <c r="I269" s="75">
        <v>11</v>
      </c>
      <c r="J269" s="60" t="s">
        <v>748</v>
      </c>
      <c r="K269" s="61">
        <v>20</v>
      </c>
      <c r="L269" s="61">
        <v>0</v>
      </c>
      <c r="M269" s="62" t="s">
        <v>791</v>
      </c>
      <c r="N269" s="62" t="s">
        <v>792</v>
      </c>
      <c r="O269" s="61"/>
      <c r="P269" s="60" t="s">
        <v>793</v>
      </c>
      <c r="Q269" s="75"/>
      <c r="R269" s="75"/>
      <c r="S269" s="75"/>
      <c r="T269" s="75"/>
      <c r="U269" s="75"/>
      <c r="V269" s="75"/>
      <c r="W269" s="75"/>
      <c r="X269" s="75"/>
      <c r="Y269" s="75"/>
    </row>
    <row r="270" spans="1:25" s="73" customFormat="1" ht="20.25" hidden="1" customHeight="1" x14ac:dyDescent="0.45">
      <c r="A270" s="78"/>
      <c r="B270" s="86" t="s">
        <v>991</v>
      </c>
      <c r="C270" s="74" t="s">
        <v>992</v>
      </c>
      <c r="D270" s="74" t="s">
        <v>993</v>
      </c>
      <c r="E270" s="75">
        <v>1</v>
      </c>
      <c r="F270" s="74" t="s">
        <v>794</v>
      </c>
      <c r="G270" s="74" t="s">
        <v>795</v>
      </c>
      <c r="H270" s="74" t="s">
        <v>785</v>
      </c>
      <c r="I270" s="75">
        <v>12</v>
      </c>
      <c r="J270" s="60" t="s">
        <v>685</v>
      </c>
      <c r="K270" s="61">
        <v>4</v>
      </c>
      <c r="L270" s="61"/>
      <c r="M270" s="62" t="s">
        <v>796</v>
      </c>
      <c r="N270" s="62"/>
      <c r="O270" s="61"/>
      <c r="P270" s="60"/>
      <c r="Q270" s="71"/>
      <c r="R270" s="71"/>
      <c r="S270" s="71"/>
      <c r="T270" s="71"/>
      <c r="U270" s="71"/>
      <c r="V270" s="71"/>
      <c r="W270" s="71"/>
      <c r="X270" s="71"/>
      <c r="Y270" s="71"/>
    </row>
    <row r="271" spans="1:25" s="73" customFormat="1" ht="20.25" hidden="1" customHeight="1" x14ac:dyDescent="0.45">
      <c r="A271" s="78"/>
      <c r="B271" s="86" t="s">
        <v>991</v>
      </c>
      <c r="C271" s="74" t="s">
        <v>992</v>
      </c>
      <c r="D271" s="74" t="s">
        <v>993</v>
      </c>
      <c r="E271" s="75">
        <v>1</v>
      </c>
      <c r="F271" s="74" t="s">
        <v>803</v>
      </c>
      <c r="G271" s="74" t="s">
        <v>804</v>
      </c>
      <c r="H271" s="74" t="s">
        <v>892</v>
      </c>
      <c r="I271" s="75">
        <v>13</v>
      </c>
      <c r="J271" s="60" t="s">
        <v>748</v>
      </c>
      <c r="K271" s="61">
        <v>15</v>
      </c>
      <c r="L271" s="61">
        <v>6</v>
      </c>
      <c r="M271" s="62" t="s">
        <v>805</v>
      </c>
      <c r="N271" s="62" t="s">
        <v>806</v>
      </c>
      <c r="O271" s="61"/>
      <c r="P271" s="60"/>
      <c r="Q271" s="75"/>
      <c r="R271" s="75"/>
      <c r="S271" s="75"/>
      <c r="T271" s="75"/>
      <c r="U271" s="75"/>
      <c r="V271" s="75"/>
      <c r="W271" s="75"/>
      <c r="X271" s="75"/>
      <c r="Y271" s="75"/>
    </row>
    <row r="272" spans="1:25" s="73" customFormat="1" ht="20.25" hidden="1" customHeight="1" x14ac:dyDescent="0.45">
      <c r="A272" s="78"/>
      <c r="B272" s="86" t="s">
        <v>991</v>
      </c>
      <c r="C272" s="74" t="s">
        <v>992</v>
      </c>
      <c r="D272" s="74" t="s">
        <v>993</v>
      </c>
      <c r="E272" s="75">
        <v>1</v>
      </c>
      <c r="F272" s="74" t="s">
        <v>807</v>
      </c>
      <c r="G272" s="74" t="s">
        <v>808</v>
      </c>
      <c r="H272" s="74" t="s">
        <v>892</v>
      </c>
      <c r="I272" s="75">
        <v>14</v>
      </c>
      <c r="J272" s="60" t="s">
        <v>748</v>
      </c>
      <c r="K272" s="61">
        <v>15</v>
      </c>
      <c r="L272" s="61">
        <v>6</v>
      </c>
      <c r="M272" s="62" t="s">
        <v>904</v>
      </c>
      <c r="N272" s="62" t="s">
        <v>998</v>
      </c>
      <c r="O272" s="61"/>
      <c r="P272" s="60"/>
      <c r="Q272" s="75"/>
      <c r="R272" s="75"/>
      <c r="S272" s="75"/>
      <c r="T272" s="75"/>
      <c r="U272" s="75"/>
      <c r="V272" s="75"/>
      <c r="W272" s="75"/>
      <c r="X272" s="75"/>
      <c r="Y272" s="75"/>
    </row>
    <row r="273" spans="1:25" s="73" customFormat="1" ht="20.25" hidden="1" customHeight="1" x14ac:dyDescent="0.45">
      <c r="A273" s="78"/>
      <c r="B273" s="86" t="s">
        <v>991</v>
      </c>
      <c r="C273" s="74" t="s">
        <v>992</v>
      </c>
      <c r="D273" s="74" t="s">
        <v>993</v>
      </c>
      <c r="E273" s="75">
        <v>1</v>
      </c>
      <c r="F273" s="74" t="s">
        <v>857</v>
      </c>
      <c r="G273" s="74" t="s">
        <v>858</v>
      </c>
      <c r="H273" s="74" t="s">
        <v>891</v>
      </c>
      <c r="I273" s="75">
        <v>15</v>
      </c>
      <c r="J273" s="60" t="s">
        <v>685</v>
      </c>
      <c r="K273" s="61">
        <v>20</v>
      </c>
      <c r="L273" s="61"/>
      <c r="M273" s="62" t="s">
        <v>800</v>
      </c>
      <c r="N273" s="62" t="s">
        <v>801</v>
      </c>
      <c r="O273" s="61"/>
      <c r="P273" s="60" t="s">
        <v>802</v>
      </c>
      <c r="Q273" s="75"/>
      <c r="R273" s="75"/>
      <c r="S273" s="75"/>
      <c r="T273" s="75"/>
      <c r="U273" s="75"/>
      <c r="V273" s="75"/>
      <c r="W273" s="75"/>
      <c r="X273" s="75"/>
      <c r="Y273" s="75"/>
    </row>
    <row r="274" spans="1:25" s="73" customFormat="1" ht="20.25" hidden="1" customHeight="1" x14ac:dyDescent="0.45">
      <c r="A274" s="78"/>
      <c r="B274" s="86" t="s">
        <v>991</v>
      </c>
      <c r="C274" s="74" t="s">
        <v>992</v>
      </c>
      <c r="D274" s="74" t="s">
        <v>993</v>
      </c>
      <c r="E274" s="75">
        <v>1</v>
      </c>
      <c r="F274" s="74" t="s">
        <v>811</v>
      </c>
      <c r="G274" s="74" t="s">
        <v>812</v>
      </c>
      <c r="H274" s="74" t="s">
        <v>892</v>
      </c>
      <c r="I274" s="75">
        <v>16</v>
      </c>
      <c r="J274" s="60" t="s">
        <v>748</v>
      </c>
      <c r="K274" s="61">
        <v>23</v>
      </c>
      <c r="L274" s="61">
        <v>6</v>
      </c>
      <c r="M274" s="62" t="s">
        <v>999</v>
      </c>
      <c r="N274" s="62" t="s">
        <v>817</v>
      </c>
      <c r="O274" s="61"/>
      <c r="P274" s="60"/>
      <c r="Q274" s="75"/>
      <c r="R274" s="75"/>
      <c r="S274" s="75"/>
      <c r="T274" s="75"/>
      <c r="U274" s="75"/>
      <c r="V274" s="75"/>
      <c r="W274" s="75"/>
      <c r="X274" s="75"/>
      <c r="Y274" s="75"/>
    </row>
    <row r="275" spans="1:25" s="73" customFormat="1" ht="20.25" hidden="1" customHeight="1" x14ac:dyDescent="0.45">
      <c r="A275" s="78"/>
      <c r="B275" s="86" t="s">
        <v>991</v>
      </c>
      <c r="C275" s="74" t="s">
        <v>992</v>
      </c>
      <c r="D275" s="74" t="s">
        <v>993</v>
      </c>
      <c r="E275" s="75">
        <v>1</v>
      </c>
      <c r="F275" s="74" t="s">
        <v>732</v>
      </c>
      <c r="G275" s="74" t="s">
        <v>732</v>
      </c>
      <c r="H275" s="74" t="s">
        <v>733</v>
      </c>
      <c r="I275" s="75">
        <v>17</v>
      </c>
      <c r="J275" s="60" t="s">
        <v>685</v>
      </c>
      <c r="K275" s="61">
        <v>10</v>
      </c>
      <c r="L275" s="61"/>
      <c r="M275" s="62" t="s">
        <v>734</v>
      </c>
      <c r="N275" s="62" t="s">
        <v>765</v>
      </c>
      <c r="O275" s="61" t="s">
        <v>688</v>
      </c>
      <c r="P275" s="60"/>
      <c r="Q275" s="75"/>
      <c r="R275" s="75"/>
      <c r="S275" s="75"/>
      <c r="T275" s="75"/>
      <c r="U275" s="75"/>
      <c r="V275" s="75"/>
      <c r="W275" s="75"/>
      <c r="X275" s="75"/>
      <c r="Y275" s="75"/>
    </row>
    <row r="276" spans="1:25" s="73" customFormat="1" ht="20.25" hidden="1" customHeight="1" x14ac:dyDescent="0.45">
      <c r="A276" s="78"/>
      <c r="B276" s="86" t="s">
        <v>991</v>
      </c>
      <c r="C276" s="74" t="s">
        <v>992</v>
      </c>
      <c r="D276" s="74" t="s">
        <v>993</v>
      </c>
      <c r="E276" s="75">
        <v>1</v>
      </c>
      <c r="F276" s="74" t="s">
        <v>736</v>
      </c>
      <c r="G276" s="74" t="s">
        <v>736</v>
      </c>
      <c r="H276" s="74" t="s">
        <v>717</v>
      </c>
      <c r="I276" s="75">
        <v>18</v>
      </c>
      <c r="J276" s="60" t="s">
        <v>737</v>
      </c>
      <c r="K276" s="61"/>
      <c r="L276" s="61"/>
      <c r="M276" s="62" t="s">
        <v>738</v>
      </c>
      <c r="N276" s="62" t="s">
        <v>739</v>
      </c>
      <c r="O276" s="61"/>
      <c r="P276" s="60"/>
      <c r="Q276" s="75"/>
      <c r="R276" s="75"/>
      <c r="S276" s="75"/>
      <c r="T276" s="75"/>
      <c r="U276" s="75"/>
      <c r="V276" s="75"/>
      <c r="W276" s="75"/>
      <c r="X276" s="75"/>
      <c r="Y276" s="75"/>
    </row>
    <row r="277" spans="1:25" ht="20.25" hidden="1" customHeight="1" x14ac:dyDescent="0.45">
      <c r="B277" s="86" t="s">
        <v>991</v>
      </c>
      <c r="C277" s="74" t="s">
        <v>1000</v>
      </c>
      <c r="D277" s="74" t="s">
        <v>1001</v>
      </c>
      <c r="E277" s="75">
        <v>2</v>
      </c>
      <c r="F277" s="74" t="s">
        <v>682</v>
      </c>
      <c r="G277" s="74" t="s">
        <v>683</v>
      </c>
      <c r="H277" s="74" t="s">
        <v>684</v>
      </c>
      <c r="I277" s="75">
        <v>1</v>
      </c>
      <c r="J277" s="60" t="s">
        <v>685</v>
      </c>
      <c r="K277" s="61">
        <v>20</v>
      </c>
      <c r="L277" s="61"/>
      <c r="M277" s="62" t="s">
        <v>686</v>
      </c>
      <c r="N277" s="62" t="s">
        <v>687</v>
      </c>
      <c r="O277" s="61" t="s">
        <v>688</v>
      </c>
      <c r="P277" s="60"/>
      <c r="Q277" s="75"/>
      <c r="R277" s="75"/>
      <c r="S277" s="75"/>
      <c r="T277" s="75"/>
      <c r="U277" s="75"/>
      <c r="V277" s="75"/>
      <c r="W277" s="75"/>
      <c r="X277" s="75"/>
      <c r="Y277" s="75"/>
    </row>
    <row r="278" spans="1:25" ht="20.25" hidden="1" customHeight="1" x14ac:dyDescent="0.45">
      <c r="B278" s="86" t="s">
        <v>991</v>
      </c>
      <c r="C278" s="74" t="s">
        <v>1000</v>
      </c>
      <c r="D278" s="74" t="s">
        <v>1001</v>
      </c>
      <c r="E278" s="75">
        <v>2</v>
      </c>
      <c r="F278" s="74" t="s">
        <v>689</v>
      </c>
      <c r="G278" s="74" t="s">
        <v>690</v>
      </c>
      <c r="H278" s="74" t="s">
        <v>684</v>
      </c>
      <c r="I278" s="75">
        <v>2</v>
      </c>
      <c r="J278" s="60" t="s">
        <v>685</v>
      </c>
      <c r="K278" s="61">
        <v>30</v>
      </c>
      <c r="L278" s="61"/>
      <c r="M278" s="62" t="s">
        <v>691</v>
      </c>
      <c r="N278" s="62" t="s">
        <v>692</v>
      </c>
      <c r="O278" s="61" t="s">
        <v>688</v>
      </c>
      <c r="P278" s="60"/>
      <c r="Q278" s="75"/>
      <c r="R278" s="75"/>
      <c r="S278" s="75"/>
      <c r="T278" s="75"/>
      <c r="U278" s="75"/>
      <c r="V278" s="75"/>
      <c r="W278" s="75"/>
      <c r="X278" s="75"/>
      <c r="Y278" s="75"/>
    </row>
    <row r="279" spans="1:25" ht="20.25" hidden="1" customHeight="1" x14ac:dyDescent="0.45">
      <c r="B279" s="86" t="s">
        <v>991</v>
      </c>
      <c r="C279" s="74" t="s">
        <v>1000</v>
      </c>
      <c r="D279" s="74" t="s">
        <v>1001</v>
      </c>
      <c r="E279" s="75">
        <v>2</v>
      </c>
      <c r="F279" s="74" t="s">
        <v>821</v>
      </c>
      <c r="G279" s="74" t="s">
        <v>822</v>
      </c>
      <c r="H279" s="74" t="s">
        <v>878</v>
      </c>
      <c r="I279" s="75">
        <v>3</v>
      </c>
      <c r="J279" s="60" t="s">
        <v>685</v>
      </c>
      <c r="K279" s="61">
        <v>20</v>
      </c>
      <c r="L279" s="61"/>
      <c r="M279" s="62" t="s">
        <v>823</v>
      </c>
      <c r="N279" s="62" t="s">
        <v>824</v>
      </c>
      <c r="O279" s="61" t="s">
        <v>688</v>
      </c>
      <c r="P279" s="60" t="s">
        <v>825</v>
      </c>
      <c r="Q279" s="75"/>
      <c r="R279" s="75"/>
      <c r="S279" s="75"/>
      <c r="T279" s="75"/>
      <c r="U279" s="75"/>
      <c r="V279" s="75"/>
      <c r="W279" s="75"/>
      <c r="X279" s="75"/>
      <c r="Y279" s="75"/>
    </row>
    <row r="280" spans="1:25" ht="20.25" hidden="1" customHeight="1" x14ac:dyDescent="0.45">
      <c r="B280" s="86" t="s">
        <v>991</v>
      </c>
      <c r="C280" s="74" t="s">
        <v>1000</v>
      </c>
      <c r="D280" s="74" t="s">
        <v>1001</v>
      </c>
      <c r="E280" s="75">
        <v>2</v>
      </c>
      <c r="F280" s="74" t="s">
        <v>826</v>
      </c>
      <c r="G280" s="74" t="s">
        <v>827</v>
      </c>
      <c r="H280" s="74" t="s">
        <v>879</v>
      </c>
      <c r="I280" s="75">
        <v>4</v>
      </c>
      <c r="J280" s="60" t="s">
        <v>737</v>
      </c>
      <c r="K280" s="61"/>
      <c r="L280" s="61"/>
      <c r="M280" s="62" t="s">
        <v>828</v>
      </c>
      <c r="N280" s="62" t="s">
        <v>829</v>
      </c>
      <c r="O280" s="61" t="s">
        <v>688</v>
      </c>
      <c r="P280" s="60"/>
      <c r="Q280" s="75"/>
      <c r="R280" s="75"/>
      <c r="S280" s="75"/>
      <c r="T280" s="75"/>
      <c r="U280" s="75"/>
      <c r="V280" s="75"/>
      <c r="W280" s="75"/>
      <c r="X280" s="75"/>
      <c r="Y280" s="75"/>
    </row>
    <row r="281" spans="1:25" ht="20.25" hidden="1" customHeight="1" x14ac:dyDescent="0.45">
      <c r="B281" s="86" t="s">
        <v>991</v>
      </c>
      <c r="C281" s="74" t="s">
        <v>1000</v>
      </c>
      <c r="D281" s="74" t="s">
        <v>1001</v>
      </c>
      <c r="E281" s="75">
        <v>2</v>
      </c>
      <c r="F281" s="74" t="s">
        <v>830</v>
      </c>
      <c r="G281" s="74" t="s">
        <v>831</v>
      </c>
      <c r="H281" s="74" t="s">
        <v>891</v>
      </c>
      <c r="I281" s="75">
        <v>5</v>
      </c>
      <c r="J281" s="60" t="s">
        <v>685</v>
      </c>
      <c r="K281" s="61">
        <v>20</v>
      </c>
      <c r="L281" s="61"/>
      <c r="M281" s="62" t="s">
        <v>800</v>
      </c>
      <c r="N281" s="62" t="s">
        <v>801</v>
      </c>
      <c r="O281" s="61"/>
      <c r="P281" s="60" t="s">
        <v>802</v>
      </c>
      <c r="Q281" s="75"/>
      <c r="R281" s="75"/>
      <c r="S281" s="75"/>
      <c r="T281" s="75"/>
      <c r="U281" s="75"/>
      <c r="V281" s="75"/>
      <c r="W281" s="75"/>
      <c r="X281" s="75"/>
      <c r="Y281" s="75"/>
    </row>
    <row r="282" spans="1:25" ht="20.25" hidden="1" customHeight="1" x14ac:dyDescent="0.45">
      <c r="B282" s="86" t="s">
        <v>991</v>
      </c>
      <c r="C282" s="74" t="s">
        <v>1000</v>
      </c>
      <c r="D282" s="74" t="s">
        <v>1001</v>
      </c>
      <c r="E282" s="75">
        <v>2</v>
      </c>
      <c r="F282" s="74" t="s">
        <v>832</v>
      </c>
      <c r="G282" s="74" t="s">
        <v>833</v>
      </c>
      <c r="H282" s="74" t="s">
        <v>892</v>
      </c>
      <c r="I282" s="75">
        <v>6</v>
      </c>
      <c r="J282" s="60" t="s">
        <v>748</v>
      </c>
      <c r="K282" s="61">
        <v>23</v>
      </c>
      <c r="L282" s="61">
        <v>6</v>
      </c>
      <c r="M282" s="62" t="s">
        <v>834</v>
      </c>
      <c r="N282" s="62" t="s">
        <v>835</v>
      </c>
      <c r="O282" s="61"/>
      <c r="P282" s="60"/>
      <c r="Q282" s="75"/>
      <c r="R282" s="75"/>
      <c r="S282" s="75"/>
      <c r="T282" s="75"/>
      <c r="U282" s="75"/>
      <c r="V282" s="75"/>
      <c r="W282" s="75"/>
      <c r="X282" s="75"/>
      <c r="Y282" s="75"/>
    </row>
    <row r="283" spans="1:25" ht="20.25" hidden="1" customHeight="1" x14ac:dyDescent="0.45">
      <c r="B283" s="86" t="s">
        <v>991</v>
      </c>
      <c r="C283" s="74" t="s">
        <v>1000</v>
      </c>
      <c r="D283" s="74" t="s">
        <v>1001</v>
      </c>
      <c r="E283" s="75">
        <v>2</v>
      </c>
      <c r="F283" s="74" t="s">
        <v>732</v>
      </c>
      <c r="G283" s="74" t="s">
        <v>732</v>
      </c>
      <c r="H283" s="74" t="s">
        <v>733</v>
      </c>
      <c r="I283" s="75">
        <v>7</v>
      </c>
      <c r="J283" s="60" t="s">
        <v>685</v>
      </c>
      <c r="K283" s="61">
        <v>10</v>
      </c>
      <c r="L283" s="61"/>
      <c r="M283" s="62" t="s">
        <v>734</v>
      </c>
      <c r="N283" s="62" t="s">
        <v>765</v>
      </c>
      <c r="O283" s="61" t="s">
        <v>688</v>
      </c>
      <c r="P283" s="60"/>
      <c r="Q283" s="75"/>
      <c r="R283" s="75"/>
      <c r="S283" s="75"/>
      <c r="T283" s="75"/>
      <c r="U283" s="75"/>
      <c r="V283" s="75"/>
      <c r="W283" s="75"/>
      <c r="X283" s="75"/>
      <c r="Y283" s="75"/>
    </row>
    <row r="284" spans="1:25" ht="20.25" hidden="1" customHeight="1" x14ac:dyDescent="0.45">
      <c r="B284" s="86" t="s">
        <v>991</v>
      </c>
      <c r="C284" s="74" t="s">
        <v>1000</v>
      </c>
      <c r="D284" s="74" t="s">
        <v>1001</v>
      </c>
      <c r="E284" s="75">
        <v>2</v>
      </c>
      <c r="F284" s="74" t="s">
        <v>736</v>
      </c>
      <c r="G284" s="74" t="s">
        <v>736</v>
      </c>
      <c r="H284" s="74" t="s">
        <v>717</v>
      </c>
      <c r="I284" s="75">
        <v>8</v>
      </c>
      <c r="J284" s="60" t="s">
        <v>737</v>
      </c>
      <c r="K284" s="61"/>
      <c r="L284" s="61"/>
      <c r="M284" s="62" t="s">
        <v>738</v>
      </c>
      <c r="N284" s="62" t="s">
        <v>739</v>
      </c>
      <c r="O284" s="61"/>
      <c r="P284" s="60"/>
      <c r="Q284" s="75"/>
      <c r="R284" s="75"/>
      <c r="S284" s="75"/>
      <c r="T284" s="75"/>
      <c r="U284" s="75"/>
      <c r="V284" s="75"/>
      <c r="W284" s="75"/>
      <c r="X284" s="75"/>
      <c r="Y284" s="75"/>
    </row>
    <row r="285" spans="1:25" ht="20.25" hidden="1" customHeight="1" x14ac:dyDescent="0.45">
      <c r="B285" s="86" t="s">
        <v>1002</v>
      </c>
      <c r="C285" s="74" t="s">
        <v>1003</v>
      </c>
      <c r="D285" s="74" t="s">
        <v>1004</v>
      </c>
      <c r="E285" s="75">
        <v>1</v>
      </c>
      <c r="F285" s="74" t="s">
        <v>682</v>
      </c>
      <c r="G285" s="74" t="s">
        <v>683</v>
      </c>
      <c r="H285" s="74" t="s">
        <v>684</v>
      </c>
      <c r="I285" s="75">
        <v>1</v>
      </c>
      <c r="J285" s="60" t="s">
        <v>685</v>
      </c>
      <c r="K285" s="61">
        <v>20</v>
      </c>
      <c r="L285" s="61"/>
      <c r="M285" s="62" t="s">
        <v>686</v>
      </c>
      <c r="N285" s="62" t="s">
        <v>687</v>
      </c>
      <c r="O285" s="61" t="s">
        <v>688</v>
      </c>
      <c r="P285" s="60"/>
      <c r="Q285" s="75"/>
      <c r="R285" s="75"/>
      <c r="S285" s="75"/>
      <c r="T285" s="75"/>
      <c r="U285" s="75"/>
      <c r="V285" s="75"/>
      <c r="W285" s="75"/>
      <c r="X285" s="75"/>
      <c r="Y285" s="75"/>
    </row>
    <row r="286" spans="1:25" ht="20.25" hidden="1" customHeight="1" x14ac:dyDescent="0.45">
      <c r="B286" s="86" t="s">
        <v>1002</v>
      </c>
      <c r="C286" s="74" t="s">
        <v>1003</v>
      </c>
      <c r="D286" s="74" t="s">
        <v>1004</v>
      </c>
      <c r="E286" s="75">
        <v>1</v>
      </c>
      <c r="F286" s="74" t="s">
        <v>689</v>
      </c>
      <c r="G286" s="74" t="s">
        <v>690</v>
      </c>
      <c r="H286" s="74" t="s">
        <v>684</v>
      </c>
      <c r="I286" s="75">
        <v>2</v>
      </c>
      <c r="J286" s="60" t="s">
        <v>685</v>
      </c>
      <c r="K286" s="61">
        <v>30</v>
      </c>
      <c r="L286" s="61"/>
      <c r="M286" s="62" t="s">
        <v>691</v>
      </c>
      <c r="N286" s="62" t="s">
        <v>692</v>
      </c>
      <c r="O286" s="61" t="s">
        <v>688</v>
      </c>
      <c r="P286" s="60"/>
      <c r="Q286" s="75"/>
      <c r="R286" s="75"/>
      <c r="S286" s="75"/>
      <c r="T286" s="75"/>
      <c r="U286" s="75"/>
      <c r="V286" s="75"/>
      <c r="W286" s="75"/>
      <c r="X286" s="75"/>
      <c r="Y286" s="75"/>
    </row>
    <row r="287" spans="1:25" ht="20.25" hidden="1" customHeight="1" x14ac:dyDescent="0.45">
      <c r="B287" s="86" t="s">
        <v>1002</v>
      </c>
      <c r="C287" s="74" t="s">
        <v>1003</v>
      </c>
      <c r="D287" s="74" t="s">
        <v>1004</v>
      </c>
      <c r="E287" s="75">
        <v>1</v>
      </c>
      <c r="F287" s="74" t="s">
        <v>693</v>
      </c>
      <c r="G287" s="74" t="s">
        <v>694</v>
      </c>
      <c r="H287" s="74" t="s">
        <v>695</v>
      </c>
      <c r="I287" s="75">
        <v>3</v>
      </c>
      <c r="J287" s="60" t="s">
        <v>685</v>
      </c>
      <c r="K287" s="61">
        <v>20</v>
      </c>
      <c r="L287" s="61"/>
      <c r="M287" s="62" t="s">
        <v>696</v>
      </c>
      <c r="N287" s="62" t="s">
        <v>697</v>
      </c>
      <c r="O287" s="61"/>
      <c r="P287" s="60" t="s">
        <v>698</v>
      </c>
      <c r="Q287" s="75"/>
      <c r="R287" s="75"/>
      <c r="S287" s="75"/>
      <c r="T287" s="75"/>
      <c r="U287" s="75"/>
      <c r="V287" s="75"/>
      <c r="W287" s="75"/>
      <c r="X287" s="75"/>
      <c r="Y287" s="75"/>
    </row>
    <row r="288" spans="1:25" ht="20.25" hidden="1" customHeight="1" x14ac:dyDescent="0.45">
      <c r="B288" s="86" t="s">
        <v>1002</v>
      </c>
      <c r="C288" s="74" t="s">
        <v>1003</v>
      </c>
      <c r="D288" s="74" t="s">
        <v>1004</v>
      </c>
      <c r="E288" s="75">
        <v>1</v>
      </c>
      <c r="F288" s="74" t="s">
        <v>699</v>
      </c>
      <c r="G288" s="74" t="s">
        <v>700</v>
      </c>
      <c r="H288" s="74" t="s">
        <v>695</v>
      </c>
      <c r="I288" s="75">
        <v>4</v>
      </c>
      <c r="J288" s="60" t="s">
        <v>685</v>
      </c>
      <c r="K288" s="61">
        <v>20</v>
      </c>
      <c r="L288" s="61"/>
      <c r="M288" s="62" t="s">
        <v>701</v>
      </c>
      <c r="N288" s="62" t="s">
        <v>702</v>
      </c>
      <c r="O288" s="61"/>
      <c r="P288" s="60" t="s">
        <v>703</v>
      </c>
      <c r="Q288" s="75"/>
      <c r="R288" s="75"/>
      <c r="S288" s="75"/>
      <c r="T288" s="75"/>
      <c r="U288" s="75"/>
      <c r="V288" s="75"/>
      <c r="W288" s="75"/>
      <c r="X288" s="75"/>
      <c r="Y288" s="75"/>
    </row>
    <row r="289" spans="2:25" ht="20.25" hidden="1" customHeight="1" x14ac:dyDescent="0.45">
      <c r="B289" s="86" t="s">
        <v>1002</v>
      </c>
      <c r="C289" s="74" t="s">
        <v>1003</v>
      </c>
      <c r="D289" s="74" t="s">
        <v>1004</v>
      </c>
      <c r="E289" s="75">
        <v>1</v>
      </c>
      <c r="F289" s="74" t="s">
        <v>704</v>
      </c>
      <c r="G289" s="74" t="s">
        <v>705</v>
      </c>
      <c r="H289" s="74" t="s">
        <v>695</v>
      </c>
      <c r="I289" s="75">
        <v>5</v>
      </c>
      <c r="J289" s="60" t="s">
        <v>685</v>
      </c>
      <c r="K289" s="61">
        <v>20</v>
      </c>
      <c r="L289" s="61"/>
      <c r="M289" s="62" t="s">
        <v>706</v>
      </c>
      <c r="N289" s="62" t="s">
        <v>707</v>
      </c>
      <c r="O289" s="61"/>
      <c r="P289" s="60" t="s">
        <v>708</v>
      </c>
      <c r="Q289" s="75"/>
      <c r="R289" s="75"/>
      <c r="S289" s="75"/>
      <c r="T289" s="75"/>
      <c r="U289" s="75"/>
      <c r="V289" s="75"/>
      <c r="W289" s="75"/>
      <c r="X289" s="75"/>
      <c r="Y289" s="75"/>
    </row>
    <row r="290" spans="2:25" ht="20.25" hidden="1" customHeight="1" x14ac:dyDescent="0.45">
      <c r="B290" s="86" t="s">
        <v>1002</v>
      </c>
      <c r="C290" s="74" t="s">
        <v>1003</v>
      </c>
      <c r="D290" s="74" t="s">
        <v>1004</v>
      </c>
      <c r="E290" s="75">
        <v>1</v>
      </c>
      <c r="F290" s="74" t="s">
        <v>709</v>
      </c>
      <c r="G290" s="74" t="s">
        <v>710</v>
      </c>
      <c r="H290" s="74" t="s">
        <v>711</v>
      </c>
      <c r="I290" s="75">
        <v>6</v>
      </c>
      <c r="J290" s="60" t="s">
        <v>712</v>
      </c>
      <c r="K290" s="61"/>
      <c r="L290" s="61"/>
      <c r="M290" s="62" t="s">
        <v>865</v>
      </c>
      <c r="N290" s="62" t="s">
        <v>714</v>
      </c>
      <c r="O290" s="61"/>
      <c r="P290" s="60"/>
      <c r="Q290" s="75"/>
      <c r="R290" s="75"/>
      <c r="S290" s="75"/>
      <c r="T290" s="75"/>
      <c r="U290" s="75"/>
      <c r="V290" s="75"/>
      <c r="W290" s="75"/>
      <c r="X290" s="75"/>
      <c r="Y290" s="75"/>
    </row>
    <row r="291" spans="2:25" ht="20.25" hidden="1" customHeight="1" x14ac:dyDescent="0.45">
      <c r="B291" s="86" t="s">
        <v>1002</v>
      </c>
      <c r="C291" s="74" t="s">
        <v>1003</v>
      </c>
      <c r="D291" s="74" t="s">
        <v>1004</v>
      </c>
      <c r="E291" s="75">
        <v>1</v>
      </c>
      <c r="F291" s="74" t="s">
        <v>771</v>
      </c>
      <c r="G291" s="74" t="s">
        <v>772</v>
      </c>
      <c r="H291" s="74" t="s">
        <v>711</v>
      </c>
      <c r="I291" s="75">
        <v>7</v>
      </c>
      <c r="J291" s="60" t="s">
        <v>712</v>
      </c>
      <c r="K291" s="61"/>
      <c r="L291" s="61"/>
      <c r="M291" s="62" t="s">
        <v>1005</v>
      </c>
      <c r="N291" s="62" t="s">
        <v>774</v>
      </c>
      <c r="O291" s="61"/>
      <c r="P291" s="60"/>
      <c r="Q291" s="75"/>
      <c r="R291" s="75"/>
      <c r="S291" s="75"/>
      <c r="T291" s="75"/>
      <c r="U291" s="75"/>
      <c r="V291" s="75"/>
      <c r="W291" s="75"/>
      <c r="X291" s="75"/>
      <c r="Y291" s="75"/>
    </row>
    <row r="292" spans="2:25" ht="20.25" hidden="1" customHeight="1" x14ac:dyDescent="0.45">
      <c r="B292" s="86" t="s">
        <v>1002</v>
      </c>
      <c r="C292" s="74" t="s">
        <v>1003</v>
      </c>
      <c r="D292" s="74" t="s">
        <v>1004</v>
      </c>
      <c r="E292" s="75">
        <v>1</v>
      </c>
      <c r="F292" s="74" t="s">
        <v>909</v>
      </c>
      <c r="G292" s="74" t="s">
        <v>910</v>
      </c>
      <c r="H292" s="74" t="s">
        <v>777</v>
      </c>
      <c r="I292" s="75">
        <v>8</v>
      </c>
      <c r="J292" s="60" t="s">
        <v>685</v>
      </c>
      <c r="K292" s="61">
        <v>20</v>
      </c>
      <c r="L292" s="61"/>
      <c r="M292" s="62" t="s">
        <v>911</v>
      </c>
      <c r="N292" s="62"/>
      <c r="O292" s="61"/>
      <c r="P292" s="60"/>
      <c r="Q292" s="71"/>
      <c r="R292" s="71"/>
      <c r="S292" s="71"/>
      <c r="T292" s="71"/>
      <c r="U292" s="71"/>
      <c r="V292" s="71"/>
      <c r="W292" s="71"/>
      <c r="X292" s="71"/>
      <c r="Y292" s="71"/>
    </row>
    <row r="293" spans="2:25" ht="20.25" hidden="1" customHeight="1" x14ac:dyDescent="0.45">
      <c r="B293" s="86" t="s">
        <v>1002</v>
      </c>
      <c r="C293" s="74" t="s">
        <v>1003</v>
      </c>
      <c r="D293" s="74" t="s">
        <v>1004</v>
      </c>
      <c r="E293" s="75">
        <v>1</v>
      </c>
      <c r="F293" s="74" t="s">
        <v>912</v>
      </c>
      <c r="G293" s="74" t="s">
        <v>848</v>
      </c>
      <c r="H293" s="74" t="s">
        <v>777</v>
      </c>
      <c r="I293" s="75">
        <v>9</v>
      </c>
      <c r="J293" s="60" t="s">
        <v>685</v>
      </c>
      <c r="K293" s="61">
        <v>30</v>
      </c>
      <c r="L293" s="61"/>
      <c r="M293" s="62" t="s">
        <v>781</v>
      </c>
      <c r="N293" s="62" t="s">
        <v>782</v>
      </c>
      <c r="O293" s="61"/>
      <c r="P293" s="60"/>
      <c r="Q293" s="75"/>
      <c r="R293" s="75"/>
      <c r="S293" s="75"/>
      <c r="T293" s="75"/>
      <c r="U293" s="75"/>
      <c r="V293" s="75"/>
      <c r="W293" s="75"/>
      <c r="X293" s="75"/>
      <c r="Y293" s="75"/>
    </row>
    <row r="294" spans="2:25" ht="20.25" hidden="1" customHeight="1" x14ac:dyDescent="0.45">
      <c r="B294" s="86" t="s">
        <v>1002</v>
      </c>
      <c r="C294" s="74" t="s">
        <v>1003</v>
      </c>
      <c r="D294" s="74" t="s">
        <v>1004</v>
      </c>
      <c r="E294" s="75">
        <v>1</v>
      </c>
      <c r="F294" s="74" t="s">
        <v>1006</v>
      </c>
      <c r="G294" s="74" t="s">
        <v>1007</v>
      </c>
      <c r="H294" s="74" t="s">
        <v>785</v>
      </c>
      <c r="I294" s="75">
        <v>10</v>
      </c>
      <c r="J294" s="60" t="s">
        <v>685</v>
      </c>
      <c r="K294" s="61">
        <v>20</v>
      </c>
      <c r="L294" s="61"/>
      <c r="M294" s="62" t="s">
        <v>786</v>
      </c>
      <c r="N294" s="62" t="s">
        <v>787</v>
      </c>
      <c r="O294" s="61"/>
      <c r="P294" s="76" t="s">
        <v>1008</v>
      </c>
      <c r="Q294" s="75"/>
      <c r="R294" s="75"/>
      <c r="S294" s="75"/>
      <c r="T294" s="75"/>
      <c r="U294" s="75"/>
      <c r="V294" s="75"/>
      <c r="W294" s="75"/>
      <c r="X294" s="75"/>
      <c r="Y294" s="75"/>
    </row>
    <row r="295" spans="2:25" ht="20.25" hidden="1" customHeight="1" x14ac:dyDescent="0.45">
      <c r="B295" s="86" t="s">
        <v>1002</v>
      </c>
      <c r="C295" s="74" t="s">
        <v>1003</v>
      </c>
      <c r="D295" s="74" t="s">
        <v>1004</v>
      </c>
      <c r="E295" s="75">
        <v>1</v>
      </c>
      <c r="F295" s="74" t="s">
        <v>789</v>
      </c>
      <c r="G295" s="74" t="s">
        <v>790</v>
      </c>
      <c r="H295" s="74" t="s">
        <v>785</v>
      </c>
      <c r="I295" s="75">
        <v>11</v>
      </c>
      <c r="J295" s="60" t="s">
        <v>748</v>
      </c>
      <c r="K295" s="61">
        <v>20</v>
      </c>
      <c r="L295" s="61">
        <v>0</v>
      </c>
      <c r="M295" s="62" t="s">
        <v>791</v>
      </c>
      <c r="N295" s="62" t="s">
        <v>792</v>
      </c>
      <c r="O295" s="61"/>
      <c r="P295" s="60" t="s">
        <v>793</v>
      </c>
      <c r="Q295" s="75"/>
      <c r="R295" s="75"/>
      <c r="S295" s="75"/>
      <c r="T295" s="75"/>
      <c r="U295" s="75"/>
      <c r="V295" s="75"/>
      <c r="W295" s="75"/>
      <c r="X295" s="75"/>
      <c r="Y295" s="75"/>
    </row>
    <row r="296" spans="2:25" ht="20.25" hidden="1" customHeight="1" x14ac:dyDescent="0.45">
      <c r="B296" s="86" t="s">
        <v>1002</v>
      </c>
      <c r="C296" s="74" t="s">
        <v>1003</v>
      </c>
      <c r="D296" s="74" t="s">
        <v>1004</v>
      </c>
      <c r="E296" s="75">
        <v>1</v>
      </c>
      <c r="F296" s="74" t="s">
        <v>794</v>
      </c>
      <c r="G296" s="74" t="s">
        <v>795</v>
      </c>
      <c r="H296" s="74" t="s">
        <v>785</v>
      </c>
      <c r="I296" s="75">
        <v>12</v>
      </c>
      <c r="J296" s="60" t="s">
        <v>685</v>
      </c>
      <c r="K296" s="61">
        <v>4</v>
      </c>
      <c r="L296" s="61"/>
      <c r="M296" s="62" t="s">
        <v>796</v>
      </c>
      <c r="N296" s="62"/>
      <c r="O296" s="61"/>
      <c r="P296" s="60"/>
      <c r="Q296" s="71"/>
      <c r="R296" s="71"/>
      <c r="S296" s="71"/>
      <c r="T296" s="71"/>
      <c r="U296" s="71"/>
      <c r="V296" s="71"/>
      <c r="W296" s="71"/>
      <c r="X296" s="71"/>
      <c r="Y296" s="71"/>
    </row>
    <row r="297" spans="2:25" ht="20.25" hidden="1" customHeight="1" x14ac:dyDescent="0.45">
      <c r="B297" s="86" t="s">
        <v>1002</v>
      </c>
      <c r="C297" s="74" t="s">
        <v>1003</v>
      </c>
      <c r="D297" s="74" t="s">
        <v>1004</v>
      </c>
      <c r="E297" s="75">
        <v>1</v>
      </c>
      <c r="F297" s="74" t="s">
        <v>857</v>
      </c>
      <c r="G297" s="74" t="s">
        <v>858</v>
      </c>
      <c r="H297" s="74" t="s">
        <v>891</v>
      </c>
      <c r="I297" s="75">
        <v>13</v>
      </c>
      <c r="J297" s="60" t="s">
        <v>685</v>
      </c>
      <c r="K297" s="61">
        <v>20</v>
      </c>
      <c r="L297" s="61"/>
      <c r="M297" s="62" t="s">
        <v>800</v>
      </c>
      <c r="N297" s="62" t="s">
        <v>801</v>
      </c>
      <c r="O297" s="61"/>
      <c r="P297" s="60" t="s">
        <v>802</v>
      </c>
      <c r="Q297" s="75"/>
      <c r="R297" s="75"/>
      <c r="S297" s="75"/>
      <c r="T297" s="75"/>
      <c r="U297" s="75"/>
      <c r="V297" s="75"/>
      <c r="W297" s="75"/>
      <c r="X297" s="75"/>
      <c r="Y297" s="75"/>
    </row>
    <row r="298" spans="2:25" ht="20.25" hidden="1" customHeight="1" x14ac:dyDescent="0.45">
      <c r="B298" s="92" t="s">
        <v>1002</v>
      </c>
      <c r="C298" s="93" t="s">
        <v>1003</v>
      </c>
      <c r="D298" s="93" t="s">
        <v>1004</v>
      </c>
      <c r="E298" s="94">
        <v>1</v>
      </c>
      <c r="F298" s="93" t="s">
        <v>803</v>
      </c>
      <c r="G298" s="93" t="s">
        <v>804</v>
      </c>
      <c r="H298" s="93" t="s">
        <v>892</v>
      </c>
      <c r="I298" s="94">
        <v>14</v>
      </c>
      <c r="J298" s="95" t="s">
        <v>748</v>
      </c>
      <c r="K298" s="96">
        <v>15</v>
      </c>
      <c r="L298" s="96">
        <v>6</v>
      </c>
      <c r="M298" s="97" t="s">
        <v>805</v>
      </c>
      <c r="N298" s="62" t="s">
        <v>806</v>
      </c>
      <c r="O298" s="61"/>
      <c r="P298" s="60"/>
      <c r="Q298" s="75"/>
      <c r="R298" s="75"/>
      <c r="S298" s="75"/>
      <c r="T298" s="75"/>
      <c r="U298" s="75"/>
      <c r="V298" s="75"/>
      <c r="W298" s="75"/>
      <c r="X298" s="75"/>
      <c r="Y298" s="75"/>
    </row>
    <row r="299" spans="2:25" ht="20.25" hidden="1" customHeight="1" x14ac:dyDescent="0.45">
      <c r="B299" s="92" t="s">
        <v>1002</v>
      </c>
      <c r="C299" s="93" t="s">
        <v>1003</v>
      </c>
      <c r="D299" s="93" t="s">
        <v>1004</v>
      </c>
      <c r="E299" s="94">
        <v>1</v>
      </c>
      <c r="F299" s="93" t="s">
        <v>807</v>
      </c>
      <c r="G299" s="93" t="s">
        <v>808</v>
      </c>
      <c r="H299" s="93" t="s">
        <v>892</v>
      </c>
      <c r="I299" s="94">
        <v>15</v>
      </c>
      <c r="J299" s="95" t="s">
        <v>748</v>
      </c>
      <c r="K299" s="96">
        <v>15</v>
      </c>
      <c r="L299" s="96">
        <v>6</v>
      </c>
      <c r="M299" s="97" t="s">
        <v>904</v>
      </c>
      <c r="N299" s="62" t="s">
        <v>810</v>
      </c>
      <c r="O299" s="61"/>
      <c r="P299" s="60"/>
      <c r="Q299" s="75"/>
      <c r="R299" s="75"/>
      <c r="S299" s="75"/>
      <c r="T299" s="75"/>
      <c r="U299" s="75"/>
      <c r="V299" s="75"/>
      <c r="W299" s="75"/>
      <c r="X299" s="75"/>
      <c r="Y299" s="75"/>
    </row>
    <row r="300" spans="2:25" ht="20.25" hidden="1" customHeight="1" x14ac:dyDescent="0.45">
      <c r="B300" s="92" t="s">
        <v>1002</v>
      </c>
      <c r="C300" s="93" t="s">
        <v>1003</v>
      </c>
      <c r="D300" s="93" t="s">
        <v>1004</v>
      </c>
      <c r="E300" s="94">
        <v>1</v>
      </c>
      <c r="F300" s="93" t="s">
        <v>873</v>
      </c>
      <c r="G300" s="93" t="s">
        <v>932</v>
      </c>
      <c r="H300" s="93" t="s">
        <v>892</v>
      </c>
      <c r="I300" s="94">
        <v>16</v>
      </c>
      <c r="J300" s="95" t="s">
        <v>748</v>
      </c>
      <c r="K300" s="96">
        <v>23</v>
      </c>
      <c r="L300" s="96">
        <v>6</v>
      </c>
      <c r="M300" s="97" t="s">
        <v>1009</v>
      </c>
      <c r="N300" s="62" t="s">
        <v>817</v>
      </c>
      <c r="O300" s="61"/>
      <c r="P300" s="60"/>
      <c r="Q300" s="75"/>
      <c r="R300" s="75"/>
      <c r="S300" s="75"/>
      <c r="T300" s="75"/>
      <c r="U300" s="75"/>
      <c r="V300" s="75"/>
      <c r="W300" s="75"/>
      <c r="X300" s="75"/>
      <c r="Y300" s="75"/>
    </row>
    <row r="301" spans="2:25" ht="20.25" hidden="1" customHeight="1" x14ac:dyDescent="0.45">
      <c r="B301" s="92" t="s">
        <v>1002</v>
      </c>
      <c r="C301" s="93" t="s">
        <v>1003</v>
      </c>
      <c r="D301" s="98" t="s">
        <v>1004</v>
      </c>
      <c r="E301" s="94">
        <v>1</v>
      </c>
      <c r="F301" s="99" t="s">
        <v>732</v>
      </c>
      <c r="G301" s="93" t="s">
        <v>732</v>
      </c>
      <c r="H301" s="93" t="s">
        <v>733</v>
      </c>
      <c r="I301" s="94">
        <v>17</v>
      </c>
      <c r="J301" s="95" t="s">
        <v>685</v>
      </c>
      <c r="K301" s="96">
        <v>10</v>
      </c>
      <c r="L301" s="96"/>
      <c r="M301" s="97" t="s">
        <v>734</v>
      </c>
      <c r="N301" s="79" t="s">
        <v>765</v>
      </c>
      <c r="O301" s="61" t="s">
        <v>688</v>
      </c>
      <c r="P301" s="60"/>
      <c r="Q301" s="61"/>
      <c r="R301" s="61"/>
      <c r="S301" s="61"/>
      <c r="T301" s="61"/>
      <c r="U301" s="61"/>
      <c r="V301" s="61"/>
      <c r="W301" s="61"/>
      <c r="X301" s="61"/>
      <c r="Y301" s="61"/>
    </row>
    <row r="302" spans="2:25" ht="20.25" hidden="1" customHeight="1" x14ac:dyDescent="0.45">
      <c r="B302" s="92" t="s">
        <v>1002</v>
      </c>
      <c r="C302" s="93" t="s">
        <v>1003</v>
      </c>
      <c r="D302" s="98" t="s">
        <v>1004</v>
      </c>
      <c r="E302" s="94">
        <v>1</v>
      </c>
      <c r="F302" s="99" t="s">
        <v>736</v>
      </c>
      <c r="G302" s="93" t="s">
        <v>736</v>
      </c>
      <c r="H302" s="93" t="s">
        <v>717</v>
      </c>
      <c r="I302" s="94">
        <v>18</v>
      </c>
      <c r="J302" s="95" t="s">
        <v>737</v>
      </c>
      <c r="K302" s="96"/>
      <c r="L302" s="96"/>
      <c r="M302" s="97" t="s">
        <v>738</v>
      </c>
      <c r="N302" s="79" t="s">
        <v>739</v>
      </c>
      <c r="O302" s="61"/>
      <c r="P302" s="60"/>
      <c r="Q302" s="61"/>
      <c r="R302" s="61"/>
      <c r="S302" s="61"/>
      <c r="T302" s="61"/>
      <c r="U302" s="61"/>
      <c r="V302" s="61"/>
      <c r="W302" s="61"/>
      <c r="X302" s="61"/>
      <c r="Y302" s="61"/>
    </row>
    <row r="303" spans="2:25" ht="20.25" hidden="1" customHeight="1" x14ac:dyDescent="0.45">
      <c r="B303" s="86" t="s">
        <v>1002</v>
      </c>
      <c r="C303" s="74" t="s">
        <v>1010</v>
      </c>
      <c r="D303" s="76" t="s">
        <v>1011</v>
      </c>
      <c r="E303" s="75">
        <v>2</v>
      </c>
      <c r="F303" s="100" t="s">
        <v>682</v>
      </c>
      <c r="G303" s="74" t="s">
        <v>683</v>
      </c>
      <c r="H303" s="74" t="s">
        <v>684</v>
      </c>
      <c r="I303" s="75">
        <v>1</v>
      </c>
      <c r="J303" s="60" t="s">
        <v>685</v>
      </c>
      <c r="K303" s="61">
        <v>20</v>
      </c>
      <c r="L303" s="61"/>
      <c r="M303" s="62" t="s">
        <v>686</v>
      </c>
      <c r="N303" s="79" t="s">
        <v>687</v>
      </c>
      <c r="O303" s="61" t="s">
        <v>688</v>
      </c>
      <c r="P303" s="60"/>
      <c r="Q303" s="61"/>
      <c r="R303" s="61"/>
      <c r="S303" s="61"/>
      <c r="T303" s="61"/>
      <c r="U303" s="61"/>
      <c r="V303" s="61"/>
      <c r="W303" s="61"/>
      <c r="X303" s="61"/>
      <c r="Y303" s="61"/>
    </row>
    <row r="304" spans="2:25" ht="20.25" hidden="1" customHeight="1" x14ac:dyDescent="0.45">
      <c r="B304" s="86" t="s">
        <v>1002</v>
      </c>
      <c r="C304" s="74" t="s">
        <v>1010</v>
      </c>
      <c r="D304" s="74" t="s">
        <v>1011</v>
      </c>
      <c r="E304" s="75">
        <v>2</v>
      </c>
      <c r="F304" s="74" t="s">
        <v>689</v>
      </c>
      <c r="G304" s="74" t="s">
        <v>690</v>
      </c>
      <c r="H304" s="74" t="s">
        <v>684</v>
      </c>
      <c r="I304" s="75">
        <v>2</v>
      </c>
      <c r="J304" s="60" t="s">
        <v>685</v>
      </c>
      <c r="K304" s="61">
        <v>30</v>
      </c>
      <c r="L304" s="61"/>
      <c r="M304" s="62" t="s">
        <v>691</v>
      </c>
      <c r="N304" s="62" t="s">
        <v>692</v>
      </c>
      <c r="O304" s="61" t="s">
        <v>688</v>
      </c>
      <c r="P304" s="60"/>
      <c r="Q304" s="61"/>
      <c r="R304" s="61"/>
      <c r="S304" s="61"/>
      <c r="T304" s="61"/>
      <c r="U304" s="61"/>
      <c r="V304" s="61"/>
      <c r="W304" s="61"/>
      <c r="X304" s="61"/>
      <c r="Y304" s="61"/>
    </row>
    <row r="305" spans="2:25" ht="20.25" hidden="1" customHeight="1" x14ac:dyDescent="0.45">
      <c r="B305" s="86" t="s">
        <v>1002</v>
      </c>
      <c r="C305" s="74" t="s">
        <v>1010</v>
      </c>
      <c r="D305" s="74" t="s">
        <v>1011</v>
      </c>
      <c r="E305" s="75">
        <v>2</v>
      </c>
      <c r="F305" s="74" t="s">
        <v>821</v>
      </c>
      <c r="G305" s="74" t="s">
        <v>822</v>
      </c>
      <c r="H305" s="74" t="s">
        <v>878</v>
      </c>
      <c r="I305" s="75">
        <v>3</v>
      </c>
      <c r="J305" s="60" t="s">
        <v>685</v>
      </c>
      <c r="K305" s="61">
        <v>20</v>
      </c>
      <c r="L305" s="61"/>
      <c r="M305" s="62" t="s">
        <v>823</v>
      </c>
      <c r="N305" s="62" t="s">
        <v>824</v>
      </c>
      <c r="O305" s="61" t="s">
        <v>688</v>
      </c>
      <c r="P305" s="60" t="s">
        <v>825</v>
      </c>
      <c r="Q305" s="75"/>
      <c r="R305" s="75"/>
      <c r="S305" s="75"/>
      <c r="T305" s="75"/>
      <c r="U305" s="75"/>
      <c r="V305" s="75"/>
      <c r="W305" s="75"/>
      <c r="X305" s="75"/>
      <c r="Y305" s="75"/>
    </row>
    <row r="306" spans="2:25" ht="20.25" hidden="1" customHeight="1" x14ac:dyDescent="0.45">
      <c r="B306" s="86" t="s">
        <v>1002</v>
      </c>
      <c r="C306" s="74" t="s">
        <v>1010</v>
      </c>
      <c r="D306" s="74" t="s">
        <v>1011</v>
      </c>
      <c r="E306" s="75">
        <v>2</v>
      </c>
      <c r="F306" s="74" t="s">
        <v>826</v>
      </c>
      <c r="G306" s="74" t="s">
        <v>827</v>
      </c>
      <c r="H306" s="74" t="s">
        <v>879</v>
      </c>
      <c r="I306" s="75">
        <v>4</v>
      </c>
      <c r="J306" s="60" t="s">
        <v>737</v>
      </c>
      <c r="K306" s="61"/>
      <c r="L306" s="61"/>
      <c r="M306" s="62" t="s">
        <v>828</v>
      </c>
      <c r="N306" s="62" t="s">
        <v>829</v>
      </c>
      <c r="O306" s="61" t="s">
        <v>688</v>
      </c>
      <c r="P306" s="60"/>
      <c r="Q306" s="75"/>
      <c r="R306" s="75"/>
      <c r="S306" s="75"/>
      <c r="T306" s="75"/>
      <c r="U306" s="75"/>
      <c r="V306" s="75"/>
      <c r="W306" s="75"/>
      <c r="X306" s="75"/>
      <c r="Y306" s="75"/>
    </row>
    <row r="307" spans="2:25" ht="20.25" hidden="1" customHeight="1" x14ac:dyDescent="0.45">
      <c r="B307" s="86" t="s">
        <v>1002</v>
      </c>
      <c r="C307" s="74" t="s">
        <v>1010</v>
      </c>
      <c r="D307" s="74" t="s">
        <v>1011</v>
      </c>
      <c r="E307" s="75">
        <v>2</v>
      </c>
      <c r="F307" s="74" t="s">
        <v>830</v>
      </c>
      <c r="G307" s="74" t="s">
        <v>831</v>
      </c>
      <c r="H307" s="74" t="s">
        <v>891</v>
      </c>
      <c r="I307" s="75">
        <v>5</v>
      </c>
      <c r="J307" s="60" t="s">
        <v>685</v>
      </c>
      <c r="K307" s="61">
        <v>20</v>
      </c>
      <c r="L307" s="61"/>
      <c r="M307" s="62" t="s">
        <v>800</v>
      </c>
      <c r="N307" s="62" t="s">
        <v>801</v>
      </c>
      <c r="O307" s="61"/>
      <c r="P307" s="60" t="s">
        <v>802</v>
      </c>
      <c r="Q307" s="75"/>
      <c r="R307" s="75"/>
      <c r="S307" s="75"/>
      <c r="T307" s="75"/>
      <c r="U307" s="75"/>
      <c r="V307" s="75"/>
      <c r="W307" s="75"/>
      <c r="X307" s="75"/>
      <c r="Y307" s="75"/>
    </row>
    <row r="308" spans="2:25" ht="20.25" hidden="1" customHeight="1" x14ac:dyDescent="0.45">
      <c r="B308" s="86" t="s">
        <v>1002</v>
      </c>
      <c r="C308" s="74" t="s">
        <v>1010</v>
      </c>
      <c r="D308" s="74" t="s">
        <v>1011</v>
      </c>
      <c r="E308" s="75">
        <v>2</v>
      </c>
      <c r="F308" s="74" t="s">
        <v>832</v>
      </c>
      <c r="G308" s="74" t="s">
        <v>833</v>
      </c>
      <c r="H308" s="74" t="s">
        <v>892</v>
      </c>
      <c r="I308" s="75">
        <v>6</v>
      </c>
      <c r="J308" s="60" t="s">
        <v>748</v>
      </c>
      <c r="K308" s="61">
        <v>23</v>
      </c>
      <c r="L308" s="61">
        <v>6</v>
      </c>
      <c r="M308" s="62" t="s">
        <v>834</v>
      </c>
      <c r="N308" s="62" t="s">
        <v>835</v>
      </c>
      <c r="O308" s="61"/>
      <c r="P308" s="60"/>
      <c r="Q308" s="75"/>
      <c r="R308" s="75"/>
      <c r="S308" s="75"/>
      <c r="T308" s="75"/>
      <c r="U308" s="75"/>
      <c r="V308" s="75"/>
      <c r="W308" s="75"/>
      <c r="X308" s="75"/>
      <c r="Y308" s="75"/>
    </row>
    <row r="309" spans="2:25" ht="20.25" hidden="1" customHeight="1" x14ac:dyDescent="0.45">
      <c r="B309" s="86" t="s">
        <v>1002</v>
      </c>
      <c r="C309" s="74" t="s">
        <v>1010</v>
      </c>
      <c r="D309" s="74" t="s">
        <v>1011</v>
      </c>
      <c r="E309" s="75">
        <v>2</v>
      </c>
      <c r="F309" s="74" t="s">
        <v>732</v>
      </c>
      <c r="G309" s="74" t="s">
        <v>732</v>
      </c>
      <c r="H309" s="74" t="s">
        <v>733</v>
      </c>
      <c r="I309" s="75">
        <v>7</v>
      </c>
      <c r="J309" s="60" t="s">
        <v>685</v>
      </c>
      <c r="K309" s="61">
        <v>10</v>
      </c>
      <c r="L309" s="61"/>
      <c r="M309" s="62" t="s">
        <v>734</v>
      </c>
      <c r="N309" s="62" t="s">
        <v>765</v>
      </c>
      <c r="O309" s="61" t="s">
        <v>688</v>
      </c>
      <c r="P309" s="60"/>
      <c r="Q309" s="75"/>
      <c r="R309" s="75"/>
      <c r="S309" s="75"/>
      <c r="T309" s="75"/>
      <c r="U309" s="75"/>
      <c r="V309" s="75"/>
      <c r="W309" s="75"/>
      <c r="X309" s="75"/>
      <c r="Y309" s="75"/>
    </row>
    <row r="310" spans="2:25" ht="20.25" hidden="1" customHeight="1" x14ac:dyDescent="0.45">
      <c r="B310" s="86" t="s">
        <v>1002</v>
      </c>
      <c r="C310" s="74" t="s">
        <v>1010</v>
      </c>
      <c r="D310" s="74" t="s">
        <v>1011</v>
      </c>
      <c r="E310" s="75">
        <v>2</v>
      </c>
      <c r="F310" s="74" t="s">
        <v>736</v>
      </c>
      <c r="G310" s="74" t="s">
        <v>736</v>
      </c>
      <c r="H310" s="74" t="s">
        <v>1012</v>
      </c>
      <c r="I310" s="75">
        <v>8</v>
      </c>
      <c r="J310" s="60" t="s">
        <v>737</v>
      </c>
      <c r="K310" s="61"/>
      <c r="L310" s="61"/>
      <c r="M310" s="62" t="s">
        <v>738</v>
      </c>
      <c r="N310" s="62" t="s">
        <v>739</v>
      </c>
      <c r="O310" s="61"/>
      <c r="P310" s="60"/>
      <c r="Q310" s="75"/>
      <c r="R310" s="75"/>
      <c r="S310" s="75"/>
      <c r="T310" s="75"/>
      <c r="U310" s="75"/>
      <c r="V310" s="75"/>
      <c r="W310" s="75"/>
      <c r="X310" s="75"/>
      <c r="Y310" s="75"/>
    </row>
    <row r="311" spans="2:25" ht="20.25" hidden="1" customHeight="1" x14ac:dyDescent="0.45">
      <c r="B311" s="86" t="s">
        <v>1013</v>
      </c>
      <c r="C311" s="74" t="s">
        <v>1014</v>
      </c>
      <c r="D311" s="74" t="s">
        <v>1015</v>
      </c>
      <c r="E311" s="75">
        <v>1</v>
      </c>
      <c r="F311" s="74" t="s">
        <v>682</v>
      </c>
      <c r="G311" s="74" t="s">
        <v>683</v>
      </c>
      <c r="H311" s="74" t="s">
        <v>684</v>
      </c>
      <c r="I311" s="75">
        <v>1</v>
      </c>
      <c r="J311" s="60" t="s">
        <v>685</v>
      </c>
      <c r="K311" s="61">
        <v>20</v>
      </c>
      <c r="L311" s="61"/>
      <c r="M311" s="62" t="s">
        <v>686</v>
      </c>
      <c r="N311" s="62" t="s">
        <v>687</v>
      </c>
      <c r="O311" s="61" t="s">
        <v>688</v>
      </c>
      <c r="P311" s="60"/>
      <c r="Q311" s="75"/>
      <c r="R311" s="75"/>
      <c r="S311" s="75"/>
      <c r="T311" s="75"/>
      <c r="U311" s="75"/>
      <c r="V311" s="75"/>
      <c r="W311" s="75"/>
      <c r="X311" s="75"/>
      <c r="Y311" s="75"/>
    </row>
    <row r="312" spans="2:25" ht="20.25" hidden="1" customHeight="1" x14ac:dyDescent="0.45">
      <c r="B312" s="86" t="s">
        <v>1013</v>
      </c>
      <c r="C312" s="74" t="s">
        <v>1014</v>
      </c>
      <c r="D312" s="74" t="s">
        <v>1015</v>
      </c>
      <c r="E312" s="75">
        <v>1</v>
      </c>
      <c r="F312" s="74" t="s">
        <v>689</v>
      </c>
      <c r="G312" s="74" t="s">
        <v>690</v>
      </c>
      <c r="H312" s="74" t="s">
        <v>684</v>
      </c>
      <c r="I312" s="75">
        <v>2</v>
      </c>
      <c r="J312" s="60" t="s">
        <v>685</v>
      </c>
      <c r="K312" s="61">
        <v>30</v>
      </c>
      <c r="L312" s="61"/>
      <c r="M312" s="62" t="s">
        <v>691</v>
      </c>
      <c r="N312" s="62" t="s">
        <v>692</v>
      </c>
      <c r="O312" s="61" t="s">
        <v>688</v>
      </c>
      <c r="P312" s="60"/>
      <c r="Q312" s="75"/>
      <c r="R312" s="75"/>
      <c r="S312" s="75"/>
      <c r="T312" s="75"/>
      <c r="U312" s="75"/>
      <c r="V312" s="75"/>
      <c r="W312" s="75"/>
      <c r="X312" s="75"/>
      <c r="Y312" s="75"/>
    </row>
    <row r="313" spans="2:25" ht="20.25" hidden="1" customHeight="1" x14ac:dyDescent="0.45">
      <c r="B313" s="86" t="s">
        <v>1013</v>
      </c>
      <c r="C313" s="74" t="s">
        <v>1014</v>
      </c>
      <c r="D313" s="74" t="s">
        <v>1015</v>
      </c>
      <c r="E313" s="75">
        <v>1</v>
      </c>
      <c r="F313" s="74" t="s">
        <v>693</v>
      </c>
      <c r="G313" s="74" t="s">
        <v>694</v>
      </c>
      <c r="H313" s="74" t="s">
        <v>695</v>
      </c>
      <c r="I313" s="75">
        <v>3</v>
      </c>
      <c r="J313" s="60" t="s">
        <v>685</v>
      </c>
      <c r="K313" s="61">
        <v>20</v>
      </c>
      <c r="L313" s="61"/>
      <c r="M313" s="62" t="s">
        <v>696</v>
      </c>
      <c r="N313" s="62" t="s">
        <v>697</v>
      </c>
      <c r="O313" s="61"/>
      <c r="P313" s="60" t="s">
        <v>698</v>
      </c>
      <c r="Q313" s="75"/>
      <c r="R313" s="75"/>
      <c r="S313" s="75"/>
      <c r="T313" s="75"/>
      <c r="U313" s="75"/>
      <c r="V313" s="75"/>
      <c r="W313" s="75"/>
      <c r="X313" s="75"/>
      <c r="Y313" s="75"/>
    </row>
    <row r="314" spans="2:25" ht="20.25" hidden="1" customHeight="1" x14ac:dyDescent="0.45">
      <c r="B314" s="86" t="s">
        <v>1013</v>
      </c>
      <c r="C314" s="74" t="s">
        <v>1014</v>
      </c>
      <c r="D314" s="74" t="s">
        <v>1015</v>
      </c>
      <c r="E314" s="75">
        <v>1</v>
      </c>
      <c r="F314" s="74" t="s">
        <v>699</v>
      </c>
      <c r="G314" s="74" t="s">
        <v>700</v>
      </c>
      <c r="H314" s="74" t="s">
        <v>695</v>
      </c>
      <c r="I314" s="75">
        <v>4</v>
      </c>
      <c r="J314" s="60" t="s">
        <v>685</v>
      </c>
      <c r="K314" s="61">
        <v>20</v>
      </c>
      <c r="L314" s="61"/>
      <c r="M314" s="62" t="s">
        <v>701</v>
      </c>
      <c r="N314" s="62" t="s">
        <v>702</v>
      </c>
      <c r="O314" s="61"/>
      <c r="P314" s="60" t="s">
        <v>703</v>
      </c>
      <c r="Q314" s="75"/>
      <c r="R314" s="75"/>
      <c r="S314" s="75"/>
      <c r="T314" s="75"/>
      <c r="U314" s="75"/>
      <c r="V314" s="75"/>
      <c r="W314" s="75"/>
      <c r="X314" s="75"/>
      <c r="Y314" s="75"/>
    </row>
    <row r="315" spans="2:25" ht="20.25" hidden="1" customHeight="1" x14ac:dyDescent="0.45">
      <c r="B315" s="86" t="s">
        <v>1013</v>
      </c>
      <c r="C315" s="74" t="s">
        <v>1014</v>
      </c>
      <c r="D315" s="74" t="s">
        <v>1015</v>
      </c>
      <c r="E315" s="75">
        <v>1</v>
      </c>
      <c r="F315" s="74" t="s">
        <v>704</v>
      </c>
      <c r="G315" s="74" t="s">
        <v>705</v>
      </c>
      <c r="H315" s="74" t="s">
        <v>695</v>
      </c>
      <c r="I315" s="75">
        <v>5</v>
      </c>
      <c r="J315" s="60" t="s">
        <v>685</v>
      </c>
      <c r="K315" s="61">
        <v>20</v>
      </c>
      <c r="L315" s="61"/>
      <c r="M315" s="62" t="s">
        <v>706</v>
      </c>
      <c r="N315" s="62" t="s">
        <v>707</v>
      </c>
      <c r="O315" s="61"/>
      <c r="P315" s="60" t="s">
        <v>708</v>
      </c>
      <c r="Q315" s="75"/>
      <c r="R315" s="75"/>
      <c r="S315" s="75"/>
      <c r="T315" s="75"/>
      <c r="U315" s="75"/>
      <c r="V315" s="75"/>
      <c r="W315" s="75"/>
      <c r="X315" s="75"/>
      <c r="Y315" s="75"/>
    </row>
    <row r="316" spans="2:25" ht="20.25" hidden="1" customHeight="1" x14ac:dyDescent="0.45">
      <c r="B316" s="86" t="s">
        <v>1013</v>
      </c>
      <c r="C316" s="74" t="s">
        <v>1014</v>
      </c>
      <c r="D316" s="74" t="s">
        <v>1015</v>
      </c>
      <c r="E316" s="75">
        <v>1</v>
      </c>
      <c r="F316" s="74" t="s">
        <v>709</v>
      </c>
      <c r="G316" s="74" t="s">
        <v>710</v>
      </c>
      <c r="H316" s="74" t="s">
        <v>711</v>
      </c>
      <c r="I316" s="75">
        <v>6</v>
      </c>
      <c r="J316" s="60" t="s">
        <v>712</v>
      </c>
      <c r="K316" s="61"/>
      <c r="L316" s="61"/>
      <c r="M316" s="62" t="s">
        <v>865</v>
      </c>
      <c r="N316" s="62" t="s">
        <v>714</v>
      </c>
      <c r="O316" s="61"/>
      <c r="P316" s="60"/>
      <c r="Q316" s="75"/>
      <c r="R316" s="75"/>
      <c r="S316" s="75"/>
      <c r="T316" s="75"/>
      <c r="U316" s="75"/>
      <c r="V316" s="75"/>
      <c r="W316" s="75"/>
      <c r="X316" s="75"/>
      <c r="Y316" s="75"/>
    </row>
    <row r="317" spans="2:25" ht="20.25" hidden="1" customHeight="1" x14ac:dyDescent="0.45">
      <c r="B317" s="86" t="s">
        <v>1013</v>
      </c>
      <c r="C317" s="74" t="s">
        <v>1014</v>
      </c>
      <c r="D317" s="74" t="s">
        <v>1015</v>
      </c>
      <c r="E317" s="75">
        <v>1</v>
      </c>
      <c r="F317" s="74" t="s">
        <v>771</v>
      </c>
      <c r="G317" s="74" t="s">
        <v>772</v>
      </c>
      <c r="H317" s="74" t="s">
        <v>711</v>
      </c>
      <c r="I317" s="75">
        <v>7</v>
      </c>
      <c r="J317" s="60" t="s">
        <v>712</v>
      </c>
      <c r="K317" s="61"/>
      <c r="L317" s="61"/>
      <c r="M317" s="62" t="s">
        <v>1005</v>
      </c>
      <c r="N317" s="62" t="s">
        <v>774</v>
      </c>
      <c r="O317" s="61"/>
      <c r="P317" s="60"/>
      <c r="Q317" s="75"/>
      <c r="R317" s="75"/>
      <c r="S317" s="75"/>
      <c r="T317" s="75"/>
      <c r="U317" s="75"/>
      <c r="V317" s="75"/>
      <c r="W317" s="75"/>
      <c r="X317" s="75"/>
      <c r="Y317" s="75"/>
    </row>
    <row r="318" spans="2:25" ht="20.25" hidden="1" customHeight="1" x14ac:dyDescent="0.45">
      <c r="B318" s="86" t="s">
        <v>1013</v>
      </c>
      <c r="C318" s="74" t="s">
        <v>1014</v>
      </c>
      <c r="D318" s="74" t="s">
        <v>1015</v>
      </c>
      <c r="E318" s="75">
        <v>1</v>
      </c>
      <c r="F318" s="74" t="s">
        <v>909</v>
      </c>
      <c r="G318" s="74" t="s">
        <v>910</v>
      </c>
      <c r="H318" s="74" t="s">
        <v>777</v>
      </c>
      <c r="I318" s="75">
        <v>8</v>
      </c>
      <c r="J318" s="60" t="s">
        <v>685</v>
      </c>
      <c r="K318" s="61">
        <v>20</v>
      </c>
      <c r="L318" s="61"/>
      <c r="M318" s="62" t="s">
        <v>911</v>
      </c>
      <c r="N318" s="62"/>
      <c r="O318" s="61"/>
      <c r="P318" s="60"/>
      <c r="Q318" s="71"/>
      <c r="R318" s="71"/>
      <c r="S318" s="71"/>
      <c r="T318" s="71"/>
      <c r="U318" s="71"/>
      <c r="V318" s="71"/>
      <c r="W318" s="71"/>
      <c r="X318" s="71"/>
      <c r="Y318" s="71"/>
    </row>
    <row r="319" spans="2:25" ht="20.25" hidden="1" customHeight="1" x14ac:dyDescent="0.45">
      <c r="B319" s="88" t="s">
        <v>1013</v>
      </c>
      <c r="C319" s="81" t="s">
        <v>1014</v>
      </c>
      <c r="D319" s="81" t="s">
        <v>1015</v>
      </c>
      <c r="E319" s="82">
        <v>1</v>
      </c>
      <c r="F319" s="81" t="s">
        <v>912</v>
      </c>
      <c r="G319" s="81" t="s">
        <v>848</v>
      </c>
      <c r="H319" s="81" t="s">
        <v>777</v>
      </c>
      <c r="I319" s="82">
        <v>9</v>
      </c>
      <c r="J319" s="83" t="s">
        <v>685</v>
      </c>
      <c r="K319" s="84">
        <v>30</v>
      </c>
      <c r="L319" s="84"/>
      <c r="M319" s="85" t="s">
        <v>781</v>
      </c>
      <c r="N319" s="85" t="s">
        <v>782</v>
      </c>
      <c r="O319" s="84"/>
      <c r="P319" s="83"/>
      <c r="Q319" s="82"/>
      <c r="R319" s="82"/>
      <c r="S319" s="82"/>
      <c r="T319" s="82"/>
      <c r="U319" s="82"/>
      <c r="V319" s="82"/>
      <c r="W319" s="82"/>
      <c r="X319" s="82"/>
      <c r="Y319" s="82"/>
    </row>
    <row r="320" spans="2:25" ht="20.25" hidden="1" customHeight="1" x14ac:dyDescent="0.45">
      <c r="B320" s="86" t="s">
        <v>1013</v>
      </c>
      <c r="C320" s="74" t="s">
        <v>1014</v>
      </c>
      <c r="D320" s="74" t="s">
        <v>1015</v>
      </c>
      <c r="E320" s="75">
        <v>1</v>
      </c>
      <c r="F320" s="74" t="s">
        <v>1016</v>
      </c>
      <c r="G320" s="74" t="s">
        <v>1017</v>
      </c>
      <c r="H320" s="74" t="s">
        <v>785</v>
      </c>
      <c r="I320" s="75">
        <v>10</v>
      </c>
      <c r="J320" s="60" t="s">
        <v>685</v>
      </c>
      <c r="K320" s="61">
        <v>20</v>
      </c>
      <c r="L320" s="61"/>
      <c r="M320" s="62" t="s">
        <v>786</v>
      </c>
      <c r="N320" s="62" t="s">
        <v>787</v>
      </c>
      <c r="O320" s="61"/>
      <c r="P320" s="76" t="s">
        <v>1018</v>
      </c>
      <c r="Q320" s="75"/>
      <c r="R320" s="75"/>
      <c r="S320" s="75"/>
      <c r="T320" s="75"/>
      <c r="U320" s="75"/>
      <c r="V320" s="75"/>
      <c r="W320" s="75"/>
      <c r="X320" s="75"/>
      <c r="Y320" s="75"/>
    </row>
    <row r="321" spans="2:25" ht="20.25" hidden="1" customHeight="1" x14ac:dyDescent="0.45">
      <c r="B321" s="86" t="s">
        <v>1013</v>
      </c>
      <c r="C321" s="74" t="s">
        <v>1014</v>
      </c>
      <c r="D321" s="74" t="s">
        <v>1015</v>
      </c>
      <c r="E321" s="75">
        <v>1</v>
      </c>
      <c r="F321" s="74" t="s">
        <v>789</v>
      </c>
      <c r="G321" s="74" t="s">
        <v>790</v>
      </c>
      <c r="H321" s="74" t="s">
        <v>785</v>
      </c>
      <c r="I321" s="75">
        <v>11</v>
      </c>
      <c r="J321" s="60" t="s">
        <v>748</v>
      </c>
      <c r="K321" s="61">
        <v>20</v>
      </c>
      <c r="L321" s="61">
        <v>0</v>
      </c>
      <c r="M321" s="62" t="s">
        <v>791</v>
      </c>
      <c r="N321" s="62" t="s">
        <v>792</v>
      </c>
      <c r="O321" s="61"/>
      <c r="P321" s="60" t="s">
        <v>793</v>
      </c>
      <c r="Q321" s="75"/>
      <c r="R321" s="75"/>
      <c r="S321" s="75"/>
      <c r="T321" s="75"/>
      <c r="U321" s="75"/>
      <c r="V321" s="75"/>
      <c r="W321" s="75"/>
      <c r="X321" s="75"/>
      <c r="Y321" s="75"/>
    </row>
    <row r="322" spans="2:25" ht="20.25" hidden="1" customHeight="1" x14ac:dyDescent="0.45">
      <c r="B322" s="86" t="s">
        <v>1013</v>
      </c>
      <c r="C322" s="74" t="s">
        <v>1014</v>
      </c>
      <c r="D322" s="74" t="s">
        <v>1015</v>
      </c>
      <c r="E322" s="75">
        <v>1</v>
      </c>
      <c r="F322" s="74" t="s">
        <v>794</v>
      </c>
      <c r="G322" s="74" t="s">
        <v>795</v>
      </c>
      <c r="H322" s="74" t="s">
        <v>785</v>
      </c>
      <c r="I322" s="75">
        <v>12</v>
      </c>
      <c r="J322" s="60" t="s">
        <v>685</v>
      </c>
      <c r="K322" s="61">
        <v>4</v>
      </c>
      <c r="L322" s="61"/>
      <c r="M322" s="62" t="s">
        <v>796</v>
      </c>
      <c r="N322" s="62"/>
      <c r="O322" s="61"/>
      <c r="P322" s="60"/>
      <c r="Q322" s="71"/>
      <c r="R322" s="71"/>
      <c r="S322" s="71"/>
      <c r="T322" s="71"/>
      <c r="U322" s="71"/>
      <c r="V322" s="71"/>
      <c r="W322" s="71"/>
      <c r="X322" s="71"/>
      <c r="Y322" s="71"/>
    </row>
    <row r="323" spans="2:25" ht="20.25" hidden="1" customHeight="1" x14ac:dyDescent="0.45">
      <c r="B323" s="86" t="s">
        <v>1013</v>
      </c>
      <c r="C323" s="74" t="s">
        <v>1014</v>
      </c>
      <c r="D323" s="74" t="s">
        <v>1015</v>
      </c>
      <c r="E323" s="75">
        <v>1</v>
      </c>
      <c r="F323" s="74" t="s">
        <v>803</v>
      </c>
      <c r="G323" s="74" t="s">
        <v>804</v>
      </c>
      <c r="H323" s="74" t="s">
        <v>892</v>
      </c>
      <c r="I323" s="75">
        <v>13</v>
      </c>
      <c r="J323" s="60" t="s">
        <v>748</v>
      </c>
      <c r="K323" s="61">
        <v>15</v>
      </c>
      <c r="L323" s="61">
        <v>6</v>
      </c>
      <c r="M323" s="62" t="s">
        <v>805</v>
      </c>
      <c r="N323" s="62" t="s">
        <v>806</v>
      </c>
      <c r="O323" s="61"/>
      <c r="P323" s="60"/>
      <c r="Q323" s="75"/>
      <c r="R323" s="75"/>
      <c r="S323" s="75"/>
      <c r="T323" s="75"/>
      <c r="U323" s="75"/>
      <c r="V323" s="75"/>
      <c r="W323" s="75"/>
      <c r="X323" s="75"/>
      <c r="Y323" s="75"/>
    </row>
    <row r="324" spans="2:25" ht="20.25" hidden="1" customHeight="1" x14ac:dyDescent="0.45">
      <c r="B324" s="86" t="s">
        <v>1013</v>
      </c>
      <c r="C324" s="74" t="s">
        <v>1014</v>
      </c>
      <c r="D324" s="74" t="s">
        <v>1015</v>
      </c>
      <c r="E324" s="75">
        <v>1</v>
      </c>
      <c r="F324" s="74" t="s">
        <v>807</v>
      </c>
      <c r="G324" s="74" t="s">
        <v>808</v>
      </c>
      <c r="H324" s="74" t="s">
        <v>892</v>
      </c>
      <c r="I324" s="75">
        <v>14</v>
      </c>
      <c r="J324" s="60" t="s">
        <v>748</v>
      </c>
      <c r="K324" s="61">
        <v>15</v>
      </c>
      <c r="L324" s="61">
        <v>6</v>
      </c>
      <c r="M324" s="62" t="s">
        <v>904</v>
      </c>
      <c r="N324" s="62" t="s">
        <v>810</v>
      </c>
      <c r="O324" s="61"/>
      <c r="P324" s="60"/>
      <c r="Q324" s="75"/>
      <c r="R324" s="75"/>
      <c r="S324" s="75"/>
      <c r="T324" s="75"/>
      <c r="U324" s="75"/>
      <c r="V324" s="75"/>
      <c r="W324" s="75"/>
      <c r="X324" s="75"/>
      <c r="Y324" s="75"/>
    </row>
    <row r="325" spans="2:25" ht="20.25" hidden="1" customHeight="1" x14ac:dyDescent="0.45">
      <c r="B325" s="86" t="s">
        <v>1013</v>
      </c>
      <c r="C325" s="74" t="s">
        <v>1014</v>
      </c>
      <c r="D325" s="74" t="s">
        <v>1015</v>
      </c>
      <c r="E325" s="75">
        <v>1</v>
      </c>
      <c r="F325" s="74" t="s">
        <v>732</v>
      </c>
      <c r="G325" s="74" t="s">
        <v>732</v>
      </c>
      <c r="H325" s="74" t="s">
        <v>733</v>
      </c>
      <c r="I325" s="75">
        <v>15</v>
      </c>
      <c r="J325" s="60" t="s">
        <v>685</v>
      </c>
      <c r="K325" s="61">
        <v>10</v>
      </c>
      <c r="L325" s="61"/>
      <c r="M325" s="62" t="s">
        <v>734</v>
      </c>
      <c r="N325" s="62" t="s">
        <v>765</v>
      </c>
      <c r="O325" s="61" t="s">
        <v>688</v>
      </c>
      <c r="P325" s="60"/>
      <c r="Q325" s="75"/>
      <c r="R325" s="75"/>
      <c r="S325" s="75"/>
      <c r="T325" s="75"/>
      <c r="U325" s="75"/>
      <c r="V325" s="75"/>
      <c r="W325" s="75"/>
      <c r="X325" s="75"/>
      <c r="Y325" s="75"/>
    </row>
    <row r="326" spans="2:25" ht="20.25" hidden="1" customHeight="1" x14ac:dyDescent="0.45">
      <c r="B326" s="86" t="s">
        <v>1013</v>
      </c>
      <c r="C326" s="74" t="s">
        <v>1014</v>
      </c>
      <c r="D326" s="74" t="s">
        <v>1015</v>
      </c>
      <c r="E326" s="75">
        <v>1</v>
      </c>
      <c r="F326" s="74" t="s">
        <v>736</v>
      </c>
      <c r="G326" s="74" t="s">
        <v>736</v>
      </c>
      <c r="H326" s="74" t="s">
        <v>717</v>
      </c>
      <c r="I326" s="75">
        <v>16</v>
      </c>
      <c r="J326" s="60" t="s">
        <v>737</v>
      </c>
      <c r="K326" s="61"/>
      <c r="L326" s="61"/>
      <c r="M326" s="62" t="s">
        <v>738</v>
      </c>
      <c r="N326" s="62" t="s">
        <v>739</v>
      </c>
      <c r="O326" s="61"/>
      <c r="P326" s="60"/>
      <c r="Q326" s="75"/>
      <c r="R326" s="75"/>
      <c r="S326" s="75"/>
      <c r="T326" s="75"/>
      <c r="U326" s="75"/>
      <c r="V326" s="75"/>
      <c r="W326" s="75"/>
      <c r="X326" s="75"/>
      <c r="Y326" s="75"/>
    </row>
    <row r="327" spans="2:25" ht="20.25" hidden="1" customHeight="1" x14ac:dyDescent="0.45">
      <c r="B327" s="86" t="s">
        <v>1013</v>
      </c>
      <c r="C327" s="74" t="s">
        <v>1019</v>
      </c>
      <c r="D327" s="74" t="s">
        <v>1020</v>
      </c>
      <c r="E327" s="75">
        <v>2</v>
      </c>
      <c r="F327" s="74" t="s">
        <v>682</v>
      </c>
      <c r="G327" s="74" t="s">
        <v>683</v>
      </c>
      <c r="H327" s="74" t="s">
        <v>684</v>
      </c>
      <c r="I327" s="75">
        <v>1</v>
      </c>
      <c r="J327" s="60" t="s">
        <v>685</v>
      </c>
      <c r="K327" s="61">
        <v>20</v>
      </c>
      <c r="L327" s="61"/>
      <c r="M327" s="62" t="s">
        <v>686</v>
      </c>
      <c r="N327" s="62" t="s">
        <v>687</v>
      </c>
      <c r="O327" s="61" t="s">
        <v>688</v>
      </c>
      <c r="P327" s="60"/>
      <c r="Q327" s="75"/>
      <c r="R327" s="75"/>
      <c r="S327" s="75"/>
      <c r="T327" s="75"/>
      <c r="U327" s="75"/>
      <c r="V327" s="75"/>
      <c r="W327" s="75"/>
      <c r="X327" s="75"/>
      <c r="Y327" s="75"/>
    </row>
    <row r="328" spans="2:25" ht="20.25" hidden="1" customHeight="1" x14ac:dyDescent="0.45">
      <c r="B328" s="86" t="s">
        <v>1013</v>
      </c>
      <c r="C328" s="74" t="s">
        <v>1019</v>
      </c>
      <c r="D328" s="74" t="s">
        <v>1020</v>
      </c>
      <c r="E328" s="75">
        <v>2</v>
      </c>
      <c r="F328" s="74" t="s">
        <v>689</v>
      </c>
      <c r="G328" s="74" t="s">
        <v>690</v>
      </c>
      <c r="H328" s="74" t="s">
        <v>684</v>
      </c>
      <c r="I328" s="75">
        <v>2</v>
      </c>
      <c r="J328" s="60" t="s">
        <v>685</v>
      </c>
      <c r="K328" s="61">
        <v>30</v>
      </c>
      <c r="L328" s="61"/>
      <c r="M328" s="62" t="s">
        <v>691</v>
      </c>
      <c r="N328" s="62" t="s">
        <v>692</v>
      </c>
      <c r="O328" s="61" t="s">
        <v>688</v>
      </c>
      <c r="P328" s="60"/>
      <c r="Q328" s="75"/>
      <c r="R328" s="75"/>
      <c r="S328" s="75"/>
      <c r="T328" s="75"/>
      <c r="U328" s="75"/>
      <c r="V328" s="75"/>
      <c r="W328" s="75"/>
      <c r="X328" s="75"/>
      <c r="Y328" s="75"/>
    </row>
    <row r="329" spans="2:25" ht="20.25" hidden="1" customHeight="1" x14ac:dyDescent="0.45">
      <c r="B329" s="86" t="s">
        <v>1013</v>
      </c>
      <c r="C329" s="74" t="s">
        <v>1019</v>
      </c>
      <c r="D329" s="74" t="s">
        <v>1020</v>
      </c>
      <c r="E329" s="75">
        <v>2</v>
      </c>
      <c r="F329" s="74" t="s">
        <v>821</v>
      </c>
      <c r="G329" s="74" t="s">
        <v>822</v>
      </c>
      <c r="H329" s="74" t="s">
        <v>878</v>
      </c>
      <c r="I329" s="75">
        <v>3</v>
      </c>
      <c r="J329" s="60" t="s">
        <v>685</v>
      </c>
      <c r="K329" s="61">
        <v>20</v>
      </c>
      <c r="L329" s="61"/>
      <c r="M329" s="62" t="s">
        <v>823</v>
      </c>
      <c r="N329" s="62" t="s">
        <v>824</v>
      </c>
      <c r="O329" s="61" t="s">
        <v>688</v>
      </c>
      <c r="P329" s="60" t="s">
        <v>825</v>
      </c>
      <c r="Q329" s="75"/>
      <c r="R329" s="75"/>
      <c r="S329" s="75"/>
      <c r="T329" s="75"/>
      <c r="U329" s="75"/>
      <c r="V329" s="75"/>
      <c r="W329" s="75"/>
      <c r="X329" s="75"/>
      <c r="Y329" s="75"/>
    </row>
    <row r="330" spans="2:25" ht="20.25" hidden="1" customHeight="1" x14ac:dyDescent="0.45">
      <c r="B330" s="86" t="s">
        <v>1013</v>
      </c>
      <c r="C330" s="74" t="s">
        <v>1019</v>
      </c>
      <c r="D330" s="74" t="s">
        <v>1020</v>
      </c>
      <c r="E330" s="75">
        <v>2</v>
      </c>
      <c r="F330" s="74" t="s">
        <v>826</v>
      </c>
      <c r="G330" s="74" t="s">
        <v>827</v>
      </c>
      <c r="H330" s="74" t="s">
        <v>879</v>
      </c>
      <c r="I330" s="75">
        <v>4</v>
      </c>
      <c r="J330" s="60" t="s">
        <v>737</v>
      </c>
      <c r="K330" s="61"/>
      <c r="L330" s="61"/>
      <c r="M330" s="62" t="s">
        <v>828</v>
      </c>
      <c r="N330" s="62" t="s">
        <v>829</v>
      </c>
      <c r="O330" s="61" t="s">
        <v>688</v>
      </c>
      <c r="P330" s="60"/>
      <c r="Q330" s="91"/>
      <c r="R330" s="91"/>
      <c r="S330" s="91"/>
      <c r="T330" s="91"/>
      <c r="U330" s="91"/>
      <c r="V330" s="91"/>
      <c r="W330" s="91"/>
      <c r="X330" s="91"/>
      <c r="Y330" s="84"/>
    </row>
    <row r="331" spans="2:25" ht="20.25" hidden="1" customHeight="1" x14ac:dyDescent="0.45">
      <c r="B331" s="86" t="s">
        <v>1013</v>
      </c>
      <c r="C331" s="74" t="s">
        <v>1019</v>
      </c>
      <c r="D331" s="74" t="s">
        <v>1020</v>
      </c>
      <c r="E331" s="75">
        <v>2</v>
      </c>
      <c r="F331" s="74" t="s">
        <v>830</v>
      </c>
      <c r="G331" s="74" t="s">
        <v>831</v>
      </c>
      <c r="H331" s="74" t="s">
        <v>891</v>
      </c>
      <c r="I331" s="75">
        <v>5</v>
      </c>
      <c r="J331" s="60" t="s">
        <v>685</v>
      </c>
      <c r="K331" s="61">
        <v>20</v>
      </c>
      <c r="L331" s="61"/>
      <c r="M331" s="62" t="s">
        <v>800</v>
      </c>
      <c r="N331" s="62" t="s">
        <v>801</v>
      </c>
      <c r="O331" s="61"/>
      <c r="P331" s="60" t="s">
        <v>802</v>
      </c>
      <c r="Q331" s="75"/>
      <c r="R331" s="75"/>
      <c r="S331" s="75"/>
      <c r="T331" s="75"/>
      <c r="U331" s="75"/>
      <c r="V331" s="75"/>
      <c r="W331" s="75"/>
      <c r="X331" s="75"/>
      <c r="Y331" s="75"/>
    </row>
    <row r="332" spans="2:25" ht="20.25" hidden="1" customHeight="1" x14ac:dyDescent="0.45">
      <c r="B332" s="86" t="s">
        <v>1013</v>
      </c>
      <c r="C332" s="74" t="s">
        <v>1019</v>
      </c>
      <c r="D332" s="74" t="s">
        <v>1020</v>
      </c>
      <c r="E332" s="75">
        <v>2</v>
      </c>
      <c r="F332" s="74" t="s">
        <v>832</v>
      </c>
      <c r="G332" s="74" t="s">
        <v>833</v>
      </c>
      <c r="H332" s="74" t="s">
        <v>892</v>
      </c>
      <c r="I332" s="75">
        <v>6</v>
      </c>
      <c r="J332" s="60" t="s">
        <v>748</v>
      </c>
      <c r="K332" s="61">
        <v>23</v>
      </c>
      <c r="L332" s="61">
        <v>6</v>
      </c>
      <c r="M332" s="62" t="s">
        <v>834</v>
      </c>
      <c r="N332" s="62" t="s">
        <v>835</v>
      </c>
      <c r="O332" s="61"/>
      <c r="P332" s="60"/>
      <c r="Q332" s="75"/>
      <c r="R332" s="75"/>
      <c r="S332" s="75"/>
      <c r="T332" s="75"/>
      <c r="U332" s="75"/>
      <c r="V332" s="75"/>
      <c r="W332" s="75"/>
      <c r="X332" s="75"/>
      <c r="Y332" s="75"/>
    </row>
    <row r="333" spans="2:25" ht="20.25" hidden="1" customHeight="1" x14ac:dyDescent="0.45">
      <c r="B333" s="86" t="s">
        <v>1013</v>
      </c>
      <c r="C333" s="74" t="s">
        <v>1019</v>
      </c>
      <c r="D333" s="74" t="s">
        <v>1020</v>
      </c>
      <c r="E333" s="75">
        <v>2</v>
      </c>
      <c r="F333" s="74" t="s">
        <v>732</v>
      </c>
      <c r="G333" s="74" t="s">
        <v>732</v>
      </c>
      <c r="H333" s="74" t="s">
        <v>733</v>
      </c>
      <c r="I333" s="75">
        <v>7</v>
      </c>
      <c r="J333" s="60" t="s">
        <v>685</v>
      </c>
      <c r="K333" s="61">
        <v>10</v>
      </c>
      <c r="L333" s="61"/>
      <c r="M333" s="62" t="s">
        <v>734</v>
      </c>
      <c r="N333" s="62" t="s">
        <v>765</v>
      </c>
      <c r="O333" s="61" t="s">
        <v>688</v>
      </c>
      <c r="P333" s="60"/>
      <c r="Q333" s="75"/>
      <c r="R333" s="75"/>
      <c r="S333" s="75"/>
      <c r="T333" s="75"/>
      <c r="U333" s="75"/>
      <c r="V333" s="75"/>
      <c r="W333" s="75"/>
      <c r="X333" s="75"/>
      <c r="Y333" s="75"/>
    </row>
    <row r="334" spans="2:25" ht="20.25" hidden="1" customHeight="1" x14ac:dyDescent="0.45">
      <c r="B334" s="86" t="s">
        <v>1013</v>
      </c>
      <c r="C334" s="74" t="s">
        <v>1019</v>
      </c>
      <c r="D334" s="74" t="s">
        <v>1020</v>
      </c>
      <c r="E334" s="75">
        <v>2</v>
      </c>
      <c r="F334" s="74" t="s">
        <v>736</v>
      </c>
      <c r="G334" s="74" t="s">
        <v>736</v>
      </c>
      <c r="H334" s="74" t="s">
        <v>717</v>
      </c>
      <c r="I334" s="75">
        <v>8</v>
      </c>
      <c r="J334" s="60" t="s">
        <v>737</v>
      </c>
      <c r="K334" s="61"/>
      <c r="L334" s="61"/>
      <c r="M334" s="62" t="s">
        <v>738</v>
      </c>
      <c r="N334" s="62" t="s">
        <v>739</v>
      </c>
      <c r="O334" s="61"/>
      <c r="P334" s="60"/>
      <c r="Q334" s="75"/>
      <c r="R334" s="75"/>
      <c r="S334" s="75"/>
      <c r="T334" s="75"/>
      <c r="U334" s="75"/>
      <c r="V334" s="75"/>
      <c r="W334" s="75"/>
      <c r="X334" s="75"/>
      <c r="Y334" s="75"/>
    </row>
    <row r="335" spans="2:25" ht="20.25" hidden="1" customHeight="1" x14ac:dyDescent="0.45">
      <c r="B335" s="86" t="s">
        <v>1021</v>
      </c>
      <c r="C335" s="74" t="s">
        <v>1022</v>
      </c>
      <c r="D335" s="74" t="s">
        <v>1021</v>
      </c>
      <c r="E335" s="75">
        <v>1</v>
      </c>
      <c r="F335" s="74" t="s">
        <v>682</v>
      </c>
      <c r="G335" s="74" t="s">
        <v>683</v>
      </c>
      <c r="H335" s="74" t="s">
        <v>684</v>
      </c>
      <c r="I335" s="75">
        <v>1</v>
      </c>
      <c r="J335" s="60" t="s">
        <v>685</v>
      </c>
      <c r="K335" s="61">
        <v>20</v>
      </c>
      <c r="L335" s="61"/>
      <c r="M335" s="62" t="s">
        <v>686</v>
      </c>
      <c r="N335" s="62" t="s">
        <v>687</v>
      </c>
      <c r="O335" s="61" t="s">
        <v>688</v>
      </c>
      <c r="P335" s="60"/>
      <c r="Q335" s="75"/>
      <c r="R335" s="75"/>
      <c r="S335" s="75"/>
      <c r="T335" s="75"/>
      <c r="U335" s="75"/>
      <c r="V335" s="75"/>
      <c r="W335" s="75"/>
      <c r="X335" s="75"/>
      <c r="Y335" s="75"/>
    </row>
    <row r="336" spans="2:25" ht="20.25" hidden="1" customHeight="1" x14ac:dyDescent="0.45">
      <c r="B336" s="86" t="s">
        <v>1021</v>
      </c>
      <c r="C336" s="74" t="s">
        <v>1022</v>
      </c>
      <c r="D336" s="74" t="s">
        <v>1021</v>
      </c>
      <c r="E336" s="75">
        <v>1</v>
      </c>
      <c r="F336" s="74" t="s">
        <v>689</v>
      </c>
      <c r="G336" s="74" t="s">
        <v>690</v>
      </c>
      <c r="H336" s="74" t="s">
        <v>684</v>
      </c>
      <c r="I336" s="75">
        <v>2</v>
      </c>
      <c r="J336" s="60" t="s">
        <v>685</v>
      </c>
      <c r="K336" s="61">
        <v>30</v>
      </c>
      <c r="L336" s="61"/>
      <c r="M336" s="62" t="s">
        <v>691</v>
      </c>
      <c r="N336" s="62" t="s">
        <v>692</v>
      </c>
      <c r="O336" s="61" t="s">
        <v>688</v>
      </c>
      <c r="P336" s="60"/>
      <c r="Q336" s="75"/>
      <c r="R336" s="75"/>
      <c r="S336" s="75"/>
      <c r="T336" s="75"/>
      <c r="U336" s="75"/>
      <c r="V336" s="75"/>
      <c r="W336" s="75"/>
      <c r="X336" s="75"/>
      <c r="Y336" s="75"/>
    </row>
    <row r="337" spans="2:25" ht="20.25" hidden="1" customHeight="1" x14ac:dyDescent="0.45">
      <c r="B337" s="86" t="s">
        <v>1021</v>
      </c>
      <c r="C337" s="74" t="s">
        <v>1022</v>
      </c>
      <c r="D337" s="74" t="s">
        <v>1021</v>
      </c>
      <c r="E337" s="75">
        <v>1</v>
      </c>
      <c r="F337" s="74" t="s">
        <v>693</v>
      </c>
      <c r="G337" s="74" t="s">
        <v>694</v>
      </c>
      <c r="H337" s="74" t="s">
        <v>695</v>
      </c>
      <c r="I337" s="75">
        <v>3</v>
      </c>
      <c r="J337" s="60" t="s">
        <v>685</v>
      </c>
      <c r="K337" s="61">
        <v>20</v>
      </c>
      <c r="L337" s="61"/>
      <c r="M337" s="62" t="s">
        <v>696</v>
      </c>
      <c r="N337" s="62" t="s">
        <v>697</v>
      </c>
      <c r="O337" s="61"/>
      <c r="P337" s="60" t="s">
        <v>698</v>
      </c>
      <c r="Q337" s="75"/>
      <c r="R337" s="75"/>
      <c r="S337" s="75"/>
      <c r="T337" s="75"/>
      <c r="U337" s="75"/>
      <c r="V337" s="75"/>
      <c r="W337" s="75"/>
      <c r="X337" s="75"/>
      <c r="Y337" s="75"/>
    </row>
    <row r="338" spans="2:25" ht="20.25" hidden="1" customHeight="1" x14ac:dyDescent="0.45">
      <c r="B338" s="86" t="s">
        <v>1021</v>
      </c>
      <c r="C338" s="74" t="s">
        <v>1022</v>
      </c>
      <c r="D338" s="74" t="s">
        <v>1021</v>
      </c>
      <c r="E338" s="75">
        <v>1</v>
      </c>
      <c r="F338" s="74" t="s">
        <v>699</v>
      </c>
      <c r="G338" s="74" t="s">
        <v>700</v>
      </c>
      <c r="H338" s="74" t="s">
        <v>695</v>
      </c>
      <c r="I338" s="75">
        <v>4</v>
      </c>
      <c r="J338" s="60" t="s">
        <v>685</v>
      </c>
      <c r="K338" s="61">
        <v>20</v>
      </c>
      <c r="L338" s="61"/>
      <c r="M338" s="62" t="s">
        <v>701</v>
      </c>
      <c r="N338" s="62" t="s">
        <v>702</v>
      </c>
      <c r="O338" s="61"/>
      <c r="P338" s="60" t="s">
        <v>703</v>
      </c>
      <c r="Q338" s="75"/>
      <c r="R338" s="75"/>
      <c r="S338" s="75"/>
      <c r="T338" s="75"/>
      <c r="U338" s="75"/>
      <c r="V338" s="75"/>
      <c r="W338" s="75"/>
      <c r="X338" s="75"/>
      <c r="Y338" s="75"/>
    </row>
    <row r="339" spans="2:25" ht="20.25" hidden="1" customHeight="1" x14ac:dyDescent="0.45">
      <c r="B339" s="86" t="s">
        <v>1021</v>
      </c>
      <c r="C339" s="74" t="s">
        <v>1022</v>
      </c>
      <c r="D339" s="74" t="s">
        <v>1021</v>
      </c>
      <c r="E339" s="75">
        <v>1</v>
      </c>
      <c r="F339" s="74" t="s">
        <v>704</v>
      </c>
      <c r="G339" s="74" t="s">
        <v>705</v>
      </c>
      <c r="H339" s="74" t="s">
        <v>695</v>
      </c>
      <c r="I339" s="75">
        <v>5</v>
      </c>
      <c r="J339" s="60" t="s">
        <v>685</v>
      </c>
      <c r="K339" s="61">
        <v>20</v>
      </c>
      <c r="L339" s="61"/>
      <c r="M339" s="62" t="s">
        <v>706</v>
      </c>
      <c r="N339" s="62" t="s">
        <v>707</v>
      </c>
      <c r="O339" s="61"/>
      <c r="P339" s="60" t="s">
        <v>708</v>
      </c>
      <c r="Q339" s="75"/>
      <c r="R339" s="75"/>
      <c r="S339" s="75"/>
      <c r="T339" s="75"/>
      <c r="U339" s="75"/>
      <c r="V339" s="75"/>
      <c r="W339" s="75"/>
      <c r="X339" s="75"/>
      <c r="Y339" s="75"/>
    </row>
    <row r="340" spans="2:25" ht="20.25" hidden="1" customHeight="1" x14ac:dyDescent="0.45">
      <c r="B340" s="86" t="s">
        <v>1021</v>
      </c>
      <c r="C340" s="74" t="s">
        <v>1022</v>
      </c>
      <c r="D340" s="74" t="s">
        <v>1021</v>
      </c>
      <c r="E340" s="75">
        <v>1</v>
      </c>
      <c r="F340" s="74" t="s">
        <v>709</v>
      </c>
      <c r="G340" s="74" t="s">
        <v>710</v>
      </c>
      <c r="H340" s="74" t="s">
        <v>711</v>
      </c>
      <c r="I340" s="75">
        <v>6</v>
      </c>
      <c r="J340" s="60" t="s">
        <v>712</v>
      </c>
      <c r="K340" s="61"/>
      <c r="L340" s="61"/>
      <c r="M340" s="62" t="s">
        <v>865</v>
      </c>
      <c r="N340" s="62" t="s">
        <v>714</v>
      </c>
      <c r="O340" s="61"/>
      <c r="P340" s="60"/>
      <c r="Q340" s="75"/>
      <c r="R340" s="75"/>
      <c r="S340" s="75"/>
      <c r="T340" s="75"/>
      <c r="U340" s="75"/>
      <c r="V340" s="75"/>
      <c r="W340" s="75"/>
      <c r="X340" s="75"/>
      <c r="Y340" s="75"/>
    </row>
    <row r="341" spans="2:25" ht="20.25" hidden="1" customHeight="1" x14ac:dyDescent="0.45">
      <c r="B341" s="86" t="s">
        <v>1021</v>
      </c>
      <c r="C341" s="74" t="s">
        <v>1022</v>
      </c>
      <c r="D341" s="74" t="s">
        <v>1021</v>
      </c>
      <c r="E341" s="75">
        <v>1</v>
      </c>
      <c r="F341" s="74" t="s">
        <v>1023</v>
      </c>
      <c r="G341" s="74" t="s">
        <v>1024</v>
      </c>
      <c r="H341" s="74" t="s">
        <v>785</v>
      </c>
      <c r="I341" s="75">
        <v>7</v>
      </c>
      <c r="J341" s="60" t="s">
        <v>685</v>
      </c>
      <c r="K341" s="61">
        <v>20</v>
      </c>
      <c r="L341" s="61"/>
      <c r="M341" s="62" t="s">
        <v>786</v>
      </c>
      <c r="N341" s="62" t="s">
        <v>787</v>
      </c>
      <c r="O341" s="61"/>
      <c r="P341" s="76" t="s">
        <v>1025</v>
      </c>
      <c r="Q341" s="75"/>
      <c r="R341" s="75"/>
      <c r="S341" s="75"/>
      <c r="T341" s="75"/>
      <c r="U341" s="75"/>
      <c r="V341" s="75"/>
      <c r="W341" s="75"/>
      <c r="X341" s="75"/>
      <c r="Y341" s="75"/>
    </row>
    <row r="342" spans="2:25" ht="20.25" hidden="1" customHeight="1" x14ac:dyDescent="0.45">
      <c r="B342" s="86" t="s">
        <v>978</v>
      </c>
      <c r="C342" s="74" t="s">
        <v>979</v>
      </c>
      <c r="D342" s="74" t="s">
        <v>980</v>
      </c>
      <c r="E342" s="75">
        <v>1</v>
      </c>
      <c r="F342" s="74" t="s">
        <v>789</v>
      </c>
      <c r="G342" s="123" t="s">
        <v>790</v>
      </c>
      <c r="H342" s="74" t="s">
        <v>785</v>
      </c>
      <c r="I342" s="75">
        <v>12</v>
      </c>
      <c r="J342" s="60" t="s">
        <v>748</v>
      </c>
      <c r="K342" s="61">
        <v>20</v>
      </c>
      <c r="L342" s="61">
        <v>0</v>
      </c>
      <c r="M342" s="62" t="s">
        <v>791</v>
      </c>
      <c r="N342" s="62" t="s">
        <v>792</v>
      </c>
      <c r="O342" s="61"/>
      <c r="P342" s="60" t="s">
        <v>793</v>
      </c>
      <c r="Q342" s="75"/>
      <c r="R342" s="75"/>
      <c r="S342" s="75"/>
      <c r="T342" s="75"/>
      <c r="U342" s="75"/>
      <c r="V342" s="75"/>
      <c r="W342" s="75"/>
      <c r="X342" s="75"/>
      <c r="Y342" s="75"/>
    </row>
    <row r="343" spans="2:25" ht="20.25" hidden="1" customHeight="1" x14ac:dyDescent="0.45">
      <c r="B343" s="86" t="s">
        <v>1021</v>
      </c>
      <c r="C343" s="74" t="s">
        <v>1022</v>
      </c>
      <c r="D343" s="74" t="s">
        <v>1021</v>
      </c>
      <c r="E343" s="75">
        <v>1</v>
      </c>
      <c r="F343" s="74" t="s">
        <v>794</v>
      </c>
      <c r="G343" s="74" t="s">
        <v>795</v>
      </c>
      <c r="H343" s="74" t="s">
        <v>785</v>
      </c>
      <c r="I343" s="75">
        <v>9</v>
      </c>
      <c r="J343" s="60" t="s">
        <v>685</v>
      </c>
      <c r="K343" s="61">
        <v>4</v>
      </c>
      <c r="L343" s="61"/>
      <c r="M343" s="62" t="s">
        <v>796</v>
      </c>
      <c r="N343" s="62"/>
      <c r="O343" s="61"/>
      <c r="P343" s="60"/>
      <c r="Q343" s="71"/>
      <c r="R343" s="71"/>
      <c r="S343" s="71"/>
      <c r="T343" s="71"/>
      <c r="U343" s="71"/>
      <c r="V343" s="71"/>
      <c r="W343" s="71"/>
      <c r="X343" s="71"/>
      <c r="Y343" s="71"/>
    </row>
    <row r="344" spans="2:25" ht="20.25" hidden="1" customHeight="1" x14ac:dyDescent="0.45">
      <c r="B344" s="86" t="s">
        <v>1021</v>
      </c>
      <c r="C344" s="74" t="s">
        <v>1022</v>
      </c>
      <c r="D344" s="74" t="s">
        <v>1021</v>
      </c>
      <c r="E344" s="75">
        <v>1</v>
      </c>
      <c r="F344" s="74" t="s">
        <v>732</v>
      </c>
      <c r="G344" s="74" t="s">
        <v>732</v>
      </c>
      <c r="H344" s="74" t="s">
        <v>733</v>
      </c>
      <c r="I344" s="75">
        <v>10</v>
      </c>
      <c r="J344" s="60" t="s">
        <v>685</v>
      </c>
      <c r="K344" s="61">
        <v>10</v>
      </c>
      <c r="L344" s="61"/>
      <c r="M344" s="62" t="s">
        <v>734</v>
      </c>
      <c r="N344" s="62" t="s">
        <v>765</v>
      </c>
      <c r="O344" s="61" t="s">
        <v>688</v>
      </c>
      <c r="P344" s="60"/>
      <c r="Q344" s="75"/>
      <c r="R344" s="75"/>
      <c r="S344" s="75"/>
      <c r="T344" s="75"/>
      <c r="U344" s="75"/>
      <c r="V344" s="75"/>
      <c r="W344" s="75"/>
      <c r="X344" s="75"/>
      <c r="Y344" s="75"/>
    </row>
    <row r="345" spans="2:25" ht="20.25" hidden="1" customHeight="1" x14ac:dyDescent="0.45">
      <c r="B345" s="86" t="s">
        <v>1021</v>
      </c>
      <c r="C345" s="74" t="s">
        <v>1022</v>
      </c>
      <c r="D345" s="74" t="s">
        <v>1021</v>
      </c>
      <c r="E345" s="75">
        <v>1</v>
      </c>
      <c r="F345" s="74" t="s">
        <v>736</v>
      </c>
      <c r="G345" s="74" t="s">
        <v>736</v>
      </c>
      <c r="H345" s="74" t="s">
        <v>717</v>
      </c>
      <c r="I345" s="75">
        <v>11</v>
      </c>
      <c r="J345" s="60" t="s">
        <v>737</v>
      </c>
      <c r="K345" s="61"/>
      <c r="L345" s="61"/>
      <c r="M345" s="62" t="s">
        <v>738</v>
      </c>
      <c r="N345" s="62" t="s">
        <v>739</v>
      </c>
      <c r="O345" s="61"/>
      <c r="P345" s="60"/>
      <c r="Q345" s="61"/>
      <c r="R345" s="61"/>
      <c r="S345" s="61"/>
      <c r="T345" s="61"/>
      <c r="U345" s="61"/>
      <c r="V345" s="61"/>
      <c r="W345" s="61"/>
      <c r="X345" s="61"/>
      <c r="Y345" s="61"/>
    </row>
    <row r="346" spans="2:25" ht="20.25" hidden="1" customHeight="1" x14ac:dyDescent="0.45">
      <c r="B346" s="86" t="s">
        <v>1021</v>
      </c>
      <c r="C346" s="74" t="s">
        <v>1026</v>
      </c>
      <c r="D346" s="74" t="s">
        <v>1027</v>
      </c>
      <c r="E346" s="75">
        <v>2</v>
      </c>
      <c r="F346" s="74" t="s">
        <v>682</v>
      </c>
      <c r="G346" s="74" t="s">
        <v>683</v>
      </c>
      <c r="H346" s="74" t="s">
        <v>684</v>
      </c>
      <c r="I346" s="75">
        <v>1</v>
      </c>
      <c r="J346" s="60" t="s">
        <v>685</v>
      </c>
      <c r="K346" s="61">
        <v>20</v>
      </c>
      <c r="L346" s="61"/>
      <c r="M346" s="62" t="s">
        <v>686</v>
      </c>
      <c r="N346" s="62" t="s">
        <v>687</v>
      </c>
      <c r="O346" s="61" t="s">
        <v>688</v>
      </c>
      <c r="P346" s="60"/>
      <c r="Q346" s="61"/>
      <c r="R346" s="61"/>
      <c r="S346" s="61"/>
      <c r="T346" s="61"/>
      <c r="U346" s="61"/>
      <c r="V346" s="61"/>
      <c r="W346" s="61"/>
      <c r="X346" s="61"/>
      <c r="Y346" s="61"/>
    </row>
    <row r="347" spans="2:25" ht="20.25" hidden="1" customHeight="1" x14ac:dyDescent="0.45">
      <c r="B347" s="86" t="s">
        <v>1021</v>
      </c>
      <c r="C347" s="74" t="s">
        <v>1026</v>
      </c>
      <c r="D347" s="74" t="s">
        <v>1027</v>
      </c>
      <c r="E347" s="75">
        <v>2</v>
      </c>
      <c r="F347" s="74" t="s">
        <v>689</v>
      </c>
      <c r="G347" s="74" t="s">
        <v>690</v>
      </c>
      <c r="H347" s="74" t="s">
        <v>684</v>
      </c>
      <c r="I347" s="75">
        <v>2</v>
      </c>
      <c r="J347" s="60" t="s">
        <v>685</v>
      </c>
      <c r="K347" s="61">
        <v>30</v>
      </c>
      <c r="L347" s="61"/>
      <c r="M347" s="62" t="s">
        <v>691</v>
      </c>
      <c r="N347" s="62" t="s">
        <v>692</v>
      </c>
      <c r="O347" s="61" t="s">
        <v>688</v>
      </c>
      <c r="P347" s="60"/>
      <c r="Q347" s="61"/>
      <c r="R347" s="61"/>
      <c r="S347" s="61"/>
      <c r="T347" s="61"/>
      <c r="U347" s="61"/>
      <c r="V347" s="61"/>
      <c r="W347" s="61"/>
      <c r="X347" s="61"/>
      <c r="Y347" s="61"/>
    </row>
    <row r="348" spans="2:25" ht="20.25" hidden="1" customHeight="1" x14ac:dyDescent="0.45">
      <c r="B348" s="86" t="s">
        <v>1021</v>
      </c>
      <c r="C348" s="74" t="s">
        <v>1026</v>
      </c>
      <c r="D348" s="74" t="s">
        <v>1027</v>
      </c>
      <c r="E348" s="75">
        <v>2</v>
      </c>
      <c r="F348" s="74" t="s">
        <v>821</v>
      </c>
      <c r="G348" s="74" t="s">
        <v>822</v>
      </c>
      <c r="H348" s="74" t="s">
        <v>878</v>
      </c>
      <c r="I348" s="75">
        <v>3</v>
      </c>
      <c r="J348" s="60" t="s">
        <v>685</v>
      </c>
      <c r="K348" s="61">
        <v>20</v>
      </c>
      <c r="L348" s="61"/>
      <c r="M348" s="62" t="s">
        <v>823</v>
      </c>
      <c r="N348" s="62" t="s">
        <v>824</v>
      </c>
      <c r="O348" s="61" t="s">
        <v>688</v>
      </c>
      <c r="P348" s="60" t="s">
        <v>825</v>
      </c>
      <c r="Q348" s="61"/>
      <c r="R348" s="61"/>
      <c r="S348" s="61"/>
      <c r="T348" s="61"/>
      <c r="U348" s="61"/>
      <c r="V348" s="61"/>
      <c r="W348" s="61"/>
      <c r="X348" s="61"/>
      <c r="Y348" s="61"/>
    </row>
    <row r="349" spans="2:25" ht="20.25" hidden="1" customHeight="1" x14ac:dyDescent="0.45">
      <c r="B349" s="86" t="s">
        <v>1021</v>
      </c>
      <c r="C349" s="74" t="s">
        <v>1026</v>
      </c>
      <c r="D349" s="74" t="s">
        <v>1027</v>
      </c>
      <c r="E349" s="75">
        <v>2</v>
      </c>
      <c r="F349" s="74" t="s">
        <v>826</v>
      </c>
      <c r="G349" s="74" t="s">
        <v>827</v>
      </c>
      <c r="H349" s="74" t="s">
        <v>879</v>
      </c>
      <c r="I349" s="75">
        <v>4</v>
      </c>
      <c r="J349" s="60" t="s">
        <v>737</v>
      </c>
      <c r="K349" s="61"/>
      <c r="L349" s="61"/>
      <c r="M349" s="62" t="s">
        <v>828</v>
      </c>
      <c r="N349" s="62" t="s">
        <v>829</v>
      </c>
      <c r="O349" s="61" t="s">
        <v>688</v>
      </c>
      <c r="P349" s="60"/>
      <c r="Q349" s="61"/>
      <c r="R349" s="61"/>
      <c r="S349" s="61"/>
      <c r="T349" s="61"/>
      <c r="U349" s="61"/>
      <c r="V349" s="61"/>
      <c r="W349" s="61"/>
      <c r="X349" s="61"/>
      <c r="Y349" s="61"/>
    </row>
    <row r="350" spans="2:25" ht="20.25" hidden="1" customHeight="1" x14ac:dyDescent="0.45">
      <c r="B350" s="86" t="s">
        <v>1021</v>
      </c>
      <c r="C350" s="74" t="s">
        <v>1026</v>
      </c>
      <c r="D350" s="74" t="s">
        <v>1027</v>
      </c>
      <c r="E350" s="75">
        <v>2</v>
      </c>
      <c r="F350" s="74" t="s">
        <v>830</v>
      </c>
      <c r="G350" s="74" t="s">
        <v>831</v>
      </c>
      <c r="H350" s="74" t="s">
        <v>891</v>
      </c>
      <c r="I350" s="75">
        <v>5</v>
      </c>
      <c r="J350" s="60" t="s">
        <v>685</v>
      </c>
      <c r="K350" s="61">
        <v>20</v>
      </c>
      <c r="L350" s="61"/>
      <c r="M350" s="62" t="s">
        <v>800</v>
      </c>
      <c r="N350" s="62" t="s">
        <v>801</v>
      </c>
      <c r="O350" s="61"/>
      <c r="P350" s="60" t="s">
        <v>802</v>
      </c>
      <c r="Q350" s="61"/>
      <c r="R350" s="61"/>
      <c r="S350" s="61"/>
      <c r="T350" s="61"/>
      <c r="U350" s="61"/>
      <c r="V350" s="61"/>
      <c r="W350" s="61"/>
      <c r="X350" s="61"/>
      <c r="Y350" s="61"/>
    </row>
    <row r="351" spans="2:25" ht="20.25" hidden="1" customHeight="1" x14ac:dyDescent="0.45">
      <c r="B351" s="86" t="s">
        <v>1021</v>
      </c>
      <c r="C351" s="74" t="s">
        <v>1026</v>
      </c>
      <c r="D351" s="74" t="s">
        <v>1027</v>
      </c>
      <c r="E351" s="75">
        <v>2</v>
      </c>
      <c r="F351" s="74" t="s">
        <v>832</v>
      </c>
      <c r="G351" s="74" t="s">
        <v>833</v>
      </c>
      <c r="H351" s="74" t="s">
        <v>892</v>
      </c>
      <c r="I351" s="75">
        <v>6</v>
      </c>
      <c r="J351" s="60" t="s">
        <v>748</v>
      </c>
      <c r="K351" s="61">
        <v>23</v>
      </c>
      <c r="L351" s="61">
        <v>6</v>
      </c>
      <c r="M351" s="62" t="s">
        <v>834</v>
      </c>
      <c r="N351" s="62" t="s">
        <v>835</v>
      </c>
      <c r="O351" s="61"/>
      <c r="P351" s="60"/>
      <c r="Q351" s="61"/>
      <c r="R351" s="61"/>
      <c r="S351" s="61"/>
      <c r="T351" s="61"/>
      <c r="U351" s="61"/>
      <c r="V351" s="61"/>
      <c r="W351" s="61"/>
      <c r="X351" s="61"/>
      <c r="Y351" s="61"/>
    </row>
    <row r="352" spans="2:25" ht="20.25" hidden="1" customHeight="1" x14ac:dyDescent="0.45">
      <c r="B352" s="86" t="s">
        <v>1021</v>
      </c>
      <c r="C352" s="74" t="s">
        <v>1026</v>
      </c>
      <c r="D352" s="74" t="s">
        <v>1027</v>
      </c>
      <c r="E352" s="75">
        <v>2</v>
      </c>
      <c r="F352" s="74" t="s">
        <v>732</v>
      </c>
      <c r="G352" s="74" t="s">
        <v>732</v>
      </c>
      <c r="H352" s="74" t="s">
        <v>733</v>
      </c>
      <c r="I352" s="75">
        <v>7</v>
      </c>
      <c r="J352" s="60" t="s">
        <v>685</v>
      </c>
      <c r="K352" s="61">
        <v>10</v>
      </c>
      <c r="L352" s="61"/>
      <c r="M352" s="62" t="s">
        <v>734</v>
      </c>
      <c r="N352" s="62" t="s">
        <v>765</v>
      </c>
      <c r="O352" s="61" t="s">
        <v>688</v>
      </c>
      <c r="P352" s="60"/>
      <c r="Q352" s="61"/>
      <c r="R352" s="61"/>
      <c r="S352" s="61"/>
      <c r="T352" s="61"/>
      <c r="U352" s="61"/>
      <c r="V352" s="61"/>
      <c r="W352" s="61"/>
      <c r="X352" s="61"/>
      <c r="Y352" s="61"/>
    </row>
    <row r="353" spans="2:25" ht="20.25" hidden="1" customHeight="1" x14ac:dyDescent="0.45">
      <c r="B353" s="86" t="s">
        <v>1021</v>
      </c>
      <c r="C353" s="74" t="s">
        <v>1026</v>
      </c>
      <c r="D353" s="74" t="s">
        <v>1027</v>
      </c>
      <c r="E353" s="75">
        <v>2</v>
      </c>
      <c r="F353" s="74" t="s">
        <v>736</v>
      </c>
      <c r="G353" s="74" t="s">
        <v>736</v>
      </c>
      <c r="H353" s="74" t="s">
        <v>717</v>
      </c>
      <c r="I353" s="75">
        <v>8</v>
      </c>
      <c r="J353" s="60" t="s">
        <v>737</v>
      </c>
      <c r="K353" s="61"/>
      <c r="L353" s="61"/>
      <c r="M353" s="62" t="s">
        <v>738</v>
      </c>
      <c r="N353" s="62" t="s">
        <v>739</v>
      </c>
      <c r="O353" s="61"/>
      <c r="P353" s="60"/>
      <c r="Q353" s="61"/>
      <c r="R353" s="61"/>
      <c r="S353" s="61"/>
      <c r="T353" s="61"/>
      <c r="U353" s="61"/>
      <c r="V353" s="61"/>
      <c r="W353" s="61"/>
      <c r="X353" s="61"/>
      <c r="Y353" s="61"/>
    </row>
    <row r="354" spans="2:25" ht="20.25" hidden="1" customHeight="1" x14ac:dyDescent="0.45">
      <c r="B354" s="87" t="s">
        <v>1021</v>
      </c>
      <c r="C354" s="74" t="s">
        <v>1022</v>
      </c>
      <c r="D354" s="74" t="s">
        <v>1021</v>
      </c>
      <c r="E354" s="75"/>
      <c r="F354" s="74" t="s">
        <v>857</v>
      </c>
      <c r="G354" s="74" t="s">
        <v>858</v>
      </c>
      <c r="H354" s="74" t="s">
        <v>891</v>
      </c>
      <c r="I354" s="75">
        <v>12</v>
      </c>
      <c r="J354" s="60" t="s">
        <v>685</v>
      </c>
      <c r="K354" s="61">
        <v>20</v>
      </c>
      <c r="L354" s="61"/>
      <c r="M354" s="62" t="s">
        <v>800</v>
      </c>
      <c r="N354" s="62"/>
      <c r="O354" s="61"/>
      <c r="P354" s="60"/>
      <c r="Q354" s="60"/>
      <c r="R354" s="60"/>
      <c r="S354" s="60"/>
      <c r="T354" s="60"/>
      <c r="U354" s="60"/>
      <c r="V354" s="60"/>
      <c r="W354" s="60"/>
      <c r="X354" s="60"/>
      <c r="Y354" s="60"/>
    </row>
    <row r="355" spans="2:25" ht="20.25" hidden="1" customHeight="1" x14ac:dyDescent="0.45">
      <c r="B355" s="87" t="s">
        <v>1021</v>
      </c>
      <c r="C355" s="74" t="s">
        <v>1022</v>
      </c>
      <c r="D355" s="74" t="s">
        <v>1021</v>
      </c>
      <c r="E355" s="75"/>
      <c r="F355" s="74" t="s">
        <v>1028</v>
      </c>
      <c r="G355" s="124" t="s">
        <v>1029</v>
      </c>
      <c r="H355" s="74"/>
      <c r="I355" s="75">
        <v>13</v>
      </c>
      <c r="J355" s="60" t="s">
        <v>685</v>
      </c>
      <c r="K355" s="61">
        <v>20</v>
      </c>
      <c r="L355" s="61"/>
      <c r="M355" s="62" t="s">
        <v>1030</v>
      </c>
      <c r="N355" s="62"/>
      <c r="O355" s="61"/>
      <c r="P355" s="60"/>
      <c r="Q355" s="60"/>
      <c r="R355" s="60"/>
      <c r="S355" s="60"/>
      <c r="T355" s="60"/>
      <c r="U355" s="60"/>
      <c r="V355" s="60"/>
      <c r="W355" s="60"/>
      <c r="X355" s="60"/>
      <c r="Y355" s="60"/>
    </row>
    <row r="356" spans="2:25" ht="20.25" hidden="1" customHeight="1" x14ac:dyDescent="0.45">
      <c r="B356" s="86" t="s">
        <v>1021</v>
      </c>
      <c r="C356" s="74" t="s">
        <v>1022</v>
      </c>
      <c r="D356" s="74" t="s">
        <v>1021</v>
      </c>
      <c r="E356" s="75"/>
      <c r="F356" s="74" t="s">
        <v>1031</v>
      </c>
      <c r="G356" s="124" t="s">
        <v>1032</v>
      </c>
      <c r="H356" s="74" t="s">
        <v>785</v>
      </c>
      <c r="I356" s="75">
        <v>14</v>
      </c>
      <c r="J356" s="60" t="s">
        <v>685</v>
      </c>
      <c r="K356" s="61">
        <v>20</v>
      </c>
      <c r="L356" s="61"/>
      <c r="M356" s="62" t="s">
        <v>1033</v>
      </c>
      <c r="N356" s="62"/>
      <c r="O356" s="61"/>
      <c r="P356" s="60"/>
      <c r="Q356" s="60"/>
      <c r="R356" s="60"/>
      <c r="S356" s="60"/>
      <c r="T356" s="60"/>
      <c r="U356" s="60"/>
      <c r="V356" s="60"/>
      <c r="W356" s="60"/>
      <c r="X356" s="60"/>
      <c r="Y356" s="60"/>
    </row>
    <row r="358" spans="2:25" x14ac:dyDescent="0.45">
      <c r="G358" s="59">
        <f>LEN(G230)</f>
        <v>29</v>
      </c>
    </row>
  </sheetData>
  <sortState xmlns:xlrd2="http://schemas.microsoft.com/office/spreadsheetml/2017/richdata2" ref="B8:Y137">
    <sortCondition ref="C8:C137"/>
    <sortCondition ref="I8:I137"/>
  </sortState>
  <mergeCells count="7">
    <mergeCell ref="V5:X5"/>
    <mergeCell ref="V6:X6"/>
    <mergeCell ref="B5:P5"/>
    <mergeCell ref="B6:P6"/>
    <mergeCell ref="Q5:U5"/>
    <mergeCell ref="Q6:S6"/>
    <mergeCell ref="T6:U6"/>
  </mergeCells>
  <pageMargins left="0.7" right="0.7" top="0.75" bottom="0.75" header="0.3" footer="0.3"/>
  <pageSetup paperSize="9" orientation="landscape" r:id="rId1"/>
  <headerFooter>
    <oddHeader>&amp;L&amp;"Calibri"&amp;10&amp;K000000Confidential&amp;1#</oddHeader>
  </headerFooter>
  <drawing r:id="rId2"/>
  <legacyDrawing r:id="rId3"/>
  <tableParts count="1"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A0874B5E92DDC43AEE9A598BB9F45F7" ma:contentTypeVersion="12" ma:contentTypeDescription="Criar um novo documento." ma:contentTypeScope="" ma:versionID="1509009f9b7b1dce59e9e21f90ab9352">
  <xsd:schema xmlns:xsd="http://www.w3.org/2001/XMLSchema" xmlns:xs="http://www.w3.org/2001/XMLSchema" xmlns:p="http://schemas.microsoft.com/office/2006/metadata/properties" xmlns:ns1="http://schemas.microsoft.com/sharepoint/v3" xmlns:ns2="7e9fc0bb-f42e-43f2-a091-cd3934e0c13a" xmlns:ns3="dc8fc085-6a91-48fb-bf75-c0d915972d0a" targetNamespace="http://schemas.microsoft.com/office/2006/metadata/properties" ma:root="true" ma:fieldsID="8c10f57f2984d5a603deab6016d31474" ns1:_="" ns2:_="" ns3:_="">
    <xsd:import namespace="http://schemas.microsoft.com/sharepoint/v3"/>
    <xsd:import namespace="7e9fc0bb-f42e-43f2-a091-cd3934e0c13a"/>
    <xsd:import namespace="dc8fc085-6a91-48fb-bf75-c0d915972d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9fc0bb-f42e-43f2-a091-cd3934e0c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fc085-6a91-48fb-bf75-c0d915972d0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257611f-fee0-4f9c-9dc9-51d9b978f713}" ma:internalName="TaxCatchAll" ma:showField="CatchAllData" ma:web="dc8fc085-6a91-48fb-bf75-c0d915972d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e9fc0bb-f42e-43f2-a091-cd3934e0c13a">
      <Terms xmlns="http://schemas.microsoft.com/office/infopath/2007/PartnerControls"/>
    </lcf76f155ced4ddcb4097134ff3c332f>
    <TaxCatchAll xmlns="dc8fc085-6a91-48fb-bf75-c0d915972d0a" xsi:nil="true"/>
  </documentManagement>
</p:properties>
</file>

<file path=customXml/itemProps1.xml><?xml version="1.0" encoding="utf-8"?>
<ds:datastoreItem xmlns:ds="http://schemas.openxmlformats.org/officeDocument/2006/customXml" ds:itemID="{222E066E-E667-444D-B7E8-226754C02B8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B26A83D-69DC-431B-8375-BA66D5780A9F}"/>
</file>

<file path=customXml/itemProps3.xml><?xml version="1.0" encoding="utf-8"?>
<ds:datastoreItem xmlns:ds="http://schemas.openxmlformats.org/officeDocument/2006/customXml" ds:itemID="{FEAB6715-D769-4E20-B024-B67BB68334F0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da1f45ea-4c52-475b-875e-b5f03964b6fb"/>
    <ds:schemaRef ds:uri="http://purl.org/dc/elements/1.1/"/>
    <ds:schemaRef ds:uri="http://schemas.microsoft.com/office/2006/metadata/properties"/>
    <ds:schemaRef ds:uri="http://schemas.microsoft.com/office/2006/documentManagement/types"/>
    <ds:schemaRef ds:uri="34850d16-5232-44f7-99df-c871ab8726b2"/>
    <ds:schemaRef ds:uri="http://schemas.microsoft.com/sharepoint/v3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Capa</vt:lpstr>
      <vt:lpstr>Lista</vt:lpstr>
      <vt:lpstr>Sheet1</vt:lpstr>
      <vt:lpstr>Sheet2</vt:lpstr>
      <vt:lpstr>Sheet5</vt:lpstr>
      <vt:lpstr>Sheet3</vt:lpstr>
      <vt:lpstr>Sheet4</vt:lpstr>
      <vt:lpstr>Tabelas</vt:lpstr>
    </vt:vector>
  </TitlesOfParts>
  <Manager/>
  <Company>Grupo Santander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Joana Filipa Rodrigues Marques</dc:creator>
  <cp:keywords/>
  <dc:description/>
  <cp:lastModifiedBy>Luis Afonso Capitão-Mor Costa Silva</cp:lastModifiedBy>
  <cp:revision/>
  <dcterms:created xsi:type="dcterms:W3CDTF">2023-01-24T18:52:31Z</dcterms:created>
  <dcterms:modified xsi:type="dcterms:W3CDTF">2024-01-02T18:58:09Z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0x010100AA0874B5E92DDC43AEE9A598BB9F45F7</vt:lpwstr>
  </property>
  <property fmtid="{D5CDD505-2E9C-101B-9397-08002B2CF9AE}" pid="3" name="MediaServiceImageTags">
    <vt:lpwstr/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SV_HIDDEN_GRID_QUERY_LIST_4F35BF76-6C0D-4D9B-82B2-816C12CF3733">
    <vt:lpwstr>empty_477D106A-C0D6-4607-AEBD-E2C9D60EA279</vt:lpwstr>
  </property>
  <property fmtid="{D5CDD505-2E9C-101B-9397-08002B2CF9AE}" pid="6" name="MSIP_Label_3c41c091-3cbc-4dba-8b59-ce62f19500db_Enabled">
    <vt:lpwstr>true</vt:lpwstr>
  </property>
  <property fmtid="{D5CDD505-2E9C-101B-9397-08002B2CF9AE}" pid="7" name="MSIP_Label_3c41c091-3cbc-4dba-8b59-ce62f19500db_SetDate">
    <vt:lpwstr>2023-12-13T22:36:56Z</vt:lpwstr>
  </property>
  <property fmtid="{D5CDD505-2E9C-101B-9397-08002B2CF9AE}" pid="8" name="MSIP_Label_3c41c091-3cbc-4dba-8b59-ce62f19500db_Method">
    <vt:lpwstr>Privileged</vt:lpwstr>
  </property>
  <property fmtid="{D5CDD505-2E9C-101B-9397-08002B2CF9AE}" pid="9" name="MSIP_Label_3c41c091-3cbc-4dba-8b59-ce62f19500db_Name">
    <vt:lpwstr>Confidential_0_1</vt:lpwstr>
  </property>
  <property fmtid="{D5CDD505-2E9C-101B-9397-08002B2CF9AE}" pid="10" name="MSIP_Label_3c41c091-3cbc-4dba-8b59-ce62f19500db_SiteId">
    <vt:lpwstr>35595a02-4d6d-44ac-99e1-f9ab4cd872db</vt:lpwstr>
  </property>
  <property fmtid="{D5CDD505-2E9C-101B-9397-08002B2CF9AE}" pid="11" name="MSIP_Label_3c41c091-3cbc-4dba-8b59-ce62f19500db_ActionId">
    <vt:lpwstr>68f301b6-4516-49f3-9260-1037794d517c</vt:lpwstr>
  </property>
  <property fmtid="{D5CDD505-2E9C-101B-9397-08002B2CF9AE}" pid="12" name="MSIP_Label_3c41c091-3cbc-4dba-8b59-ce62f19500db_ContentBits">
    <vt:lpwstr>1</vt:lpwstr>
  </property>
</Properties>
</file>