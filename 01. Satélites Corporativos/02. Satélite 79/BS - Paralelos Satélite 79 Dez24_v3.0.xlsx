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Satélites Corporativos/02. Satélite 79/"/>
    </mc:Choice>
  </mc:AlternateContent>
  <bookViews>
    <workbookView xWindow="0" yWindow="0" windowWidth="28800" windowHeight="12180" activeTab="1"/>
  </bookViews>
  <sheets>
    <sheet name="Comparativo s adjudicados" sheetId="1" r:id="rId1"/>
    <sheet name="Comparativo - Deltas Granul" sheetId="2" r:id="rId2"/>
    <sheet name="Sat79 - Tático Dez 24" sheetId="3" r:id="rId3"/>
    <sheet name="Sat 79 - Sol. Estrutural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" l="1"/>
  <c r="F28" i="2"/>
  <c r="Z27" i="2" l="1"/>
  <c r="W27" i="2"/>
  <c r="T27" i="2"/>
  <c r="Q27" i="2"/>
  <c r="N27" i="2"/>
  <c r="K27" i="2"/>
  <c r="Z26" i="2"/>
  <c r="W26" i="2"/>
  <c r="T26" i="2"/>
  <c r="Q26" i="2"/>
  <c r="N26" i="2"/>
  <c r="K26" i="2"/>
  <c r="Z25" i="2"/>
  <c r="W25" i="2"/>
  <c r="T25" i="2"/>
  <c r="Q25" i="2"/>
  <c r="N25" i="2"/>
  <c r="K25" i="2"/>
  <c r="Z24" i="2"/>
  <c r="W24" i="2"/>
  <c r="T24" i="2"/>
  <c r="Q24" i="2"/>
  <c r="N24" i="2"/>
  <c r="K24" i="2"/>
  <c r="Z23" i="2"/>
  <c r="W23" i="2"/>
  <c r="T23" i="2"/>
  <c r="Q23" i="2"/>
  <c r="N23" i="2"/>
  <c r="K23" i="2"/>
  <c r="Z22" i="2"/>
  <c r="W22" i="2"/>
  <c r="T22" i="2"/>
  <c r="Q22" i="2"/>
  <c r="N22" i="2"/>
  <c r="K22" i="2"/>
  <c r="Z21" i="2"/>
  <c r="W21" i="2"/>
  <c r="T21" i="2"/>
  <c r="Q21" i="2"/>
  <c r="N21" i="2"/>
  <c r="Z20" i="2"/>
  <c r="W20" i="2"/>
  <c r="T20" i="2"/>
  <c r="Q20" i="2"/>
  <c r="N20" i="2"/>
  <c r="Z19" i="2"/>
  <c r="W19" i="2"/>
  <c r="T19" i="2"/>
  <c r="Q19" i="2"/>
  <c r="N19" i="2"/>
  <c r="K19" i="2"/>
  <c r="Z18" i="2"/>
  <c r="W18" i="2"/>
  <c r="T18" i="2"/>
  <c r="Q18" i="2"/>
  <c r="N18" i="2"/>
  <c r="K18" i="2"/>
  <c r="Z17" i="2"/>
  <c r="W17" i="2"/>
  <c r="T17" i="2"/>
  <c r="Q17" i="2"/>
  <c r="N17" i="2"/>
  <c r="K17" i="2"/>
  <c r="Z16" i="2"/>
  <c r="W16" i="2"/>
  <c r="T16" i="2"/>
  <c r="Q16" i="2"/>
  <c r="N16" i="2"/>
  <c r="K16" i="2"/>
  <c r="H16" i="2"/>
  <c r="Z15" i="2"/>
  <c r="Q15" i="2"/>
  <c r="H15" i="2"/>
  <c r="Z14" i="2"/>
  <c r="W14" i="2"/>
  <c r="S14" i="2"/>
  <c r="R14" i="2"/>
  <c r="T14" i="2" s="1"/>
  <c r="O14" i="2"/>
  <c r="Q14" i="2" s="1"/>
  <c r="M14" i="2"/>
  <c r="L14" i="2"/>
  <c r="J14" i="2"/>
  <c r="I14" i="2"/>
  <c r="K14" i="2" s="1"/>
  <c r="H14" i="2"/>
  <c r="P13" i="2"/>
  <c r="O13" i="2"/>
  <c r="H13" i="2"/>
  <c r="Z12" i="2"/>
  <c r="W12" i="2"/>
  <c r="S12" i="2"/>
  <c r="R12" i="2"/>
  <c r="P12" i="2"/>
  <c r="Q12" i="2" s="1"/>
  <c r="O12" i="2"/>
  <c r="M12" i="2"/>
  <c r="L12" i="2"/>
  <c r="J12" i="2"/>
  <c r="K12" i="2" s="1"/>
  <c r="I12" i="2"/>
  <c r="H12" i="2"/>
  <c r="N14" i="2" l="1"/>
  <c r="N12" i="2"/>
  <c r="H28" i="2"/>
  <c r="T12" i="2"/>
</calcChain>
</file>

<file path=xl/sharedStrings.xml><?xml version="1.0" encoding="utf-8"?>
<sst xmlns="http://schemas.openxmlformats.org/spreadsheetml/2006/main" count="824" uniqueCount="53">
  <si>
    <t>Satélite 79 reportado no exercício tático do Pilar III em ESG - Dezembro 2024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</si>
  <si>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</si>
  <si>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</si>
  <si>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</si>
  <si>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</si>
  <si>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</si>
  <si>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</si>
  <si>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</si>
  <si>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</si>
  <si>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</si>
  <si>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</si>
  <si>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</si>
  <si>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</si>
  <si>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</si>
  <si>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Dez24 Tático</t>
  </si>
  <si>
    <t>Dez24 Estrutural</t>
  </si>
  <si>
    <t>∆</t>
  </si>
  <si>
    <t>00411</t>
  </si>
  <si>
    <t>00000</t>
  </si>
  <si>
    <t>BI00411</t>
  </si>
  <si>
    <t>CONT1;HFS1;B01;MC1005;ORIG4;TYVA01;MESG4</t>
  </si>
  <si>
    <t>CONT1;HFS1;B01;MC1005;ORIG4;TYVA02</t>
  </si>
  <si>
    <t>ACUT1</t>
  </si>
  <si>
    <t>ACUT2</t>
  </si>
  <si>
    <t>CONT1;HFS2;B01;MC06;ACPF3;SC0302;TYVA01;MESG4</t>
  </si>
  <si>
    <t>EU1</t>
  </si>
  <si>
    <t>CHRO2</t>
  </si>
  <si>
    <t>GEO3</t>
  </si>
  <si>
    <t>CONT1;HFS2;B01;MC06;ACPF5;SC0302;TYVA01;MESG4</t>
  </si>
  <si>
    <t>EU2</t>
  </si>
  <si>
    <t>GEO2</t>
  </si>
  <si>
    <t>CONT1;HFS2;B01;MC06;ACPF5;SC0303;TYVA01;EXC2;MESG4</t>
  </si>
  <si>
    <t>CNAEL18</t>
  </si>
  <si>
    <t>NACE19010303</t>
  </si>
  <si>
    <t>GEO18</t>
  </si>
  <si>
    <t>CNAEL11</t>
  </si>
  <si>
    <t>NACE12010101</t>
  </si>
  <si>
    <t>CNAEL3</t>
  </si>
  <si>
    <t>NACE03200302</t>
  </si>
  <si>
    <t>01333</t>
  </si>
  <si>
    <t>CONT1;HFS2;B01;MC08;TYVA01;INVS4;MESG4</t>
  </si>
  <si>
    <t>03162</t>
  </si>
  <si>
    <t>00421</t>
  </si>
  <si>
    <t>00442</t>
  </si>
  <si>
    <t>CONT1;HFS2;B01;MC08;TYVA01;INVS5;EXC2;MESG4</t>
  </si>
  <si>
    <t>CNAEL6</t>
  </si>
  <si>
    <t>NACE06010101</t>
  </si>
  <si>
    <t>CONT1;HFS2;B01;MC08;TYVA02;INVS5;EXC2</t>
  </si>
  <si>
    <t>00445</t>
  </si>
  <si>
    <t>Total</t>
  </si>
  <si>
    <t>Tático</t>
  </si>
  <si>
    <t>CONT1;HFS2;B01;MC08;TYVA01;;MESG4</t>
  </si>
  <si>
    <t>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</si>
</sst>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2" fillId="0" borderId="1" xfId="0" applyFont="1" applyBorder="1"/>
    <xf numFmtId="0" fontId="1" fillId="3" borderId="4" xfId="0" applyFont="1" applyFill="1" applyBorder="1" applyAlignment="1">
      <alignment horizontal="centerContinuous"/>
    </xf>
    <xf numFmtId="17" fontId="2" fillId="4" borderId="4" xfId="0" applyNumberFormat="1" applyFont="1" applyFill="1" applyBorder="1" applyAlignment="1">
      <alignment horizontal="left" vertical="center"/>
    </xf>
    <xf numFmtId="17" fontId="7" fillId="4" borderId="4" xfId="0" applyNumberFormat="1" applyFon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/>
    </xf>
    <xf numFmtId="4" fontId="0" fillId="0" borderId="4" xfId="0" applyNumberFormat="1" applyBorder="1"/>
    <xf numFmtId="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0" fillId="0" borderId="4" xfId="0" applyNumberFormat="1" applyBorder="1" applyAlignment="1">
      <alignment horizontal="center"/>
    </xf>
    <xf numFmtId="4" fontId="0" fillId="0" borderId="2" xfId="0" applyNumberFormat="1" applyBorder="1" applyAlignment="1">
      <alignment vertical="center"/>
    </xf>
    <xf numFmtId="4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left"/>
    </xf>
    <xf numFmtId="49" fontId="0" fillId="0" borderId="4" xfId="0" applyNumberFormat="1" applyBorder="1"/>
    <xf numFmtId="4" fontId="0" fillId="0" borderId="2" xfId="0" applyNumberFormat="1" applyBorder="1"/>
    <xf numFmtId="4" fontId="2" fillId="5" borderId="8" xfId="0" applyNumberFormat="1" applyFont="1" applyFill="1" applyBorder="1"/>
    <xf numFmtId="49" fontId="0" fillId="0" borderId="4" xfId="0" applyNumberFormat="1" applyBorder="1" applyAlignment="1">
      <alignment horizontal="right" vertical="center"/>
    </xf>
    <xf numFmtId="49" fontId="0" fillId="0" borderId="4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/>
    </xf>
    <xf numFmtId="49" fontId="0" fillId="0" borderId="12" xfId="0" applyNumberFormat="1" applyBorder="1"/>
    <xf numFmtId="4" fontId="0" fillId="0" borderId="12" xfId="0" applyNumberFormat="1" applyBorder="1"/>
    <xf numFmtId="49" fontId="1" fillId="7" borderId="13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9" xfId="0" applyFont="1" applyFill="1" applyBorder="1" applyAlignment="1">
      <alignment horizontal="right"/>
    </xf>
    <xf numFmtId="4" fontId="0" fillId="0" borderId="2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right" vertical="center"/>
    </xf>
    <xf numFmtId="49" fontId="0" fillId="0" borderId="4" xfId="0" applyNumberFormat="1" applyBorder="1" applyAlignment="1">
      <alignment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49" fontId="0" fillId="0" borderId="7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5" xfId="0" applyNumberFormat="1" applyBorder="1" applyAlignment="1">
      <alignment horizontal="right" vertical="center"/>
    </xf>
    <xf numFmtId="49" fontId="0" fillId="0" borderId="5" xfId="0" applyNumberFormat="1" applyBorder="1" applyAlignment="1">
      <alignment horizontal="left" vertical="center"/>
    </xf>
  </cellXfs>
  <cellStyles count="2">
    <cellStyle name="Normal" xfId="0" builtinId="0"/>
    <cellStyle name="Normal 3 5 4" xfId="1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930463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35718</xdr:colOff>
      <xdr:row>0</xdr:row>
      <xdr:rowOff>71438</xdr:rowOff>
    </xdr:from>
    <xdr:to>
      <xdr:col>2</xdr:col>
      <xdr:colOff>963799</xdr:colOff>
      <xdr:row>4</xdr:row>
      <xdr:rowOff>35320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49" y="71438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930463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930463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4852\OneDrive%20-%20Santander%20Office%20365\Documents\Implementa&#231;&#227;o%20de%20Sat&#233;lites%20Agregados\SAT%2079\Paralelo\BS%20-%20Paralelos%20Sat&#233;lite%2079%20Dez24_v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 s adjudicados"/>
      <sheetName val="Comparativo - Deltas Granul"/>
      <sheetName val="Sat79 - Tático Dez 24"/>
      <sheetName val="Sat 79 - Sol. Estrutural"/>
      <sheetName val="Sat79_dez24"/>
      <sheetName val="Index"/>
      <sheetName val="1. Credit Quality by sector"/>
      <sheetName val="2. Exposures of corp excl_Paris"/>
      <sheetName val="3. Net Carrying Amt by Maturity"/>
      <sheetName val="4. Exp. subject to phy. Ris"/>
      <sheetName val="Extração AG"/>
    </sheetNames>
    <sheetDataSet>
      <sheetData sheetId="0">
        <row r="10">
          <cell r="G10" t="str">
            <v>EU1</v>
          </cell>
          <cell r="H10" t="str">
            <v>CHRO2</v>
          </cell>
          <cell r="I10" t="str">
            <v>ACUT2</v>
          </cell>
          <cell r="J10" t="str">
            <v>GEO3</v>
          </cell>
        </row>
        <row r="11">
          <cell r="I11" t="str">
            <v>ACUT1</v>
          </cell>
        </row>
        <row r="12">
          <cell r="G12" t="str">
            <v>EU1</v>
          </cell>
          <cell r="I12" t="str">
            <v>ACUT1</v>
          </cell>
          <cell r="J12" t="str">
            <v>GEO3</v>
          </cell>
        </row>
        <row r="13">
          <cell r="H13" t="str">
            <v>CHRO2</v>
          </cell>
        </row>
        <row r="30">
          <cell r="G30" t="str">
            <v>EU1</v>
          </cell>
          <cell r="H30" t="str">
            <v>CHRO2</v>
          </cell>
          <cell r="I30" t="str">
            <v>ACUT2</v>
          </cell>
          <cell r="J30" t="str">
            <v>GEO3</v>
          </cell>
        </row>
        <row r="31">
          <cell r="I31" t="str">
            <v>ACUT1</v>
          </cell>
        </row>
        <row r="32">
          <cell r="G32" t="str">
            <v>EU1</v>
          </cell>
          <cell r="H32" t="str">
            <v>CHRO2</v>
          </cell>
          <cell r="J32" t="str">
            <v>GEO3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L47"/>
  <sheetViews>
    <sheetView showGridLines="0" workbookViewId="0"/>
  </sheetViews>
  <sheetFormatPr defaultRowHeight="15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3.5703125" bestFit="1" customWidth="1"/>
    <col min="7" max="7" width="4.28515625" customWidth="1"/>
    <col min="8" max="8" width="7" customWidth="1"/>
    <col min="9" max="10" width="6.7109375" customWidth="1"/>
    <col min="11" max="11" width="8.7109375" customWidth="1"/>
    <col min="12" max="12" width="14" bestFit="1" customWidth="1"/>
  </cols>
  <sheetData>
    <row r="1" spans="2:12" s="1" customFormat="1" ht="7.5" customHeight="1" x14ac:dyDescent="0.25"/>
    <row r="2" spans="2:12" s="2" customFormat="1" ht="7.5" customHeight="1" x14ac:dyDescent="0.25"/>
    <row r="3" spans="2:12" s="3" customFormat="1" ht="7.5" customHeight="1" x14ac:dyDescent="0.25"/>
    <row r="4" spans="2:12" s="1" customFormat="1" ht="7.5" customHeight="1" x14ac:dyDescent="0.25"/>
    <row r="5" spans="2:12" s="1" customFormat="1" ht="7.5" customHeight="1" x14ac:dyDescent="0.25"/>
    <row r="6" spans="2:12" s="4" customFormat="1" ht="3" customHeight="1" x14ac:dyDescent="0.25"/>
    <row r="8" spans="2:12" x14ac:dyDescent="0.25">
      <c r="B8" s="31" t="s">
        <v>50</v>
      </c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2:12" x14ac:dyDescent="0.25"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11</v>
      </c>
      <c r="K9" s="27" t="s">
        <v>12</v>
      </c>
      <c r="L9" s="27" t="s">
        <v>13</v>
      </c>
    </row>
    <row r="10" spans="2:12" x14ac:dyDescent="0.25">
      <c r="B10" s="28" t="s">
        <v>17</v>
      </c>
      <c r="C10" s="28" t="s">
        <v>18</v>
      </c>
      <c r="D10" s="28" t="s">
        <v>19</v>
      </c>
      <c r="E10" s="28" t="s">
        <v>20</v>
      </c>
      <c r="F10" s="29">
        <v>278361</v>
      </c>
      <c r="G10" s="28" t="s">
        <v>25</v>
      </c>
      <c r="H10" s="28" t="s">
        <v>26</v>
      </c>
      <c r="I10" s="28" t="s">
        <v>22</v>
      </c>
      <c r="J10" s="28" t="s">
        <v>27</v>
      </c>
      <c r="K10" s="28"/>
      <c r="L10" s="28"/>
    </row>
    <row r="11" spans="2:12" x14ac:dyDescent="0.25">
      <c r="B11" s="28" t="s">
        <v>17</v>
      </c>
      <c r="C11" s="28" t="s">
        <v>18</v>
      </c>
      <c r="D11" s="28" t="s">
        <v>19</v>
      </c>
      <c r="E11" s="28" t="s">
        <v>20</v>
      </c>
      <c r="F11" s="29">
        <v>40381801</v>
      </c>
      <c r="G11" s="28" t="s">
        <v>25</v>
      </c>
      <c r="H11" s="28" t="s">
        <v>26</v>
      </c>
      <c r="I11" s="28" t="s">
        <v>23</v>
      </c>
      <c r="J11" s="28" t="s">
        <v>27</v>
      </c>
      <c r="K11" s="28"/>
      <c r="L11" s="28"/>
    </row>
    <row r="12" spans="2:12" x14ac:dyDescent="0.25">
      <c r="B12" s="28" t="s">
        <v>17</v>
      </c>
      <c r="C12" s="28" t="s">
        <v>18</v>
      </c>
      <c r="D12" s="28" t="s">
        <v>19</v>
      </c>
      <c r="E12" s="28" t="s">
        <v>21</v>
      </c>
      <c r="F12" s="29">
        <v>-21085073</v>
      </c>
      <c r="G12" s="28" t="s">
        <v>25</v>
      </c>
      <c r="H12" s="28" t="s">
        <v>26</v>
      </c>
      <c r="I12" s="28" t="s">
        <v>23</v>
      </c>
      <c r="J12" s="28" t="s">
        <v>27</v>
      </c>
      <c r="K12" s="28"/>
      <c r="L12" s="28"/>
    </row>
    <row r="13" spans="2:12" x14ac:dyDescent="0.25">
      <c r="B13" s="28" t="s">
        <v>17</v>
      </c>
      <c r="C13" s="28" t="s">
        <v>18</v>
      </c>
      <c r="D13" s="28" t="s">
        <v>19</v>
      </c>
      <c r="E13" s="28" t="s">
        <v>21</v>
      </c>
      <c r="F13" s="29">
        <v>-69183</v>
      </c>
      <c r="G13" s="28" t="s">
        <v>25</v>
      </c>
      <c r="H13" s="28" t="s">
        <v>26</v>
      </c>
      <c r="I13" s="28" t="s">
        <v>22</v>
      </c>
      <c r="J13" s="28" t="s">
        <v>27</v>
      </c>
      <c r="K13" s="28"/>
      <c r="L13" s="28"/>
    </row>
    <row r="14" spans="2:12" x14ac:dyDescent="0.25">
      <c r="B14" s="28" t="s">
        <v>17</v>
      </c>
      <c r="C14" s="28" t="s">
        <v>18</v>
      </c>
      <c r="D14" s="28" t="s">
        <v>19</v>
      </c>
      <c r="E14" s="28" t="s">
        <v>24</v>
      </c>
      <c r="F14" s="29">
        <v>17085832</v>
      </c>
      <c r="G14" s="28" t="s">
        <v>25</v>
      </c>
      <c r="H14" s="28" t="s">
        <v>26</v>
      </c>
      <c r="I14" s="28" t="s">
        <v>23</v>
      </c>
      <c r="J14" s="28" t="s">
        <v>27</v>
      </c>
      <c r="K14" s="28"/>
      <c r="L14" s="28"/>
    </row>
    <row r="15" spans="2:12" x14ac:dyDescent="0.25">
      <c r="B15" s="28" t="s">
        <v>17</v>
      </c>
      <c r="C15" s="28" t="s">
        <v>18</v>
      </c>
      <c r="D15" s="28" t="s">
        <v>19</v>
      </c>
      <c r="E15" s="28" t="s">
        <v>28</v>
      </c>
      <c r="F15" s="29">
        <v>2493971</v>
      </c>
      <c r="G15" s="28" t="s">
        <v>29</v>
      </c>
      <c r="H15" s="28" t="s">
        <v>26</v>
      </c>
      <c r="I15" s="28" t="s">
        <v>23</v>
      </c>
      <c r="J15" s="28" t="s">
        <v>30</v>
      </c>
      <c r="K15" s="28"/>
      <c r="L15" s="28"/>
    </row>
    <row r="16" spans="2:12" x14ac:dyDescent="0.25">
      <c r="B16" s="28" t="s">
        <v>17</v>
      </c>
      <c r="C16" s="28" t="s">
        <v>18</v>
      </c>
      <c r="D16" s="28" t="s">
        <v>19</v>
      </c>
      <c r="E16" s="28" t="s">
        <v>28</v>
      </c>
      <c r="F16" s="29">
        <v>171653011</v>
      </c>
      <c r="G16" s="28" t="s">
        <v>25</v>
      </c>
      <c r="H16" s="28" t="s">
        <v>26</v>
      </c>
      <c r="I16" s="28" t="s">
        <v>23</v>
      </c>
      <c r="J16" s="28" t="s">
        <v>27</v>
      </c>
      <c r="K16" s="28"/>
      <c r="L16" s="28"/>
    </row>
    <row r="17" spans="2:12" x14ac:dyDescent="0.25">
      <c r="B17" s="28" t="s">
        <v>17</v>
      </c>
      <c r="C17" s="28" t="s">
        <v>18</v>
      </c>
      <c r="D17" s="28" t="s">
        <v>19</v>
      </c>
      <c r="E17" s="28" t="s">
        <v>31</v>
      </c>
      <c r="F17" s="29">
        <v>22684</v>
      </c>
      <c r="G17" s="28" t="s">
        <v>25</v>
      </c>
      <c r="H17" s="28" t="s">
        <v>26</v>
      </c>
      <c r="I17" s="28" t="s">
        <v>23</v>
      </c>
      <c r="J17" s="28" t="s">
        <v>27</v>
      </c>
      <c r="K17" s="28" t="s">
        <v>32</v>
      </c>
      <c r="L17" s="28" t="s">
        <v>33</v>
      </c>
    </row>
    <row r="18" spans="2:12" x14ac:dyDescent="0.25">
      <c r="B18" s="28" t="s">
        <v>17</v>
      </c>
      <c r="C18" s="28" t="s">
        <v>18</v>
      </c>
      <c r="D18" s="28" t="s">
        <v>19</v>
      </c>
      <c r="E18" s="28" t="s">
        <v>31</v>
      </c>
      <c r="F18" s="29">
        <v>35578</v>
      </c>
      <c r="G18" s="28" t="s">
        <v>25</v>
      </c>
      <c r="H18" s="28" t="s">
        <v>26</v>
      </c>
      <c r="I18" s="28" t="s">
        <v>23</v>
      </c>
      <c r="J18" s="28" t="s">
        <v>27</v>
      </c>
      <c r="K18" s="28" t="s">
        <v>37</v>
      </c>
      <c r="L18" s="28" t="s">
        <v>38</v>
      </c>
    </row>
    <row r="19" spans="2:12" x14ac:dyDescent="0.25">
      <c r="B19" s="28" t="s">
        <v>17</v>
      </c>
      <c r="C19" s="28" t="s">
        <v>18</v>
      </c>
      <c r="D19" s="28" t="s">
        <v>19</v>
      </c>
      <c r="E19" s="28" t="s">
        <v>31</v>
      </c>
      <c r="F19" s="29">
        <v>131176</v>
      </c>
      <c r="G19" s="28" t="s">
        <v>25</v>
      </c>
      <c r="H19" s="28" t="s">
        <v>26</v>
      </c>
      <c r="I19" s="28" t="s">
        <v>23</v>
      </c>
      <c r="J19" s="28" t="s">
        <v>34</v>
      </c>
      <c r="K19" s="28" t="s">
        <v>35</v>
      </c>
      <c r="L19" s="28" t="s">
        <v>36</v>
      </c>
    </row>
    <row r="20" spans="2:12" x14ac:dyDescent="0.25">
      <c r="B20" s="28" t="s">
        <v>17</v>
      </c>
      <c r="C20" s="28" t="s">
        <v>42</v>
      </c>
      <c r="D20" s="28" t="s">
        <v>19</v>
      </c>
      <c r="E20" s="28" t="s">
        <v>51</v>
      </c>
      <c r="F20" s="29">
        <v>-1</v>
      </c>
      <c r="G20" s="28" t="s">
        <v>25</v>
      </c>
      <c r="H20" s="28" t="s">
        <v>26</v>
      </c>
      <c r="I20" s="28" t="s">
        <v>23</v>
      </c>
      <c r="J20" s="28" t="s">
        <v>34</v>
      </c>
      <c r="K20" s="28"/>
      <c r="L20" s="28"/>
    </row>
    <row r="21" spans="2:12" x14ac:dyDescent="0.25">
      <c r="B21" s="28" t="s">
        <v>17</v>
      </c>
      <c r="C21" s="28" t="s">
        <v>48</v>
      </c>
      <c r="D21" s="28" t="s">
        <v>19</v>
      </c>
      <c r="E21" s="28" t="s">
        <v>40</v>
      </c>
      <c r="F21" s="29">
        <v>49500</v>
      </c>
      <c r="G21" s="28" t="s">
        <v>25</v>
      </c>
      <c r="H21" s="28" t="s">
        <v>26</v>
      </c>
      <c r="I21" s="28" t="s">
        <v>23</v>
      </c>
      <c r="J21" s="28" t="s">
        <v>27</v>
      </c>
      <c r="K21" s="28"/>
      <c r="L21" s="28"/>
    </row>
    <row r="22" spans="2:12" x14ac:dyDescent="0.25">
      <c r="B22" s="28" t="s">
        <v>17</v>
      </c>
      <c r="C22" s="28" t="s">
        <v>41</v>
      </c>
      <c r="D22" s="28" t="s">
        <v>19</v>
      </c>
      <c r="E22" s="28" t="s">
        <v>40</v>
      </c>
      <c r="F22" s="29">
        <v>7932813</v>
      </c>
      <c r="G22" s="28" t="s">
        <v>25</v>
      </c>
      <c r="H22" s="28" t="s">
        <v>26</v>
      </c>
      <c r="I22" s="28" t="s">
        <v>23</v>
      </c>
      <c r="J22" s="28" t="s">
        <v>27</v>
      </c>
      <c r="K22" s="28"/>
      <c r="L22" s="28"/>
    </row>
    <row r="23" spans="2:12" x14ac:dyDescent="0.25">
      <c r="B23" s="28" t="s">
        <v>17</v>
      </c>
      <c r="C23" s="28" t="s">
        <v>39</v>
      </c>
      <c r="D23" s="28" t="s">
        <v>19</v>
      </c>
      <c r="E23" s="28" t="s">
        <v>40</v>
      </c>
      <c r="F23" s="29">
        <v>88691496</v>
      </c>
      <c r="G23" s="28" t="s">
        <v>25</v>
      </c>
      <c r="H23" s="28" t="s">
        <v>26</v>
      </c>
      <c r="I23" s="28" t="s">
        <v>23</v>
      </c>
      <c r="J23" s="28" t="s">
        <v>27</v>
      </c>
      <c r="K23" s="28"/>
      <c r="L23" s="28"/>
    </row>
    <row r="24" spans="2:12" x14ac:dyDescent="0.25">
      <c r="B24" s="28" t="s">
        <v>17</v>
      </c>
      <c r="C24" s="28" t="s">
        <v>42</v>
      </c>
      <c r="D24" s="28" t="s">
        <v>19</v>
      </c>
      <c r="E24" s="28" t="s">
        <v>40</v>
      </c>
      <c r="F24" s="29">
        <v>450662960</v>
      </c>
      <c r="G24" s="28" t="s">
        <v>25</v>
      </c>
      <c r="H24" s="28" t="s">
        <v>26</v>
      </c>
      <c r="I24" s="28" t="s">
        <v>23</v>
      </c>
      <c r="J24" s="28" t="s">
        <v>34</v>
      </c>
      <c r="K24" s="28"/>
      <c r="L24" s="28"/>
    </row>
    <row r="25" spans="2:12" x14ac:dyDescent="0.25">
      <c r="B25" s="28" t="s">
        <v>17</v>
      </c>
      <c r="C25" s="28" t="s">
        <v>43</v>
      </c>
      <c r="D25" s="28" t="s">
        <v>19</v>
      </c>
      <c r="E25" s="28" t="s">
        <v>44</v>
      </c>
      <c r="F25" s="29">
        <v>99962303</v>
      </c>
      <c r="G25" s="28" t="s">
        <v>25</v>
      </c>
      <c r="H25" s="28" t="s">
        <v>26</v>
      </c>
      <c r="I25" s="28" t="s">
        <v>23</v>
      </c>
      <c r="J25" s="28" t="s">
        <v>27</v>
      </c>
      <c r="K25" s="28" t="s">
        <v>45</v>
      </c>
      <c r="L25" s="28" t="s">
        <v>46</v>
      </c>
    </row>
    <row r="26" spans="2:12" x14ac:dyDescent="0.25">
      <c r="B26" s="28" t="s">
        <v>17</v>
      </c>
      <c r="C26" s="28" t="s">
        <v>43</v>
      </c>
      <c r="D26" s="28" t="s">
        <v>19</v>
      </c>
      <c r="E26" s="28" t="s">
        <v>47</v>
      </c>
      <c r="F26" s="29">
        <v>-11000000</v>
      </c>
      <c r="G26" s="28" t="s">
        <v>25</v>
      </c>
      <c r="H26" s="28" t="s">
        <v>26</v>
      </c>
      <c r="I26" s="28" t="s">
        <v>23</v>
      </c>
      <c r="J26" s="28" t="s">
        <v>27</v>
      </c>
      <c r="K26" s="28" t="s">
        <v>45</v>
      </c>
      <c r="L26" s="28" t="s">
        <v>46</v>
      </c>
    </row>
    <row r="29" spans="2:12" x14ac:dyDescent="0.25">
      <c r="B29" s="31" t="s">
        <v>52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 x14ac:dyDescent="0.25">
      <c r="B30" s="30" t="s">
        <v>3</v>
      </c>
      <c r="C30" s="30" t="s">
        <v>4</v>
      </c>
      <c r="D30" s="30" t="s">
        <v>5</v>
      </c>
      <c r="E30" s="30" t="s">
        <v>6</v>
      </c>
      <c r="F30" s="30" t="s">
        <v>7</v>
      </c>
      <c r="G30" s="30" t="s">
        <v>8</v>
      </c>
      <c r="H30" s="30" t="s">
        <v>9</v>
      </c>
      <c r="I30" s="30" t="s">
        <v>10</v>
      </c>
      <c r="J30" s="30" t="s">
        <v>11</v>
      </c>
      <c r="K30" s="30" t="s">
        <v>12</v>
      </c>
      <c r="L30" s="30" t="s">
        <v>13</v>
      </c>
    </row>
    <row r="31" spans="2:12" x14ac:dyDescent="0.25">
      <c r="B31" s="28" t="s">
        <v>17</v>
      </c>
      <c r="C31" s="28" t="s">
        <v>18</v>
      </c>
      <c r="D31" s="28" t="s">
        <v>19</v>
      </c>
      <c r="E31" s="28" t="s">
        <v>20</v>
      </c>
      <c r="F31" s="29">
        <v>335340</v>
      </c>
      <c r="G31" s="28" t="s">
        <v>25</v>
      </c>
      <c r="H31" s="28" t="s">
        <v>26</v>
      </c>
      <c r="I31" s="28" t="s">
        <v>22</v>
      </c>
      <c r="J31" s="28" t="s">
        <v>27</v>
      </c>
      <c r="K31" s="28"/>
      <c r="L31" s="28"/>
    </row>
    <row r="32" spans="2:12" x14ac:dyDescent="0.25">
      <c r="B32" s="28" t="s">
        <v>17</v>
      </c>
      <c r="C32" s="28" t="s">
        <v>18</v>
      </c>
      <c r="D32" s="28" t="s">
        <v>19</v>
      </c>
      <c r="E32" s="28" t="s">
        <v>20</v>
      </c>
      <c r="F32" s="29">
        <v>40324822</v>
      </c>
      <c r="G32" s="28" t="s">
        <v>25</v>
      </c>
      <c r="H32" s="28" t="s">
        <v>26</v>
      </c>
      <c r="I32" s="28" t="s">
        <v>23</v>
      </c>
      <c r="J32" s="28" t="s">
        <v>27</v>
      </c>
      <c r="K32" s="28"/>
      <c r="L32" s="28"/>
    </row>
    <row r="33" spans="2:12" x14ac:dyDescent="0.25">
      <c r="B33" s="28" t="s">
        <v>17</v>
      </c>
      <c r="C33" s="28" t="s">
        <v>18</v>
      </c>
      <c r="D33" s="28" t="s">
        <v>19</v>
      </c>
      <c r="E33" s="28" t="s">
        <v>21</v>
      </c>
      <c r="F33" s="29">
        <v>-21083973</v>
      </c>
      <c r="G33" s="28" t="s">
        <v>25</v>
      </c>
      <c r="H33" s="28" t="s">
        <v>26</v>
      </c>
      <c r="I33" s="28" t="s">
        <v>23</v>
      </c>
      <c r="J33" s="28" t="s">
        <v>27</v>
      </c>
      <c r="K33" s="28"/>
      <c r="L33" s="28"/>
    </row>
    <row r="34" spans="2:12" x14ac:dyDescent="0.25">
      <c r="B34" s="28" t="s">
        <v>17</v>
      </c>
      <c r="C34" s="28" t="s">
        <v>18</v>
      </c>
      <c r="D34" s="28" t="s">
        <v>19</v>
      </c>
      <c r="E34" s="28" t="s">
        <v>21</v>
      </c>
      <c r="F34" s="29">
        <v>-70283</v>
      </c>
      <c r="G34" s="28" t="s">
        <v>25</v>
      </c>
      <c r="H34" s="28" t="s">
        <v>26</v>
      </c>
      <c r="I34" s="28" t="s">
        <v>22</v>
      </c>
      <c r="J34" s="28" t="s">
        <v>27</v>
      </c>
      <c r="K34" s="28"/>
      <c r="L34" s="28"/>
    </row>
    <row r="35" spans="2:12" x14ac:dyDescent="0.25">
      <c r="B35" s="28" t="s">
        <v>17</v>
      </c>
      <c r="C35" s="28" t="s">
        <v>18</v>
      </c>
      <c r="D35" s="28" t="s">
        <v>19</v>
      </c>
      <c r="E35" s="28" t="s">
        <v>24</v>
      </c>
      <c r="F35" s="29">
        <v>17085833</v>
      </c>
      <c r="G35" s="28" t="s">
        <v>25</v>
      </c>
      <c r="H35" s="28" t="s">
        <v>26</v>
      </c>
      <c r="I35" s="28" t="s">
        <v>23</v>
      </c>
      <c r="J35" s="28" t="s">
        <v>27</v>
      </c>
      <c r="K35" s="28"/>
      <c r="L35" s="28"/>
    </row>
    <row r="36" spans="2:12" x14ac:dyDescent="0.25">
      <c r="B36" s="28" t="s">
        <v>17</v>
      </c>
      <c r="C36" s="28" t="s">
        <v>18</v>
      </c>
      <c r="D36" s="28" t="s">
        <v>19</v>
      </c>
      <c r="E36" s="28" t="s">
        <v>28</v>
      </c>
      <c r="F36" s="29">
        <v>2493971</v>
      </c>
      <c r="G36" s="28" t="s">
        <v>29</v>
      </c>
      <c r="H36" s="28" t="s">
        <v>26</v>
      </c>
      <c r="I36" s="28" t="s">
        <v>23</v>
      </c>
      <c r="J36" s="28" t="s">
        <v>30</v>
      </c>
      <c r="K36" s="28"/>
      <c r="L36" s="28"/>
    </row>
    <row r="37" spans="2:12" x14ac:dyDescent="0.25">
      <c r="B37" s="28" t="s">
        <v>17</v>
      </c>
      <c r="C37" s="28" t="s">
        <v>18</v>
      </c>
      <c r="D37" s="28" t="s">
        <v>19</v>
      </c>
      <c r="E37" s="28" t="s">
        <v>28</v>
      </c>
      <c r="F37" s="29">
        <v>171653012</v>
      </c>
      <c r="G37" s="28" t="s">
        <v>25</v>
      </c>
      <c r="H37" s="28" t="s">
        <v>26</v>
      </c>
      <c r="I37" s="28" t="s">
        <v>23</v>
      </c>
      <c r="J37" s="28" t="s">
        <v>27</v>
      </c>
      <c r="K37" s="28"/>
      <c r="L37" s="28"/>
    </row>
    <row r="38" spans="2:12" x14ac:dyDescent="0.25">
      <c r="B38" s="28" t="s">
        <v>17</v>
      </c>
      <c r="C38" s="28" t="s">
        <v>18</v>
      </c>
      <c r="D38" s="28" t="s">
        <v>19</v>
      </c>
      <c r="E38" s="28" t="s">
        <v>31</v>
      </c>
      <c r="F38" s="29">
        <v>22684</v>
      </c>
      <c r="G38" s="28" t="s">
        <v>25</v>
      </c>
      <c r="H38" s="28" t="s">
        <v>26</v>
      </c>
      <c r="I38" s="28" t="s">
        <v>23</v>
      </c>
      <c r="J38" s="28" t="s">
        <v>27</v>
      </c>
      <c r="K38" s="28" t="s">
        <v>32</v>
      </c>
      <c r="L38" s="28" t="s">
        <v>33</v>
      </c>
    </row>
    <row r="39" spans="2:12" x14ac:dyDescent="0.25">
      <c r="B39" s="28" t="s">
        <v>17</v>
      </c>
      <c r="C39" s="28" t="s">
        <v>18</v>
      </c>
      <c r="D39" s="28" t="s">
        <v>19</v>
      </c>
      <c r="E39" s="28" t="s">
        <v>31</v>
      </c>
      <c r="F39" s="29">
        <v>35578</v>
      </c>
      <c r="G39" s="28" t="s">
        <v>25</v>
      </c>
      <c r="H39" s="28" t="s">
        <v>26</v>
      </c>
      <c r="I39" s="28" t="s">
        <v>23</v>
      </c>
      <c r="J39" s="28" t="s">
        <v>27</v>
      </c>
      <c r="K39" s="28" t="s">
        <v>37</v>
      </c>
      <c r="L39" s="28" t="s">
        <v>38</v>
      </c>
    </row>
    <row r="40" spans="2:12" x14ac:dyDescent="0.25">
      <c r="B40" s="28" t="s">
        <v>17</v>
      </c>
      <c r="C40" s="28" t="s">
        <v>18</v>
      </c>
      <c r="D40" s="28" t="s">
        <v>19</v>
      </c>
      <c r="E40" s="28" t="s">
        <v>31</v>
      </c>
      <c r="F40" s="29">
        <v>131176</v>
      </c>
      <c r="G40" s="28" t="s">
        <v>25</v>
      </c>
      <c r="H40" s="28" t="s">
        <v>26</v>
      </c>
      <c r="I40" s="28" t="s">
        <v>23</v>
      </c>
      <c r="J40" s="28" t="s">
        <v>34</v>
      </c>
      <c r="K40" s="28" t="s">
        <v>35</v>
      </c>
      <c r="L40" s="28" t="s">
        <v>36</v>
      </c>
    </row>
    <row r="41" spans="2:12" x14ac:dyDescent="0.25">
      <c r="B41" s="28" t="s">
        <v>17</v>
      </c>
      <c r="C41" s="28" t="s">
        <v>42</v>
      </c>
      <c r="D41" s="28" t="s">
        <v>19</v>
      </c>
      <c r="E41" s="28" t="s">
        <v>51</v>
      </c>
      <c r="F41" s="29">
        <v>-1</v>
      </c>
      <c r="G41" s="28" t="s">
        <v>25</v>
      </c>
      <c r="H41" s="28" t="s">
        <v>26</v>
      </c>
      <c r="I41" s="28" t="s">
        <v>23</v>
      </c>
      <c r="J41" s="28" t="s">
        <v>34</v>
      </c>
      <c r="K41" s="28"/>
      <c r="L41" s="28"/>
    </row>
    <row r="42" spans="2:12" x14ac:dyDescent="0.25">
      <c r="B42" s="28" t="s">
        <v>17</v>
      </c>
      <c r="C42" s="28" t="s">
        <v>48</v>
      </c>
      <c r="D42" s="28" t="s">
        <v>19</v>
      </c>
      <c r="E42" s="28" t="s">
        <v>40</v>
      </c>
      <c r="F42" s="29">
        <v>49500</v>
      </c>
      <c r="G42" s="28" t="s">
        <v>25</v>
      </c>
      <c r="H42" s="28" t="s">
        <v>26</v>
      </c>
      <c r="I42" s="28" t="s">
        <v>23</v>
      </c>
      <c r="J42" s="28" t="s">
        <v>27</v>
      </c>
      <c r="K42" s="28"/>
      <c r="L42" s="28"/>
    </row>
    <row r="43" spans="2:12" x14ac:dyDescent="0.25">
      <c r="B43" s="28" t="s">
        <v>17</v>
      </c>
      <c r="C43" s="28" t="s">
        <v>41</v>
      </c>
      <c r="D43" s="28" t="s">
        <v>19</v>
      </c>
      <c r="E43" s="28" t="s">
        <v>40</v>
      </c>
      <c r="F43" s="29">
        <v>7932813</v>
      </c>
      <c r="G43" s="28" t="s">
        <v>25</v>
      </c>
      <c r="H43" s="28" t="s">
        <v>26</v>
      </c>
      <c r="I43" s="28" t="s">
        <v>23</v>
      </c>
      <c r="J43" s="28" t="s">
        <v>27</v>
      </c>
      <c r="K43" s="28"/>
      <c r="L43" s="28"/>
    </row>
    <row r="44" spans="2:12" x14ac:dyDescent="0.25">
      <c r="B44" s="28" t="s">
        <v>17</v>
      </c>
      <c r="C44" s="28" t="s">
        <v>39</v>
      </c>
      <c r="D44" s="28" t="s">
        <v>19</v>
      </c>
      <c r="E44" s="28" t="s">
        <v>40</v>
      </c>
      <c r="F44" s="29">
        <v>88691496</v>
      </c>
      <c r="G44" s="28" t="s">
        <v>25</v>
      </c>
      <c r="H44" s="28" t="s">
        <v>26</v>
      </c>
      <c r="I44" s="28" t="s">
        <v>23</v>
      </c>
      <c r="J44" s="28" t="s">
        <v>27</v>
      </c>
      <c r="K44" s="28"/>
      <c r="L44" s="28"/>
    </row>
    <row r="45" spans="2:12" x14ac:dyDescent="0.25">
      <c r="B45" s="28" t="s">
        <v>17</v>
      </c>
      <c r="C45" s="28" t="s">
        <v>42</v>
      </c>
      <c r="D45" s="28" t="s">
        <v>19</v>
      </c>
      <c r="E45" s="28" t="s">
        <v>40</v>
      </c>
      <c r="F45" s="29">
        <v>450662960</v>
      </c>
      <c r="G45" s="28" t="s">
        <v>25</v>
      </c>
      <c r="H45" s="28" t="s">
        <v>26</v>
      </c>
      <c r="I45" s="28" t="s">
        <v>23</v>
      </c>
      <c r="J45" s="28" t="s">
        <v>34</v>
      </c>
      <c r="K45" s="28"/>
      <c r="L45" s="28"/>
    </row>
    <row r="46" spans="2:12" x14ac:dyDescent="0.25">
      <c r="B46" s="28" t="s">
        <v>17</v>
      </c>
      <c r="C46" s="28" t="s">
        <v>43</v>
      </c>
      <c r="D46" s="28" t="s">
        <v>19</v>
      </c>
      <c r="E46" s="28" t="s">
        <v>44</v>
      </c>
      <c r="F46" s="29">
        <v>99962303</v>
      </c>
      <c r="G46" s="28" t="s">
        <v>25</v>
      </c>
      <c r="H46" s="28" t="s">
        <v>26</v>
      </c>
      <c r="I46" s="28" t="s">
        <v>23</v>
      </c>
      <c r="J46" s="28" t="s">
        <v>27</v>
      </c>
      <c r="K46" s="28" t="s">
        <v>45</v>
      </c>
      <c r="L46" s="28" t="s">
        <v>46</v>
      </c>
    </row>
    <row r="47" spans="2:12" x14ac:dyDescent="0.25">
      <c r="B47" s="28" t="s">
        <v>17</v>
      </c>
      <c r="C47" s="28" t="s">
        <v>43</v>
      </c>
      <c r="D47" s="28" t="s">
        <v>19</v>
      </c>
      <c r="E47" s="28" t="s">
        <v>47</v>
      </c>
      <c r="F47" s="29">
        <v>-11000000</v>
      </c>
      <c r="G47" s="28" t="s">
        <v>25</v>
      </c>
      <c r="H47" s="28" t="s">
        <v>26</v>
      </c>
      <c r="I47" s="28" t="s">
        <v>23</v>
      </c>
      <c r="J47" s="28" t="s">
        <v>27</v>
      </c>
      <c r="K47" s="28" t="s">
        <v>45</v>
      </c>
      <c r="L47" s="28" t="s">
        <v>46</v>
      </c>
    </row>
  </sheetData>
  <mergeCells count="2">
    <mergeCell ref="B8:L8"/>
    <mergeCell ref="B29:L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9"/>
  <sheetViews>
    <sheetView showGridLines="0" tabSelected="1" zoomScale="80" zoomScaleNormal="80" workbookViewId="0"/>
  </sheetViews>
  <sheetFormatPr defaultColWidth="0" defaultRowHeight="15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42578125" bestFit="1" customWidth="1"/>
    <col min="8" max="8" width="10.5703125" bestFit="1" customWidth="1"/>
    <col min="9" max="9" width="12" bestFit="1" customWidth="1"/>
    <col min="10" max="10" width="15.42578125" bestFit="1" customWidth="1"/>
    <col min="11" max="11" width="6" customWidth="1"/>
    <col min="12" max="12" width="12" bestFit="1" customWidth="1"/>
    <col min="13" max="13" width="15.42578125" bestFit="1" customWidth="1"/>
    <col min="14" max="14" width="6" customWidth="1"/>
    <col min="15" max="15" width="12" bestFit="1" customWidth="1"/>
    <col min="16" max="16" width="15.42578125" bestFit="1" customWidth="1"/>
    <col min="17" max="17" width="6" customWidth="1"/>
    <col min="18" max="18" width="12" bestFit="1" customWidth="1"/>
    <col min="19" max="19" width="15.42578125" bestFit="1" customWidth="1"/>
    <col min="20" max="20" width="6" bestFit="1" customWidth="1"/>
    <col min="21" max="21" width="12" bestFit="1" customWidth="1"/>
    <col min="22" max="22" width="15.42578125" bestFit="1" customWidth="1"/>
    <col min="23" max="23" width="6" bestFit="1" customWidth="1"/>
    <col min="24" max="24" width="14" bestFit="1" customWidth="1"/>
    <col min="25" max="25" width="15.42578125" bestFit="1" customWidth="1"/>
    <col min="26" max="26" width="6.140625" customWidth="1"/>
    <col min="27" max="27" width="3.7109375" customWidth="1"/>
    <col min="28" max="16384" width="9.140625" hidden="1"/>
  </cols>
  <sheetData>
    <row r="1" spans="2:26" s="1" customFormat="1" ht="7.5" customHeight="1" x14ac:dyDescent="0.25"/>
    <row r="2" spans="2:26" s="2" customFormat="1" ht="7.5" customHeight="1" x14ac:dyDescent="0.25"/>
    <row r="3" spans="2:26" s="3" customFormat="1" ht="7.5" customHeight="1" x14ac:dyDescent="0.25"/>
    <row r="4" spans="2:26" s="1" customFormat="1" ht="7.5" customHeight="1" x14ac:dyDescent="0.25"/>
    <row r="5" spans="2:26" s="1" customFormat="1" ht="7.5" customHeight="1" x14ac:dyDescent="0.25"/>
    <row r="6" spans="2:26" s="4" customFormat="1" ht="3" customHeight="1" x14ac:dyDescent="0.25"/>
    <row r="7" spans="2:26" x14ac:dyDescent="0.25"/>
    <row r="8" spans="2:26" x14ac:dyDescent="0.25">
      <c r="B8" s="5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ht="4.9000000000000004" customHeight="1" x14ac:dyDescent="0.25"/>
    <row r="10" spans="2:26" x14ac:dyDescent="0.25">
      <c r="B10" s="46" t="s">
        <v>3</v>
      </c>
      <c r="C10" s="46" t="s">
        <v>4</v>
      </c>
      <c r="D10" s="46" t="s">
        <v>5</v>
      </c>
      <c r="E10" s="48" t="s">
        <v>6</v>
      </c>
      <c r="F10" s="6" t="s">
        <v>7</v>
      </c>
      <c r="G10" s="6"/>
      <c r="H10" s="6"/>
      <c r="I10" s="6" t="s">
        <v>8</v>
      </c>
      <c r="J10" s="6"/>
      <c r="K10" s="6"/>
      <c r="L10" s="6" t="s">
        <v>9</v>
      </c>
      <c r="M10" s="6"/>
      <c r="N10" s="6"/>
      <c r="O10" s="6" t="s">
        <v>10</v>
      </c>
      <c r="P10" s="6"/>
      <c r="Q10" s="6"/>
      <c r="R10" s="6" t="s">
        <v>11</v>
      </c>
      <c r="S10" s="6"/>
      <c r="T10" s="6"/>
      <c r="U10" s="6" t="s">
        <v>12</v>
      </c>
      <c r="V10" s="6"/>
      <c r="W10" s="6"/>
      <c r="X10" s="6" t="s">
        <v>13</v>
      </c>
      <c r="Y10" s="6"/>
      <c r="Z10" s="6"/>
    </row>
    <row r="11" spans="2:26" x14ac:dyDescent="0.25">
      <c r="B11" s="47"/>
      <c r="C11" s="34"/>
      <c r="D11" s="34"/>
      <c r="E11" s="49"/>
      <c r="F11" s="7" t="s">
        <v>14</v>
      </c>
      <c r="G11" s="7" t="s">
        <v>15</v>
      </c>
      <c r="H11" s="8" t="s">
        <v>16</v>
      </c>
      <c r="I11" s="7" t="s">
        <v>14</v>
      </c>
      <c r="J11" s="7" t="s">
        <v>15</v>
      </c>
      <c r="K11" s="8" t="s">
        <v>16</v>
      </c>
      <c r="L11" s="7" t="s">
        <v>14</v>
      </c>
      <c r="M11" s="7" t="s">
        <v>15</v>
      </c>
      <c r="N11" s="8" t="s">
        <v>16</v>
      </c>
      <c r="O11" s="7" t="s">
        <v>14</v>
      </c>
      <c r="P11" s="7" t="s">
        <v>15</v>
      </c>
      <c r="Q11" s="8" t="s">
        <v>16</v>
      </c>
      <c r="R11" s="7" t="s">
        <v>14</v>
      </c>
      <c r="S11" s="7" t="s">
        <v>15</v>
      </c>
      <c r="T11" s="8" t="s">
        <v>16</v>
      </c>
      <c r="U11" s="7" t="s">
        <v>14</v>
      </c>
      <c r="V11" s="7" t="s">
        <v>15</v>
      </c>
      <c r="W11" s="8" t="s">
        <v>16</v>
      </c>
      <c r="X11" s="7" t="s">
        <v>14</v>
      </c>
      <c r="Y11" s="7" t="s">
        <v>15</v>
      </c>
      <c r="Z11" s="8" t="s">
        <v>16</v>
      </c>
    </row>
    <row r="12" spans="2:26" x14ac:dyDescent="0.25">
      <c r="B12" s="42" t="s">
        <v>17</v>
      </c>
      <c r="C12" s="42" t="s">
        <v>18</v>
      </c>
      <c r="D12" s="44" t="s">
        <v>19</v>
      </c>
      <c r="E12" s="44" t="s">
        <v>20</v>
      </c>
      <c r="F12" s="9">
        <v>40381801</v>
      </c>
      <c r="G12" s="9">
        <v>40324822</v>
      </c>
      <c r="H12" s="10">
        <f t="shared" ref="H12:H15" si="0">G12-F12</f>
        <v>-56979</v>
      </c>
      <c r="I12" s="36" t="str">
        <f>'[1]Comparativo s adjudicados'!G10</f>
        <v>EU1</v>
      </c>
      <c r="J12" s="36" t="str">
        <f>'[1]Comparativo s adjudicados'!G30</f>
        <v>EU1</v>
      </c>
      <c r="K12" s="32" t="b">
        <f>J12=I12</f>
        <v>1</v>
      </c>
      <c r="L12" s="36" t="str">
        <f>'[1]Comparativo s adjudicados'!H10</f>
        <v>CHRO2</v>
      </c>
      <c r="M12" s="36" t="str">
        <f>'[1]Comparativo s adjudicados'!H30</f>
        <v>CHRO2</v>
      </c>
      <c r="N12" s="32" t="b">
        <f>M12=L12</f>
        <v>1</v>
      </c>
      <c r="O12" s="11" t="str">
        <f>'[1]Comparativo s adjudicados'!I10</f>
        <v>ACUT2</v>
      </c>
      <c r="P12" s="11" t="str">
        <f>'[1]Comparativo s adjudicados'!I30</f>
        <v>ACUT2</v>
      </c>
      <c r="Q12" s="32" t="b">
        <f>P12=O12</f>
        <v>1</v>
      </c>
      <c r="R12" s="36" t="str">
        <f>'[1]Comparativo s adjudicados'!J10</f>
        <v>GEO3</v>
      </c>
      <c r="S12" s="36" t="str">
        <f>'[1]Comparativo s adjudicados'!J30</f>
        <v>GEO3</v>
      </c>
      <c r="T12" s="32" t="b">
        <f>S12=R12</f>
        <v>1</v>
      </c>
      <c r="U12" s="36"/>
      <c r="V12" s="36"/>
      <c r="W12" s="32" t="b">
        <f>V12=U12</f>
        <v>1</v>
      </c>
      <c r="X12" s="36"/>
      <c r="Y12" s="36"/>
      <c r="Z12" s="32" t="b">
        <f>Y12=X12</f>
        <v>1</v>
      </c>
    </row>
    <row r="13" spans="2:26" x14ac:dyDescent="0.25">
      <c r="B13" s="50"/>
      <c r="C13" s="50"/>
      <c r="D13" s="51"/>
      <c r="E13" s="51"/>
      <c r="F13" s="9">
        <v>278361</v>
      </c>
      <c r="G13" s="9">
        <v>335340</v>
      </c>
      <c r="H13" s="10">
        <f t="shared" si="0"/>
        <v>56979</v>
      </c>
      <c r="I13" s="38"/>
      <c r="J13" s="38"/>
      <c r="K13" s="33"/>
      <c r="L13" s="38"/>
      <c r="M13" s="38"/>
      <c r="N13" s="33"/>
      <c r="O13" s="12" t="str">
        <f>'[1]Comparativo s adjudicados'!I11</f>
        <v>ACUT1</v>
      </c>
      <c r="P13" s="12" t="str">
        <f>'[1]Comparativo s adjudicados'!I31</f>
        <v>ACUT1</v>
      </c>
      <c r="Q13" s="33"/>
      <c r="R13" s="38"/>
      <c r="S13" s="38"/>
      <c r="T13" s="33"/>
      <c r="U13" s="38"/>
      <c r="V13" s="38"/>
      <c r="W13" s="33"/>
      <c r="X13" s="38"/>
      <c r="Y13" s="38"/>
      <c r="Z13" s="33"/>
    </row>
    <row r="14" spans="2:26" x14ac:dyDescent="0.25">
      <c r="B14" s="42" t="s">
        <v>17</v>
      </c>
      <c r="C14" s="42" t="s">
        <v>18</v>
      </c>
      <c r="D14" s="44" t="s">
        <v>19</v>
      </c>
      <c r="E14" s="44" t="s">
        <v>21</v>
      </c>
      <c r="F14" s="9">
        <v>-69183</v>
      </c>
      <c r="G14" s="9">
        <v>-70283</v>
      </c>
      <c r="H14" s="10">
        <f t="shared" si="0"/>
        <v>-1100</v>
      </c>
      <c r="I14" s="36" t="str">
        <f>'[1]Comparativo s adjudicados'!G12</f>
        <v>EU1</v>
      </c>
      <c r="J14" s="36" t="str">
        <f>'[1]Comparativo s adjudicados'!G32</f>
        <v>EU1</v>
      </c>
      <c r="K14" s="32" t="b">
        <f>I14=J14</f>
        <v>1</v>
      </c>
      <c r="L14" s="36" t="str">
        <f>'[1]Comparativo s adjudicados'!H13</f>
        <v>CHRO2</v>
      </c>
      <c r="M14" s="36" t="str">
        <f>'[1]Comparativo s adjudicados'!H32</f>
        <v>CHRO2</v>
      </c>
      <c r="N14" s="32" t="b">
        <f>L14=M14</f>
        <v>1</v>
      </c>
      <c r="O14" s="11" t="str">
        <f>'[1]Comparativo s adjudicados'!I12</f>
        <v>ACUT1</v>
      </c>
      <c r="P14" s="11" t="s">
        <v>22</v>
      </c>
      <c r="Q14" s="13" t="b">
        <f t="shared" ref="Q14:Q27" si="1">O14=P14</f>
        <v>1</v>
      </c>
      <c r="R14" s="36" t="str">
        <f>'[1]Comparativo s adjudicados'!J12</f>
        <v>GEO3</v>
      </c>
      <c r="S14" s="36" t="str">
        <f>'[1]Comparativo s adjudicados'!J32</f>
        <v>GEO3</v>
      </c>
      <c r="T14" s="32" t="b">
        <f>S14=R14</f>
        <v>1</v>
      </c>
      <c r="U14" s="36"/>
      <c r="V14" s="36"/>
      <c r="W14" s="32" t="b">
        <f>V14=U14</f>
        <v>1</v>
      </c>
      <c r="X14" s="14"/>
      <c r="Y14" s="14"/>
      <c r="Z14" s="15" t="b">
        <f>Y14=X14</f>
        <v>1</v>
      </c>
    </row>
    <row r="15" spans="2:26" x14ac:dyDescent="0.25">
      <c r="B15" s="43"/>
      <c r="C15" s="43"/>
      <c r="D15" s="45"/>
      <c r="E15" s="45"/>
      <c r="F15" s="9">
        <v>-21085073</v>
      </c>
      <c r="G15" s="9">
        <v>-21083973</v>
      </c>
      <c r="H15" s="10">
        <f t="shared" si="0"/>
        <v>1100</v>
      </c>
      <c r="I15" s="38"/>
      <c r="J15" s="38"/>
      <c r="K15" s="33"/>
      <c r="L15" s="38"/>
      <c r="M15" s="38"/>
      <c r="N15" s="33"/>
      <c r="O15" s="16" t="s">
        <v>23</v>
      </c>
      <c r="P15" s="12" t="s">
        <v>23</v>
      </c>
      <c r="Q15" s="13" t="b">
        <f t="shared" si="1"/>
        <v>1</v>
      </c>
      <c r="R15" s="38"/>
      <c r="S15" s="38"/>
      <c r="T15" s="33"/>
      <c r="U15" s="38"/>
      <c r="V15" s="38"/>
      <c r="W15" s="33"/>
      <c r="X15" s="14"/>
      <c r="Y15" s="14"/>
      <c r="Z15" s="15" t="b">
        <f>Y15=X15</f>
        <v>1</v>
      </c>
    </row>
    <row r="16" spans="2:26" x14ac:dyDescent="0.25">
      <c r="B16" s="24" t="s">
        <v>17</v>
      </c>
      <c r="C16" s="25" t="s">
        <v>18</v>
      </c>
      <c r="D16" s="25" t="s">
        <v>19</v>
      </c>
      <c r="E16" s="25" t="s">
        <v>24</v>
      </c>
      <c r="F16" s="17">
        <v>17085832</v>
      </c>
      <c r="G16" s="9">
        <v>17085833</v>
      </c>
      <c r="H16" s="17">
        <f>SUM(G16:G16)-F16</f>
        <v>1</v>
      </c>
      <c r="I16" s="26" t="s">
        <v>25</v>
      </c>
      <c r="J16" s="26" t="s">
        <v>25</v>
      </c>
      <c r="K16" s="26" t="b">
        <f t="shared" ref="K16:K27" si="2">I16=J16</f>
        <v>1</v>
      </c>
      <c r="L16" s="26" t="s">
        <v>26</v>
      </c>
      <c r="M16" s="11" t="s">
        <v>26</v>
      </c>
      <c r="N16" s="26" t="b">
        <f t="shared" ref="N16:N27" si="3">L16=M16</f>
        <v>1</v>
      </c>
      <c r="O16" s="26" t="s">
        <v>23</v>
      </c>
      <c r="P16" s="11" t="s">
        <v>23</v>
      </c>
      <c r="Q16" s="26" t="b">
        <f t="shared" si="1"/>
        <v>1</v>
      </c>
      <c r="R16" s="26" t="s">
        <v>27</v>
      </c>
      <c r="S16" s="11" t="s">
        <v>27</v>
      </c>
      <c r="T16" s="26" t="b">
        <f t="shared" ref="T16:T27" si="4">R16=S16</f>
        <v>1</v>
      </c>
      <c r="U16" s="26"/>
      <c r="V16" s="11"/>
      <c r="W16" s="26" t="b">
        <f t="shared" ref="W16:W27" si="5">U16=V16</f>
        <v>1</v>
      </c>
      <c r="X16" s="14"/>
      <c r="Y16" s="14"/>
      <c r="Z16" s="15" t="b">
        <f>Y16=X16</f>
        <v>1</v>
      </c>
    </row>
    <row r="17" spans="2:26" x14ac:dyDescent="0.25">
      <c r="B17" s="39" t="s">
        <v>17</v>
      </c>
      <c r="C17" s="39" t="s">
        <v>18</v>
      </c>
      <c r="D17" s="41" t="s">
        <v>19</v>
      </c>
      <c r="E17" s="41" t="s">
        <v>28</v>
      </c>
      <c r="F17" s="17">
        <v>2493971</v>
      </c>
      <c r="G17" s="9">
        <v>2493971</v>
      </c>
      <c r="H17" s="10">
        <v>0</v>
      </c>
      <c r="I17" s="9" t="s">
        <v>29</v>
      </c>
      <c r="J17" s="16" t="s">
        <v>29</v>
      </c>
      <c r="K17" s="13" t="b">
        <f t="shared" si="2"/>
        <v>1</v>
      </c>
      <c r="L17" s="12" t="s">
        <v>26</v>
      </c>
      <c r="M17" s="12" t="s">
        <v>26</v>
      </c>
      <c r="N17" s="13" t="b">
        <f t="shared" si="3"/>
        <v>1</v>
      </c>
      <c r="O17" s="12" t="s">
        <v>23</v>
      </c>
      <c r="P17" s="12" t="s">
        <v>23</v>
      </c>
      <c r="Q17" s="13" t="b">
        <f t="shared" si="1"/>
        <v>1</v>
      </c>
      <c r="R17" s="12" t="s">
        <v>30</v>
      </c>
      <c r="S17" s="12" t="s">
        <v>30</v>
      </c>
      <c r="T17" s="13" t="b">
        <f t="shared" si="4"/>
        <v>1</v>
      </c>
      <c r="U17" s="12"/>
      <c r="V17" s="12"/>
      <c r="W17" s="13" t="b">
        <f t="shared" si="5"/>
        <v>1</v>
      </c>
      <c r="X17" s="12"/>
      <c r="Y17" s="12"/>
      <c r="Z17" s="13" t="b">
        <f t="shared" ref="Z17:Z27" si="6">Y17=X17</f>
        <v>1</v>
      </c>
    </row>
    <row r="18" spans="2:26" x14ac:dyDescent="0.25">
      <c r="B18" s="39"/>
      <c r="C18" s="39"/>
      <c r="D18" s="41"/>
      <c r="E18" s="41"/>
      <c r="F18" s="17">
        <v>171653011</v>
      </c>
      <c r="G18" s="9">
        <v>171653012</v>
      </c>
      <c r="H18" s="10">
        <v>1</v>
      </c>
      <c r="I18" s="9" t="s">
        <v>25</v>
      </c>
      <c r="J18" s="16" t="s">
        <v>25</v>
      </c>
      <c r="K18" s="13" t="b">
        <f t="shared" si="2"/>
        <v>1</v>
      </c>
      <c r="L18" s="12" t="s">
        <v>26</v>
      </c>
      <c r="M18" s="12" t="s">
        <v>26</v>
      </c>
      <c r="N18" s="13" t="b">
        <f t="shared" si="3"/>
        <v>1</v>
      </c>
      <c r="O18" s="12" t="s">
        <v>23</v>
      </c>
      <c r="P18" s="12" t="s">
        <v>23</v>
      </c>
      <c r="Q18" s="13" t="b">
        <f t="shared" si="1"/>
        <v>1</v>
      </c>
      <c r="R18" s="12" t="s">
        <v>27</v>
      </c>
      <c r="S18" s="12" t="s">
        <v>27</v>
      </c>
      <c r="T18" s="13" t="b">
        <f t="shared" si="4"/>
        <v>1</v>
      </c>
      <c r="U18" s="12"/>
      <c r="V18" s="12"/>
      <c r="W18" s="13" t="b">
        <f t="shared" si="5"/>
        <v>1</v>
      </c>
      <c r="X18" s="12"/>
      <c r="Y18" s="12"/>
      <c r="Z18" s="13" t="b">
        <f t="shared" si="6"/>
        <v>1</v>
      </c>
    </row>
    <row r="19" spans="2:26" x14ac:dyDescent="0.25">
      <c r="B19" s="39" t="s">
        <v>17</v>
      </c>
      <c r="C19" s="39" t="s">
        <v>18</v>
      </c>
      <c r="D19" s="40" t="s">
        <v>19</v>
      </c>
      <c r="E19" s="41" t="s">
        <v>31</v>
      </c>
      <c r="F19" s="18">
        <v>22684</v>
      </c>
      <c r="G19" s="9">
        <v>22684</v>
      </c>
      <c r="H19" s="10">
        <v>0</v>
      </c>
      <c r="I19" s="36" t="s">
        <v>25</v>
      </c>
      <c r="J19" s="36" t="s">
        <v>25</v>
      </c>
      <c r="K19" s="32" t="b">
        <f t="shared" si="2"/>
        <v>1</v>
      </c>
      <c r="L19" s="36" t="s">
        <v>26</v>
      </c>
      <c r="M19" s="36" t="s">
        <v>26</v>
      </c>
      <c r="N19" s="32" t="b">
        <f t="shared" si="3"/>
        <v>1</v>
      </c>
      <c r="O19" s="36" t="s">
        <v>23</v>
      </c>
      <c r="P19" s="36" t="s">
        <v>23</v>
      </c>
      <c r="Q19" s="32" t="b">
        <f t="shared" si="1"/>
        <v>1</v>
      </c>
      <c r="R19" s="12" t="s">
        <v>27</v>
      </c>
      <c r="S19" s="12" t="s">
        <v>27</v>
      </c>
      <c r="T19" s="13" t="b">
        <f t="shared" si="4"/>
        <v>1</v>
      </c>
      <c r="U19" s="12" t="s">
        <v>32</v>
      </c>
      <c r="V19" s="12" t="s">
        <v>32</v>
      </c>
      <c r="W19" s="13" t="b">
        <f t="shared" si="5"/>
        <v>1</v>
      </c>
      <c r="X19" s="12" t="s">
        <v>33</v>
      </c>
      <c r="Y19" s="12" t="s">
        <v>33</v>
      </c>
      <c r="Z19" s="13" t="b">
        <f>Y19=X19</f>
        <v>1</v>
      </c>
    </row>
    <row r="20" spans="2:26" x14ac:dyDescent="0.25">
      <c r="B20" s="39"/>
      <c r="C20" s="39"/>
      <c r="D20" s="40" t="s">
        <v>19</v>
      </c>
      <c r="E20" s="41"/>
      <c r="F20" s="18">
        <v>131176</v>
      </c>
      <c r="G20" s="9">
        <v>131176</v>
      </c>
      <c r="H20" s="10">
        <v>0</v>
      </c>
      <c r="I20" s="37"/>
      <c r="J20" s="37" t="e">
        <v>#N/A</v>
      </c>
      <c r="K20" s="33"/>
      <c r="L20" s="37" t="e">
        <v>#N/A</v>
      </c>
      <c r="M20" s="37" t="e">
        <v>#N/A</v>
      </c>
      <c r="N20" s="33" t="e">
        <f t="shared" si="3"/>
        <v>#N/A</v>
      </c>
      <c r="O20" s="37" t="e">
        <v>#N/A</v>
      </c>
      <c r="P20" s="37" t="e">
        <v>#N/A</v>
      </c>
      <c r="Q20" s="33" t="e">
        <f t="shared" si="1"/>
        <v>#N/A</v>
      </c>
      <c r="R20" s="12" t="s">
        <v>34</v>
      </c>
      <c r="S20" s="12" t="s">
        <v>34</v>
      </c>
      <c r="T20" s="13" t="b">
        <f t="shared" si="4"/>
        <v>1</v>
      </c>
      <c r="U20" s="12" t="s">
        <v>35</v>
      </c>
      <c r="V20" s="12" t="s">
        <v>35</v>
      </c>
      <c r="W20" s="13" t="b">
        <f>U20=V20</f>
        <v>1</v>
      </c>
      <c r="X20" s="12" t="s">
        <v>36</v>
      </c>
      <c r="Y20" s="12" t="s">
        <v>36</v>
      </c>
      <c r="Z20" s="13" t="b">
        <f>Y20=X20</f>
        <v>1</v>
      </c>
    </row>
    <row r="21" spans="2:26" x14ac:dyDescent="0.25">
      <c r="B21" s="39"/>
      <c r="C21" s="39"/>
      <c r="D21" s="40" t="s">
        <v>19</v>
      </c>
      <c r="E21" s="41"/>
      <c r="F21" s="18">
        <v>35578</v>
      </c>
      <c r="G21" s="9">
        <v>35578</v>
      </c>
      <c r="H21" s="10">
        <v>0</v>
      </c>
      <c r="I21" s="38"/>
      <c r="J21" s="38" t="s">
        <v>25</v>
      </c>
      <c r="K21" s="34"/>
      <c r="L21" s="38" t="s">
        <v>26</v>
      </c>
      <c r="M21" s="38" t="s">
        <v>26</v>
      </c>
      <c r="N21" s="34" t="b">
        <f t="shared" si="3"/>
        <v>1</v>
      </c>
      <c r="O21" s="38" t="s">
        <v>23</v>
      </c>
      <c r="P21" s="38" t="s">
        <v>23</v>
      </c>
      <c r="Q21" s="34" t="b">
        <f t="shared" si="1"/>
        <v>1</v>
      </c>
      <c r="R21" s="12" t="s">
        <v>27</v>
      </c>
      <c r="S21" s="12" t="s">
        <v>27</v>
      </c>
      <c r="T21" s="13" t="b">
        <f t="shared" si="4"/>
        <v>1</v>
      </c>
      <c r="U21" s="12" t="s">
        <v>37</v>
      </c>
      <c r="V21" s="12" t="s">
        <v>37</v>
      </c>
      <c r="W21" s="13" t="b">
        <f t="shared" si="5"/>
        <v>1</v>
      </c>
      <c r="X21" s="12" t="s">
        <v>38</v>
      </c>
      <c r="Y21" s="12" t="s">
        <v>38</v>
      </c>
      <c r="Z21" s="13" t="b">
        <f>Y21=X21</f>
        <v>1</v>
      </c>
    </row>
    <row r="22" spans="2:26" x14ac:dyDescent="0.25">
      <c r="B22" s="19" t="s">
        <v>17</v>
      </c>
      <c r="C22" s="19" t="s">
        <v>39</v>
      </c>
      <c r="D22" s="20" t="s">
        <v>19</v>
      </c>
      <c r="E22" s="21" t="s">
        <v>40</v>
      </c>
      <c r="F22" s="18">
        <v>88691496</v>
      </c>
      <c r="G22" s="9">
        <v>88691496</v>
      </c>
      <c r="H22" s="10">
        <v>0</v>
      </c>
      <c r="I22" s="12" t="s">
        <v>25</v>
      </c>
      <c r="J22" s="9" t="s">
        <v>25</v>
      </c>
      <c r="K22" s="13" t="b">
        <f t="shared" si="2"/>
        <v>1</v>
      </c>
      <c r="L22" s="12" t="s">
        <v>26</v>
      </c>
      <c r="M22" s="9" t="s">
        <v>26</v>
      </c>
      <c r="N22" s="13" t="b">
        <f t="shared" si="3"/>
        <v>1</v>
      </c>
      <c r="O22" s="12" t="s">
        <v>23</v>
      </c>
      <c r="P22" s="9" t="s">
        <v>23</v>
      </c>
      <c r="Q22" s="13" t="b">
        <f t="shared" si="1"/>
        <v>1</v>
      </c>
      <c r="R22" s="12" t="s">
        <v>27</v>
      </c>
      <c r="S22" s="9" t="s">
        <v>27</v>
      </c>
      <c r="T22" s="13" t="b">
        <f t="shared" si="4"/>
        <v>1</v>
      </c>
      <c r="U22" s="12"/>
      <c r="V22" s="9"/>
      <c r="W22" s="13" t="b">
        <f t="shared" si="5"/>
        <v>1</v>
      </c>
      <c r="X22" s="12"/>
      <c r="Y22" s="9"/>
      <c r="Z22" s="13" t="b">
        <f t="shared" si="6"/>
        <v>1</v>
      </c>
    </row>
    <row r="23" spans="2:26" x14ac:dyDescent="0.25">
      <c r="B23" s="19" t="s">
        <v>17</v>
      </c>
      <c r="C23" s="19" t="s">
        <v>41</v>
      </c>
      <c r="D23" s="20" t="s">
        <v>19</v>
      </c>
      <c r="E23" s="21" t="s">
        <v>40</v>
      </c>
      <c r="F23" s="18">
        <v>7932813</v>
      </c>
      <c r="G23" s="9">
        <v>7932813</v>
      </c>
      <c r="H23" s="10">
        <v>0</v>
      </c>
      <c r="I23" s="12" t="s">
        <v>25</v>
      </c>
      <c r="J23" s="9" t="s">
        <v>25</v>
      </c>
      <c r="K23" s="13" t="b">
        <f t="shared" si="2"/>
        <v>1</v>
      </c>
      <c r="L23" s="12" t="s">
        <v>26</v>
      </c>
      <c r="M23" s="9" t="s">
        <v>26</v>
      </c>
      <c r="N23" s="13" t="b">
        <f t="shared" si="3"/>
        <v>1</v>
      </c>
      <c r="O23" s="12" t="s">
        <v>23</v>
      </c>
      <c r="P23" s="9" t="s">
        <v>23</v>
      </c>
      <c r="Q23" s="13" t="b">
        <f t="shared" si="1"/>
        <v>1</v>
      </c>
      <c r="R23" s="12" t="s">
        <v>27</v>
      </c>
      <c r="S23" s="9" t="s">
        <v>27</v>
      </c>
      <c r="T23" s="13" t="b">
        <f t="shared" si="4"/>
        <v>1</v>
      </c>
      <c r="U23" s="12"/>
      <c r="V23" s="9"/>
      <c r="W23" s="13" t="b">
        <f t="shared" si="5"/>
        <v>1</v>
      </c>
      <c r="X23" s="12"/>
      <c r="Y23" s="9"/>
      <c r="Z23" s="13" t="b">
        <f t="shared" si="6"/>
        <v>1</v>
      </c>
    </row>
    <row r="24" spans="2:26" x14ac:dyDescent="0.25">
      <c r="B24" s="24" t="s">
        <v>17</v>
      </c>
      <c r="C24" s="24" t="s">
        <v>42</v>
      </c>
      <c r="D24" s="25" t="s">
        <v>19</v>
      </c>
      <c r="E24" s="21" t="s">
        <v>40</v>
      </c>
      <c r="F24" s="18">
        <v>450662960</v>
      </c>
      <c r="G24" s="9">
        <v>450662960</v>
      </c>
      <c r="H24" s="22">
        <v>0</v>
      </c>
      <c r="I24" s="12" t="s">
        <v>25</v>
      </c>
      <c r="J24" s="9" t="s">
        <v>25</v>
      </c>
      <c r="K24" s="13" t="b">
        <f t="shared" si="2"/>
        <v>1</v>
      </c>
      <c r="L24" s="12" t="s">
        <v>26</v>
      </c>
      <c r="M24" s="9" t="s">
        <v>26</v>
      </c>
      <c r="N24" s="13" t="b">
        <f t="shared" si="3"/>
        <v>1</v>
      </c>
      <c r="O24" s="12" t="s">
        <v>23</v>
      </c>
      <c r="P24" s="9" t="s">
        <v>23</v>
      </c>
      <c r="Q24" s="13" t="b">
        <f t="shared" si="1"/>
        <v>1</v>
      </c>
      <c r="R24" s="12" t="s">
        <v>34</v>
      </c>
      <c r="S24" s="9" t="s">
        <v>34</v>
      </c>
      <c r="T24" s="13" t="b">
        <f t="shared" si="4"/>
        <v>1</v>
      </c>
      <c r="U24" s="12"/>
      <c r="V24" s="9"/>
      <c r="W24" s="13" t="b">
        <f t="shared" si="5"/>
        <v>1</v>
      </c>
      <c r="X24" s="12"/>
      <c r="Y24" s="9"/>
      <c r="Z24" s="13" t="b">
        <f t="shared" si="6"/>
        <v>1</v>
      </c>
    </row>
    <row r="25" spans="2:26" x14ac:dyDescent="0.25">
      <c r="B25" s="19" t="s">
        <v>17</v>
      </c>
      <c r="C25" s="19" t="s">
        <v>43</v>
      </c>
      <c r="D25" s="20" t="s">
        <v>19</v>
      </c>
      <c r="E25" s="21" t="s">
        <v>44</v>
      </c>
      <c r="F25" s="18">
        <v>99962303</v>
      </c>
      <c r="G25" s="9">
        <v>99962303</v>
      </c>
      <c r="H25" s="22">
        <v>0</v>
      </c>
      <c r="I25" s="12" t="s">
        <v>25</v>
      </c>
      <c r="J25" s="9" t="s">
        <v>25</v>
      </c>
      <c r="K25" s="13" t="b">
        <f t="shared" si="2"/>
        <v>1</v>
      </c>
      <c r="L25" s="12" t="s">
        <v>26</v>
      </c>
      <c r="M25" s="9" t="s">
        <v>26</v>
      </c>
      <c r="N25" s="13" t="b">
        <f t="shared" si="3"/>
        <v>1</v>
      </c>
      <c r="O25" s="12" t="s">
        <v>23</v>
      </c>
      <c r="P25" s="9" t="s">
        <v>23</v>
      </c>
      <c r="Q25" s="13" t="b">
        <f t="shared" si="1"/>
        <v>1</v>
      </c>
      <c r="R25" s="12" t="s">
        <v>27</v>
      </c>
      <c r="S25" s="9" t="s">
        <v>27</v>
      </c>
      <c r="T25" s="13" t="b">
        <f t="shared" si="4"/>
        <v>1</v>
      </c>
      <c r="U25" s="12" t="s">
        <v>45</v>
      </c>
      <c r="V25" s="9" t="s">
        <v>45</v>
      </c>
      <c r="W25" s="13" t="b">
        <f t="shared" si="5"/>
        <v>1</v>
      </c>
      <c r="X25" s="12" t="s">
        <v>46</v>
      </c>
      <c r="Y25" s="9" t="s">
        <v>46</v>
      </c>
      <c r="Z25" s="13" t="b">
        <f t="shared" si="6"/>
        <v>1</v>
      </c>
    </row>
    <row r="26" spans="2:26" x14ac:dyDescent="0.25">
      <c r="B26" s="19" t="s">
        <v>17</v>
      </c>
      <c r="C26" s="19" t="s">
        <v>43</v>
      </c>
      <c r="D26" s="20" t="s">
        <v>19</v>
      </c>
      <c r="E26" s="21" t="s">
        <v>47</v>
      </c>
      <c r="F26" s="18">
        <v>-11000000</v>
      </c>
      <c r="G26" s="9">
        <v>-11000000</v>
      </c>
      <c r="H26" s="22">
        <v>0</v>
      </c>
      <c r="I26" s="12" t="s">
        <v>25</v>
      </c>
      <c r="J26" s="9" t="s">
        <v>25</v>
      </c>
      <c r="K26" s="13" t="b">
        <f t="shared" si="2"/>
        <v>1</v>
      </c>
      <c r="L26" s="12" t="s">
        <v>26</v>
      </c>
      <c r="M26" s="9" t="s">
        <v>26</v>
      </c>
      <c r="N26" s="13" t="b">
        <f t="shared" si="3"/>
        <v>1</v>
      </c>
      <c r="O26" s="12" t="s">
        <v>23</v>
      </c>
      <c r="P26" s="9" t="s">
        <v>23</v>
      </c>
      <c r="Q26" s="13" t="b">
        <f t="shared" si="1"/>
        <v>1</v>
      </c>
      <c r="R26" s="12" t="s">
        <v>27</v>
      </c>
      <c r="S26" s="9" t="s">
        <v>27</v>
      </c>
      <c r="T26" s="13" t="b">
        <f t="shared" si="4"/>
        <v>1</v>
      </c>
      <c r="U26" s="12" t="s">
        <v>45</v>
      </c>
      <c r="V26" s="9" t="s">
        <v>45</v>
      </c>
      <c r="W26" s="13" t="b">
        <f t="shared" si="5"/>
        <v>1</v>
      </c>
      <c r="X26" s="12" t="s">
        <v>46</v>
      </c>
      <c r="Y26" s="9" t="s">
        <v>46</v>
      </c>
      <c r="Z26" s="13" t="b">
        <f t="shared" si="6"/>
        <v>1</v>
      </c>
    </row>
    <row r="27" spans="2:26" x14ac:dyDescent="0.25">
      <c r="B27" s="19" t="s">
        <v>17</v>
      </c>
      <c r="C27" s="19" t="s">
        <v>48</v>
      </c>
      <c r="D27" s="20" t="s">
        <v>19</v>
      </c>
      <c r="E27" s="21" t="s">
        <v>40</v>
      </c>
      <c r="F27" s="18">
        <v>49500</v>
      </c>
      <c r="G27" s="9">
        <v>49500</v>
      </c>
      <c r="H27" s="22">
        <v>0</v>
      </c>
      <c r="I27" s="12" t="s">
        <v>25</v>
      </c>
      <c r="J27" s="9" t="s">
        <v>25</v>
      </c>
      <c r="K27" s="13" t="b">
        <f t="shared" si="2"/>
        <v>1</v>
      </c>
      <c r="L27" s="12" t="s">
        <v>26</v>
      </c>
      <c r="M27" s="9" t="s">
        <v>26</v>
      </c>
      <c r="N27" s="13" t="b">
        <f t="shared" si="3"/>
        <v>1</v>
      </c>
      <c r="O27" s="12" t="s">
        <v>23</v>
      </c>
      <c r="P27" s="9" t="s">
        <v>23</v>
      </c>
      <c r="Q27" s="13" t="b">
        <f t="shared" si="1"/>
        <v>1</v>
      </c>
      <c r="R27" s="12" t="s">
        <v>27</v>
      </c>
      <c r="S27" s="9" t="s">
        <v>27</v>
      </c>
      <c r="T27" s="13" t="b">
        <f t="shared" si="4"/>
        <v>1</v>
      </c>
      <c r="U27" s="12"/>
      <c r="V27" s="9"/>
      <c r="W27" s="13" t="b">
        <f t="shared" si="5"/>
        <v>1</v>
      </c>
      <c r="X27" s="12"/>
      <c r="Y27" s="9"/>
      <c r="Z27" s="13" t="b">
        <f t="shared" si="6"/>
        <v>1</v>
      </c>
    </row>
    <row r="28" spans="2:26" x14ac:dyDescent="0.25">
      <c r="B28" s="35" t="s">
        <v>49</v>
      </c>
      <c r="C28" s="35"/>
      <c r="D28" s="35"/>
      <c r="E28" s="35"/>
      <c r="F28" s="23">
        <f>SUM(F12:F27)</f>
        <v>847227230</v>
      </c>
      <c r="G28" s="23">
        <f>SUM(G12:G27)</f>
        <v>847227232</v>
      </c>
      <c r="H28" s="23">
        <f t="shared" ref="H28" si="7">G28-F28</f>
        <v>2</v>
      </c>
    </row>
    <row r="29" spans="2:26" x14ac:dyDescent="0.25"/>
  </sheetData>
  <mergeCells count="58">
    <mergeCell ref="N12:N13"/>
    <mergeCell ref="B10:B11"/>
    <mergeCell ref="C10:C11"/>
    <mergeCell ref="D10:D11"/>
    <mergeCell ref="E10:E11"/>
    <mergeCell ref="B12:B13"/>
    <mergeCell ref="C12:C13"/>
    <mergeCell ref="D12:D13"/>
    <mergeCell ref="E12:E13"/>
    <mergeCell ref="I12:I13"/>
    <mergeCell ref="J12:J13"/>
    <mergeCell ref="K12:K13"/>
    <mergeCell ref="L12:L13"/>
    <mergeCell ref="M12:M13"/>
    <mergeCell ref="W12:W13"/>
    <mergeCell ref="X12:X13"/>
    <mergeCell ref="Y12:Y13"/>
    <mergeCell ref="Z12:Z13"/>
    <mergeCell ref="B14:B15"/>
    <mergeCell ref="C14:C15"/>
    <mergeCell ref="D14:D15"/>
    <mergeCell ref="E14:E15"/>
    <mergeCell ref="I14:I15"/>
    <mergeCell ref="J14:J15"/>
    <mergeCell ref="Q12:Q13"/>
    <mergeCell ref="R12:R13"/>
    <mergeCell ref="S12:S13"/>
    <mergeCell ref="T12:T13"/>
    <mergeCell ref="U12:U13"/>
    <mergeCell ref="V12:V13"/>
    <mergeCell ref="U14:U15"/>
    <mergeCell ref="V14:V15"/>
    <mergeCell ref="W14:W15"/>
    <mergeCell ref="K14:K15"/>
    <mergeCell ref="L14:L15"/>
    <mergeCell ref="M14:M15"/>
    <mergeCell ref="N14:N15"/>
    <mergeCell ref="R14:R15"/>
    <mergeCell ref="S14:S15"/>
    <mergeCell ref="B17:B18"/>
    <mergeCell ref="C17:C18"/>
    <mergeCell ref="D17:D18"/>
    <mergeCell ref="E17:E18"/>
    <mergeCell ref="T14:T15"/>
    <mergeCell ref="Q19:Q21"/>
    <mergeCell ref="B28:E28"/>
    <mergeCell ref="K19:K21"/>
    <mergeCell ref="L19:L21"/>
    <mergeCell ref="M19:M21"/>
    <mergeCell ref="N19:N21"/>
    <mergeCell ref="O19:O21"/>
    <mergeCell ref="P19:P21"/>
    <mergeCell ref="B19:B21"/>
    <mergeCell ref="C19:C21"/>
    <mergeCell ref="D19:D21"/>
    <mergeCell ref="E19:E21"/>
    <mergeCell ref="I19:I21"/>
    <mergeCell ref="J19:J21"/>
  </mergeCells>
  <conditionalFormatting sqref="Z17:Z21 N17:N18 Q17:Q18 T17:T21 K17:K19 W17:W21">
    <cfRule type="cellIs" dxfId="67" priority="71" operator="equal">
      <formula>FALSE</formula>
    </cfRule>
    <cfRule type="cellIs" dxfId="66" priority="72" operator="equal">
      <formula>TRUE</formula>
    </cfRule>
  </conditionalFormatting>
  <conditionalFormatting sqref="Z23">
    <cfRule type="cellIs" dxfId="65" priority="67" operator="equal">
      <formula>FALSE</formula>
    </cfRule>
    <cfRule type="cellIs" dxfId="64" priority="68" operator="equal">
      <formula>TRUE</formula>
    </cfRule>
  </conditionalFormatting>
  <conditionalFormatting sqref="Z22">
    <cfRule type="cellIs" dxfId="63" priority="69" operator="equal">
      <formula>FALSE</formula>
    </cfRule>
    <cfRule type="cellIs" dxfId="62" priority="70" operator="equal">
      <formula>TRUE</formula>
    </cfRule>
  </conditionalFormatting>
  <conditionalFormatting sqref="W16 K16">
    <cfRule type="cellIs" dxfId="61" priority="65" operator="equal">
      <formula>FALSE</formula>
    </cfRule>
    <cfRule type="cellIs" dxfId="60" priority="66" operator="equal">
      <formula>TRUE</formula>
    </cfRule>
  </conditionalFormatting>
  <conditionalFormatting sqref="N23 K23 Q23 T23 W23">
    <cfRule type="cellIs" dxfId="59" priority="61" operator="equal">
      <formula>FALSE</formula>
    </cfRule>
    <cfRule type="cellIs" dxfId="58" priority="62" operator="equal">
      <formula>TRUE</formula>
    </cfRule>
  </conditionalFormatting>
  <conditionalFormatting sqref="N22 K22 Q22 T22 W22">
    <cfRule type="cellIs" dxfId="57" priority="63" operator="equal">
      <formula>FALSE</formula>
    </cfRule>
    <cfRule type="cellIs" dxfId="56" priority="64" operator="equal">
      <formula>TRUE</formula>
    </cfRule>
  </conditionalFormatting>
  <conditionalFormatting sqref="Z24">
    <cfRule type="cellIs" dxfId="55" priority="59" operator="equal">
      <formula>FALSE</formula>
    </cfRule>
    <cfRule type="cellIs" dxfId="54" priority="60" operator="equal">
      <formula>TRUE</formula>
    </cfRule>
  </conditionalFormatting>
  <conditionalFormatting sqref="N24 K24 Q24 T24 W24">
    <cfRule type="cellIs" dxfId="53" priority="57" operator="equal">
      <formula>FALSE</formula>
    </cfRule>
    <cfRule type="cellIs" dxfId="52" priority="58" operator="equal">
      <formula>TRUE</formula>
    </cfRule>
  </conditionalFormatting>
  <conditionalFormatting sqref="N16">
    <cfRule type="cellIs" dxfId="51" priority="55" operator="equal">
      <formula>FALSE</formula>
    </cfRule>
    <cfRule type="cellIs" dxfId="50" priority="56" operator="equal">
      <formula>TRUE</formula>
    </cfRule>
  </conditionalFormatting>
  <conditionalFormatting sqref="Q16">
    <cfRule type="cellIs" dxfId="49" priority="53" operator="equal">
      <formula>FALSE</formula>
    </cfRule>
    <cfRule type="cellIs" dxfId="48" priority="54" operator="equal">
      <formula>TRUE</formula>
    </cfRule>
  </conditionalFormatting>
  <conditionalFormatting sqref="T16">
    <cfRule type="cellIs" dxfId="47" priority="51" operator="equal">
      <formula>FALSE</formula>
    </cfRule>
    <cfRule type="cellIs" dxfId="46" priority="52" operator="equal">
      <formula>TRUE</formula>
    </cfRule>
  </conditionalFormatting>
  <conditionalFormatting sqref="Z16">
    <cfRule type="cellIs" dxfId="45" priority="49" operator="equal">
      <formula>FALSE</formula>
    </cfRule>
    <cfRule type="cellIs" dxfId="44" priority="50" operator="equal">
      <formula>TRUE</formula>
    </cfRule>
  </conditionalFormatting>
  <conditionalFormatting sqref="N19">
    <cfRule type="cellIs" dxfId="43" priority="47" operator="equal">
      <formula>FALSE</formula>
    </cfRule>
    <cfRule type="cellIs" dxfId="42" priority="48" operator="equal">
      <formula>TRUE</formula>
    </cfRule>
  </conditionalFormatting>
  <conditionalFormatting sqref="Q19">
    <cfRule type="cellIs" dxfId="41" priority="45" operator="equal">
      <formula>FALSE</formula>
    </cfRule>
    <cfRule type="cellIs" dxfId="40" priority="46" operator="equal">
      <formula>TRUE</formula>
    </cfRule>
  </conditionalFormatting>
  <conditionalFormatting sqref="K25:K27">
    <cfRule type="cellIs" dxfId="39" priority="43" operator="equal">
      <formula>FALSE</formula>
    </cfRule>
    <cfRule type="cellIs" dxfId="38" priority="44" operator="equal">
      <formula>TRUE</formula>
    </cfRule>
  </conditionalFormatting>
  <conditionalFormatting sqref="Z25:Z27">
    <cfRule type="cellIs" dxfId="37" priority="41" operator="equal">
      <formula>FALSE</formula>
    </cfRule>
    <cfRule type="cellIs" dxfId="36" priority="42" operator="equal">
      <formula>TRUE</formula>
    </cfRule>
  </conditionalFormatting>
  <conditionalFormatting sqref="W25:W27">
    <cfRule type="cellIs" dxfId="35" priority="39" operator="equal">
      <formula>FALSE</formula>
    </cfRule>
    <cfRule type="cellIs" dxfId="34" priority="40" operator="equal">
      <formula>TRUE</formula>
    </cfRule>
  </conditionalFormatting>
  <conditionalFormatting sqref="T25:T27">
    <cfRule type="cellIs" dxfId="33" priority="37" operator="equal">
      <formula>FALSE</formula>
    </cfRule>
    <cfRule type="cellIs" dxfId="32" priority="38" operator="equal">
      <formula>TRUE</formula>
    </cfRule>
  </conditionalFormatting>
  <conditionalFormatting sqref="Q25:Q27">
    <cfRule type="cellIs" dxfId="31" priority="35" operator="equal">
      <formula>FALSE</formula>
    </cfRule>
    <cfRule type="cellIs" dxfId="30" priority="36" operator="equal">
      <formula>TRUE</formula>
    </cfRule>
  </conditionalFormatting>
  <conditionalFormatting sqref="N25:N27">
    <cfRule type="cellIs" dxfId="29" priority="33" operator="equal">
      <formula>FALSE</formula>
    </cfRule>
    <cfRule type="cellIs" dxfId="28" priority="34" operator="equal">
      <formula>TRUE</formula>
    </cfRule>
  </conditionalFormatting>
  <conditionalFormatting sqref="K14">
    <cfRule type="cellIs" dxfId="27" priority="27" operator="equal">
      <formula>FALSE</formula>
    </cfRule>
    <cfRule type="cellIs" dxfId="26" priority="28" operator="equal">
      <formula>TRUE</formula>
    </cfRule>
  </conditionalFormatting>
  <conditionalFormatting sqref="K12">
    <cfRule type="cellIs" dxfId="25" priority="25" operator="equal">
      <formula>FALSE</formula>
    </cfRule>
    <cfRule type="cellIs" dxfId="24" priority="26" operator="equal">
      <formula>TRUE</formula>
    </cfRule>
  </conditionalFormatting>
  <conditionalFormatting sqref="Z12">
    <cfRule type="cellIs" dxfId="23" priority="15" operator="equal">
      <formula>FALSE</formula>
    </cfRule>
    <cfRule type="cellIs" dxfId="22" priority="16" operator="equal">
      <formula>TRUE</formula>
    </cfRule>
  </conditionalFormatting>
  <conditionalFormatting sqref="N12">
    <cfRule type="cellIs" dxfId="21" priority="23" operator="equal">
      <formula>FALSE</formula>
    </cfRule>
    <cfRule type="cellIs" dxfId="20" priority="24" operator="equal">
      <formula>TRUE</formula>
    </cfRule>
  </conditionalFormatting>
  <conditionalFormatting sqref="Q12">
    <cfRule type="cellIs" dxfId="19" priority="21" operator="equal">
      <formula>FALSE</formula>
    </cfRule>
    <cfRule type="cellIs" dxfId="18" priority="22" operator="equal">
      <formula>TRUE</formula>
    </cfRule>
  </conditionalFormatting>
  <conditionalFormatting sqref="T12">
    <cfRule type="cellIs" dxfId="17" priority="19" operator="equal">
      <formula>FALSE</formula>
    </cfRule>
    <cfRule type="cellIs" dxfId="16" priority="20" operator="equal">
      <formula>TRUE</formula>
    </cfRule>
  </conditionalFormatting>
  <conditionalFormatting sqref="W12">
    <cfRule type="cellIs" dxfId="15" priority="17" operator="equal">
      <formula>FALSE</formula>
    </cfRule>
    <cfRule type="cellIs" dxfId="14" priority="18" operator="equal">
      <formula>TRUE</formula>
    </cfRule>
  </conditionalFormatting>
  <conditionalFormatting sqref="N14">
    <cfRule type="cellIs" dxfId="13" priority="13" operator="equal">
      <formula>FALSE</formula>
    </cfRule>
    <cfRule type="cellIs" dxfId="12" priority="14" operator="equal">
      <formula>TRUE</formula>
    </cfRule>
  </conditionalFormatting>
  <conditionalFormatting sqref="Q14">
    <cfRule type="cellIs" dxfId="11" priority="11" operator="equal">
      <formula>FALSE</formula>
    </cfRule>
    <cfRule type="cellIs" dxfId="10" priority="12" operator="equal">
      <formula>TRUE</formula>
    </cfRule>
  </conditionalFormatting>
  <conditionalFormatting sqref="Q15">
    <cfRule type="cellIs" dxfId="9" priority="9" operator="equal">
      <formula>FALSE</formula>
    </cfRule>
    <cfRule type="cellIs" dxfId="8" priority="10" operator="equal">
      <formula>TRUE</formula>
    </cfRule>
  </conditionalFormatting>
  <conditionalFormatting sqref="T14">
    <cfRule type="cellIs" dxfId="7" priority="7" operator="equal">
      <formula>FALSE</formula>
    </cfRule>
    <cfRule type="cellIs" dxfId="6" priority="8" operator="equal">
      <formula>TRUE</formula>
    </cfRule>
  </conditionalFormatting>
  <conditionalFormatting sqref="W14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Z14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Z15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3.5703125" bestFit="1" customWidth="1"/>
    <col min="7" max="7" width="4.28515625" customWidth="1"/>
    <col min="8" max="8" width="7" customWidth="1"/>
    <col min="9" max="10" width="6.7109375" customWidth="1"/>
    <col min="11" max="11" width="8.7109375" customWidth="1"/>
    <col min="12" max="12" width="14" bestFit="1" customWidth="1"/>
    <col min="13" max="13" width="3.7109375" customWidth="1"/>
    <col min="14" max="16384" width="9.140625" hidden="1"/>
  </cols>
  <sheetData>
    <row r="1" spans="2:12" s="1" customFormat="1" ht="7.5" customHeight="1" x14ac:dyDescent="0.25"/>
    <row r="2" spans="2:12" s="2" customFormat="1" ht="7.5" customHeight="1" x14ac:dyDescent="0.25"/>
    <row r="3" spans="2:12" s="3" customFormat="1" ht="7.5" customHeight="1" x14ac:dyDescent="0.25"/>
    <row r="4" spans="2:12" s="1" customFormat="1" ht="7.5" customHeight="1" x14ac:dyDescent="0.25"/>
    <row r="5" spans="2:12" s="1" customFormat="1" ht="7.5" customHeight="1" x14ac:dyDescent="0.25"/>
    <row r="6" spans="2:12" s="4" customFormat="1" ht="3" customHeight="1" x14ac:dyDescent="0.25"/>
    <row r="7" spans="2:12" x14ac:dyDescent="0.25"/>
    <row r="8" spans="2:12" x14ac:dyDescent="0.25">
      <c r="B8" s="5" t="s">
        <v>0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4.9000000000000004" customHeight="1" x14ac:dyDescent="0.25"/>
    <row r="10" spans="2:12" x14ac:dyDescent="0.25"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11</v>
      </c>
      <c r="K10" s="27" t="s">
        <v>12</v>
      </c>
      <c r="L10" s="27" t="s">
        <v>13</v>
      </c>
    </row>
    <row r="11" spans="2:12" x14ac:dyDescent="0.25">
      <c r="B11" s="28" t="s">
        <v>17</v>
      </c>
      <c r="C11" s="28" t="s">
        <v>18</v>
      </c>
      <c r="D11" s="28" t="s">
        <v>19</v>
      </c>
      <c r="E11" s="28" t="s">
        <v>20</v>
      </c>
      <c r="F11" s="29">
        <v>278361</v>
      </c>
      <c r="G11" s="28" t="s">
        <v>25</v>
      </c>
      <c r="H11" s="28" t="s">
        <v>26</v>
      </c>
      <c r="I11" s="28" t="s">
        <v>22</v>
      </c>
      <c r="J11" s="28" t="s">
        <v>27</v>
      </c>
      <c r="K11" s="28"/>
      <c r="L11" s="28"/>
    </row>
    <row r="12" spans="2:12" x14ac:dyDescent="0.25">
      <c r="B12" s="28" t="s">
        <v>17</v>
      </c>
      <c r="C12" s="28" t="s">
        <v>18</v>
      </c>
      <c r="D12" s="28" t="s">
        <v>19</v>
      </c>
      <c r="E12" s="28" t="s">
        <v>20</v>
      </c>
      <c r="F12" s="29">
        <v>40381801</v>
      </c>
      <c r="G12" s="28" t="s">
        <v>25</v>
      </c>
      <c r="H12" s="28" t="s">
        <v>26</v>
      </c>
      <c r="I12" s="28" t="s">
        <v>23</v>
      </c>
      <c r="J12" s="28" t="s">
        <v>27</v>
      </c>
      <c r="K12" s="28"/>
      <c r="L12" s="28"/>
    </row>
    <row r="13" spans="2:12" x14ac:dyDescent="0.25">
      <c r="B13" s="28" t="s">
        <v>17</v>
      </c>
      <c r="C13" s="28" t="s">
        <v>18</v>
      </c>
      <c r="D13" s="28" t="s">
        <v>19</v>
      </c>
      <c r="E13" s="28" t="s">
        <v>21</v>
      </c>
      <c r="F13" s="29">
        <v>-21085073</v>
      </c>
      <c r="G13" s="28" t="s">
        <v>25</v>
      </c>
      <c r="H13" s="28" t="s">
        <v>26</v>
      </c>
      <c r="I13" s="28" t="s">
        <v>23</v>
      </c>
      <c r="J13" s="28" t="s">
        <v>27</v>
      </c>
      <c r="K13" s="28"/>
      <c r="L13" s="28"/>
    </row>
    <row r="14" spans="2:12" x14ac:dyDescent="0.25">
      <c r="B14" s="28" t="s">
        <v>17</v>
      </c>
      <c r="C14" s="28" t="s">
        <v>18</v>
      </c>
      <c r="D14" s="28" t="s">
        <v>19</v>
      </c>
      <c r="E14" s="28" t="s">
        <v>21</v>
      </c>
      <c r="F14" s="29">
        <v>-69183</v>
      </c>
      <c r="G14" s="28" t="s">
        <v>25</v>
      </c>
      <c r="H14" s="28" t="s">
        <v>26</v>
      </c>
      <c r="I14" s="28" t="s">
        <v>22</v>
      </c>
      <c r="J14" s="28" t="s">
        <v>27</v>
      </c>
      <c r="K14" s="28"/>
      <c r="L14" s="28"/>
    </row>
    <row r="15" spans="2:12" x14ac:dyDescent="0.25">
      <c r="B15" s="28" t="s">
        <v>17</v>
      </c>
      <c r="C15" s="28" t="s">
        <v>18</v>
      </c>
      <c r="D15" s="28" t="s">
        <v>19</v>
      </c>
      <c r="E15" s="28" t="s">
        <v>24</v>
      </c>
      <c r="F15" s="29">
        <v>17085832</v>
      </c>
      <c r="G15" s="28" t="s">
        <v>25</v>
      </c>
      <c r="H15" s="28" t="s">
        <v>26</v>
      </c>
      <c r="I15" s="28" t="s">
        <v>23</v>
      </c>
      <c r="J15" s="28" t="s">
        <v>27</v>
      </c>
      <c r="K15" s="28"/>
      <c r="L15" s="28"/>
    </row>
    <row r="16" spans="2:12" x14ac:dyDescent="0.25">
      <c r="B16" s="28" t="s">
        <v>17</v>
      </c>
      <c r="C16" s="28" t="s">
        <v>18</v>
      </c>
      <c r="D16" s="28" t="s">
        <v>19</v>
      </c>
      <c r="E16" s="28" t="s">
        <v>28</v>
      </c>
      <c r="F16" s="29">
        <v>2493971</v>
      </c>
      <c r="G16" s="28" t="s">
        <v>29</v>
      </c>
      <c r="H16" s="28" t="s">
        <v>26</v>
      </c>
      <c r="I16" s="28" t="s">
        <v>23</v>
      </c>
      <c r="J16" s="28" t="s">
        <v>30</v>
      </c>
      <c r="K16" s="28"/>
      <c r="L16" s="28"/>
    </row>
    <row r="17" spans="2:12" x14ac:dyDescent="0.25">
      <c r="B17" s="28" t="s">
        <v>17</v>
      </c>
      <c r="C17" s="28" t="s">
        <v>18</v>
      </c>
      <c r="D17" s="28" t="s">
        <v>19</v>
      </c>
      <c r="E17" s="28" t="s">
        <v>28</v>
      </c>
      <c r="F17" s="29">
        <v>171653011</v>
      </c>
      <c r="G17" s="28" t="s">
        <v>25</v>
      </c>
      <c r="H17" s="28" t="s">
        <v>26</v>
      </c>
      <c r="I17" s="28" t="s">
        <v>23</v>
      </c>
      <c r="J17" s="28" t="s">
        <v>27</v>
      </c>
      <c r="K17" s="28"/>
      <c r="L17" s="28"/>
    </row>
    <row r="18" spans="2:12" x14ac:dyDescent="0.25">
      <c r="B18" s="28" t="s">
        <v>17</v>
      </c>
      <c r="C18" s="28" t="s">
        <v>18</v>
      </c>
      <c r="D18" s="28" t="s">
        <v>19</v>
      </c>
      <c r="E18" s="28" t="s">
        <v>31</v>
      </c>
      <c r="F18" s="29">
        <v>22684</v>
      </c>
      <c r="G18" s="28" t="s">
        <v>25</v>
      </c>
      <c r="H18" s="28" t="s">
        <v>26</v>
      </c>
      <c r="I18" s="28" t="s">
        <v>23</v>
      </c>
      <c r="J18" s="28" t="s">
        <v>27</v>
      </c>
      <c r="K18" s="28" t="s">
        <v>32</v>
      </c>
      <c r="L18" s="28" t="s">
        <v>33</v>
      </c>
    </row>
    <row r="19" spans="2:12" x14ac:dyDescent="0.25">
      <c r="B19" s="28" t="s">
        <v>17</v>
      </c>
      <c r="C19" s="28" t="s">
        <v>18</v>
      </c>
      <c r="D19" s="28" t="s">
        <v>19</v>
      </c>
      <c r="E19" s="28" t="s">
        <v>31</v>
      </c>
      <c r="F19" s="29">
        <v>35578</v>
      </c>
      <c r="G19" s="28" t="s">
        <v>25</v>
      </c>
      <c r="H19" s="28" t="s">
        <v>26</v>
      </c>
      <c r="I19" s="28" t="s">
        <v>23</v>
      </c>
      <c r="J19" s="28" t="s">
        <v>27</v>
      </c>
      <c r="K19" s="28" t="s">
        <v>37</v>
      </c>
      <c r="L19" s="28" t="s">
        <v>38</v>
      </c>
    </row>
    <row r="20" spans="2:12" x14ac:dyDescent="0.25">
      <c r="B20" s="28" t="s">
        <v>17</v>
      </c>
      <c r="C20" s="28" t="s">
        <v>18</v>
      </c>
      <c r="D20" s="28" t="s">
        <v>19</v>
      </c>
      <c r="E20" s="28" t="s">
        <v>31</v>
      </c>
      <c r="F20" s="29">
        <v>131176</v>
      </c>
      <c r="G20" s="28" t="s">
        <v>25</v>
      </c>
      <c r="H20" s="28" t="s">
        <v>26</v>
      </c>
      <c r="I20" s="28" t="s">
        <v>23</v>
      </c>
      <c r="J20" s="28" t="s">
        <v>34</v>
      </c>
      <c r="K20" s="28" t="s">
        <v>35</v>
      </c>
      <c r="L20" s="28" t="s">
        <v>36</v>
      </c>
    </row>
    <row r="21" spans="2:12" x14ac:dyDescent="0.25">
      <c r="B21" s="28" t="s">
        <v>17</v>
      </c>
      <c r="C21" s="28" t="s">
        <v>42</v>
      </c>
      <c r="D21" s="28" t="s">
        <v>19</v>
      </c>
      <c r="E21" s="28" t="s">
        <v>51</v>
      </c>
      <c r="F21" s="29">
        <v>-1</v>
      </c>
      <c r="G21" s="28" t="s">
        <v>25</v>
      </c>
      <c r="H21" s="28" t="s">
        <v>26</v>
      </c>
      <c r="I21" s="28" t="s">
        <v>23</v>
      </c>
      <c r="J21" s="28" t="s">
        <v>34</v>
      </c>
      <c r="K21" s="28"/>
      <c r="L21" s="28"/>
    </row>
    <row r="22" spans="2:12" x14ac:dyDescent="0.25">
      <c r="B22" s="28" t="s">
        <v>17</v>
      </c>
      <c r="C22" s="28" t="s">
        <v>48</v>
      </c>
      <c r="D22" s="28" t="s">
        <v>19</v>
      </c>
      <c r="E22" s="28" t="s">
        <v>40</v>
      </c>
      <c r="F22" s="29">
        <v>49500</v>
      </c>
      <c r="G22" s="28" t="s">
        <v>25</v>
      </c>
      <c r="H22" s="28" t="s">
        <v>26</v>
      </c>
      <c r="I22" s="28" t="s">
        <v>23</v>
      </c>
      <c r="J22" s="28" t="s">
        <v>27</v>
      </c>
      <c r="K22" s="28"/>
      <c r="L22" s="28"/>
    </row>
    <row r="23" spans="2:12" x14ac:dyDescent="0.25">
      <c r="B23" s="28" t="s">
        <v>17</v>
      </c>
      <c r="C23" s="28" t="s">
        <v>41</v>
      </c>
      <c r="D23" s="28" t="s">
        <v>19</v>
      </c>
      <c r="E23" s="28" t="s">
        <v>40</v>
      </c>
      <c r="F23" s="29">
        <v>7932813</v>
      </c>
      <c r="G23" s="28" t="s">
        <v>25</v>
      </c>
      <c r="H23" s="28" t="s">
        <v>26</v>
      </c>
      <c r="I23" s="28" t="s">
        <v>23</v>
      </c>
      <c r="J23" s="28" t="s">
        <v>27</v>
      </c>
      <c r="K23" s="28"/>
      <c r="L23" s="28"/>
    </row>
    <row r="24" spans="2:12" x14ac:dyDescent="0.25">
      <c r="B24" s="28" t="s">
        <v>17</v>
      </c>
      <c r="C24" s="28" t="s">
        <v>39</v>
      </c>
      <c r="D24" s="28" t="s">
        <v>19</v>
      </c>
      <c r="E24" s="28" t="s">
        <v>40</v>
      </c>
      <c r="F24" s="29">
        <v>88691496</v>
      </c>
      <c r="G24" s="28" t="s">
        <v>25</v>
      </c>
      <c r="H24" s="28" t="s">
        <v>26</v>
      </c>
      <c r="I24" s="28" t="s">
        <v>23</v>
      </c>
      <c r="J24" s="28" t="s">
        <v>27</v>
      </c>
      <c r="K24" s="28"/>
      <c r="L24" s="28"/>
    </row>
    <row r="25" spans="2:12" x14ac:dyDescent="0.25">
      <c r="B25" s="28" t="s">
        <v>17</v>
      </c>
      <c r="C25" s="28" t="s">
        <v>42</v>
      </c>
      <c r="D25" s="28" t="s">
        <v>19</v>
      </c>
      <c r="E25" s="28" t="s">
        <v>40</v>
      </c>
      <c r="F25" s="29">
        <v>450662960</v>
      </c>
      <c r="G25" s="28" t="s">
        <v>25</v>
      </c>
      <c r="H25" s="28" t="s">
        <v>26</v>
      </c>
      <c r="I25" s="28" t="s">
        <v>23</v>
      </c>
      <c r="J25" s="28" t="s">
        <v>34</v>
      </c>
      <c r="K25" s="28"/>
      <c r="L25" s="28"/>
    </row>
    <row r="26" spans="2:12" x14ac:dyDescent="0.25">
      <c r="B26" s="28" t="s">
        <v>17</v>
      </c>
      <c r="C26" s="28" t="s">
        <v>43</v>
      </c>
      <c r="D26" s="28" t="s">
        <v>19</v>
      </c>
      <c r="E26" s="28" t="s">
        <v>44</v>
      </c>
      <c r="F26" s="29">
        <v>99962303</v>
      </c>
      <c r="G26" s="28" t="s">
        <v>25</v>
      </c>
      <c r="H26" s="28" t="s">
        <v>26</v>
      </c>
      <c r="I26" s="28" t="s">
        <v>23</v>
      </c>
      <c r="J26" s="28" t="s">
        <v>27</v>
      </c>
      <c r="K26" s="28" t="s">
        <v>45</v>
      </c>
      <c r="L26" s="28" t="s">
        <v>46</v>
      </c>
    </row>
    <row r="27" spans="2:12" x14ac:dyDescent="0.25">
      <c r="B27" s="28" t="s">
        <v>17</v>
      </c>
      <c r="C27" s="28" t="s">
        <v>43</v>
      </c>
      <c r="D27" s="28" t="s">
        <v>19</v>
      </c>
      <c r="E27" s="28" t="s">
        <v>47</v>
      </c>
      <c r="F27" s="29">
        <v>-11000000</v>
      </c>
      <c r="G27" s="28" t="s">
        <v>25</v>
      </c>
      <c r="H27" s="28" t="s">
        <v>26</v>
      </c>
      <c r="I27" s="28" t="s">
        <v>23</v>
      </c>
      <c r="J27" s="28" t="s">
        <v>27</v>
      </c>
      <c r="K27" s="28" t="s">
        <v>45</v>
      </c>
      <c r="L27" s="28" t="s">
        <v>46</v>
      </c>
    </row>
    <row r="28" spans="2:12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3.5703125" bestFit="1" customWidth="1"/>
    <col min="7" max="7" width="4.28515625" customWidth="1"/>
    <col min="8" max="8" width="7" customWidth="1"/>
    <col min="9" max="10" width="6.7109375" customWidth="1"/>
    <col min="11" max="11" width="8.7109375" customWidth="1"/>
    <col min="12" max="12" width="14" bestFit="1" customWidth="1"/>
    <col min="13" max="13" width="3.7109375" customWidth="1"/>
    <col min="14" max="16384" width="9.140625" hidden="1"/>
  </cols>
  <sheetData>
    <row r="1" spans="2:12" s="1" customFormat="1" ht="7.5" customHeight="1" x14ac:dyDescent="0.25"/>
    <row r="2" spans="2:12" s="2" customFormat="1" ht="7.5" customHeight="1" x14ac:dyDescent="0.25"/>
    <row r="3" spans="2:12" s="3" customFormat="1" ht="7.5" customHeight="1" x14ac:dyDescent="0.25"/>
    <row r="4" spans="2:12" s="1" customFormat="1" ht="7.5" customHeight="1" x14ac:dyDescent="0.25"/>
    <row r="5" spans="2:12" s="1" customFormat="1" ht="7.5" customHeight="1" x14ac:dyDescent="0.25"/>
    <row r="6" spans="2:12" s="4" customFormat="1" ht="3" customHeight="1" x14ac:dyDescent="0.25"/>
    <row r="7" spans="2:12" x14ac:dyDescent="0.25"/>
    <row r="8" spans="2:12" x14ac:dyDescent="0.25">
      <c r="B8" s="5" t="s">
        <v>1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ht="4.9000000000000004" customHeight="1" x14ac:dyDescent="0.25"/>
    <row r="10" spans="2:12" x14ac:dyDescent="0.25"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11</v>
      </c>
      <c r="K10" s="27" t="s">
        <v>12</v>
      </c>
      <c r="L10" s="27" t="s">
        <v>13</v>
      </c>
    </row>
    <row r="11" spans="2:12" x14ac:dyDescent="0.25">
      <c r="B11" s="28" t="s">
        <v>17</v>
      </c>
      <c r="C11" s="28" t="s">
        <v>18</v>
      </c>
      <c r="D11" s="28" t="s">
        <v>19</v>
      </c>
      <c r="E11" s="28" t="s">
        <v>20</v>
      </c>
      <c r="F11" s="29">
        <v>335340</v>
      </c>
      <c r="G11" s="28" t="s">
        <v>25</v>
      </c>
      <c r="H11" s="28" t="s">
        <v>26</v>
      </c>
      <c r="I11" s="28" t="s">
        <v>22</v>
      </c>
      <c r="J11" s="28" t="s">
        <v>27</v>
      </c>
      <c r="K11" s="28"/>
      <c r="L11" s="28"/>
    </row>
    <row r="12" spans="2:12" x14ac:dyDescent="0.25">
      <c r="B12" s="28" t="s">
        <v>17</v>
      </c>
      <c r="C12" s="28" t="s">
        <v>18</v>
      </c>
      <c r="D12" s="28" t="s">
        <v>19</v>
      </c>
      <c r="E12" s="28" t="s">
        <v>20</v>
      </c>
      <c r="F12" s="29">
        <v>40324822</v>
      </c>
      <c r="G12" s="28" t="s">
        <v>25</v>
      </c>
      <c r="H12" s="28" t="s">
        <v>26</v>
      </c>
      <c r="I12" s="28" t="s">
        <v>23</v>
      </c>
      <c r="J12" s="28" t="s">
        <v>27</v>
      </c>
      <c r="K12" s="28"/>
      <c r="L12" s="28"/>
    </row>
    <row r="13" spans="2:12" x14ac:dyDescent="0.25">
      <c r="B13" s="28" t="s">
        <v>17</v>
      </c>
      <c r="C13" s="28" t="s">
        <v>18</v>
      </c>
      <c r="D13" s="28" t="s">
        <v>19</v>
      </c>
      <c r="E13" s="28" t="s">
        <v>21</v>
      </c>
      <c r="F13" s="29">
        <v>-21083973</v>
      </c>
      <c r="G13" s="28" t="s">
        <v>25</v>
      </c>
      <c r="H13" s="28" t="s">
        <v>26</v>
      </c>
      <c r="I13" s="28" t="s">
        <v>23</v>
      </c>
      <c r="J13" s="28" t="s">
        <v>27</v>
      </c>
      <c r="K13" s="28"/>
      <c r="L13" s="28"/>
    </row>
    <row r="14" spans="2:12" x14ac:dyDescent="0.25">
      <c r="B14" s="28" t="s">
        <v>17</v>
      </c>
      <c r="C14" s="28" t="s">
        <v>18</v>
      </c>
      <c r="D14" s="28" t="s">
        <v>19</v>
      </c>
      <c r="E14" s="28" t="s">
        <v>21</v>
      </c>
      <c r="F14" s="29">
        <v>-70283</v>
      </c>
      <c r="G14" s="28" t="s">
        <v>25</v>
      </c>
      <c r="H14" s="28" t="s">
        <v>26</v>
      </c>
      <c r="I14" s="28" t="s">
        <v>22</v>
      </c>
      <c r="J14" s="28" t="s">
        <v>27</v>
      </c>
      <c r="K14" s="28"/>
      <c r="L14" s="28"/>
    </row>
    <row r="15" spans="2:12" x14ac:dyDescent="0.25">
      <c r="B15" s="28" t="s">
        <v>17</v>
      </c>
      <c r="C15" s="28" t="s">
        <v>18</v>
      </c>
      <c r="D15" s="28" t="s">
        <v>19</v>
      </c>
      <c r="E15" s="28" t="s">
        <v>24</v>
      </c>
      <c r="F15" s="29">
        <v>17085833</v>
      </c>
      <c r="G15" s="28" t="s">
        <v>25</v>
      </c>
      <c r="H15" s="28" t="s">
        <v>26</v>
      </c>
      <c r="I15" s="28" t="s">
        <v>23</v>
      </c>
      <c r="J15" s="28" t="s">
        <v>27</v>
      </c>
      <c r="K15" s="28"/>
      <c r="L15" s="28"/>
    </row>
    <row r="16" spans="2:12" x14ac:dyDescent="0.25">
      <c r="B16" s="28" t="s">
        <v>17</v>
      </c>
      <c r="C16" s="28" t="s">
        <v>18</v>
      </c>
      <c r="D16" s="28" t="s">
        <v>19</v>
      </c>
      <c r="E16" s="28" t="s">
        <v>28</v>
      </c>
      <c r="F16" s="29">
        <v>2493971</v>
      </c>
      <c r="G16" s="28" t="s">
        <v>29</v>
      </c>
      <c r="H16" s="28" t="s">
        <v>26</v>
      </c>
      <c r="I16" s="28" t="s">
        <v>23</v>
      </c>
      <c r="J16" s="28" t="s">
        <v>30</v>
      </c>
      <c r="K16" s="28"/>
      <c r="L16" s="28"/>
    </row>
    <row r="17" spans="2:12" x14ac:dyDescent="0.25">
      <c r="B17" s="28" t="s">
        <v>17</v>
      </c>
      <c r="C17" s="28" t="s">
        <v>18</v>
      </c>
      <c r="D17" s="28" t="s">
        <v>19</v>
      </c>
      <c r="E17" s="28" t="s">
        <v>28</v>
      </c>
      <c r="F17" s="29">
        <v>171653012</v>
      </c>
      <c r="G17" s="28" t="s">
        <v>25</v>
      </c>
      <c r="H17" s="28" t="s">
        <v>26</v>
      </c>
      <c r="I17" s="28" t="s">
        <v>23</v>
      </c>
      <c r="J17" s="28" t="s">
        <v>27</v>
      </c>
      <c r="K17" s="28"/>
      <c r="L17" s="28"/>
    </row>
    <row r="18" spans="2:12" x14ac:dyDescent="0.25">
      <c r="B18" s="28" t="s">
        <v>17</v>
      </c>
      <c r="C18" s="28" t="s">
        <v>18</v>
      </c>
      <c r="D18" s="28" t="s">
        <v>19</v>
      </c>
      <c r="E18" s="28" t="s">
        <v>31</v>
      </c>
      <c r="F18" s="29">
        <v>22684</v>
      </c>
      <c r="G18" s="28" t="s">
        <v>25</v>
      </c>
      <c r="H18" s="28" t="s">
        <v>26</v>
      </c>
      <c r="I18" s="28" t="s">
        <v>23</v>
      </c>
      <c r="J18" s="28" t="s">
        <v>27</v>
      </c>
      <c r="K18" s="28" t="s">
        <v>32</v>
      </c>
      <c r="L18" s="28" t="s">
        <v>33</v>
      </c>
    </row>
    <row r="19" spans="2:12" x14ac:dyDescent="0.25">
      <c r="B19" s="28" t="s">
        <v>17</v>
      </c>
      <c r="C19" s="28" t="s">
        <v>18</v>
      </c>
      <c r="D19" s="28" t="s">
        <v>19</v>
      </c>
      <c r="E19" s="28" t="s">
        <v>31</v>
      </c>
      <c r="F19" s="29">
        <v>35578</v>
      </c>
      <c r="G19" s="28" t="s">
        <v>25</v>
      </c>
      <c r="H19" s="28" t="s">
        <v>26</v>
      </c>
      <c r="I19" s="28" t="s">
        <v>23</v>
      </c>
      <c r="J19" s="28" t="s">
        <v>27</v>
      </c>
      <c r="K19" s="28" t="s">
        <v>37</v>
      </c>
      <c r="L19" s="28" t="s">
        <v>38</v>
      </c>
    </row>
    <row r="20" spans="2:12" x14ac:dyDescent="0.25">
      <c r="B20" s="28" t="s">
        <v>17</v>
      </c>
      <c r="C20" s="28" t="s">
        <v>18</v>
      </c>
      <c r="D20" s="28" t="s">
        <v>19</v>
      </c>
      <c r="E20" s="28" t="s">
        <v>31</v>
      </c>
      <c r="F20" s="29">
        <v>131176</v>
      </c>
      <c r="G20" s="28" t="s">
        <v>25</v>
      </c>
      <c r="H20" s="28" t="s">
        <v>26</v>
      </c>
      <c r="I20" s="28" t="s">
        <v>23</v>
      </c>
      <c r="J20" s="28" t="s">
        <v>34</v>
      </c>
      <c r="K20" s="28" t="s">
        <v>35</v>
      </c>
      <c r="L20" s="28" t="s">
        <v>36</v>
      </c>
    </row>
    <row r="21" spans="2:12" x14ac:dyDescent="0.25">
      <c r="B21" s="28" t="s">
        <v>17</v>
      </c>
      <c r="C21" s="28" t="s">
        <v>42</v>
      </c>
      <c r="D21" s="28" t="s">
        <v>19</v>
      </c>
      <c r="E21" s="28" t="s">
        <v>51</v>
      </c>
      <c r="F21" s="29">
        <v>-1</v>
      </c>
      <c r="G21" s="28" t="s">
        <v>25</v>
      </c>
      <c r="H21" s="28" t="s">
        <v>26</v>
      </c>
      <c r="I21" s="28" t="s">
        <v>23</v>
      </c>
      <c r="J21" s="28" t="s">
        <v>34</v>
      </c>
      <c r="K21" s="28"/>
      <c r="L21" s="28"/>
    </row>
    <row r="22" spans="2:12" x14ac:dyDescent="0.25">
      <c r="B22" s="28" t="s">
        <v>17</v>
      </c>
      <c r="C22" s="28" t="s">
        <v>48</v>
      </c>
      <c r="D22" s="28" t="s">
        <v>19</v>
      </c>
      <c r="E22" s="28" t="s">
        <v>40</v>
      </c>
      <c r="F22" s="29">
        <v>49500</v>
      </c>
      <c r="G22" s="28" t="s">
        <v>25</v>
      </c>
      <c r="H22" s="28" t="s">
        <v>26</v>
      </c>
      <c r="I22" s="28" t="s">
        <v>23</v>
      </c>
      <c r="J22" s="28" t="s">
        <v>27</v>
      </c>
      <c r="K22" s="28"/>
      <c r="L22" s="28"/>
    </row>
    <row r="23" spans="2:12" x14ac:dyDescent="0.25">
      <c r="B23" s="28" t="s">
        <v>17</v>
      </c>
      <c r="C23" s="28" t="s">
        <v>41</v>
      </c>
      <c r="D23" s="28" t="s">
        <v>19</v>
      </c>
      <c r="E23" s="28" t="s">
        <v>40</v>
      </c>
      <c r="F23" s="29">
        <v>7932813</v>
      </c>
      <c r="G23" s="28" t="s">
        <v>25</v>
      </c>
      <c r="H23" s="28" t="s">
        <v>26</v>
      </c>
      <c r="I23" s="28" t="s">
        <v>23</v>
      </c>
      <c r="J23" s="28" t="s">
        <v>27</v>
      </c>
      <c r="K23" s="28"/>
      <c r="L23" s="28"/>
    </row>
    <row r="24" spans="2:12" x14ac:dyDescent="0.25">
      <c r="B24" s="28" t="s">
        <v>17</v>
      </c>
      <c r="C24" s="28" t="s">
        <v>39</v>
      </c>
      <c r="D24" s="28" t="s">
        <v>19</v>
      </c>
      <c r="E24" s="28" t="s">
        <v>40</v>
      </c>
      <c r="F24" s="29">
        <v>88691496</v>
      </c>
      <c r="G24" s="28" t="s">
        <v>25</v>
      </c>
      <c r="H24" s="28" t="s">
        <v>26</v>
      </c>
      <c r="I24" s="28" t="s">
        <v>23</v>
      </c>
      <c r="J24" s="28" t="s">
        <v>27</v>
      </c>
      <c r="K24" s="28"/>
      <c r="L24" s="28"/>
    </row>
    <row r="25" spans="2:12" x14ac:dyDescent="0.25">
      <c r="B25" s="28" t="s">
        <v>17</v>
      </c>
      <c r="C25" s="28" t="s">
        <v>42</v>
      </c>
      <c r="D25" s="28" t="s">
        <v>19</v>
      </c>
      <c r="E25" s="28" t="s">
        <v>40</v>
      </c>
      <c r="F25" s="29">
        <v>450662960</v>
      </c>
      <c r="G25" s="28" t="s">
        <v>25</v>
      </c>
      <c r="H25" s="28" t="s">
        <v>26</v>
      </c>
      <c r="I25" s="28" t="s">
        <v>23</v>
      </c>
      <c r="J25" s="28" t="s">
        <v>34</v>
      </c>
      <c r="K25" s="28"/>
      <c r="L25" s="28"/>
    </row>
    <row r="26" spans="2:12" x14ac:dyDescent="0.25">
      <c r="B26" s="28" t="s">
        <v>17</v>
      </c>
      <c r="C26" s="28" t="s">
        <v>43</v>
      </c>
      <c r="D26" s="28" t="s">
        <v>19</v>
      </c>
      <c r="E26" s="28" t="s">
        <v>44</v>
      </c>
      <c r="F26" s="29">
        <v>99962303</v>
      </c>
      <c r="G26" s="28" t="s">
        <v>25</v>
      </c>
      <c r="H26" s="28" t="s">
        <v>26</v>
      </c>
      <c r="I26" s="28" t="s">
        <v>23</v>
      </c>
      <c r="J26" s="28" t="s">
        <v>27</v>
      </c>
      <c r="K26" s="28" t="s">
        <v>45</v>
      </c>
      <c r="L26" s="28" t="s">
        <v>46</v>
      </c>
    </row>
    <row r="27" spans="2:12" x14ac:dyDescent="0.25">
      <c r="B27" s="28" t="s">
        <v>17</v>
      </c>
      <c r="C27" s="28" t="s">
        <v>43</v>
      </c>
      <c r="D27" s="28" t="s">
        <v>19</v>
      </c>
      <c r="E27" s="28" t="s">
        <v>47</v>
      </c>
      <c r="F27" s="29">
        <v>-11000000</v>
      </c>
      <c r="G27" s="28" t="s">
        <v>25</v>
      </c>
      <c r="H27" s="28" t="s">
        <v>26</v>
      </c>
      <c r="I27" s="28" t="s">
        <v>23</v>
      </c>
      <c r="J27" s="28" t="s">
        <v>27</v>
      </c>
      <c r="K27" s="28" t="s">
        <v>45</v>
      </c>
      <c r="L27" s="28" t="s">
        <v>46</v>
      </c>
    </row>
    <row r="28" spans="2:12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3" ma:contentTypeDescription="Create a new document." ma:contentTypeScope="" ma:versionID="926e2522d054605e0dc51285d373958b">
  <xsd:schema xmlns:xsd="http://www.w3.org/2001/XMLSchema" xmlns:xs="http://www.w3.org/2001/XMLSchema" xmlns:p="http://schemas.microsoft.com/office/2006/metadata/properties" xmlns:ns2="691f81de-e01a-4b25-b573-c3f90f157691" targetNamespace="http://schemas.microsoft.com/office/2006/metadata/properties" ma:root="true" ma:fieldsID="31e92960c670d64d0533e3ccb9440373" ns2:_=""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272E8-0BF2-4430-84F5-85E7774F2D5B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91f81de-e01a-4b25-b573-c3f90f15769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87C9FF-8C82-4273-83C9-D64904972A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D4EA5-DC82-4DDF-9EF2-E1A8B171D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Comparativo s adjudicados</vt:lpstr>
      <vt:lpstr>Comparativo - Deltas Granul</vt:lpstr>
      <vt:lpstr>Sat79 - Tático Dez 24</vt:lpstr>
      <vt:lpstr>Sat 79 - Sol. Estrutural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Parreira Vaz Natário</dc:creator>
  <cp:lastModifiedBy>Pedro Miguel Parreira Vaz Natário</cp:lastModifiedBy>
  <dcterms:created xsi:type="dcterms:W3CDTF">2025-07-04T16:04:43Z</dcterms:created>
  <dcterms:modified xsi:type="dcterms:W3CDTF">2025-07-04T16:21:16Z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2025-07-04T16:05:30Z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22cd31e3-7187-4c40-ad0d-f1213d53ae01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</Properties>
</file>