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804852\OneDrive - Santander Office 365\Documents\Reporte Satéltes Agregados Jun 25\Reporte Satélites\SAT 79\"/>
    </mc:Choice>
  </mc:AlternateContent>
  <bookViews>
    <workbookView xWindow="0" yWindow="0" windowWidth="21570" windowHeight="8070" activeTab="2"/>
  </bookViews>
  <sheets>
    <sheet name="Comparativo Agregado " sheetId="2" r:id="rId1"/>
    <sheet name="Comparativo Agregado  (2)" sheetId="10" r:id="rId2"/>
    <sheet name="Op Gerais - Comparativo" sheetId="8" r:id="rId3"/>
    <sheet name="Adjudicados - Comparativo" sheetId="9" r:id="rId4"/>
  </sheets>
  <definedNames>
    <definedName name="_xlnm._FilterDatabase" localSheetId="3" hidden="1">'Adjudicados - Comparativo'!$B$8:$W$816</definedName>
    <definedName name="_xlnm._FilterDatabase" localSheetId="0" hidden="1">'Comparativo Agregado '!$B$29:$L$46</definedName>
    <definedName name="_xlnm._FilterDatabase" localSheetId="1" hidden="1">'Comparativo Agregado  (2)'!$B$8:$L$24</definedName>
    <definedName name="_xlnm._FilterDatabase" localSheetId="2" hidden="1">'Op Gerais - Comparativo'!$8:$47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4" i="8" l="1"/>
  <c r="Q54" i="8"/>
  <c r="P53" i="8"/>
  <c r="Q53" i="8"/>
  <c r="M54" i="8"/>
  <c r="Q6" i="8"/>
  <c r="D820" i="9"/>
  <c r="P50" i="8"/>
  <c r="Q50" i="8" s="1"/>
  <c r="Q51" i="8" s="1"/>
  <c r="H6" i="9"/>
  <c r="O1253" i="9"/>
  <c r="O1252" i="9"/>
  <c r="O1251" i="9"/>
  <c r="O1250" i="9"/>
  <c r="O1249" i="9"/>
  <c r="O1248" i="9"/>
  <c r="O1247" i="9"/>
  <c r="O1246" i="9"/>
  <c r="O1245" i="9"/>
  <c r="O1244" i="9"/>
  <c r="O1243" i="9"/>
  <c r="O1242" i="9"/>
  <c r="O1241" i="9"/>
  <c r="O1240" i="9"/>
  <c r="O1239" i="9"/>
  <c r="O1238" i="9"/>
  <c r="O1237" i="9"/>
  <c r="O1236" i="9"/>
  <c r="O1235" i="9"/>
  <c r="O1234" i="9"/>
  <c r="O1233" i="9"/>
  <c r="O1232" i="9"/>
  <c r="O1231" i="9"/>
  <c r="O1230" i="9"/>
  <c r="O1229" i="9"/>
  <c r="O1228" i="9"/>
  <c r="O1227" i="9"/>
  <c r="O1226" i="9"/>
  <c r="O1225" i="9"/>
  <c r="O1224" i="9"/>
  <c r="O1223" i="9"/>
  <c r="O1222" i="9"/>
  <c r="O1221" i="9"/>
  <c r="O1220" i="9"/>
  <c r="O1219" i="9"/>
  <c r="O1218" i="9"/>
  <c r="O1217" i="9"/>
  <c r="O1216" i="9"/>
  <c r="O1215" i="9"/>
  <c r="O1214" i="9"/>
  <c r="O1213" i="9"/>
  <c r="O1212" i="9"/>
  <c r="O1211" i="9"/>
  <c r="O1210" i="9"/>
  <c r="O1209" i="9"/>
  <c r="O1208" i="9"/>
  <c r="O1207" i="9"/>
  <c r="O1206" i="9"/>
  <c r="O1205" i="9"/>
  <c r="O1204" i="9"/>
  <c r="O1203" i="9"/>
  <c r="O1202" i="9"/>
  <c r="O1201" i="9"/>
  <c r="O1200" i="9"/>
  <c r="O1199" i="9"/>
  <c r="O1198" i="9"/>
  <c r="O1197" i="9"/>
  <c r="O1196" i="9"/>
  <c r="O1195" i="9"/>
  <c r="O1194" i="9"/>
  <c r="O1193" i="9"/>
  <c r="O1192" i="9"/>
  <c r="O1191" i="9"/>
  <c r="O1190" i="9"/>
  <c r="O1189" i="9"/>
  <c r="O1188" i="9"/>
  <c r="O1187" i="9"/>
  <c r="O1186" i="9"/>
  <c r="O1185" i="9"/>
  <c r="O1184" i="9"/>
  <c r="O1183" i="9"/>
  <c r="O1182" i="9"/>
  <c r="O1181" i="9"/>
  <c r="O1180" i="9"/>
  <c r="O1179" i="9"/>
  <c r="O1178" i="9"/>
  <c r="O1177" i="9"/>
  <c r="O1176" i="9"/>
  <c r="O1175" i="9"/>
  <c r="O1174" i="9"/>
  <c r="O1173" i="9"/>
  <c r="O1172" i="9"/>
  <c r="O1171" i="9"/>
  <c r="O1170" i="9"/>
  <c r="O1169" i="9"/>
  <c r="O1168" i="9"/>
  <c r="O1167" i="9"/>
  <c r="O1166" i="9"/>
  <c r="O1165" i="9"/>
  <c r="O1164" i="9"/>
  <c r="O1163" i="9"/>
  <c r="O1162" i="9"/>
  <c r="O1161" i="9"/>
  <c r="O1160" i="9"/>
  <c r="O1159" i="9"/>
  <c r="O1158" i="9"/>
  <c r="O1157" i="9"/>
  <c r="O1156" i="9"/>
  <c r="O1155" i="9"/>
  <c r="O1154" i="9"/>
  <c r="O1153" i="9"/>
  <c r="O1152" i="9"/>
  <c r="O1151" i="9"/>
  <c r="O1150" i="9"/>
  <c r="O1149" i="9"/>
  <c r="O1148" i="9"/>
  <c r="O1147" i="9"/>
  <c r="O1146" i="9"/>
  <c r="O1145" i="9"/>
  <c r="O1144" i="9"/>
  <c r="O1143" i="9"/>
  <c r="O1142" i="9"/>
  <c r="O1141" i="9"/>
  <c r="O1140" i="9"/>
  <c r="O1139" i="9"/>
  <c r="O1138" i="9"/>
  <c r="O1137" i="9"/>
  <c r="O1136" i="9"/>
  <c r="O1135" i="9"/>
  <c r="O1134" i="9"/>
  <c r="O1133" i="9"/>
  <c r="O1132" i="9"/>
  <c r="O1131" i="9"/>
  <c r="O1130" i="9"/>
  <c r="O1129" i="9"/>
  <c r="O1128" i="9"/>
  <c r="O1127" i="9"/>
  <c r="O1126" i="9"/>
  <c r="O1125" i="9"/>
  <c r="O1124" i="9"/>
  <c r="O1123" i="9"/>
  <c r="O1122" i="9"/>
  <c r="O1121" i="9"/>
  <c r="O1120" i="9"/>
  <c r="O1119" i="9"/>
  <c r="O1118" i="9"/>
  <c r="O1117" i="9"/>
  <c r="O1116" i="9"/>
  <c r="O1115" i="9"/>
  <c r="O1114" i="9"/>
  <c r="O1113" i="9"/>
  <c r="O1112" i="9"/>
  <c r="O1111" i="9"/>
  <c r="O1110" i="9"/>
  <c r="O1109" i="9"/>
  <c r="O1108" i="9"/>
  <c r="O1107" i="9"/>
  <c r="O1106" i="9"/>
  <c r="O1105" i="9"/>
  <c r="O1104" i="9"/>
  <c r="O1103" i="9"/>
  <c r="O1102" i="9"/>
  <c r="O1101" i="9"/>
  <c r="O1100" i="9"/>
  <c r="O1099" i="9"/>
  <c r="O1098" i="9"/>
  <c r="O1097" i="9"/>
  <c r="O1096" i="9"/>
  <c r="O1095" i="9"/>
  <c r="O1094" i="9"/>
  <c r="O1093" i="9"/>
  <c r="O1092" i="9"/>
  <c r="O1091" i="9"/>
  <c r="O1090" i="9"/>
  <c r="O1089" i="9"/>
  <c r="O1088" i="9"/>
  <c r="O1087" i="9"/>
  <c r="O1086" i="9"/>
  <c r="O1085" i="9"/>
  <c r="O1084" i="9"/>
  <c r="O1083" i="9"/>
  <c r="O1082" i="9"/>
  <c r="O1081" i="9"/>
  <c r="O1080" i="9"/>
  <c r="O1079" i="9"/>
  <c r="O1078" i="9"/>
  <c r="O1077" i="9"/>
  <c r="O1076" i="9"/>
  <c r="O1075" i="9"/>
  <c r="O1074" i="9"/>
  <c r="O1073" i="9"/>
  <c r="O1072" i="9"/>
  <c r="O1071" i="9"/>
  <c r="O1070" i="9"/>
  <c r="O1069" i="9"/>
  <c r="O1068" i="9"/>
  <c r="O1067" i="9"/>
  <c r="O1066" i="9"/>
  <c r="O1065" i="9"/>
  <c r="O1064" i="9"/>
  <c r="O1063" i="9"/>
  <c r="O1062" i="9"/>
  <c r="O1061" i="9"/>
  <c r="O1060" i="9"/>
  <c r="O1059" i="9"/>
  <c r="O1058" i="9"/>
  <c r="O1057" i="9"/>
  <c r="O1056" i="9"/>
  <c r="O1055" i="9"/>
  <c r="O1054" i="9"/>
  <c r="O1053" i="9"/>
  <c r="O1052" i="9"/>
  <c r="O1051" i="9"/>
  <c r="O1050" i="9"/>
  <c r="O1049" i="9"/>
  <c r="O1048" i="9"/>
  <c r="O1047" i="9"/>
  <c r="O1046" i="9"/>
  <c r="O1045" i="9"/>
  <c r="O1044" i="9"/>
  <c r="O1043" i="9"/>
  <c r="O1042" i="9"/>
  <c r="O1041" i="9"/>
  <c r="O1040" i="9"/>
  <c r="O1039" i="9"/>
  <c r="O1038" i="9"/>
  <c r="O1037" i="9"/>
  <c r="O1036" i="9"/>
  <c r="O1035" i="9"/>
  <c r="O1034" i="9"/>
  <c r="O1033" i="9"/>
  <c r="O1032" i="9"/>
  <c r="O1031" i="9"/>
  <c r="O1030" i="9"/>
  <c r="O1029" i="9"/>
  <c r="O1028" i="9"/>
  <c r="O1027" i="9"/>
  <c r="O1026" i="9"/>
  <c r="O1025" i="9"/>
  <c r="O1024" i="9"/>
  <c r="O1023" i="9"/>
  <c r="O1022" i="9"/>
  <c r="O1021" i="9"/>
  <c r="O1020" i="9"/>
  <c r="O1019" i="9"/>
  <c r="O1018" i="9"/>
  <c r="O1017" i="9"/>
  <c r="O1016" i="9"/>
  <c r="O1015" i="9"/>
  <c r="O1014" i="9"/>
  <c r="O1013" i="9"/>
  <c r="O1012" i="9"/>
  <c r="O1011" i="9"/>
  <c r="O1010" i="9"/>
  <c r="O1009" i="9"/>
  <c r="O1008" i="9"/>
  <c r="O1007" i="9"/>
  <c r="O1006" i="9"/>
  <c r="O1005" i="9"/>
  <c r="O1004" i="9"/>
  <c r="O1003" i="9"/>
  <c r="O1002" i="9"/>
  <c r="O1001" i="9"/>
  <c r="O1000" i="9"/>
  <c r="O999" i="9"/>
  <c r="O998" i="9"/>
  <c r="O997" i="9"/>
  <c r="O996" i="9"/>
  <c r="O995" i="9"/>
  <c r="O994" i="9"/>
  <c r="O993" i="9"/>
  <c r="O992" i="9"/>
  <c r="O991" i="9"/>
  <c r="O990" i="9"/>
  <c r="O989" i="9"/>
  <c r="O988" i="9"/>
  <c r="O987" i="9"/>
  <c r="O986" i="9"/>
  <c r="O985" i="9"/>
  <c r="O984" i="9"/>
  <c r="O983" i="9"/>
  <c r="O982" i="9"/>
  <c r="O981" i="9"/>
  <c r="O980" i="9"/>
  <c r="O979" i="9"/>
  <c r="O978" i="9"/>
  <c r="O977" i="9"/>
  <c r="O976" i="9"/>
  <c r="O975" i="9"/>
  <c r="O974" i="9"/>
  <c r="O973" i="9"/>
  <c r="O972" i="9"/>
  <c r="O971" i="9"/>
  <c r="O970" i="9"/>
  <c r="O969" i="9"/>
  <c r="O968" i="9"/>
  <c r="O967" i="9"/>
  <c r="O966" i="9"/>
  <c r="O965" i="9"/>
  <c r="O964" i="9"/>
  <c r="O963" i="9"/>
  <c r="O962" i="9"/>
  <c r="O961" i="9"/>
  <c r="O960" i="9"/>
  <c r="O959" i="9"/>
  <c r="O958" i="9"/>
  <c r="O957" i="9"/>
  <c r="O956" i="9"/>
  <c r="O955" i="9"/>
  <c r="O954" i="9"/>
  <c r="O953" i="9"/>
  <c r="O952" i="9"/>
  <c r="O951" i="9"/>
  <c r="O950" i="9"/>
  <c r="O949" i="9"/>
  <c r="O948" i="9"/>
  <c r="O947" i="9"/>
  <c r="O946" i="9"/>
  <c r="O945" i="9"/>
  <c r="O944" i="9"/>
  <c r="O943" i="9"/>
  <c r="O942" i="9"/>
  <c r="O941" i="9"/>
  <c r="O940" i="9"/>
  <c r="O939" i="9"/>
  <c r="O938" i="9"/>
  <c r="O937" i="9"/>
  <c r="O936" i="9"/>
  <c r="O935" i="9"/>
  <c r="O934" i="9"/>
  <c r="O933" i="9"/>
  <c r="O932" i="9"/>
  <c r="O931" i="9"/>
  <c r="O930" i="9"/>
  <c r="O929" i="9"/>
  <c r="O928" i="9"/>
  <c r="O927" i="9"/>
  <c r="O926" i="9"/>
  <c r="O925" i="9"/>
  <c r="O924" i="9"/>
  <c r="O923" i="9"/>
  <c r="O922" i="9"/>
  <c r="O921" i="9"/>
  <c r="O920" i="9"/>
  <c r="O919" i="9"/>
  <c r="O918" i="9"/>
  <c r="O917" i="9"/>
  <c r="O916" i="9"/>
  <c r="O915" i="9"/>
  <c r="O914" i="9"/>
  <c r="O913" i="9"/>
  <c r="O912" i="9"/>
  <c r="O911" i="9"/>
  <c r="O910" i="9"/>
  <c r="O909" i="9"/>
  <c r="O908" i="9"/>
  <c r="O907" i="9"/>
  <c r="O906" i="9"/>
  <c r="O905" i="9"/>
  <c r="O904" i="9"/>
  <c r="O903" i="9"/>
  <c r="O902" i="9"/>
  <c r="O901" i="9"/>
  <c r="O900" i="9"/>
  <c r="O899" i="9"/>
  <c r="O898" i="9"/>
  <c r="O897" i="9"/>
  <c r="O896" i="9"/>
  <c r="O895" i="9"/>
  <c r="O894" i="9"/>
  <c r="O893" i="9"/>
  <c r="O892" i="9"/>
  <c r="O891" i="9"/>
  <c r="O890" i="9"/>
  <c r="O889" i="9"/>
  <c r="O888" i="9"/>
  <c r="O887" i="9"/>
  <c r="O886" i="9"/>
  <c r="O885" i="9"/>
  <c r="O884" i="9"/>
  <c r="O883" i="9"/>
  <c r="O882" i="9"/>
  <c r="O881" i="9"/>
  <c r="O880" i="9"/>
  <c r="O879" i="9"/>
  <c r="O878" i="9"/>
  <c r="O877" i="9"/>
  <c r="O876" i="9"/>
  <c r="O875" i="9"/>
  <c r="O874" i="9"/>
  <c r="O873" i="9"/>
  <c r="O872" i="9"/>
  <c r="O871" i="9"/>
  <c r="O870" i="9"/>
  <c r="O869" i="9"/>
  <c r="O868" i="9"/>
  <c r="O867" i="9"/>
  <c r="O866" i="9"/>
  <c r="O865" i="9"/>
  <c r="O864" i="9"/>
  <c r="O863" i="9"/>
  <c r="O862" i="9"/>
  <c r="O861" i="9"/>
  <c r="O860" i="9"/>
  <c r="O859" i="9"/>
  <c r="O858" i="9"/>
  <c r="O857" i="9"/>
  <c r="O856" i="9"/>
  <c r="O855" i="9"/>
  <c r="O854" i="9"/>
  <c r="O853" i="9"/>
  <c r="O852" i="9"/>
  <c r="O851" i="9"/>
  <c r="O850" i="9"/>
  <c r="O849" i="9"/>
  <c r="O848" i="9"/>
  <c r="O847" i="9"/>
  <c r="O846" i="9"/>
  <c r="O845" i="9"/>
  <c r="O844" i="9"/>
  <c r="O843" i="9"/>
  <c r="O842" i="9"/>
  <c r="O841" i="9"/>
  <c r="O840" i="9"/>
  <c r="O839" i="9"/>
  <c r="O838" i="9"/>
  <c r="O837" i="9"/>
  <c r="O836" i="9"/>
  <c r="O835" i="9"/>
  <c r="O834" i="9"/>
  <c r="O833" i="9"/>
  <c r="O832" i="9"/>
  <c r="O831" i="9"/>
  <c r="O830" i="9"/>
  <c r="O829" i="9"/>
  <c r="O828" i="9"/>
  <c r="O827" i="9"/>
  <c r="O826" i="9"/>
  <c r="O825" i="9"/>
  <c r="O824" i="9"/>
  <c r="O823" i="9"/>
  <c r="D6" i="10"/>
  <c r="F24" i="10" l="1"/>
  <c r="F46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F26" i="10"/>
  <c r="O23" i="10"/>
  <c r="O22" i="10"/>
  <c r="O21" i="10"/>
  <c r="O20" i="10"/>
  <c r="Q20" i="10" s="1"/>
  <c r="O19" i="10"/>
  <c r="O18" i="10"/>
  <c r="O17" i="10"/>
  <c r="O16" i="10"/>
  <c r="O15" i="10"/>
  <c r="O14" i="10"/>
  <c r="O13" i="10"/>
  <c r="O12" i="10"/>
  <c r="Q12" i="10" s="1"/>
  <c r="O11" i="10"/>
  <c r="O10" i="10"/>
  <c r="O9" i="10"/>
  <c r="Q9" i="10" s="1"/>
  <c r="Q14" i="10" l="1"/>
  <c r="Q16" i="10"/>
  <c r="Q17" i="10"/>
  <c r="Q18" i="10"/>
  <c r="Q22" i="10"/>
  <c r="Q10" i="10"/>
  <c r="Q13" i="10"/>
  <c r="Q21" i="10"/>
  <c r="Q34" i="10"/>
  <c r="Q42" i="10"/>
  <c r="Q33" i="10"/>
  <c r="Q41" i="10"/>
  <c r="Q35" i="10"/>
  <c r="Q43" i="10"/>
  <c r="Q32" i="10"/>
  <c r="Q28" i="10"/>
  <c r="Q36" i="10"/>
  <c r="Q44" i="10"/>
  <c r="Q23" i="10"/>
  <c r="Q37" i="10"/>
  <c r="Q40" i="10"/>
  <c r="Q30" i="10"/>
  <c r="Q38" i="10"/>
  <c r="Q31" i="10"/>
  <c r="Q39" i="10"/>
  <c r="Q29" i="10"/>
  <c r="Q11" i="10"/>
  <c r="Q19" i="10"/>
  <c r="Q15" i="10"/>
  <c r="F24" i="2"/>
  <c r="L6" i="2" l="1"/>
  <c r="E6" i="2"/>
  <c r="F6" i="2"/>
  <c r="L1265" i="9" l="1"/>
  <c r="L1264" i="9"/>
  <c r="L1263" i="9"/>
  <c r="L1262" i="9"/>
  <c r="Z816" i="9"/>
  <c r="Z815" i="9"/>
  <c r="Z812" i="9"/>
  <c r="Z810" i="9"/>
  <c r="Z809" i="9"/>
  <c r="Z806" i="9"/>
  <c r="Z805" i="9"/>
  <c r="Z801" i="9"/>
  <c r="Z800" i="9"/>
  <c r="Z798" i="9"/>
  <c r="Z797" i="9"/>
  <c r="Z796" i="9"/>
  <c r="Z794" i="9"/>
  <c r="Z791" i="9"/>
  <c r="Z790" i="9"/>
  <c r="Z789" i="9"/>
  <c r="Z788" i="9"/>
  <c r="Z787" i="9"/>
  <c r="Z785" i="9"/>
  <c r="Z784" i="9"/>
  <c r="Z783" i="9"/>
  <c r="Z781" i="9"/>
  <c r="Z778" i="9"/>
  <c r="Z777" i="9"/>
  <c r="Z776" i="9"/>
  <c r="Z775" i="9"/>
  <c r="Z774" i="9"/>
  <c r="Z773" i="9"/>
  <c r="Z769" i="9"/>
  <c r="Z767" i="9"/>
  <c r="Z766" i="9"/>
  <c r="Z764" i="9"/>
  <c r="Z760" i="9"/>
  <c r="Z757" i="9"/>
  <c r="Z756" i="9"/>
  <c r="Z755" i="9"/>
  <c r="Z749" i="9"/>
  <c r="Z746" i="9"/>
  <c r="Z744" i="9"/>
  <c r="Z742" i="9"/>
  <c r="Z739" i="9"/>
  <c r="Z737" i="9"/>
  <c r="Z735" i="9"/>
  <c r="Z734" i="9"/>
  <c r="Z733" i="9"/>
  <c r="Z732" i="9"/>
  <c r="Z731" i="9"/>
  <c r="Z728" i="9"/>
  <c r="Z726" i="9"/>
  <c r="Z724" i="9"/>
  <c r="Z723" i="9"/>
  <c r="Z722" i="9"/>
  <c r="Z714" i="9"/>
  <c r="Z710" i="9"/>
  <c r="Z709" i="9"/>
  <c r="Z706" i="9"/>
  <c r="Z704" i="9"/>
  <c r="Z702" i="9"/>
  <c r="Z698" i="9"/>
  <c r="Z697" i="9"/>
  <c r="Z696" i="9"/>
  <c r="Z694" i="9"/>
  <c r="Z691" i="9"/>
  <c r="Z687" i="9"/>
  <c r="Z686" i="9"/>
  <c r="Z684" i="9"/>
  <c r="Z683" i="9"/>
  <c r="Z676" i="9"/>
  <c r="Z675" i="9"/>
  <c r="Z673" i="9"/>
  <c r="Z672" i="9"/>
  <c r="Z671" i="9"/>
  <c r="Z670" i="9"/>
  <c r="Z669" i="9"/>
  <c r="Z666" i="9"/>
  <c r="Z665" i="9"/>
  <c r="Z663" i="9"/>
  <c r="Z662" i="9"/>
  <c r="Z661" i="9"/>
  <c r="Z660" i="9"/>
  <c r="Z658" i="9"/>
  <c r="Z656" i="9"/>
  <c r="Z655" i="9"/>
  <c r="Z653" i="9"/>
  <c r="Z651" i="9"/>
  <c r="Z649" i="9"/>
  <c r="Z648" i="9"/>
  <c r="Z645" i="9"/>
  <c r="Z644" i="9"/>
  <c r="Z643" i="9"/>
  <c r="Z641" i="9"/>
  <c r="Z640" i="9"/>
  <c r="Z639" i="9"/>
  <c r="Z638" i="9"/>
  <c r="Z637" i="9"/>
  <c r="Z635" i="9"/>
  <c r="Z634" i="9"/>
  <c r="Z633" i="9"/>
  <c r="Z632" i="9"/>
  <c r="Z631" i="9"/>
  <c r="Z629" i="9"/>
  <c r="Z628" i="9"/>
  <c r="Z627" i="9"/>
  <c r="Z623" i="9"/>
  <c r="Z621" i="9"/>
  <c r="Z618" i="9"/>
  <c r="Z616" i="9"/>
  <c r="Z615" i="9"/>
  <c r="Z614" i="9"/>
  <c r="Z612" i="9"/>
  <c r="Z611" i="9"/>
  <c r="Z610" i="9"/>
  <c r="Z609" i="9"/>
  <c r="Z607" i="9"/>
  <c r="Z606" i="9"/>
  <c r="Z605" i="9"/>
  <c r="Z604" i="9"/>
  <c r="Z603" i="9"/>
  <c r="Z593" i="9"/>
  <c r="Z590" i="9"/>
  <c r="Z589" i="9"/>
  <c r="Z579" i="9"/>
  <c r="Z578" i="9"/>
  <c r="Z577" i="9"/>
  <c r="Z567" i="9"/>
  <c r="Z566" i="9"/>
  <c r="Z565" i="9"/>
  <c r="Z563" i="9"/>
  <c r="Z559" i="9"/>
  <c r="Z558" i="9"/>
  <c r="Z557" i="9"/>
  <c r="Z556" i="9"/>
  <c r="Z555" i="9"/>
  <c r="Z554" i="9"/>
  <c r="Z553" i="9"/>
  <c r="Z552" i="9"/>
  <c r="Z551" i="9"/>
  <c r="Z548" i="9"/>
  <c r="Z547" i="9"/>
  <c r="Z546" i="9"/>
  <c r="Z545" i="9"/>
  <c r="Z544" i="9"/>
  <c r="Z542" i="9"/>
  <c r="Z541" i="9"/>
  <c r="Z539" i="9"/>
  <c r="Z538" i="9"/>
  <c r="Z537" i="9"/>
  <c r="Z532" i="9"/>
  <c r="Z530" i="9"/>
  <c r="Z529" i="9"/>
  <c r="Z528" i="9"/>
  <c r="Z527" i="9"/>
  <c r="Z525" i="9"/>
  <c r="Z521" i="9"/>
  <c r="Z520" i="9"/>
  <c r="Z519" i="9"/>
  <c r="Z517" i="9"/>
  <c r="Z514" i="9"/>
  <c r="Z513" i="9"/>
  <c r="Z511" i="9"/>
  <c r="Z510" i="9"/>
  <c r="Z508" i="9"/>
  <c r="Z506" i="9"/>
  <c r="Z505" i="9"/>
  <c r="Z504" i="9"/>
  <c r="Z503" i="9"/>
  <c r="Z502" i="9"/>
  <c r="Z499" i="9"/>
  <c r="Z497" i="9"/>
  <c r="Z493" i="9"/>
  <c r="Z491" i="9"/>
  <c r="Z490" i="9"/>
  <c r="Z489" i="9"/>
  <c r="Z488" i="9"/>
  <c r="Z482" i="9"/>
  <c r="Z479" i="9"/>
  <c r="Z478" i="9"/>
  <c r="Z477" i="9"/>
  <c r="Z476" i="9"/>
  <c r="Z474" i="9"/>
  <c r="Z471" i="9"/>
  <c r="Z470" i="9"/>
  <c r="Z469" i="9"/>
  <c r="Z468" i="9"/>
  <c r="Z467" i="9"/>
  <c r="Z465" i="9"/>
  <c r="Z464" i="9"/>
  <c r="Z461" i="9"/>
  <c r="Z460" i="9"/>
  <c r="Z459" i="9"/>
  <c r="Z458" i="9"/>
  <c r="Z457" i="9"/>
  <c r="Z455" i="9"/>
  <c r="Z451" i="9"/>
  <c r="Z448" i="9"/>
  <c r="Z446" i="9"/>
  <c r="Z445" i="9"/>
  <c r="Z442" i="9"/>
  <c r="Z441" i="9"/>
  <c r="Z439" i="9"/>
  <c r="Z438" i="9"/>
  <c r="Z437" i="9"/>
  <c r="Z435" i="9"/>
  <c r="Z433" i="9"/>
  <c r="Z432" i="9"/>
  <c r="Z428" i="9"/>
  <c r="Z425" i="9"/>
  <c r="Z422" i="9"/>
  <c r="Z416" i="9"/>
  <c r="Z415" i="9"/>
  <c r="Z413" i="9"/>
  <c r="Z410" i="9"/>
  <c r="Z409" i="9"/>
  <c r="Z407" i="9"/>
  <c r="Z406" i="9"/>
  <c r="Z404" i="9"/>
  <c r="Z403" i="9"/>
  <c r="Z402" i="9"/>
  <c r="Z401" i="9"/>
  <c r="Z400" i="9"/>
  <c r="Z398" i="9"/>
  <c r="Z397" i="9"/>
  <c r="Z396" i="9"/>
  <c r="Z395" i="9"/>
  <c r="Z392" i="9"/>
  <c r="Z387" i="9"/>
  <c r="Z385" i="9"/>
  <c r="Z383" i="9"/>
  <c r="Z382" i="9"/>
  <c r="Z381" i="9"/>
  <c r="Z379" i="9"/>
  <c r="Z378" i="9"/>
  <c r="Z375" i="9"/>
  <c r="Z374" i="9"/>
  <c r="Z372" i="9"/>
  <c r="Z368" i="9"/>
  <c r="Z367" i="9"/>
  <c r="Z364" i="9"/>
  <c r="Z362" i="9"/>
  <c r="Z361" i="9"/>
  <c r="Z359" i="9"/>
  <c r="Z358" i="9"/>
  <c r="Z356" i="9"/>
  <c r="Z355" i="9"/>
  <c r="Z352" i="9"/>
  <c r="Z349" i="9"/>
  <c r="Z347" i="9"/>
  <c r="Z342" i="9"/>
  <c r="Z341" i="9"/>
  <c r="Z338" i="9"/>
  <c r="Z336" i="9"/>
  <c r="Z334" i="9"/>
  <c r="Z331" i="9"/>
  <c r="Z326" i="9"/>
  <c r="Z325" i="9"/>
  <c r="Z324" i="9"/>
  <c r="Z320" i="9"/>
  <c r="Z318" i="9"/>
  <c r="Z316" i="9"/>
  <c r="Z313" i="9"/>
  <c r="Z312" i="9"/>
  <c r="Z308" i="9"/>
  <c r="Z307" i="9"/>
  <c r="Z306" i="9"/>
  <c r="Z305" i="9"/>
  <c r="Z302" i="9"/>
  <c r="Z300" i="9"/>
  <c r="Z299" i="9"/>
  <c r="Z298" i="9"/>
  <c r="Z297" i="9"/>
  <c r="Z296" i="9"/>
  <c r="Z295" i="9"/>
  <c r="Z293" i="9"/>
  <c r="Z292" i="9"/>
  <c r="Z291" i="9"/>
  <c r="Z290" i="9"/>
  <c r="Z288" i="9"/>
  <c r="Z286" i="9"/>
  <c r="Z285" i="9"/>
  <c r="Z280" i="9"/>
  <c r="Z275" i="9"/>
  <c r="Z273" i="9"/>
  <c r="Z271" i="9"/>
  <c r="Z270" i="9"/>
  <c r="Z269" i="9"/>
  <c r="Z268" i="9"/>
  <c r="Z264" i="9"/>
  <c r="Z263" i="9"/>
  <c r="Z262" i="9"/>
  <c r="Z260" i="9"/>
  <c r="Z258" i="9"/>
  <c r="Z257" i="9"/>
  <c r="Z254" i="9"/>
  <c r="Z253" i="9"/>
  <c r="Z252" i="9"/>
  <c r="Z249" i="9"/>
  <c r="Z248" i="9"/>
  <c r="Z247" i="9"/>
  <c r="Z245" i="9"/>
  <c r="Z238" i="9"/>
  <c r="Z237" i="9"/>
  <c r="Z234" i="9"/>
  <c r="Z233" i="9"/>
  <c r="Z232" i="9"/>
  <c r="Z230" i="9"/>
  <c r="Z227" i="9"/>
  <c r="Z224" i="9"/>
  <c r="Z221" i="9"/>
  <c r="Z218" i="9"/>
  <c r="Z214" i="9"/>
  <c r="Z210" i="9"/>
  <c r="Z209" i="9"/>
  <c r="Z206" i="9"/>
  <c r="Z204" i="9"/>
  <c r="Z203" i="9"/>
  <c r="Z198" i="9"/>
  <c r="Z197" i="9"/>
  <c r="Z187" i="9"/>
  <c r="Z183" i="9"/>
  <c r="Z182" i="9"/>
  <c r="Z181" i="9"/>
  <c r="Z180" i="9"/>
  <c r="Z178" i="9"/>
  <c r="Z177" i="9"/>
  <c r="Z176" i="9"/>
  <c r="Z173" i="9"/>
  <c r="Z168" i="9"/>
  <c r="Z167" i="9"/>
  <c r="Z166" i="9"/>
  <c r="Z164" i="9"/>
  <c r="Z161" i="9"/>
  <c r="Z159" i="9"/>
  <c r="Z157" i="9"/>
  <c r="Z156" i="9"/>
  <c r="Z155" i="9"/>
  <c r="Z153" i="9"/>
  <c r="Z151" i="9"/>
  <c r="Z149" i="9"/>
  <c r="Z146" i="9"/>
  <c r="Z145" i="9"/>
  <c r="Z142" i="9"/>
  <c r="Z141" i="9"/>
  <c r="Z136" i="9"/>
  <c r="Z135" i="9"/>
  <c r="Z133" i="9"/>
  <c r="Z128" i="9"/>
  <c r="Z126" i="9"/>
  <c r="Z124" i="9"/>
  <c r="Z123" i="9"/>
  <c r="Z121" i="9"/>
  <c r="Z120" i="9"/>
  <c r="Z119" i="9"/>
  <c r="Z117" i="9"/>
  <c r="Z116" i="9"/>
  <c r="Z115" i="9"/>
  <c r="Z113" i="9"/>
  <c r="Z108" i="9"/>
  <c r="Z107" i="9"/>
  <c r="Z106" i="9"/>
  <c r="Z103" i="9"/>
  <c r="Z102" i="9"/>
  <c r="Z99" i="9"/>
  <c r="Z98" i="9"/>
  <c r="Z97" i="9"/>
  <c r="Z94" i="9"/>
  <c r="Z93" i="9"/>
  <c r="Z92" i="9"/>
  <c r="Z90" i="9"/>
  <c r="Z88" i="9"/>
  <c r="Z87" i="9"/>
  <c r="Z85" i="9"/>
  <c r="Z84" i="9"/>
  <c r="Z83" i="9"/>
  <c r="Z82" i="9"/>
  <c r="Z81" i="9"/>
  <c r="Z79" i="9"/>
  <c r="Z78" i="9"/>
  <c r="Z73" i="9"/>
  <c r="Z72" i="9"/>
  <c r="Z69" i="9"/>
  <c r="Z65" i="9"/>
  <c r="Z64" i="9"/>
  <c r="Z63" i="9"/>
  <c r="Z61" i="9"/>
  <c r="Z57" i="9"/>
  <c r="Z56" i="9"/>
  <c r="Z55" i="9"/>
  <c r="Z54" i="9"/>
  <c r="Z52" i="9"/>
  <c r="Z45" i="9"/>
  <c r="Z44" i="9"/>
  <c r="Z41" i="9"/>
  <c r="Z40" i="9"/>
  <c r="Z36" i="9"/>
  <c r="Z32" i="9"/>
  <c r="Z31" i="9"/>
  <c r="Z29" i="9"/>
  <c r="Z27" i="9"/>
  <c r="Z26" i="9"/>
  <c r="Z25" i="9"/>
  <c r="Z23" i="9"/>
  <c r="Z22" i="9"/>
  <c r="Z14" i="9"/>
  <c r="Z9" i="9"/>
  <c r="Y816" i="9"/>
  <c r="Y815" i="9"/>
  <c r="Y814" i="9"/>
  <c r="Z814" i="9" s="1"/>
  <c r="Y813" i="9"/>
  <c r="Z813" i="9" s="1"/>
  <c r="Y812" i="9"/>
  <c r="Y811" i="9"/>
  <c r="Z811" i="9" s="1"/>
  <c r="Y810" i="9"/>
  <c r="Y809" i="9"/>
  <c r="Y808" i="9"/>
  <c r="Z808" i="9" s="1"/>
  <c r="Y807" i="9"/>
  <c r="Z807" i="9" s="1"/>
  <c r="Y806" i="9"/>
  <c r="Y805" i="9"/>
  <c r="Y804" i="9"/>
  <c r="Z804" i="9" s="1"/>
  <c r="Y803" i="9"/>
  <c r="Z803" i="9" s="1"/>
  <c r="Y802" i="9"/>
  <c r="Z802" i="9" s="1"/>
  <c r="Y801" i="9"/>
  <c r="Y800" i="9"/>
  <c r="Y799" i="9"/>
  <c r="Z799" i="9" s="1"/>
  <c r="Y798" i="9"/>
  <c r="Y797" i="9"/>
  <c r="Y796" i="9"/>
  <c r="Y795" i="9"/>
  <c r="Z795" i="9" s="1"/>
  <c r="Y794" i="9"/>
  <c r="Y793" i="9"/>
  <c r="Z793" i="9" s="1"/>
  <c r="Y792" i="9"/>
  <c r="Z792" i="9" s="1"/>
  <c r="Y791" i="9"/>
  <c r="Y790" i="9"/>
  <c r="Y789" i="9"/>
  <c r="Y788" i="9"/>
  <c r="Y787" i="9"/>
  <c r="Y786" i="9"/>
  <c r="Z786" i="9" s="1"/>
  <c r="Y785" i="9"/>
  <c r="Y784" i="9"/>
  <c r="Y783" i="9"/>
  <c r="Y782" i="9"/>
  <c r="Z782" i="9" s="1"/>
  <c r="Y781" i="9"/>
  <c r="Y780" i="9"/>
  <c r="Z780" i="9" s="1"/>
  <c r="Y779" i="9"/>
  <c r="Z779" i="9" s="1"/>
  <c r="Y778" i="9"/>
  <c r="Y777" i="9"/>
  <c r="Y776" i="9"/>
  <c r="Y775" i="9"/>
  <c r="Y774" i="9"/>
  <c r="Y773" i="9"/>
  <c r="Y772" i="9"/>
  <c r="Z772" i="9" s="1"/>
  <c r="Y771" i="9"/>
  <c r="Z771" i="9" s="1"/>
  <c r="Y770" i="9"/>
  <c r="Z770" i="9" s="1"/>
  <c r="Y769" i="9"/>
  <c r="Y768" i="9"/>
  <c r="Z768" i="9" s="1"/>
  <c r="Y767" i="9"/>
  <c r="Y766" i="9"/>
  <c r="Y765" i="9"/>
  <c r="Z765" i="9" s="1"/>
  <c r="Y764" i="9"/>
  <c r="Y763" i="9"/>
  <c r="Z763" i="9" s="1"/>
  <c r="Y762" i="9"/>
  <c r="Z762" i="9" s="1"/>
  <c r="Y761" i="9"/>
  <c r="Z761" i="9" s="1"/>
  <c r="Y760" i="9"/>
  <c r="Y759" i="9"/>
  <c r="Z759" i="9" s="1"/>
  <c r="Y758" i="9"/>
  <c r="Z758" i="9" s="1"/>
  <c r="Y757" i="9"/>
  <c r="Y756" i="9"/>
  <c r="Y755" i="9"/>
  <c r="Y754" i="9"/>
  <c r="Z754" i="9" s="1"/>
  <c r="Y753" i="9"/>
  <c r="Z753" i="9" s="1"/>
  <c r="Y752" i="9"/>
  <c r="Z752" i="9" s="1"/>
  <c r="Y751" i="9"/>
  <c r="Z751" i="9" s="1"/>
  <c r="Y750" i="9"/>
  <c r="Z750" i="9" s="1"/>
  <c r="Y749" i="9"/>
  <c r="Y748" i="9"/>
  <c r="Z748" i="9" s="1"/>
  <c r="Y747" i="9"/>
  <c r="Z747" i="9" s="1"/>
  <c r="Y746" i="9"/>
  <c r="Y745" i="9"/>
  <c r="Z745" i="9" s="1"/>
  <c r="Y744" i="9"/>
  <c r="Y743" i="9"/>
  <c r="Z743" i="9" s="1"/>
  <c r="Y742" i="9"/>
  <c r="Y741" i="9"/>
  <c r="Z741" i="9" s="1"/>
  <c r="Y740" i="9"/>
  <c r="Z740" i="9" s="1"/>
  <c r="Y739" i="9"/>
  <c r="Y738" i="9"/>
  <c r="Z738" i="9" s="1"/>
  <c r="Y737" i="9"/>
  <c r="Y736" i="9"/>
  <c r="Z736" i="9" s="1"/>
  <c r="Y735" i="9"/>
  <c r="Y734" i="9"/>
  <c r="Y733" i="9"/>
  <c r="Y732" i="9"/>
  <c r="Y731" i="9"/>
  <c r="Y730" i="9"/>
  <c r="Z730" i="9" s="1"/>
  <c r="Y729" i="9"/>
  <c r="Z729" i="9" s="1"/>
  <c r="Y728" i="9"/>
  <c r="Y727" i="9"/>
  <c r="Z727" i="9" s="1"/>
  <c r="Y726" i="9"/>
  <c r="Y725" i="9"/>
  <c r="Z725" i="9" s="1"/>
  <c r="Y724" i="9"/>
  <c r="Y723" i="9"/>
  <c r="Y722" i="9"/>
  <c r="Y721" i="9"/>
  <c r="Z721" i="9" s="1"/>
  <c r="Y720" i="9"/>
  <c r="Z720" i="9" s="1"/>
  <c r="Y719" i="9"/>
  <c r="Z719" i="9" s="1"/>
  <c r="Y718" i="9"/>
  <c r="Z718" i="9" s="1"/>
  <c r="Y717" i="9"/>
  <c r="Z717" i="9" s="1"/>
  <c r="Y716" i="9"/>
  <c r="Z716" i="9" s="1"/>
  <c r="Y715" i="9"/>
  <c r="Z715" i="9" s="1"/>
  <c r="Y714" i="9"/>
  <c r="Y713" i="9"/>
  <c r="Z713" i="9" s="1"/>
  <c r="Y712" i="9"/>
  <c r="Z712" i="9" s="1"/>
  <c r="Y711" i="9"/>
  <c r="Z711" i="9" s="1"/>
  <c r="Y710" i="9"/>
  <c r="Y709" i="9"/>
  <c r="Y708" i="9"/>
  <c r="Z708" i="9" s="1"/>
  <c r="Y707" i="9"/>
  <c r="Z707" i="9" s="1"/>
  <c r="Y706" i="9"/>
  <c r="Y705" i="9"/>
  <c r="Z705" i="9" s="1"/>
  <c r="Y704" i="9"/>
  <c r="Y703" i="9"/>
  <c r="Z703" i="9" s="1"/>
  <c r="Y702" i="9"/>
  <c r="Y701" i="9"/>
  <c r="Z701" i="9" s="1"/>
  <c r="Y700" i="9"/>
  <c r="Z700" i="9" s="1"/>
  <c r="Y699" i="9"/>
  <c r="Z699" i="9" s="1"/>
  <c r="Y698" i="9"/>
  <c r="Y697" i="9"/>
  <c r="Y696" i="9"/>
  <c r="Y695" i="9"/>
  <c r="Z695" i="9" s="1"/>
  <c r="Y694" i="9"/>
  <c r="Y693" i="9"/>
  <c r="Z693" i="9" s="1"/>
  <c r="Y692" i="9"/>
  <c r="Z692" i="9" s="1"/>
  <c r="Y691" i="9"/>
  <c r="Y690" i="9"/>
  <c r="Z690" i="9" s="1"/>
  <c r="Y689" i="9"/>
  <c r="Z689" i="9" s="1"/>
  <c r="Y688" i="9"/>
  <c r="Z688" i="9" s="1"/>
  <c r="Y687" i="9"/>
  <c r="Y686" i="9"/>
  <c r="Y685" i="9"/>
  <c r="Z685" i="9" s="1"/>
  <c r="Y684" i="9"/>
  <c r="Y683" i="9"/>
  <c r="Y682" i="9"/>
  <c r="Z682" i="9" s="1"/>
  <c r="Y681" i="9"/>
  <c r="Z681" i="9" s="1"/>
  <c r="Y680" i="9"/>
  <c r="Z680" i="9" s="1"/>
  <c r="Y679" i="9"/>
  <c r="Z679" i="9" s="1"/>
  <c r="Y678" i="9"/>
  <c r="Z678" i="9" s="1"/>
  <c r="Y677" i="9"/>
  <c r="Z677" i="9" s="1"/>
  <c r="Y676" i="9"/>
  <c r="Y675" i="9"/>
  <c r="Y674" i="9"/>
  <c r="Z674" i="9" s="1"/>
  <c r="Y673" i="9"/>
  <c r="Y672" i="9"/>
  <c r="Y671" i="9"/>
  <c r="Y670" i="9"/>
  <c r="Y669" i="9"/>
  <c r="Y668" i="9"/>
  <c r="Z668" i="9" s="1"/>
  <c r="Y667" i="9"/>
  <c r="Z667" i="9" s="1"/>
  <c r="Y666" i="9"/>
  <c r="Y665" i="9"/>
  <c r="Y664" i="9"/>
  <c r="Z664" i="9" s="1"/>
  <c r="Y663" i="9"/>
  <c r="Y662" i="9"/>
  <c r="Y661" i="9"/>
  <c r="Y660" i="9"/>
  <c r="Y659" i="9"/>
  <c r="Z659" i="9" s="1"/>
  <c r="Y658" i="9"/>
  <c r="Y657" i="9"/>
  <c r="Z657" i="9" s="1"/>
  <c r="Y656" i="9"/>
  <c r="Y655" i="9"/>
  <c r="Y654" i="9"/>
  <c r="Z654" i="9" s="1"/>
  <c r="Y653" i="9"/>
  <c r="Y652" i="9"/>
  <c r="Z652" i="9" s="1"/>
  <c r="Y651" i="9"/>
  <c r="Y650" i="9"/>
  <c r="Z650" i="9" s="1"/>
  <c r="Y649" i="9"/>
  <c r="Y648" i="9"/>
  <c r="Y647" i="9"/>
  <c r="Z647" i="9" s="1"/>
  <c r="Y646" i="9"/>
  <c r="Z646" i="9" s="1"/>
  <c r="Y645" i="9"/>
  <c r="Y644" i="9"/>
  <c r="Y643" i="9"/>
  <c r="Y642" i="9"/>
  <c r="Z642" i="9" s="1"/>
  <c r="Y641" i="9"/>
  <c r="Y640" i="9"/>
  <c r="Y639" i="9"/>
  <c r="Y638" i="9"/>
  <c r="Y637" i="9"/>
  <c r="Y636" i="9"/>
  <c r="Z636" i="9" s="1"/>
  <c r="Y635" i="9"/>
  <c r="Y634" i="9"/>
  <c r="Y633" i="9"/>
  <c r="Y632" i="9"/>
  <c r="Y631" i="9"/>
  <c r="Y630" i="9"/>
  <c r="Z630" i="9" s="1"/>
  <c r="Y629" i="9"/>
  <c r="Y628" i="9"/>
  <c r="Y627" i="9"/>
  <c r="Y626" i="9"/>
  <c r="Z626" i="9" s="1"/>
  <c r="Y625" i="9"/>
  <c r="Z625" i="9" s="1"/>
  <c r="Y624" i="9"/>
  <c r="Z624" i="9" s="1"/>
  <c r="Y623" i="9"/>
  <c r="Y622" i="9"/>
  <c r="Z622" i="9" s="1"/>
  <c r="Y621" i="9"/>
  <c r="Y620" i="9"/>
  <c r="Z620" i="9" s="1"/>
  <c r="Y619" i="9"/>
  <c r="Z619" i="9" s="1"/>
  <c r="Y618" i="9"/>
  <c r="Y617" i="9"/>
  <c r="Z617" i="9" s="1"/>
  <c r="Y616" i="9"/>
  <c r="Y615" i="9"/>
  <c r="Y614" i="9"/>
  <c r="Y613" i="9"/>
  <c r="Z613" i="9" s="1"/>
  <c r="Y612" i="9"/>
  <c r="Y611" i="9"/>
  <c r="Y610" i="9"/>
  <c r="Y609" i="9"/>
  <c r="Y608" i="9"/>
  <c r="Z608" i="9" s="1"/>
  <c r="Y607" i="9"/>
  <c r="Y606" i="9"/>
  <c r="Y605" i="9"/>
  <c r="Y604" i="9"/>
  <c r="Y603" i="9"/>
  <c r="Y602" i="9"/>
  <c r="Z602" i="9" s="1"/>
  <c r="Y601" i="9"/>
  <c r="Z601" i="9" s="1"/>
  <c r="Y600" i="9"/>
  <c r="Z600" i="9" s="1"/>
  <c r="Y599" i="9"/>
  <c r="Z599" i="9" s="1"/>
  <c r="Y598" i="9"/>
  <c r="Z598" i="9" s="1"/>
  <c r="Y597" i="9"/>
  <c r="Z597" i="9" s="1"/>
  <c r="Y596" i="9"/>
  <c r="Z596" i="9" s="1"/>
  <c r="Y595" i="9"/>
  <c r="Z595" i="9" s="1"/>
  <c r="Y594" i="9"/>
  <c r="Z594" i="9" s="1"/>
  <c r="Y593" i="9"/>
  <c r="Y592" i="9"/>
  <c r="Z592" i="9" s="1"/>
  <c r="Y591" i="9"/>
  <c r="Z591" i="9" s="1"/>
  <c r="Y590" i="9"/>
  <c r="Y589" i="9"/>
  <c r="Y588" i="9"/>
  <c r="Z588" i="9" s="1"/>
  <c r="Y587" i="9"/>
  <c r="Z587" i="9" s="1"/>
  <c r="Y586" i="9"/>
  <c r="Z586" i="9" s="1"/>
  <c r="Y585" i="9"/>
  <c r="Z585" i="9" s="1"/>
  <c r="Y584" i="9"/>
  <c r="Z584" i="9" s="1"/>
  <c r="Y583" i="9"/>
  <c r="Z583" i="9" s="1"/>
  <c r="Y582" i="9"/>
  <c r="Z582" i="9" s="1"/>
  <c r="Y581" i="9"/>
  <c r="Z581" i="9" s="1"/>
  <c r="Y580" i="9"/>
  <c r="Z580" i="9" s="1"/>
  <c r="Y579" i="9"/>
  <c r="Y578" i="9"/>
  <c r="Y577" i="9"/>
  <c r="Y576" i="9"/>
  <c r="Z576" i="9" s="1"/>
  <c r="Y575" i="9"/>
  <c r="Z575" i="9" s="1"/>
  <c r="Y574" i="9"/>
  <c r="Z574" i="9" s="1"/>
  <c r="Y573" i="9"/>
  <c r="Z573" i="9" s="1"/>
  <c r="Y572" i="9"/>
  <c r="Z572" i="9" s="1"/>
  <c r="Y571" i="9"/>
  <c r="Z571" i="9" s="1"/>
  <c r="Y570" i="9"/>
  <c r="Z570" i="9" s="1"/>
  <c r="Y569" i="9"/>
  <c r="Z569" i="9" s="1"/>
  <c r="Y568" i="9"/>
  <c r="Z568" i="9" s="1"/>
  <c r="Y567" i="9"/>
  <c r="Y566" i="9"/>
  <c r="Y565" i="9"/>
  <c r="Y564" i="9"/>
  <c r="Z564" i="9" s="1"/>
  <c r="Y563" i="9"/>
  <c r="Y562" i="9"/>
  <c r="Z562" i="9" s="1"/>
  <c r="Y561" i="9"/>
  <c r="Z561" i="9" s="1"/>
  <c r="Y560" i="9"/>
  <c r="Z560" i="9" s="1"/>
  <c r="Y559" i="9"/>
  <c r="Y558" i="9"/>
  <c r="Y557" i="9"/>
  <c r="Y556" i="9"/>
  <c r="Y555" i="9"/>
  <c r="Y554" i="9"/>
  <c r="Y553" i="9"/>
  <c r="Y552" i="9"/>
  <c r="Y551" i="9"/>
  <c r="Y550" i="9"/>
  <c r="Z550" i="9" s="1"/>
  <c r="Y549" i="9"/>
  <c r="Z549" i="9" s="1"/>
  <c r="Y548" i="9"/>
  <c r="Y547" i="9"/>
  <c r="Y546" i="9"/>
  <c r="Y545" i="9"/>
  <c r="Y544" i="9"/>
  <c r="Y543" i="9"/>
  <c r="Z543" i="9" s="1"/>
  <c r="Y542" i="9"/>
  <c r="Y541" i="9"/>
  <c r="Y540" i="9"/>
  <c r="Z540" i="9" s="1"/>
  <c r="Y539" i="9"/>
  <c r="Y538" i="9"/>
  <c r="Y537" i="9"/>
  <c r="Y536" i="9"/>
  <c r="Z536" i="9" s="1"/>
  <c r="Y535" i="9"/>
  <c r="Z535" i="9" s="1"/>
  <c r="Y534" i="9"/>
  <c r="Z534" i="9" s="1"/>
  <c r="Y533" i="9"/>
  <c r="Z533" i="9" s="1"/>
  <c r="Y532" i="9"/>
  <c r="Y531" i="9"/>
  <c r="Z531" i="9" s="1"/>
  <c r="Y530" i="9"/>
  <c r="Y529" i="9"/>
  <c r="Y528" i="9"/>
  <c r="Y527" i="9"/>
  <c r="Y526" i="9"/>
  <c r="Z526" i="9" s="1"/>
  <c r="Y525" i="9"/>
  <c r="Y524" i="9"/>
  <c r="Z524" i="9" s="1"/>
  <c r="Y523" i="9"/>
  <c r="Z523" i="9" s="1"/>
  <c r="Y522" i="9"/>
  <c r="Z522" i="9" s="1"/>
  <c r="Y521" i="9"/>
  <c r="Y520" i="9"/>
  <c r="Y519" i="9"/>
  <c r="Y518" i="9"/>
  <c r="Z518" i="9" s="1"/>
  <c r="Y517" i="9"/>
  <c r="Y516" i="9"/>
  <c r="Z516" i="9" s="1"/>
  <c r="Y515" i="9"/>
  <c r="Z515" i="9" s="1"/>
  <c r="Y514" i="9"/>
  <c r="Y513" i="9"/>
  <c r="Y512" i="9"/>
  <c r="Z512" i="9" s="1"/>
  <c r="Y511" i="9"/>
  <c r="Y510" i="9"/>
  <c r="Y509" i="9"/>
  <c r="Z509" i="9" s="1"/>
  <c r="Y508" i="9"/>
  <c r="Y507" i="9"/>
  <c r="Z507" i="9" s="1"/>
  <c r="Y506" i="9"/>
  <c r="Y505" i="9"/>
  <c r="Y504" i="9"/>
  <c r="Y503" i="9"/>
  <c r="Y502" i="9"/>
  <c r="Y501" i="9"/>
  <c r="Z501" i="9" s="1"/>
  <c r="Y500" i="9"/>
  <c r="Z500" i="9" s="1"/>
  <c r="Y499" i="9"/>
  <c r="Y498" i="9"/>
  <c r="Z498" i="9" s="1"/>
  <c r="Y497" i="9"/>
  <c r="Y496" i="9"/>
  <c r="Z496" i="9" s="1"/>
  <c r="Y495" i="9"/>
  <c r="Z495" i="9" s="1"/>
  <c r="Y494" i="9"/>
  <c r="Z494" i="9" s="1"/>
  <c r="Y493" i="9"/>
  <c r="Y492" i="9"/>
  <c r="Z492" i="9" s="1"/>
  <c r="Y491" i="9"/>
  <c r="Y490" i="9"/>
  <c r="Y489" i="9"/>
  <c r="Y488" i="9"/>
  <c r="Y487" i="9"/>
  <c r="Z487" i="9" s="1"/>
  <c r="Y486" i="9"/>
  <c r="Z486" i="9" s="1"/>
  <c r="Y485" i="9"/>
  <c r="Z485" i="9" s="1"/>
  <c r="Y484" i="9"/>
  <c r="Z484" i="9" s="1"/>
  <c r="Y483" i="9"/>
  <c r="Z483" i="9" s="1"/>
  <c r="Y482" i="9"/>
  <c r="Y481" i="9"/>
  <c r="Z481" i="9" s="1"/>
  <c r="Y480" i="9"/>
  <c r="Z480" i="9" s="1"/>
  <c r="Y479" i="9"/>
  <c r="Y478" i="9"/>
  <c r="Y477" i="9"/>
  <c r="Y476" i="9"/>
  <c r="Y475" i="9"/>
  <c r="Z475" i="9" s="1"/>
  <c r="Y474" i="9"/>
  <c r="Y473" i="9"/>
  <c r="Z473" i="9" s="1"/>
  <c r="Y472" i="9"/>
  <c r="Z472" i="9" s="1"/>
  <c r="Y471" i="9"/>
  <c r="Y470" i="9"/>
  <c r="Y469" i="9"/>
  <c r="Y468" i="9"/>
  <c r="Y467" i="9"/>
  <c r="Y466" i="9"/>
  <c r="Z466" i="9" s="1"/>
  <c r="Y465" i="9"/>
  <c r="Y464" i="9"/>
  <c r="Y463" i="9"/>
  <c r="Z463" i="9" s="1"/>
  <c r="Y462" i="9"/>
  <c r="Z462" i="9" s="1"/>
  <c r="Y461" i="9"/>
  <c r="Y460" i="9"/>
  <c r="Y459" i="9"/>
  <c r="Y458" i="9"/>
  <c r="Y457" i="9"/>
  <c r="Y456" i="9"/>
  <c r="Z456" i="9" s="1"/>
  <c r="Y455" i="9"/>
  <c r="Y454" i="9"/>
  <c r="Z454" i="9" s="1"/>
  <c r="Y453" i="9"/>
  <c r="Z453" i="9" s="1"/>
  <c r="Y452" i="9"/>
  <c r="Z452" i="9" s="1"/>
  <c r="Y451" i="9"/>
  <c r="Y450" i="9"/>
  <c r="Z450" i="9" s="1"/>
  <c r="Y449" i="9"/>
  <c r="Z449" i="9" s="1"/>
  <c r="Y448" i="9"/>
  <c r="Y447" i="9"/>
  <c r="Z447" i="9" s="1"/>
  <c r="Y446" i="9"/>
  <c r="Y445" i="9"/>
  <c r="Y444" i="9"/>
  <c r="Z444" i="9" s="1"/>
  <c r="Y443" i="9"/>
  <c r="Z443" i="9" s="1"/>
  <c r="Y442" i="9"/>
  <c r="Y441" i="9"/>
  <c r="Y440" i="9"/>
  <c r="Z440" i="9" s="1"/>
  <c r="Y439" i="9"/>
  <c r="Y438" i="9"/>
  <c r="Y437" i="9"/>
  <c r="Y436" i="9"/>
  <c r="Z436" i="9" s="1"/>
  <c r="Y435" i="9"/>
  <c r="Y434" i="9"/>
  <c r="Z434" i="9" s="1"/>
  <c r="Y433" i="9"/>
  <c r="Y432" i="9"/>
  <c r="Y431" i="9"/>
  <c r="Z431" i="9" s="1"/>
  <c r="Y430" i="9"/>
  <c r="Z430" i="9" s="1"/>
  <c r="Y429" i="9"/>
  <c r="Z429" i="9" s="1"/>
  <c r="Y428" i="9"/>
  <c r="Y427" i="9"/>
  <c r="Z427" i="9" s="1"/>
  <c r="Y426" i="9"/>
  <c r="Z426" i="9" s="1"/>
  <c r="Y425" i="9"/>
  <c r="Y424" i="9"/>
  <c r="Z424" i="9" s="1"/>
  <c r="Y423" i="9"/>
  <c r="Z423" i="9" s="1"/>
  <c r="Y422" i="9"/>
  <c r="Y421" i="9"/>
  <c r="Z421" i="9" s="1"/>
  <c r="Y420" i="9"/>
  <c r="Z420" i="9" s="1"/>
  <c r="Y419" i="9"/>
  <c r="Z419" i="9" s="1"/>
  <c r="Y418" i="9"/>
  <c r="Z418" i="9" s="1"/>
  <c r="Y417" i="9"/>
  <c r="Z417" i="9" s="1"/>
  <c r="Y416" i="9"/>
  <c r="Y415" i="9"/>
  <c r="Y414" i="9"/>
  <c r="Z414" i="9" s="1"/>
  <c r="Y413" i="9"/>
  <c r="Y412" i="9"/>
  <c r="Z412" i="9" s="1"/>
  <c r="Y411" i="9"/>
  <c r="Z411" i="9" s="1"/>
  <c r="Y410" i="9"/>
  <c r="Y409" i="9"/>
  <c r="Y408" i="9"/>
  <c r="Z408" i="9" s="1"/>
  <c r="Y407" i="9"/>
  <c r="Y406" i="9"/>
  <c r="Y405" i="9"/>
  <c r="Z405" i="9" s="1"/>
  <c r="Y404" i="9"/>
  <c r="Y403" i="9"/>
  <c r="Y402" i="9"/>
  <c r="Y401" i="9"/>
  <c r="Y400" i="9"/>
  <c r="Y399" i="9"/>
  <c r="Z399" i="9" s="1"/>
  <c r="Y398" i="9"/>
  <c r="Y397" i="9"/>
  <c r="Y396" i="9"/>
  <c r="Y395" i="9"/>
  <c r="Y394" i="9"/>
  <c r="Z394" i="9" s="1"/>
  <c r="Y393" i="9"/>
  <c r="Z393" i="9" s="1"/>
  <c r="Y392" i="9"/>
  <c r="Y391" i="9"/>
  <c r="Z391" i="9" s="1"/>
  <c r="Y390" i="9"/>
  <c r="Z390" i="9" s="1"/>
  <c r="Y389" i="9"/>
  <c r="Z389" i="9" s="1"/>
  <c r="Y388" i="9"/>
  <c r="Z388" i="9" s="1"/>
  <c r="Y387" i="9"/>
  <c r="Y386" i="9"/>
  <c r="Z386" i="9" s="1"/>
  <c r="Y385" i="9"/>
  <c r="Y384" i="9"/>
  <c r="Z384" i="9" s="1"/>
  <c r="Y383" i="9"/>
  <c r="Y382" i="9"/>
  <c r="Y381" i="9"/>
  <c r="Y380" i="9"/>
  <c r="Z380" i="9" s="1"/>
  <c r="Y379" i="9"/>
  <c r="Y378" i="9"/>
  <c r="Y377" i="9"/>
  <c r="Z377" i="9" s="1"/>
  <c r="Y376" i="9"/>
  <c r="Z376" i="9" s="1"/>
  <c r="Y375" i="9"/>
  <c r="Y374" i="9"/>
  <c r="Y373" i="9"/>
  <c r="Z373" i="9" s="1"/>
  <c r="Y372" i="9"/>
  <c r="Y371" i="9"/>
  <c r="Z371" i="9" s="1"/>
  <c r="Y370" i="9"/>
  <c r="Z370" i="9" s="1"/>
  <c r="Y369" i="9"/>
  <c r="Z369" i="9" s="1"/>
  <c r="Y368" i="9"/>
  <c r="Y367" i="9"/>
  <c r="Y366" i="9"/>
  <c r="Z366" i="9" s="1"/>
  <c r="Y365" i="9"/>
  <c r="Z365" i="9" s="1"/>
  <c r="Y364" i="9"/>
  <c r="Y363" i="9"/>
  <c r="Z363" i="9" s="1"/>
  <c r="Y362" i="9"/>
  <c r="Y361" i="9"/>
  <c r="Y360" i="9"/>
  <c r="Z360" i="9" s="1"/>
  <c r="Y359" i="9"/>
  <c r="Y358" i="9"/>
  <c r="Y357" i="9"/>
  <c r="Z357" i="9" s="1"/>
  <c r="Y356" i="9"/>
  <c r="Y355" i="9"/>
  <c r="Y354" i="9"/>
  <c r="Z354" i="9" s="1"/>
  <c r="Y353" i="9"/>
  <c r="Z353" i="9" s="1"/>
  <c r="Y352" i="9"/>
  <c r="Y351" i="9"/>
  <c r="Z351" i="9" s="1"/>
  <c r="Y350" i="9"/>
  <c r="Z350" i="9" s="1"/>
  <c r="Y349" i="9"/>
  <c r="Y348" i="9"/>
  <c r="Z348" i="9" s="1"/>
  <c r="Y347" i="9"/>
  <c r="Y346" i="9"/>
  <c r="Z346" i="9" s="1"/>
  <c r="Y345" i="9"/>
  <c r="Z345" i="9" s="1"/>
  <c r="Y344" i="9"/>
  <c r="Z344" i="9" s="1"/>
  <c r="Y343" i="9"/>
  <c r="Z343" i="9" s="1"/>
  <c r="Y342" i="9"/>
  <c r="Y341" i="9"/>
  <c r="Y340" i="9"/>
  <c r="Z340" i="9" s="1"/>
  <c r="Y339" i="9"/>
  <c r="Z339" i="9" s="1"/>
  <c r="Y338" i="9"/>
  <c r="Y337" i="9"/>
  <c r="Z337" i="9" s="1"/>
  <c r="Y336" i="9"/>
  <c r="Y335" i="9"/>
  <c r="Z335" i="9" s="1"/>
  <c r="Y334" i="9"/>
  <c r="Y333" i="9"/>
  <c r="Z333" i="9" s="1"/>
  <c r="Y332" i="9"/>
  <c r="Z332" i="9" s="1"/>
  <c r="Y331" i="9"/>
  <c r="Y330" i="9"/>
  <c r="Z330" i="9" s="1"/>
  <c r="Y329" i="9"/>
  <c r="Z329" i="9" s="1"/>
  <c r="Y328" i="9"/>
  <c r="Z328" i="9" s="1"/>
  <c r="Y327" i="9"/>
  <c r="Z327" i="9" s="1"/>
  <c r="Y326" i="9"/>
  <c r="Y325" i="9"/>
  <c r="Y324" i="9"/>
  <c r="Y323" i="9"/>
  <c r="Z323" i="9" s="1"/>
  <c r="Y322" i="9"/>
  <c r="Z322" i="9" s="1"/>
  <c r="Y321" i="9"/>
  <c r="Z321" i="9" s="1"/>
  <c r="Y320" i="9"/>
  <c r="Y319" i="9"/>
  <c r="Z319" i="9" s="1"/>
  <c r="Y318" i="9"/>
  <c r="Y317" i="9"/>
  <c r="Z317" i="9" s="1"/>
  <c r="Y316" i="9"/>
  <c r="Y315" i="9"/>
  <c r="Z315" i="9" s="1"/>
  <c r="Y314" i="9"/>
  <c r="Z314" i="9" s="1"/>
  <c r="Y313" i="9"/>
  <c r="Y312" i="9"/>
  <c r="Y311" i="9"/>
  <c r="Z311" i="9" s="1"/>
  <c r="Y310" i="9"/>
  <c r="Z310" i="9" s="1"/>
  <c r="Y309" i="9"/>
  <c r="Z309" i="9" s="1"/>
  <c r="Y308" i="9"/>
  <c r="Y307" i="9"/>
  <c r="Y306" i="9"/>
  <c r="Y305" i="9"/>
  <c r="Y304" i="9"/>
  <c r="Z304" i="9" s="1"/>
  <c r="Y303" i="9"/>
  <c r="Z303" i="9" s="1"/>
  <c r="Y302" i="9"/>
  <c r="Y301" i="9"/>
  <c r="Z301" i="9" s="1"/>
  <c r="Y300" i="9"/>
  <c r="Y299" i="9"/>
  <c r="Y298" i="9"/>
  <c r="Y297" i="9"/>
  <c r="Y296" i="9"/>
  <c r="Y295" i="9"/>
  <c r="Y294" i="9"/>
  <c r="Z294" i="9" s="1"/>
  <c r="Y293" i="9"/>
  <c r="Y292" i="9"/>
  <c r="Y291" i="9"/>
  <c r="Y290" i="9"/>
  <c r="Y289" i="9"/>
  <c r="Z289" i="9" s="1"/>
  <c r="Y288" i="9"/>
  <c r="Y287" i="9"/>
  <c r="Z287" i="9" s="1"/>
  <c r="Y286" i="9"/>
  <c r="Y285" i="9"/>
  <c r="Y284" i="9"/>
  <c r="Z284" i="9" s="1"/>
  <c r="Y283" i="9"/>
  <c r="Z283" i="9" s="1"/>
  <c r="Y282" i="9"/>
  <c r="Z282" i="9" s="1"/>
  <c r="Y281" i="9"/>
  <c r="Z281" i="9" s="1"/>
  <c r="Y280" i="9"/>
  <c r="Y279" i="9"/>
  <c r="Z279" i="9" s="1"/>
  <c r="Y278" i="9"/>
  <c r="Z278" i="9" s="1"/>
  <c r="Y277" i="9"/>
  <c r="Z277" i="9" s="1"/>
  <c r="Y276" i="9"/>
  <c r="Z276" i="9" s="1"/>
  <c r="Y275" i="9"/>
  <c r="Y274" i="9"/>
  <c r="Z274" i="9" s="1"/>
  <c r="Y273" i="9"/>
  <c r="Y272" i="9"/>
  <c r="Z272" i="9" s="1"/>
  <c r="Y271" i="9"/>
  <c r="Y270" i="9"/>
  <c r="Y269" i="9"/>
  <c r="Y268" i="9"/>
  <c r="Y267" i="9"/>
  <c r="Z267" i="9" s="1"/>
  <c r="Y266" i="9"/>
  <c r="Z266" i="9" s="1"/>
  <c r="Y265" i="9"/>
  <c r="Z265" i="9" s="1"/>
  <c r="Y264" i="9"/>
  <c r="Y263" i="9"/>
  <c r="Y262" i="9"/>
  <c r="Y261" i="9"/>
  <c r="Z261" i="9" s="1"/>
  <c r="Y260" i="9"/>
  <c r="Y259" i="9"/>
  <c r="Z259" i="9" s="1"/>
  <c r="Y258" i="9"/>
  <c r="Y257" i="9"/>
  <c r="Y256" i="9"/>
  <c r="Z256" i="9" s="1"/>
  <c r="Y255" i="9"/>
  <c r="Z255" i="9" s="1"/>
  <c r="Y254" i="9"/>
  <c r="Y253" i="9"/>
  <c r="Y252" i="9"/>
  <c r="Y251" i="9"/>
  <c r="Z251" i="9" s="1"/>
  <c r="Y250" i="9"/>
  <c r="Z250" i="9" s="1"/>
  <c r="Y249" i="9"/>
  <c r="Y248" i="9"/>
  <c r="Y247" i="9"/>
  <c r="Y246" i="9"/>
  <c r="Z246" i="9" s="1"/>
  <c r="Y245" i="9"/>
  <c r="Y244" i="9"/>
  <c r="Z244" i="9" s="1"/>
  <c r="Y243" i="9"/>
  <c r="Z243" i="9" s="1"/>
  <c r="Y242" i="9"/>
  <c r="Z242" i="9" s="1"/>
  <c r="Y241" i="9"/>
  <c r="Z241" i="9" s="1"/>
  <c r="Y240" i="9"/>
  <c r="Z240" i="9" s="1"/>
  <c r="Y239" i="9"/>
  <c r="Z239" i="9" s="1"/>
  <c r="Y238" i="9"/>
  <c r="Y237" i="9"/>
  <c r="Y236" i="9"/>
  <c r="Z236" i="9" s="1"/>
  <c r="Y235" i="9"/>
  <c r="Z235" i="9" s="1"/>
  <c r="Y234" i="9"/>
  <c r="Y233" i="9"/>
  <c r="Y232" i="9"/>
  <c r="Y231" i="9"/>
  <c r="Z231" i="9" s="1"/>
  <c r="Y230" i="9"/>
  <c r="Y229" i="9"/>
  <c r="Z229" i="9" s="1"/>
  <c r="Y228" i="9"/>
  <c r="Z228" i="9" s="1"/>
  <c r="Y227" i="9"/>
  <c r="Y226" i="9"/>
  <c r="Z226" i="9" s="1"/>
  <c r="Y225" i="9"/>
  <c r="Z225" i="9" s="1"/>
  <c r="Y224" i="9"/>
  <c r="Y223" i="9"/>
  <c r="Z223" i="9" s="1"/>
  <c r="Y222" i="9"/>
  <c r="Z222" i="9" s="1"/>
  <c r="Y221" i="9"/>
  <c r="Y220" i="9"/>
  <c r="Z220" i="9" s="1"/>
  <c r="Y219" i="9"/>
  <c r="Z219" i="9" s="1"/>
  <c r="Y218" i="9"/>
  <c r="Y217" i="9"/>
  <c r="Z217" i="9" s="1"/>
  <c r="Y216" i="9"/>
  <c r="Z216" i="9" s="1"/>
  <c r="Y215" i="9"/>
  <c r="Z215" i="9" s="1"/>
  <c r="Y214" i="9"/>
  <c r="Y213" i="9"/>
  <c r="Z213" i="9" s="1"/>
  <c r="Y212" i="9"/>
  <c r="Z212" i="9" s="1"/>
  <c r="Y211" i="9"/>
  <c r="Z211" i="9" s="1"/>
  <c r="Y210" i="9"/>
  <c r="Y209" i="9"/>
  <c r="Y208" i="9"/>
  <c r="Z208" i="9" s="1"/>
  <c r="Y207" i="9"/>
  <c r="Z207" i="9" s="1"/>
  <c r="Y206" i="9"/>
  <c r="Y205" i="9"/>
  <c r="Z205" i="9" s="1"/>
  <c r="Y204" i="9"/>
  <c r="Y203" i="9"/>
  <c r="Y202" i="9"/>
  <c r="Z202" i="9" s="1"/>
  <c r="Y201" i="9"/>
  <c r="Z201" i="9" s="1"/>
  <c r="Y200" i="9"/>
  <c r="Z200" i="9" s="1"/>
  <c r="Y199" i="9"/>
  <c r="Z199" i="9" s="1"/>
  <c r="Y198" i="9"/>
  <c r="Y197" i="9"/>
  <c r="Y196" i="9"/>
  <c r="Z196" i="9" s="1"/>
  <c r="Y195" i="9"/>
  <c r="Z195" i="9" s="1"/>
  <c r="Y194" i="9"/>
  <c r="Z194" i="9" s="1"/>
  <c r="Y193" i="9"/>
  <c r="Z193" i="9" s="1"/>
  <c r="Y192" i="9"/>
  <c r="Z192" i="9" s="1"/>
  <c r="Y191" i="9"/>
  <c r="Z191" i="9" s="1"/>
  <c r="Y190" i="9"/>
  <c r="Z190" i="9" s="1"/>
  <c r="Y189" i="9"/>
  <c r="Z189" i="9" s="1"/>
  <c r="Y188" i="9"/>
  <c r="Z188" i="9" s="1"/>
  <c r="Y187" i="9"/>
  <c r="Y186" i="9"/>
  <c r="Z186" i="9" s="1"/>
  <c r="Y185" i="9"/>
  <c r="Z185" i="9" s="1"/>
  <c r="Y184" i="9"/>
  <c r="Z184" i="9" s="1"/>
  <c r="Y183" i="9"/>
  <c r="Y182" i="9"/>
  <c r="Y181" i="9"/>
  <c r="Y180" i="9"/>
  <c r="Y179" i="9"/>
  <c r="Z179" i="9" s="1"/>
  <c r="Y178" i="9"/>
  <c r="Y177" i="9"/>
  <c r="Y176" i="9"/>
  <c r="Y175" i="9"/>
  <c r="Z175" i="9" s="1"/>
  <c r="Y174" i="9"/>
  <c r="Z174" i="9" s="1"/>
  <c r="Y173" i="9"/>
  <c r="Y172" i="9"/>
  <c r="Z172" i="9" s="1"/>
  <c r="Y171" i="9"/>
  <c r="Z171" i="9" s="1"/>
  <c r="Y170" i="9"/>
  <c r="Z170" i="9" s="1"/>
  <c r="Y169" i="9"/>
  <c r="Z169" i="9" s="1"/>
  <c r="Y168" i="9"/>
  <c r="Y167" i="9"/>
  <c r="Y166" i="9"/>
  <c r="Y165" i="9"/>
  <c r="Z165" i="9" s="1"/>
  <c r="Y164" i="9"/>
  <c r="Y163" i="9"/>
  <c r="Z163" i="9" s="1"/>
  <c r="Y162" i="9"/>
  <c r="Z162" i="9" s="1"/>
  <c r="Y161" i="9"/>
  <c r="Y160" i="9"/>
  <c r="Z160" i="9" s="1"/>
  <c r="Y159" i="9"/>
  <c r="Y158" i="9"/>
  <c r="Z158" i="9" s="1"/>
  <c r="Y157" i="9"/>
  <c r="Y156" i="9"/>
  <c r="Y155" i="9"/>
  <c r="Y154" i="9"/>
  <c r="Z154" i="9" s="1"/>
  <c r="Y153" i="9"/>
  <c r="Y152" i="9"/>
  <c r="Z152" i="9" s="1"/>
  <c r="Y151" i="9"/>
  <c r="Y150" i="9"/>
  <c r="Z150" i="9" s="1"/>
  <c r="Y149" i="9"/>
  <c r="Y148" i="9"/>
  <c r="Z148" i="9" s="1"/>
  <c r="Y147" i="9"/>
  <c r="Z147" i="9" s="1"/>
  <c r="Y146" i="9"/>
  <c r="Y145" i="9"/>
  <c r="Y144" i="9"/>
  <c r="Z144" i="9" s="1"/>
  <c r="Y143" i="9"/>
  <c r="Z143" i="9" s="1"/>
  <c r="Y142" i="9"/>
  <c r="Y141" i="9"/>
  <c r="Y140" i="9"/>
  <c r="Z140" i="9" s="1"/>
  <c r="Y139" i="9"/>
  <c r="Z139" i="9" s="1"/>
  <c r="Y138" i="9"/>
  <c r="Z138" i="9" s="1"/>
  <c r="Y137" i="9"/>
  <c r="Z137" i="9" s="1"/>
  <c r="Y136" i="9"/>
  <c r="Y135" i="9"/>
  <c r="Y134" i="9"/>
  <c r="Z134" i="9" s="1"/>
  <c r="Y133" i="9"/>
  <c r="Y132" i="9"/>
  <c r="Z132" i="9" s="1"/>
  <c r="Y131" i="9"/>
  <c r="Z131" i="9" s="1"/>
  <c r="Y130" i="9"/>
  <c r="Z130" i="9" s="1"/>
  <c r="Y129" i="9"/>
  <c r="Z129" i="9" s="1"/>
  <c r="Y128" i="9"/>
  <c r="Y127" i="9"/>
  <c r="Z127" i="9" s="1"/>
  <c r="Y126" i="9"/>
  <c r="Y125" i="9"/>
  <c r="Z125" i="9" s="1"/>
  <c r="Y124" i="9"/>
  <c r="Y123" i="9"/>
  <c r="Y122" i="9"/>
  <c r="Z122" i="9" s="1"/>
  <c r="Y121" i="9"/>
  <c r="Y120" i="9"/>
  <c r="Y119" i="9"/>
  <c r="Y118" i="9"/>
  <c r="Z118" i="9" s="1"/>
  <c r="Y117" i="9"/>
  <c r="Y116" i="9"/>
  <c r="Y115" i="9"/>
  <c r="Y114" i="9"/>
  <c r="Z114" i="9" s="1"/>
  <c r="Y113" i="9"/>
  <c r="Y112" i="9"/>
  <c r="Z112" i="9" s="1"/>
  <c r="Y111" i="9"/>
  <c r="Z111" i="9" s="1"/>
  <c r="Y110" i="9"/>
  <c r="Z110" i="9" s="1"/>
  <c r="Y109" i="9"/>
  <c r="Z109" i="9" s="1"/>
  <c r="Y108" i="9"/>
  <c r="Y107" i="9"/>
  <c r="Y106" i="9"/>
  <c r="Y105" i="9"/>
  <c r="Z105" i="9" s="1"/>
  <c r="Y104" i="9"/>
  <c r="Z104" i="9" s="1"/>
  <c r="Y103" i="9"/>
  <c r="Y102" i="9"/>
  <c r="Y101" i="9"/>
  <c r="Z101" i="9" s="1"/>
  <c r="Y100" i="9"/>
  <c r="Z100" i="9" s="1"/>
  <c r="Y99" i="9"/>
  <c r="Y98" i="9"/>
  <c r="Y97" i="9"/>
  <c r="Y96" i="9"/>
  <c r="Z96" i="9" s="1"/>
  <c r="Y95" i="9"/>
  <c r="Z95" i="9" s="1"/>
  <c r="Y94" i="9"/>
  <c r="Y93" i="9"/>
  <c r="Y92" i="9"/>
  <c r="Y91" i="9"/>
  <c r="Z91" i="9" s="1"/>
  <c r="Y90" i="9"/>
  <c r="Y89" i="9"/>
  <c r="Z89" i="9" s="1"/>
  <c r="Y88" i="9"/>
  <c r="Y87" i="9"/>
  <c r="Y86" i="9"/>
  <c r="Z86" i="9" s="1"/>
  <c r="Y85" i="9"/>
  <c r="Y84" i="9"/>
  <c r="Y83" i="9"/>
  <c r="Y82" i="9"/>
  <c r="Y81" i="9"/>
  <c r="Y80" i="9"/>
  <c r="Z80" i="9" s="1"/>
  <c r="Y79" i="9"/>
  <c r="Y78" i="9"/>
  <c r="Y77" i="9"/>
  <c r="Z77" i="9" s="1"/>
  <c r="Y76" i="9"/>
  <c r="Z76" i="9" s="1"/>
  <c r="Y75" i="9"/>
  <c r="Z75" i="9" s="1"/>
  <c r="Y74" i="9"/>
  <c r="Z74" i="9" s="1"/>
  <c r="Y73" i="9"/>
  <c r="Y72" i="9"/>
  <c r="Y71" i="9"/>
  <c r="Z71" i="9" s="1"/>
  <c r="Y70" i="9"/>
  <c r="Z70" i="9" s="1"/>
  <c r="Y69" i="9"/>
  <c r="Y68" i="9"/>
  <c r="Z68" i="9" s="1"/>
  <c r="Y67" i="9"/>
  <c r="Z67" i="9" s="1"/>
  <c r="Y66" i="9"/>
  <c r="Z66" i="9" s="1"/>
  <c r="Y65" i="9"/>
  <c r="Y64" i="9"/>
  <c r="Y63" i="9"/>
  <c r="Y62" i="9"/>
  <c r="Z62" i="9" s="1"/>
  <c r="Y61" i="9"/>
  <c r="Y60" i="9"/>
  <c r="Z60" i="9" s="1"/>
  <c r="Y59" i="9"/>
  <c r="Z59" i="9" s="1"/>
  <c r="Y58" i="9"/>
  <c r="Z58" i="9" s="1"/>
  <c r="Y57" i="9"/>
  <c r="Y56" i="9"/>
  <c r="Y55" i="9"/>
  <c r="Y54" i="9"/>
  <c r="Y53" i="9"/>
  <c r="Z53" i="9" s="1"/>
  <c r="Y52" i="9"/>
  <c r="Y51" i="9"/>
  <c r="Z51" i="9" s="1"/>
  <c r="Y50" i="9"/>
  <c r="Z50" i="9" s="1"/>
  <c r="Y49" i="9"/>
  <c r="Z49" i="9" s="1"/>
  <c r="Y48" i="9"/>
  <c r="Z48" i="9" s="1"/>
  <c r="Y47" i="9"/>
  <c r="Z47" i="9" s="1"/>
  <c r="Y46" i="9"/>
  <c r="Z46" i="9" s="1"/>
  <c r="Y45" i="9"/>
  <c r="Y44" i="9"/>
  <c r="Y43" i="9"/>
  <c r="Z43" i="9" s="1"/>
  <c r="Y42" i="9"/>
  <c r="Z42" i="9" s="1"/>
  <c r="Y41" i="9"/>
  <c r="Y40" i="9"/>
  <c r="Y39" i="9"/>
  <c r="Z39" i="9" s="1"/>
  <c r="Y38" i="9"/>
  <c r="Z38" i="9" s="1"/>
  <c r="Y37" i="9"/>
  <c r="Z37" i="9" s="1"/>
  <c r="Y36" i="9"/>
  <c r="Y35" i="9"/>
  <c r="Z35" i="9" s="1"/>
  <c r="Y34" i="9"/>
  <c r="Z34" i="9" s="1"/>
  <c r="Y33" i="9"/>
  <c r="Z33" i="9" s="1"/>
  <c r="Y32" i="9"/>
  <c r="Y31" i="9"/>
  <c r="Y30" i="9"/>
  <c r="Z30" i="9" s="1"/>
  <c r="Y29" i="9"/>
  <c r="Y28" i="9"/>
  <c r="Z28" i="9" s="1"/>
  <c r="Y27" i="9"/>
  <c r="Y26" i="9"/>
  <c r="Y25" i="9"/>
  <c r="Y24" i="9"/>
  <c r="Z24" i="9" s="1"/>
  <c r="Y23" i="9"/>
  <c r="Y22" i="9"/>
  <c r="Y21" i="9"/>
  <c r="Z21" i="9" s="1"/>
  <c r="Y20" i="9"/>
  <c r="Z20" i="9" s="1"/>
  <c r="Y19" i="9"/>
  <c r="Z19" i="9" s="1"/>
  <c r="Y18" i="9"/>
  <c r="Z18" i="9" s="1"/>
  <c r="Y17" i="9"/>
  <c r="Z17" i="9" s="1"/>
  <c r="Y16" i="9"/>
  <c r="Z16" i="9" s="1"/>
  <c r="Y15" i="9"/>
  <c r="Z15" i="9" s="1"/>
  <c r="Y14" i="9"/>
  <c r="Y13" i="9"/>
  <c r="Z13" i="9" s="1"/>
  <c r="Y12" i="9"/>
  <c r="Z12" i="9" s="1"/>
  <c r="Y11" i="9"/>
  <c r="Z11" i="9" s="1"/>
  <c r="Y10" i="9"/>
  <c r="Z10" i="9" s="1"/>
  <c r="Y9" i="9"/>
  <c r="V816" i="9"/>
  <c r="V815" i="9"/>
  <c r="V814" i="9"/>
  <c r="V813" i="9"/>
  <c r="V812" i="9"/>
  <c r="V811" i="9"/>
  <c r="V810" i="9"/>
  <c r="V809" i="9"/>
  <c r="V808" i="9"/>
  <c r="V807" i="9"/>
  <c r="V806" i="9"/>
  <c r="V805" i="9"/>
  <c r="V804" i="9"/>
  <c r="V803" i="9"/>
  <c r="V802" i="9"/>
  <c r="V801" i="9"/>
  <c r="V800" i="9"/>
  <c r="V799" i="9"/>
  <c r="V798" i="9"/>
  <c r="V797" i="9"/>
  <c r="V796" i="9"/>
  <c r="V795" i="9"/>
  <c r="V794" i="9"/>
  <c r="V793" i="9"/>
  <c r="V792" i="9"/>
  <c r="V791" i="9"/>
  <c r="V790" i="9"/>
  <c r="V789" i="9"/>
  <c r="V788" i="9"/>
  <c r="V787" i="9"/>
  <c r="V786" i="9"/>
  <c r="V785" i="9"/>
  <c r="V784" i="9"/>
  <c r="V783" i="9"/>
  <c r="V782" i="9"/>
  <c r="V781" i="9"/>
  <c r="V780" i="9"/>
  <c r="V779" i="9"/>
  <c r="V778" i="9"/>
  <c r="V777" i="9"/>
  <c r="V776" i="9"/>
  <c r="V775" i="9"/>
  <c r="V774" i="9"/>
  <c r="V773" i="9"/>
  <c r="V772" i="9"/>
  <c r="V771" i="9"/>
  <c r="V770" i="9"/>
  <c r="V769" i="9"/>
  <c r="V768" i="9"/>
  <c r="V767" i="9"/>
  <c r="V766" i="9"/>
  <c r="V765" i="9"/>
  <c r="V764" i="9"/>
  <c r="V763" i="9"/>
  <c r="V762" i="9"/>
  <c r="V761" i="9"/>
  <c r="V760" i="9"/>
  <c r="V759" i="9"/>
  <c r="V758" i="9"/>
  <c r="V757" i="9"/>
  <c r="V756" i="9"/>
  <c r="V755" i="9"/>
  <c r="V754" i="9"/>
  <c r="V753" i="9"/>
  <c r="V752" i="9"/>
  <c r="V751" i="9"/>
  <c r="V750" i="9"/>
  <c r="V749" i="9"/>
  <c r="V748" i="9"/>
  <c r="V747" i="9"/>
  <c r="V746" i="9"/>
  <c r="V745" i="9"/>
  <c r="V744" i="9"/>
  <c r="V743" i="9"/>
  <c r="V742" i="9"/>
  <c r="V741" i="9"/>
  <c r="V740" i="9"/>
  <c r="V739" i="9"/>
  <c r="V738" i="9"/>
  <c r="V737" i="9"/>
  <c r="V736" i="9"/>
  <c r="V735" i="9"/>
  <c r="V734" i="9"/>
  <c r="V733" i="9"/>
  <c r="V732" i="9"/>
  <c r="V731" i="9"/>
  <c r="V730" i="9"/>
  <c r="V729" i="9"/>
  <c r="V728" i="9"/>
  <c r="V727" i="9"/>
  <c r="V726" i="9"/>
  <c r="V725" i="9"/>
  <c r="V724" i="9"/>
  <c r="V723" i="9"/>
  <c r="V722" i="9"/>
  <c r="V721" i="9"/>
  <c r="V720" i="9"/>
  <c r="V719" i="9"/>
  <c r="V718" i="9"/>
  <c r="V717" i="9"/>
  <c r="V716" i="9"/>
  <c r="V715" i="9"/>
  <c r="V714" i="9"/>
  <c r="V713" i="9"/>
  <c r="V712" i="9"/>
  <c r="V711" i="9"/>
  <c r="V710" i="9"/>
  <c r="V709" i="9"/>
  <c r="V708" i="9"/>
  <c r="V707" i="9"/>
  <c r="V706" i="9"/>
  <c r="V705" i="9"/>
  <c r="V704" i="9"/>
  <c r="V703" i="9"/>
  <c r="V702" i="9"/>
  <c r="V701" i="9"/>
  <c r="V700" i="9"/>
  <c r="V699" i="9"/>
  <c r="V698" i="9"/>
  <c r="V697" i="9"/>
  <c r="V696" i="9"/>
  <c r="V695" i="9"/>
  <c r="V694" i="9"/>
  <c r="V693" i="9"/>
  <c r="V692" i="9"/>
  <c r="V691" i="9"/>
  <c r="V690" i="9"/>
  <c r="V689" i="9"/>
  <c r="V688" i="9"/>
  <c r="V687" i="9"/>
  <c r="V686" i="9"/>
  <c r="V685" i="9"/>
  <c r="V684" i="9"/>
  <c r="V683" i="9"/>
  <c r="V682" i="9"/>
  <c r="V681" i="9"/>
  <c r="V680" i="9"/>
  <c r="V679" i="9"/>
  <c r="V678" i="9"/>
  <c r="V677" i="9"/>
  <c r="V676" i="9"/>
  <c r="V675" i="9"/>
  <c r="V674" i="9"/>
  <c r="V673" i="9"/>
  <c r="V672" i="9"/>
  <c r="V671" i="9"/>
  <c r="V670" i="9"/>
  <c r="V669" i="9"/>
  <c r="V668" i="9"/>
  <c r="V667" i="9"/>
  <c r="V666" i="9"/>
  <c r="V665" i="9"/>
  <c r="V664" i="9"/>
  <c r="V663" i="9"/>
  <c r="V662" i="9"/>
  <c r="V661" i="9"/>
  <c r="V660" i="9"/>
  <c r="V659" i="9"/>
  <c r="V658" i="9"/>
  <c r="V657" i="9"/>
  <c r="V656" i="9"/>
  <c r="V655" i="9"/>
  <c r="V654" i="9"/>
  <c r="V653" i="9"/>
  <c r="V652" i="9"/>
  <c r="V651" i="9"/>
  <c r="V650" i="9"/>
  <c r="V649" i="9"/>
  <c r="V648" i="9"/>
  <c r="V647" i="9"/>
  <c r="V646" i="9"/>
  <c r="V645" i="9"/>
  <c r="V644" i="9"/>
  <c r="V643" i="9"/>
  <c r="V642" i="9"/>
  <c r="V641" i="9"/>
  <c r="V640" i="9"/>
  <c r="V639" i="9"/>
  <c r="V638" i="9"/>
  <c r="V637" i="9"/>
  <c r="V636" i="9"/>
  <c r="V635" i="9"/>
  <c r="V634" i="9"/>
  <c r="V633" i="9"/>
  <c r="V632" i="9"/>
  <c r="V631" i="9"/>
  <c r="V630" i="9"/>
  <c r="V629" i="9"/>
  <c r="V628" i="9"/>
  <c r="V627" i="9"/>
  <c r="V626" i="9"/>
  <c r="V625" i="9"/>
  <c r="V624" i="9"/>
  <c r="V623" i="9"/>
  <c r="V622" i="9"/>
  <c r="V621" i="9"/>
  <c r="V620" i="9"/>
  <c r="V619" i="9"/>
  <c r="V618" i="9"/>
  <c r="V617" i="9"/>
  <c r="V616" i="9"/>
  <c r="V615" i="9"/>
  <c r="V614" i="9"/>
  <c r="V613" i="9"/>
  <c r="V612" i="9"/>
  <c r="V611" i="9"/>
  <c r="V610" i="9"/>
  <c r="V609" i="9"/>
  <c r="V608" i="9"/>
  <c r="V607" i="9"/>
  <c r="V606" i="9"/>
  <c r="V605" i="9"/>
  <c r="V604" i="9"/>
  <c r="V603" i="9"/>
  <c r="V602" i="9"/>
  <c r="V601" i="9"/>
  <c r="V600" i="9"/>
  <c r="V599" i="9"/>
  <c r="V598" i="9"/>
  <c r="V597" i="9"/>
  <c r="V596" i="9"/>
  <c r="V595" i="9"/>
  <c r="V594" i="9"/>
  <c r="V593" i="9"/>
  <c r="V592" i="9"/>
  <c r="V591" i="9"/>
  <c r="V590" i="9"/>
  <c r="V589" i="9"/>
  <c r="V588" i="9"/>
  <c r="V587" i="9"/>
  <c r="V586" i="9"/>
  <c r="V585" i="9"/>
  <c r="V584" i="9"/>
  <c r="V583" i="9"/>
  <c r="V582" i="9"/>
  <c r="V581" i="9"/>
  <c r="V580" i="9"/>
  <c r="V579" i="9"/>
  <c r="V578" i="9"/>
  <c r="V577" i="9"/>
  <c r="V576" i="9"/>
  <c r="V575" i="9"/>
  <c r="V574" i="9"/>
  <c r="V573" i="9"/>
  <c r="V572" i="9"/>
  <c r="V571" i="9"/>
  <c r="V570" i="9"/>
  <c r="V569" i="9"/>
  <c r="V568" i="9"/>
  <c r="V567" i="9"/>
  <c r="V566" i="9"/>
  <c r="V565" i="9"/>
  <c r="V564" i="9"/>
  <c r="V563" i="9"/>
  <c r="V562" i="9"/>
  <c r="V561" i="9"/>
  <c r="V560" i="9"/>
  <c r="V559" i="9"/>
  <c r="V558" i="9"/>
  <c r="V557" i="9"/>
  <c r="V556" i="9"/>
  <c r="V555" i="9"/>
  <c r="V554" i="9"/>
  <c r="V553" i="9"/>
  <c r="V552" i="9"/>
  <c r="V551" i="9"/>
  <c r="V550" i="9"/>
  <c r="V549" i="9"/>
  <c r="V548" i="9"/>
  <c r="V547" i="9"/>
  <c r="V546" i="9"/>
  <c r="V545" i="9"/>
  <c r="V544" i="9"/>
  <c r="V543" i="9"/>
  <c r="V542" i="9"/>
  <c r="V541" i="9"/>
  <c r="V540" i="9"/>
  <c r="V539" i="9"/>
  <c r="V538" i="9"/>
  <c r="V537" i="9"/>
  <c r="V536" i="9"/>
  <c r="V535" i="9"/>
  <c r="V534" i="9"/>
  <c r="V533" i="9"/>
  <c r="V532" i="9"/>
  <c r="V531" i="9"/>
  <c r="V530" i="9"/>
  <c r="V529" i="9"/>
  <c r="V528" i="9"/>
  <c r="V527" i="9"/>
  <c r="V526" i="9"/>
  <c r="V525" i="9"/>
  <c r="V524" i="9"/>
  <c r="V523" i="9"/>
  <c r="V522" i="9"/>
  <c r="V521" i="9"/>
  <c r="V520" i="9"/>
  <c r="V519" i="9"/>
  <c r="V518" i="9"/>
  <c r="V517" i="9"/>
  <c r="V516" i="9"/>
  <c r="V515" i="9"/>
  <c r="V514" i="9"/>
  <c r="V513" i="9"/>
  <c r="V512" i="9"/>
  <c r="V511" i="9"/>
  <c r="V510" i="9"/>
  <c r="V509" i="9"/>
  <c r="V508" i="9"/>
  <c r="V507" i="9"/>
  <c r="V506" i="9"/>
  <c r="V505" i="9"/>
  <c r="V504" i="9"/>
  <c r="V503" i="9"/>
  <c r="V502" i="9"/>
  <c r="V501" i="9"/>
  <c r="V500" i="9"/>
  <c r="V499" i="9"/>
  <c r="V498" i="9"/>
  <c r="V497" i="9"/>
  <c r="V496" i="9"/>
  <c r="V495" i="9"/>
  <c r="V494" i="9"/>
  <c r="V493" i="9"/>
  <c r="V492" i="9"/>
  <c r="V491" i="9"/>
  <c r="V490" i="9"/>
  <c r="V489" i="9"/>
  <c r="V488" i="9"/>
  <c r="V487" i="9"/>
  <c r="V486" i="9"/>
  <c r="V485" i="9"/>
  <c r="V484" i="9"/>
  <c r="V483" i="9"/>
  <c r="V482" i="9"/>
  <c r="V481" i="9"/>
  <c r="V480" i="9"/>
  <c r="V479" i="9"/>
  <c r="V478" i="9"/>
  <c r="V477" i="9"/>
  <c r="V476" i="9"/>
  <c r="V475" i="9"/>
  <c r="V474" i="9"/>
  <c r="V473" i="9"/>
  <c r="V472" i="9"/>
  <c r="V471" i="9"/>
  <c r="V470" i="9"/>
  <c r="V469" i="9"/>
  <c r="V468" i="9"/>
  <c r="V467" i="9"/>
  <c r="V466" i="9"/>
  <c r="V465" i="9"/>
  <c r="V464" i="9"/>
  <c r="V463" i="9"/>
  <c r="V462" i="9"/>
  <c r="V461" i="9"/>
  <c r="V460" i="9"/>
  <c r="V459" i="9"/>
  <c r="V458" i="9"/>
  <c r="V457" i="9"/>
  <c r="V456" i="9"/>
  <c r="V455" i="9"/>
  <c r="V454" i="9"/>
  <c r="V453" i="9"/>
  <c r="V452" i="9"/>
  <c r="V451" i="9"/>
  <c r="V450" i="9"/>
  <c r="V449" i="9"/>
  <c r="V448" i="9"/>
  <c r="V447" i="9"/>
  <c r="V446" i="9"/>
  <c r="V445" i="9"/>
  <c r="V444" i="9"/>
  <c r="V443" i="9"/>
  <c r="V442" i="9"/>
  <c r="V441" i="9"/>
  <c r="V440" i="9"/>
  <c r="V439" i="9"/>
  <c r="V438" i="9"/>
  <c r="V437" i="9"/>
  <c r="V436" i="9"/>
  <c r="V435" i="9"/>
  <c r="V434" i="9"/>
  <c r="V433" i="9"/>
  <c r="V432" i="9"/>
  <c r="V431" i="9"/>
  <c r="V430" i="9"/>
  <c r="V429" i="9"/>
  <c r="V428" i="9"/>
  <c r="V427" i="9"/>
  <c r="V426" i="9"/>
  <c r="V425" i="9"/>
  <c r="V424" i="9"/>
  <c r="V423" i="9"/>
  <c r="V422" i="9"/>
  <c r="V421" i="9"/>
  <c r="V420" i="9"/>
  <c r="V419" i="9"/>
  <c r="V418" i="9"/>
  <c r="V417" i="9"/>
  <c r="V416" i="9"/>
  <c r="V415" i="9"/>
  <c r="V414" i="9"/>
  <c r="V413" i="9"/>
  <c r="V412" i="9"/>
  <c r="V411" i="9"/>
  <c r="V410" i="9"/>
  <c r="V409" i="9"/>
  <c r="V408" i="9"/>
  <c r="V407" i="9"/>
  <c r="V406" i="9"/>
  <c r="V405" i="9"/>
  <c r="V404" i="9"/>
  <c r="V403" i="9"/>
  <c r="V402" i="9"/>
  <c r="V401" i="9"/>
  <c r="V400" i="9"/>
  <c r="V399" i="9"/>
  <c r="V398" i="9"/>
  <c r="V397" i="9"/>
  <c r="V396" i="9"/>
  <c r="V395" i="9"/>
  <c r="V394" i="9"/>
  <c r="V393" i="9"/>
  <c r="V392" i="9"/>
  <c r="V391" i="9"/>
  <c r="V390" i="9"/>
  <c r="V389" i="9"/>
  <c r="V388" i="9"/>
  <c r="V387" i="9"/>
  <c r="V386" i="9"/>
  <c r="V385" i="9"/>
  <c r="V384" i="9"/>
  <c r="V383" i="9"/>
  <c r="V382" i="9"/>
  <c r="V381" i="9"/>
  <c r="V380" i="9"/>
  <c r="V379" i="9"/>
  <c r="V378" i="9"/>
  <c r="V377" i="9"/>
  <c r="V376" i="9"/>
  <c r="V375" i="9"/>
  <c r="V374" i="9"/>
  <c r="V373" i="9"/>
  <c r="V372" i="9"/>
  <c r="V371" i="9"/>
  <c r="V370" i="9"/>
  <c r="V369" i="9"/>
  <c r="V368" i="9"/>
  <c r="V367" i="9"/>
  <c r="V366" i="9"/>
  <c r="V365" i="9"/>
  <c r="V364" i="9"/>
  <c r="V363" i="9"/>
  <c r="V362" i="9"/>
  <c r="V361" i="9"/>
  <c r="V360" i="9"/>
  <c r="V359" i="9"/>
  <c r="V358" i="9"/>
  <c r="V357" i="9"/>
  <c r="V356" i="9"/>
  <c r="V355" i="9"/>
  <c r="V354" i="9"/>
  <c r="V353" i="9"/>
  <c r="V352" i="9"/>
  <c r="V351" i="9"/>
  <c r="V350" i="9"/>
  <c r="V349" i="9"/>
  <c r="V348" i="9"/>
  <c r="V347" i="9"/>
  <c r="V346" i="9"/>
  <c r="V345" i="9"/>
  <c r="V344" i="9"/>
  <c r="V343" i="9"/>
  <c r="V342" i="9"/>
  <c r="V341" i="9"/>
  <c r="V340" i="9"/>
  <c r="V339" i="9"/>
  <c r="V338" i="9"/>
  <c r="V337" i="9"/>
  <c r="V336" i="9"/>
  <c r="V335" i="9"/>
  <c r="V334" i="9"/>
  <c r="V333" i="9"/>
  <c r="V332" i="9"/>
  <c r="V331" i="9"/>
  <c r="V330" i="9"/>
  <c r="V329" i="9"/>
  <c r="V328" i="9"/>
  <c r="V327" i="9"/>
  <c r="V326" i="9"/>
  <c r="V325" i="9"/>
  <c r="V324" i="9"/>
  <c r="V323" i="9"/>
  <c r="V322" i="9"/>
  <c r="V321" i="9"/>
  <c r="V320" i="9"/>
  <c r="V319" i="9"/>
  <c r="V318" i="9"/>
  <c r="V317" i="9"/>
  <c r="V316" i="9"/>
  <c r="V315" i="9"/>
  <c r="V314" i="9"/>
  <c r="V313" i="9"/>
  <c r="V312" i="9"/>
  <c r="V311" i="9"/>
  <c r="V310" i="9"/>
  <c r="V309" i="9"/>
  <c r="V308" i="9"/>
  <c r="V307" i="9"/>
  <c r="V306" i="9"/>
  <c r="V305" i="9"/>
  <c r="V304" i="9"/>
  <c r="V303" i="9"/>
  <c r="V302" i="9"/>
  <c r="V301" i="9"/>
  <c r="V300" i="9"/>
  <c r="V299" i="9"/>
  <c r="V298" i="9"/>
  <c r="V297" i="9"/>
  <c r="V296" i="9"/>
  <c r="V295" i="9"/>
  <c r="V294" i="9"/>
  <c r="V293" i="9"/>
  <c r="V292" i="9"/>
  <c r="V291" i="9"/>
  <c r="V290" i="9"/>
  <c r="V289" i="9"/>
  <c r="V288" i="9"/>
  <c r="V287" i="9"/>
  <c r="V286" i="9"/>
  <c r="V285" i="9"/>
  <c r="V284" i="9"/>
  <c r="V283" i="9"/>
  <c r="V282" i="9"/>
  <c r="V281" i="9"/>
  <c r="V280" i="9"/>
  <c r="V279" i="9"/>
  <c r="V278" i="9"/>
  <c r="V277" i="9"/>
  <c r="V276" i="9"/>
  <c r="V275" i="9"/>
  <c r="V274" i="9"/>
  <c r="V273" i="9"/>
  <c r="V272" i="9"/>
  <c r="V271" i="9"/>
  <c r="V270" i="9"/>
  <c r="V269" i="9"/>
  <c r="V268" i="9"/>
  <c r="V267" i="9"/>
  <c r="V266" i="9"/>
  <c r="V265" i="9"/>
  <c r="V264" i="9"/>
  <c r="V263" i="9"/>
  <c r="V262" i="9"/>
  <c r="V261" i="9"/>
  <c r="V260" i="9"/>
  <c r="V259" i="9"/>
  <c r="V258" i="9"/>
  <c r="V257" i="9"/>
  <c r="V256" i="9"/>
  <c r="V255" i="9"/>
  <c r="V254" i="9"/>
  <c r="V253" i="9"/>
  <c r="V252" i="9"/>
  <c r="V251" i="9"/>
  <c r="V250" i="9"/>
  <c r="V249" i="9"/>
  <c r="V248" i="9"/>
  <c r="V247" i="9"/>
  <c r="V246" i="9"/>
  <c r="V245" i="9"/>
  <c r="V244" i="9"/>
  <c r="V243" i="9"/>
  <c r="V242" i="9"/>
  <c r="V241" i="9"/>
  <c r="V240" i="9"/>
  <c r="V239" i="9"/>
  <c r="V238" i="9"/>
  <c r="V237" i="9"/>
  <c r="V236" i="9"/>
  <c r="V235" i="9"/>
  <c r="V234" i="9"/>
  <c r="V233" i="9"/>
  <c r="V232" i="9"/>
  <c r="V231" i="9"/>
  <c r="V230" i="9"/>
  <c r="V229" i="9"/>
  <c r="V228" i="9"/>
  <c r="V227" i="9"/>
  <c r="V226" i="9"/>
  <c r="V225" i="9"/>
  <c r="V224" i="9"/>
  <c r="V223" i="9"/>
  <c r="V222" i="9"/>
  <c r="V221" i="9"/>
  <c r="V220" i="9"/>
  <c r="V219" i="9"/>
  <c r="V218" i="9"/>
  <c r="V217" i="9"/>
  <c r="V216" i="9"/>
  <c r="V215" i="9"/>
  <c r="V214" i="9"/>
  <c r="V213" i="9"/>
  <c r="V212" i="9"/>
  <c r="V211" i="9"/>
  <c r="V210" i="9"/>
  <c r="V209" i="9"/>
  <c r="V208" i="9"/>
  <c r="V207" i="9"/>
  <c r="V206" i="9"/>
  <c r="V205" i="9"/>
  <c r="V204" i="9"/>
  <c r="V203" i="9"/>
  <c r="V202" i="9"/>
  <c r="V201" i="9"/>
  <c r="V200" i="9"/>
  <c r="V199" i="9"/>
  <c r="V198" i="9"/>
  <c r="V197" i="9"/>
  <c r="V196" i="9"/>
  <c r="V195" i="9"/>
  <c r="V194" i="9"/>
  <c r="V193" i="9"/>
  <c r="V192" i="9"/>
  <c r="V191" i="9"/>
  <c r="V190" i="9"/>
  <c r="V189" i="9"/>
  <c r="V188" i="9"/>
  <c r="V187" i="9"/>
  <c r="V186" i="9"/>
  <c r="V185" i="9"/>
  <c r="V184" i="9"/>
  <c r="V183" i="9"/>
  <c r="V182" i="9"/>
  <c r="V181" i="9"/>
  <c r="V180" i="9"/>
  <c r="V179" i="9"/>
  <c r="V178" i="9"/>
  <c r="V177" i="9"/>
  <c r="V176" i="9"/>
  <c r="V175" i="9"/>
  <c r="V174" i="9"/>
  <c r="V173" i="9"/>
  <c r="V172" i="9"/>
  <c r="V171" i="9"/>
  <c r="V170" i="9"/>
  <c r="V169" i="9"/>
  <c r="V168" i="9"/>
  <c r="V167" i="9"/>
  <c r="V166" i="9"/>
  <c r="V165" i="9"/>
  <c r="V164" i="9"/>
  <c r="V163" i="9"/>
  <c r="V162" i="9"/>
  <c r="V161" i="9"/>
  <c r="V160" i="9"/>
  <c r="V159" i="9"/>
  <c r="V158" i="9"/>
  <c r="V157" i="9"/>
  <c r="V156" i="9"/>
  <c r="V155" i="9"/>
  <c r="V154" i="9"/>
  <c r="V153" i="9"/>
  <c r="V152" i="9"/>
  <c r="V151" i="9"/>
  <c r="V150" i="9"/>
  <c r="V149" i="9"/>
  <c r="V148" i="9"/>
  <c r="V147" i="9"/>
  <c r="V146" i="9"/>
  <c r="V145" i="9"/>
  <c r="V144" i="9"/>
  <c r="V143" i="9"/>
  <c r="V142" i="9"/>
  <c r="V141" i="9"/>
  <c r="V140" i="9"/>
  <c r="V139" i="9"/>
  <c r="V138" i="9"/>
  <c r="V137" i="9"/>
  <c r="V136" i="9"/>
  <c r="V135" i="9"/>
  <c r="V134" i="9"/>
  <c r="V133" i="9"/>
  <c r="V132" i="9"/>
  <c r="V131" i="9"/>
  <c r="V130" i="9"/>
  <c r="V129" i="9"/>
  <c r="V128" i="9"/>
  <c r="V127" i="9"/>
  <c r="V126" i="9"/>
  <c r="V125" i="9"/>
  <c r="V124" i="9"/>
  <c r="V123" i="9"/>
  <c r="V122" i="9"/>
  <c r="V121" i="9"/>
  <c r="V120" i="9"/>
  <c r="V119" i="9"/>
  <c r="V118" i="9"/>
  <c r="V117" i="9"/>
  <c r="V116" i="9"/>
  <c r="V115" i="9"/>
  <c r="V114" i="9"/>
  <c r="V113" i="9"/>
  <c r="V112" i="9"/>
  <c r="V111" i="9"/>
  <c r="V110" i="9"/>
  <c r="V109" i="9"/>
  <c r="V108" i="9"/>
  <c r="V107" i="9"/>
  <c r="V106" i="9"/>
  <c r="V105" i="9"/>
  <c r="V104" i="9"/>
  <c r="V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7" i="9"/>
  <c r="V86" i="9"/>
  <c r="V85" i="9"/>
  <c r="V84" i="9"/>
  <c r="V83" i="9"/>
  <c r="V82" i="9"/>
  <c r="V81" i="9"/>
  <c r="V80" i="9"/>
  <c r="V79" i="9"/>
  <c r="V78" i="9"/>
  <c r="V77" i="9"/>
  <c r="V76" i="9"/>
  <c r="V75" i="9"/>
  <c r="V74" i="9"/>
  <c r="V73" i="9"/>
  <c r="V72" i="9"/>
  <c r="V71" i="9"/>
  <c r="V70" i="9"/>
  <c r="V69" i="9"/>
  <c r="V68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V43" i="9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8" i="9"/>
  <c r="V27" i="9"/>
  <c r="V26" i="9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R816" i="9"/>
  <c r="R815" i="9"/>
  <c r="R814" i="9"/>
  <c r="R813" i="9"/>
  <c r="R812" i="9"/>
  <c r="R811" i="9"/>
  <c r="R810" i="9"/>
  <c r="R809" i="9"/>
  <c r="R808" i="9"/>
  <c r="R807" i="9"/>
  <c r="R806" i="9"/>
  <c r="R805" i="9"/>
  <c r="R804" i="9"/>
  <c r="R803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4" i="9"/>
  <c r="R783" i="9"/>
  <c r="R782" i="9"/>
  <c r="R781" i="9"/>
  <c r="R780" i="9"/>
  <c r="R779" i="9"/>
  <c r="R778" i="9"/>
  <c r="R777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8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8" i="9"/>
  <c r="R657" i="9"/>
  <c r="R656" i="9"/>
  <c r="R655" i="9"/>
  <c r="R654" i="9"/>
  <c r="R653" i="9"/>
  <c r="R652" i="9"/>
  <c r="R651" i="9"/>
  <c r="R650" i="9"/>
  <c r="R649" i="9"/>
  <c r="R648" i="9"/>
  <c r="R647" i="9"/>
  <c r="R646" i="9"/>
  <c r="R645" i="9"/>
  <c r="R644" i="9"/>
  <c r="R643" i="9"/>
  <c r="R642" i="9"/>
  <c r="R641" i="9"/>
  <c r="R640" i="9"/>
  <c r="R639" i="9"/>
  <c r="R638" i="9"/>
  <c r="R637" i="9"/>
  <c r="R636" i="9"/>
  <c r="R635" i="9"/>
  <c r="R634" i="9"/>
  <c r="R633" i="9"/>
  <c r="R632" i="9"/>
  <c r="R631" i="9"/>
  <c r="R630" i="9"/>
  <c r="R629" i="9"/>
  <c r="R628" i="9"/>
  <c r="R627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500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Z6" i="9" l="1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AU15" i="8" l="1"/>
  <c r="AV15" i="8" s="1"/>
  <c r="AI20" i="8"/>
  <c r="AJ20" i="8" s="1"/>
  <c r="V36" i="8"/>
  <c r="AL34" i="8"/>
  <c r="AM34" i="8" s="1"/>
  <c r="V14" i="8"/>
  <c r="AU42" i="8"/>
  <c r="AV42" i="8" s="1"/>
  <c r="V11" i="8"/>
  <c r="BA46" i="8"/>
  <c r="BB46" i="8" s="1"/>
  <c r="AF24" i="8"/>
  <c r="AG24" i="8" s="1"/>
  <c r="AU18" i="8"/>
  <c r="AV18" i="8" s="1"/>
  <c r="BA34" i="8"/>
  <c r="BB34" i="8" s="1"/>
  <c r="AI28" i="8"/>
  <c r="AJ28" i="8" s="1"/>
  <c r="AU37" i="8"/>
  <c r="AV37" i="8" s="1"/>
  <c r="AC14" i="8"/>
  <c r="AD14" i="8" s="1"/>
  <c r="AR14" i="8"/>
  <c r="AS14" i="8" s="1"/>
  <c r="V18" i="8"/>
  <c r="AX46" i="8"/>
  <c r="AY46" i="8" s="1"/>
  <c r="AF18" i="8"/>
  <c r="AG18" i="8" s="1"/>
  <c r="AI14" i="8"/>
  <c r="AJ14" i="8" s="1"/>
  <c r="V34" i="8"/>
  <c r="V46" i="8"/>
  <c r="Y34" i="8"/>
  <c r="Z34" i="8" s="1"/>
  <c r="Y38" i="8"/>
  <c r="Z38" i="8" s="1"/>
  <c r="AO11" i="8"/>
  <c r="AP11" i="8" s="1"/>
  <c r="AX11" i="8"/>
  <c r="AY11" i="8" s="1"/>
  <c r="BA14" i="8"/>
  <c r="BB14" i="8" s="1"/>
  <c r="AR18" i="8"/>
  <c r="AS18" i="8" s="1"/>
  <c r="AL11" i="8"/>
  <c r="AM11" i="8" s="1"/>
  <c r="Y46" i="8"/>
  <c r="Z46" i="8" s="1"/>
  <c r="Y41" i="8"/>
  <c r="Z41" i="8" s="1"/>
  <c r="AC42" i="8"/>
  <c r="AD42" i="8" s="1"/>
  <c r="AX18" i="8"/>
  <c r="AY18" i="8" s="1"/>
  <c r="Y14" i="8"/>
  <c r="Z14" i="8" s="1"/>
  <c r="AO42" i="8"/>
  <c r="AP42" i="8" s="1"/>
  <c r="V10" i="8"/>
  <c r="AL28" i="8"/>
  <c r="AM28" i="8" s="1"/>
  <c r="AO13" i="8"/>
  <c r="AP13" i="8" s="1"/>
  <c r="AR9" i="8"/>
  <c r="AS9" i="8" s="1"/>
  <c r="AR12" i="8"/>
  <c r="AS12" i="8" s="1"/>
  <c r="AI15" i="8"/>
  <c r="AJ15" i="8" s="1"/>
  <c r="AF20" i="8"/>
  <c r="AG20" i="8" s="1"/>
  <c r="AL24" i="8"/>
  <c r="AM24" i="8" s="1"/>
  <c r="AX30" i="8"/>
  <c r="AY30" i="8" s="1"/>
  <c r="AL33" i="8"/>
  <c r="AM33" i="8" s="1"/>
  <c r="AL38" i="8"/>
  <c r="AM38" i="8" s="1"/>
  <c r="BA41" i="8"/>
  <c r="BB41" i="8" s="1"/>
  <c r="AU45" i="8"/>
  <c r="AV45" i="8" s="1"/>
  <c r="AO21" i="8"/>
  <c r="AP21" i="8" s="1"/>
  <c r="AX38" i="8"/>
  <c r="AY38" i="8" s="1"/>
  <c r="V16" i="8"/>
  <c r="AR31" i="8"/>
  <c r="AS31" i="8" s="1"/>
  <c r="AU36" i="8"/>
  <c r="AV36" i="8" s="1"/>
  <c r="AF13" i="8"/>
  <c r="AG13" i="8" s="1"/>
  <c r="AI13" i="8"/>
  <c r="AJ13" i="8" s="1"/>
  <c r="AF16" i="8"/>
  <c r="AG16" i="8" s="1"/>
  <c r="AC22" i="8"/>
  <c r="AD22" i="8" s="1"/>
  <c r="AC26" i="8"/>
  <c r="AD26" i="8" s="1"/>
  <c r="AU39" i="8"/>
  <c r="AV39" i="8" s="1"/>
  <c r="AR42" i="8"/>
  <c r="AS42" i="8" s="1"/>
  <c r="AL46" i="8"/>
  <c r="AM46" i="8" s="1"/>
  <c r="AF36" i="8"/>
  <c r="AG36" i="8" s="1"/>
  <c r="AF26" i="8"/>
  <c r="AG26" i="8" s="1"/>
  <c r="AF32" i="8"/>
  <c r="AG32" i="8" s="1"/>
  <c r="AI43" i="8"/>
  <c r="AJ43" i="8" s="1"/>
  <c r="AU16" i="8"/>
  <c r="AV16" i="8" s="1"/>
  <c r="AF22" i="8"/>
  <c r="AG22" i="8" s="1"/>
  <c r="V9" i="8"/>
  <c r="AR13" i="8"/>
  <c r="AS13" i="8" s="1"/>
  <c r="V15" i="8"/>
  <c r="V17" i="8"/>
  <c r="AI19" i="8"/>
  <c r="AJ19" i="8" s="1"/>
  <c r="AR22" i="8"/>
  <c r="AS22" i="8" s="1"/>
  <c r="AL30" i="8"/>
  <c r="AM30" i="8" s="1"/>
  <c r="AI33" i="8"/>
  <c r="AJ33" i="8" s="1"/>
  <c r="AI35" i="8"/>
  <c r="AJ35" i="8" s="1"/>
  <c r="AU43" i="8"/>
  <c r="AV43" i="8" s="1"/>
  <c r="AU47" i="8"/>
  <c r="AV47" i="8" s="1"/>
  <c r="AC13" i="8"/>
  <c r="AD13" i="8" s="1"/>
  <c r="AO31" i="8"/>
  <c r="AP31" i="8" s="1"/>
  <c r="V30" i="8"/>
  <c r="AF9" i="8"/>
  <c r="AG9" i="8" s="1"/>
  <c r="AX12" i="8"/>
  <c r="AY12" i="8" s="1"/>
  <c r="AF15" i="8"/>
  <c r="AG15" i="8" s="1"/>
  <c r="AI17" i="8"/>
  <c r="AJ17" i="8" s="1"/>
  <c r="AF27" i="8"/>
  <c r="AG27" i="8" s="1"/>
  <c r="AO30" i="8"/>
  <c r="AP30" i="8" s="1"/>
  <c r="V33" i="8"/>
  <c r="AR35" i="8"/>
  <c r="AS35" i="8" s="1"/>
  <c r="Y17" i="8"/>
  <c r="Z17" i="8" s="1"/>
  <c r="Y18" i="8"/>
  <c r="Z18" i="8" s="1"/>
  <c r="BA18" i="8"/>
  <c r="BB18" i="8" s="1"/>
  <c r="AL20" i="8"/>
  <c r="AM20" i="8" s="1"/>
  <c r="AL22" i="8"/>
  <c r="AM22" i="8" s="1"/>
  <c r="AI24" i="8"/>
  <c r="AJ24" i="8" s="1"/>
  <c r="AL26" i="8"/>
  <c r="AM26" i="8" s="1"/>
  <c r="AO27" i="8"/>
  <c r="AP27" i="8" s="1"/>
  <c r="AU32" i="8"/>
  <c r="AV32" i="8" s="1"/>
  <c r="Y33" i="8"/>
  <c r="Z33" i="8" s="1"/>
  <c r="AC34" i="8"/>
  <c r="AD34" i="8" s="1"/>
  <c r="V35" i="8"/>
  <c r="AI36" i="8"/>
  <c r="AJ36" i="8" s="1"/>
  <c r="AU38" i="8"/>
  <c r="AV38" i="8" s="1"/>
  <c r="AO38" i="8"/>
  <c r="AP38" i="8" s="1"/>
  <c r="AF40" i="8"/>
  <c r="AG40" i="8" s="1"/>
  <c r="V42" i="8"/>
  <c r="AX42" i="8"/>
  <c r="AY42" i="8" s="1"/>
  <c r="Y44" i="8"/>
  <c r="Z44" i="8" s="1"/>
  <c r="AC46" i="8"/>
  <c r="AD46" i="8" s="1"/>
  <c r="AI47" i="8"/>
  <c r="AJ47" i="8" s="1"/>
  <c r="AU10" i="8"/>
  <c r="AV10" i="8" s="1"/>
  <c r="BA11" i="8"/>
  <c r="BB11" i="8" s="1"/>
  <c r="AL13" i="8"/>
  <c r="AM13" i="8" s="1"/>
  <c r="AF14" i="8"/>
  <c r="AG14" i="8" s="1"/>
  <c r="Y15" i="8"/>
  <c r="Z15" i="8" s="1"/>
  <c r="Y16" i="8"/>
  <c r="Z16" i="8" s="1"/>
  <c r="AC17" i="8"/>
  <c r="AD17" i="8" s="1"/>
  <c r="AC18" i="8"/>
  <c r="AD18" i="8" s="1"/>
  <c r="AU20" i="8"/>
  <c r="AV20" i="8" s="1"/>
  <c r="AO22" i="8"/>
  <c r="AP22" i="8" s="1"/>
  <c r="AX24" i="8"/>
  <c r="AY24" i="8" s="1"/>
  <c r="AO26" i="8"/>
  <c r="AP26" i="8" s="1"/>
  <c r="AU27" i="8"/>
  <c r="AV27" i="8" s="1"/>
  <c r="AU30" i="8"/>
  <c r="AV30" i="8" s="1"/>
  <c r="AR30" i="8"/>
  <c r="AS30" i="8" s="1"/>
  <c r="V32" i="8"/>
  <c r="AC33" i="8"/>
  <c r="AD33" i="8" s="1"/>
  <c r="AF34" i="8"/>
  <c r="AG34" i="8" s="1"/>
  <c r="AO35" i="8"/>
  <c r="AP35" i="8" s="1"/>
  <c r="AL36" i="8"/>
  <c r="AM36" i="8" s="1"/>
  <c r="V38" i="8"/>
  <c r="AR38" i="8"/>
  <c r="AS38" i="8" s="1"/>
  <c r="AI41" i="8"/>
  <c r="AJ41" i="8" s="1"/>
  <c r="Y42" i="8"/>
  <c r="Z42" i="8" s="1"/>
  <c r="BA42" i="8"/>
  <c r="BB42" i="8" s="1"/>
  <c r="AI44" i="8"/>
  <c r="AJ44" i="8" s="1"/>
  <c r="AF46" i="8"/>
  <c r="AG46" i="8" s="1"/>
  <c r="AR47" i="8"/>
  <c r="AS47" i="8" s="1"/>
  <c r="AI16" i="8"/>
  <c r="AJ16" i="8" s="1"/>
  <c r="AL18" i="8"/>
  <c r="AM18" i="8" s="1"/>
  <c r="AU19" i="8"/>
  <c r="AV19" i="8" s="1"/>
  <c r="AU22" i="8"/>
  <c r="AV22" i="8" s="1"/>
  <c r="AX22" i="8"/>
  <c r="AY22" i="8" s="1"/>
  <c r="AU26" i="8"/>
  <c r="AV26" i="8" s="1"/>
  <c r="AR26" i="8"/>
  <c r="AS26" i="8" s="1"/>
  <c r="V28" i="8"/>
  <c r="Y30" i="8"/>
  <c r="Z30" i="8" s="1"/>
  <c r="BA30" i="8"/>
  <c r="BB30" i="8" s="1"/>
  <c r="AI32" i="8"/>
  <c r="AJ32" i="8" s="1"/>
  <c r="AU33" i="8"/>
  <c r="AV33" i="8" s="1"/>
  <c r="AO34" i="8"/>
  <c r="AP34" i="8" s="1"/>
  <c r="AU35" i="8"/>
  <c r="AV35" i="8" s="1"/>
  <c r="AC38" i="8"/>
  <c r="AD38" i="8" s="1"/>
  <c r="BA38" i="8"/>
  <c r="BB38" i="8" s="1"/>
  <c r="AC41" i="8"/>
  <c r="AD41" i="8" s="1"/>
  <c r="AF42" i="8"/>
  <c r="AG42" i="8" s="1"/>
  <c r="AC43" i="8"/>
  <c r="AD43" i="8" s="1"/>
  <c r="AC45" i="8"/>
  <c r="AD45" i="8" s="1"/>
  <c r="AO46" i="8"/>
  <c r="AP46" i="8" s="1"/>
  <c r="AL17" i="8"/>
  <c r="AM17" i="8" s="1"/>
  <c r="Y11" i="8"/>
  <c r="Z11" i="8" s="1"/>
  <c r="V13" i="8"/>
  <c r="AX13" i="8"/>
  <c r="AY13" i="8" s="1"/>
  <c r="AU14" i="8"/>
  <c r="AV14" i="8" s="1"/>
  <c r="AO15" i="8"/>
  <c r="AP15" i="8" s="1"/>
  <c r="AL16" i="8"/>
  <c r="AM16" i="8" s="1"/>
  <c r="AU17" i="8"/>
  <c r="AV17" i="8" s="1"/>
  <c r="AR20" i="8"/>
  <c r="AS20" i="8" s="1"/>
  <c r="V22" i="8"/>
  <c r="BA22" i="8"/>
  <c r="BB22" i="8" s="1"/>
  <c r="V26" i="8"/>
  <c r="AX26" i="8"/>
  <c r="AY26" i="8" s="1"/>
  <c r="Y28" i="8"/>
  <c r="Z28" i="8" s="1"/>
  <c r="AC30" i="8"/>
  <c r="AD30" i="8" s="1"/>
  <c r="AL32" i="8"/>
  <c r="AM32" i="8" s="1"/>
  <c r="BA33" i="8"/>
  <c r="BB33" i="8" s="1"/>
  <c r="AR34" i="8"/>
  <c r="AS34" i="8" s="1"/>
  <c r="BA35" i="8"/>
  <c r="BB35" i="8" s="1"/>
  <c r="AC37" i="8"/>
  <c r="AD37" i="8" s="1"/>
  <c r="AF38" i="8"/>
  <c r="AG38" i="8" s="1"/>
  <c r="AR39" i="8"/>
  <c r="AS39" i="8" s="1"/>
  <c r="AL42" i="8"/>
  <c r="AM42" i="8" s="1"/>
  <c r="AF43" i="8"/>
  <c r="AG43" i="8" s="1"/>
  <c r="AI45" i="8"/>
  <c r="AJ45" i="8" s="1"/>
  <c r="AR46" i="8"/>
  <c r="AS46" i="8" s="1"/>
  <c r="AC11" i="8"/>
  <c r="AD11" i="8" s="1"/>
  <c r="Y13" i="8"/>
  <c r="Z13" i="8" s="1"/>
  <c r="BA13" i="8"/>
  <c r="BB13" i="8" s="1"/>
  <c r="AX14" i="8"/>
  <c r="AY14" i="8" s="1"/>
  <c r="AR15" i="8"/>
  <c r="AS15" i="8" s="1"/>
  <c r="AR16" i="8"/>
  <c r="AS16" i="8" s="1"/>
  <c r="BA17" i="8"/>
  <c r="BB17" i="8" s="1"/>
  <c r="AO18" i="8"/>
  <c r="AP18" i="8" s="1"/>
  <c r="V20" i="8"/>
  <c r="Y22" i="8"/>
  <c r="Z22" i="8" s="1"/>
  <c r="Y26" i="8"/>
  <c r="Z26" i="8" s="1"/>
  <c r="BA26" i="8"/>
  <c r="BB26" i="8" s="1"/>
  <c r="AF28" i="8"/>
  <c r="AG28" i="8" s="1"/>
  <c r="AF30" i="8"/>
  <c r="AG30" i="8" s="1"/>
  <c r="AI31" i="8"/>
  <c r="AJ31" i="8" s="1"/>
  <c r="AR32" i="8"/>
  <c r="AS32" i="8" s="1"/>
  <c r="AU34" i="8"/>
  <c r="AV34" i="8" s="1"/>
  <c r="AX34" i="8"/>
  <c r="AY34" i="8" s="1"/>
  <c r="AR36" i="8"/>
  <c r="AS36" i="8" s="1"/>
  <c r="AO37" i="8"/>
  <c r="AP37" i="8" s="1"/>
  <c r="AC39" i="8"/>
  <c r="AD39" i="8" s="1"/>
  <c r="AU41" i="8"/>
  <c r="AV41" i="8" s="1"/>
  <c r="AO43" i="8"/>
  <c r="AP43" i="8" s="1"/>
  <c r="AU46" i="8"/>
  <c r="AV46" i="8" s="1"/>
  <c r="AR29" i="8"/>
  <c r="AS29" i="8" s="1"/>
  <c r="AF29" i="8"/>
  <c r="AG29" i="8" s="1"/>
  <c r="AO29" i="8"/>
  <c r="AP29" i="8" s="1"/>
  <c r="AL29" i="8"/>
  <c r="AM29" i="8" s="1"/>
  <c r="V29" i="8"/>
  <c r="AU29" i="8"/>
  <c r="AV29" i="8" s="1"/>
  <c r="AX29" i="8"/>
  <c r="AY29" i="8" s="1"/>
  <c r="AI9" i="8"/>
  <c r="AJ9" i="8" s="1"/>
  <c r="AX23" i="8"/>
  <c r="AY23" i="8" s="1"/>
  <c r="AL23" i="8"/>
  <c r="AM23" i="8" s="1"/>
  <c r="Y23" i="8"/>
  <c r="Z23" i="8" s="1"/>
  <c r="AI23" i="8"/>
  <c r="AJ23" i="8" s="1"/>
  <c r="AF23" i="8"/>
  <c r="AG23" i="8" s="1"/>
  <c r="BA23" i="8"/>
  <c r="BB23" i="8" s="1"/>
  <c r="V23" i="8"/>
  <c r="AR23" i="8"/>
  <c r="AS23" i="8" s="1"/>
  <c r="AR25" i="8"/>
  <c r="AS25" i="8" s="1"/>
  <c r="AF25" i="8"/>
  <c r="AG25" i="8" s="1"/>
  <c r="AL25" i="8"/>
  <c r="AM25" i="8" s="1"/>
  <c r="V25" i="8"/>
  <c r="AI25" i="8"/>
  <c r="AJ25" i="8" s="1"/>
  <c r="AO25" i="8"/>
  <c r="AP25" i="8" s="1"/>
  <c r="Y29" i="8"/>
  <c r="Z29" i="8" s="1"/>
  <c r="BA29" i="8"/>
  <c r="BB29" i="8" s="1"/>
  <c r="BA40" i="8"/>
  <c r="BB40" i="8" s="1"/>
  <c r="AO40" i="8"/>
  <c r="AP40" i="8" s="1"/>
  <c r="AC40" i="8"/>
  <c r="AD40" i="8" s="1"/>
  <c r="AR40" i="8"/>
  <c r="AS40" i="8" s="1"/>
  <c r="Y40" i="8"/>
  <c r="Z40" i="8" s="1"/>
  <c r="AI40" i="8"/>
  <c r="AJ40" i="8" s="1"/>
  <c r="AU40" i="8"/>
  <c r="AV40" i="8" s="1"/>
  <c r="V12" i="8"/>
  <c r="AL14" i="8"/>
  <c r="AM14" i="8" s="1"/>
  <c r="AR17" i="8"/>
  <c r="AS17" i="8" s="1"/>
  <c r="AF17" i="8"/>
  <c r="AG17" i="8" s="1"/>
  <c r="AO17" i="8"/>
  <c r="AP17" i="8" s="1"/>
  <c r="AX19" i="8"/>
  <c r="AY19" i="8" s="1"/>
  <c r="AL19" i="8"/>
  <c r="AM19" i="8" s="1"/>
  <c r="Y19" i="8"/>
  <c r="Z19" i="8" s="1"/>
  <c r="AF19" i="8"/>
  <c r="AG19" i="8" s="1"/>
  <c r="AC19" i="8"/>
  <c r="AD19" i="8" s="1"/>
  <c r="AO19" i="8"/>
  <c r="AP19" i="8" s="1"/>
  <c r="AU23" i="8"/>
  <c r="AV23" i="8" s="1"/>
  <c r="Y25" i="8"/>
  <c r="Z25" i="8" s="1"/>
  <c r="AX25" i="8"/>
  <c r="AY25" i="8" s="1"/>
  <c r="AX27" i="8"/>
  <c r="AY27" i="8" s="1"/>
  <c r="AL27" i="8"/>
  <c r="AM27" i="8" s="1"/>
  <c r="Y27" i="8"/>
  <c r="Z27" i="8" s="1"/>
  <c r="BA27" i="8"/>
  <c r="BB27" i="8" s="1"/>
  <c r="V27" i="8"/>
  <c r="AI27" i="8"/>
  <c r="AJ27" i="8" s="1"/>
  <c r="AR27" i="8"/>
  <c r="AS27" i="8" s="1"/>
  <c r="AC27" i="8"/>
  <c r="AD27" i="8" s="1"/>
  <c r="AC29" i="8"/>
  <c r="AD29" i="8" s="1"/>
  <c r="AX31" i="8"/>
  <c r="AY31" i="8" s="1"/>
  <c r="AL31" i="8"/>
  <c r="AM31" i="8" s="1"/>
  <c r="Y31" i="8"/>
  <c r="Z31" i="8" s="1"/>
  <c r="AC31" i="8"/>
  <c r="AD31" i="8" s="1"/>
  <c r="BA31" i="8"/>
  <c r="BB31" i="8" s="1"/>
  <c r="V31" i="8"/>
  <c r="AU31" i="8"/>
  <c r="AV31" i="8" s="1"/>
  <c r="AF31" i="8"/>
  <c r="AG31" i="8" s="1"/>
  <c r="V40" i="8"/>
  <c r="V94" i="8"/>
  <c r="V93" i="8"/>
  <c r="V92" i="8"/>
  <c r="V91" i="8"/>
  <c r="V90" i="8"/>
  <c r="V89" i="8"/>
  <c r="V88" i="8"/>
  <c r="V87" i="8"/>
  <c r="V79" i="8"/>
  <c r="V71" i="8"/>
  <c r="V63" i="8"/>
  <c r="V86" i="8"/>
  <c r="V77" i="8"/>
  <c r="V68" i="8"/>
  <c r="V59" i="8"/>
  <c r="V85" i="8"/>
  <c r="V76" i="8"/>
  <c r="V67" i="8"/>
  <c r="V58" i="8"/>
  <c r="V84" i="8"/>
  <c r="V75" i="8"/>
  <c r="V66" i="8"/>
  <c r="V57" i="8"/>
  <c r="V83" i="8"/>
  <c r="V74" i="8"/>
  <c r="V65" i="8"/>
  <c r="V81" i="8"/>
  <c r="V72" i="8"/>
  <c r="V62" i="8"/>
  <c r="V80" i="8"/>
  <c r="V70" i="8"/>
  <c r="V61" i="8"/>
  <c r="AU9" i="8"/>
  <c r="AV9" i="8" s="1"/>
  <c r="Y10" i="8"/>
  <c r="Z10" i="8" s="1"/>
  <c r="AL10" i="8"/>
  <c r="AM10" i="8" s="1"/>
  <c r="AX10" i="8"/>
  <c r="AY10" i="8" s="1"/>
  <c r="AL12" i="8"/>
  <c r="AM12" i="8" s="1"/>
  <c r="BA12" i="8"/>
  <c r="BB12" i="8" s="1"/>
  <c r="AU25" i="8"/>
  <c r="AV25" i="8" s="1"/>
  <c r="Y9" i="8"/>
  <c r="Z9" i="8" s="1"/>
  <c r="AL9" i="8"/>
  <c r="AM9" i="8" s="1"/>
  <c r="AX9" i="8"/>
  <c r="AY9" i="8" s="1"/>
  <c r="AC10" i="8"/>
  <c r="AD10" i="8" s="1"/>
  <c r="AO10" i="8"/>
  <c r="AP10" i="8" s="1"/>
  <c r="BA10" i="8"/>
  <c r="BB10" i="8" s="1"/>
  <c r="AF11" i="8"/>
  <c r="AG11" i="8" s="1"/>
  <c r="AR11" i="8"/>
  <c r="AS11" i="8" s="1"/>
  <c r="Y12" i="8"/>
  <c r="Z12" i="8" s="1"/>
  <c r="AO12" i="8"/>
  <c r="AP12" i="8" s="1"/>
  <c r="AO14" i="8"/>
  <c r="AP14" i="8" s="1"/>
  <c r="AX15" i="8"/>
  <c r="AY15" i="8" s="1"/>
  <c r="BA15" i="8"/>
  <c r="BB15" i="8" s="1"/>
  <c r="AL15" i="8"/>
  <c r="AM15" i="8" s="1"/>
  <c r="V19" i="8"/>
  <c r="AR19" i="8"/>
  <c r="AS19" i="8" s="1"/>
  <c r="AC23" i="8"/>
  <c r="AD23" i="8" s="1"/>
  <c r="AC25" i="8"/>
  <c r="AD25" i="8" s="1"/>
  <c r="BA25" i="8"/>
  <c r="BB25" i="8" s="1"/>
  <c r="AI29" i="8"/>
  <c r="AJ29" i="8" s="1"/>
  <c r="V60" i="8"/>
  <c r="AR21" i="8"/>
  <c r="AS21" i="8" s="1"/>
  <c r="AF21" i="8"/>
  <c r="AG21" i="8" s="1"/>
  <c r="AI21" i="8"/>
  <c r="AJ21" i="8" s="1"/>
  <c r="AL21" i="8"/>
  <c r="AM21" i="8" s="1"/>
  <c r="V21" i="8"/>
  <c r="V69" i="8"/>
  <c r="V64" i="8"/>
  <c r="AC9" i="8"/>
  <c r="AD9" i="8" s="1"/>
  <c r="AO9" i="8"/>
  <c r="AP9" i="8" s="1"/>
  <c r="BA9" i="8"/>
  <c r="BB9" i="8" s="1"/>
  <c r="AF10" i="8"/>
  <c r="AG10" i="8" s="1"/>
  <c r="AR10" i="8"/>
  <c r="AS10" i="8" s="1"/>
  <c r="AI11" i="8"/>
  <c r="AJ11" i="8" s="1"/>
  <c r="AU11" i="8"/>
  <c r="AV11" i="8" s="1"/>
  <c r="AC12" i="8"/>
  <c r="AD12" i="8" s="1"/>
  <c r="AU12" i="8"/>
  <c r="AV12" i="8" s="1"/>
  <c r="Y21" i="8"/>
  <c r="Z21" i="8" s="1"/>
  <c r="AU21" i="8"/>
  <c r="AV21" i="8" s="1"/>
  <c r="BA24" i="8"/>
  <c r="BB24" i="8" s="1"/>
  <c r="AO24" i="8"/>
  <c r="AP24" i="8" s="1"/>
  <c r="AC24" i="8"/>
  <c r="AD24" i="8" s="1"/>
  <c r="AR24" i="8"/>
  <c r="AS24" i="8" s="1"/>
  <c r="Y24" i="8"/>
  <c r="Z24" i="8" s="1"/>
  <c r="AU24" i="8"/>
  <c r="AV24" i="8" s="1"/>
  <c r="AF12" i="8"/>
  <c r="AG12" i="8" s="1"/>
  <c r="AU13" i="8"/>
  <c r="AV13" i="8" s="1"/>
  <c r="AC15" i="8"/>
  <c r="AD15" i="8" s="1"/>
  <c r="AX17" i="8"/>
  <c r="AY17" i="8" s="1"/>
  <c r="BA19" i="8"/>
  <c r="BB19" i="8" s="1"/>
  <c r="AX21" i="8"/>
  <c r="AY21" i="8" s="1"/>
  <c r="V24" i="8"/>
  <c r="AR37" i="8"/>
  <c r="AS37" i="8" s="1"/>
  <c r="AF37" i="8"/>
  <c r="AG37" i="8" s="1"/>
  <c r="AI37" i="8"/>
  <c r="AJ37" i="8" s="1"/>
  <c r="BA37" i="8"/>
  <c r="BB37" i="8" s="1"/>
  <c r="Y37" i="8"/>
  <c r="Z37" i="8" s="1"/>
  <c r="AL37" i="8"/>
  <c r="AM37" i="8" s="1"/>
  <c r="V37" i="8"/>
  <c r="AX37" i="8"/>
  <c r="AY37" i="8" s="1"/>
  <c r="AL40" i="8"/>
  <c r="AM40" i="8" s="1"/>
  <c r="V73" i="8"/>
  <c r="AI10" i="8"/>
  <c r="AJ10" i="8" s="1"/>
  <c r="AI12" i="8"/>
  <c r="AJ12" i="8" s="1"/>
  <c r="AC21" i="8"/>
  <c r="AD21" i="8" s="1"/>
  <c r="BA21" i="8"/>
  <c r="BB21" i="8" s="1"/>
  <c r="AO23" i="8"/>
  <c r="AP23" i="8" s="1"/>
  <c r="V78" i="8"/>
  <c r="AX39" i="8"/>
  <c r="AY39" i="8" s="1"/>
  <c r="AL39" i="8"/>
  <c r="AM39" i="8" s="1"/>
  <c r="Y39" i="8"/>
  <c r="Z39" i="8" s="1"/>
  <c r="AI39" i="8"/>
  <c r="AJ39" i="8" s="1"/>
  <c r="AF39" i="8"/>
  <c r="AG39" i="8" s="1"/>
  <c r="AO39" i="8"/>
  <c r="AP39" i="8" s="1"/>
  <c r="BA39" i="8"/>
  <c r="BB39" i="8" s="1"/>
  <c r="V39" i="8"/>
  <c r="AX40" i="8"/>
  <c r="AY40" i="8" s="1"/>
  <c r="V82" i="8"/>
  <c r="BA28" i="8"/>
  <c r="BB28" i="8" s="1"/>
  <c r="AO28" i="8"/>
  <c r="AP28" i="8" s="1"/>
  <c r="AC28" i="8"/>
  <c r="AD28" i="8" s="1"/>
  <c r="AX28" i="8"/>
  <c r="AY28" i="8" s="1"/>
  <c r="Y32" i="8"/>
  <c r="Z32" i="8" s="1"/>
  <c r="AO41" i="8"/>
  <c r="AP41" i="8" s="1"/>
  <c r="BA44" i="8"/>
  <c r="BB44" i="8" s="1"/>
  <c r="AO44" i="8"/>
  <c r="AP44" i="8" s="1"/>
  <c r="AC44" i="8"/>
  <c r="AD44" i="8" s="1"/>
  <c r="AX44" i="8"/>
  <c r="AY44" i="8" s="1"/>
  <c r="AF47" i="8"/>
  <c r="AG47" i="8" s="1"/>
  <c r="AR33" i="8"/>
  <c r="AS33" i="8" s="1"/>
  <c r="AF33" i="8"/>
  <c r="AG33" i="8" s="1"/>
  <c r="AX33" i="8"/>
  <c r="AY33" i="8" s="1"/>
  <c r="AX35" i="8"/>
  <c r="AY35" i="8" s="1"/>
  <c r="AL35" i="8"/>
  <c r="AM35" i="8" s="1"/>
  <c r="Y35" i="8"/>
  <c r="Z35" i="8" s="1"/>
  <c r="AR43" i="8"/>
  <c r="AS43" i="8" s="1"/>
  <c r="V44" i="8"/>
  <c r="AL44" i="8"/>
  <c r="AM44" i="8" s="1"/>
  <c r="AR45" i="8"/>
  <c r="AS45" i="8" s="1"/>
  <c r="AF45" i="8"/>
  <c r="AG45" i="8" s="1"/>
  <c r="AX45" i="8"/>
  <c r="AY45" i="8" s="1"/>
  <c r="AX47" i="8"/>
  <c r="AY47" i="8" s="1"/>
  <c r="AL47" i="8"/>
  <c r="AM47" i="8" s="1"/>
  <c r="Y47" i="8"/>
  <c r="Z47" i="8" s="1"/>
  <c r="BA20" i="8"/>
  <c r="BB20" i="8" s="1"/>
  <c r="AO20" i="8"/>
  <c r="AP20" i="8" s="1"/>
  <c r="AC20" i="8"/>
  <c r="AD20" i="8" s="1"/>
  <c r="AX20" i="8"/>
  <c r="AY20" i="8" s="1"/>
  <c r="AR28" i="8"/>
  <c r="AS28" i="8" s="1"/>
  <c r="AO33" i="8"/>
  <c r="AP33" i="8" s="1"/>
  <c r="AC35" i="8"/>
  <c r="AD35" i="8" s="1"/>
  <c r="BA36" i="8"/>
  <c r="BB36" i="8" s="1"/>
  <c r="AO36" i="8"/>
  <c r="AP36" i="8" s="1"/>
  <c r="AC36" i="8"/>
  <c r="AD36" i="8" s="1"/>
  <c r="AX36" i="8"/>
  <c r="AY36" i="8" s="1"/>
  <c r="AR44" i="8"/>
  <c r="AS44" i="8" s="1"/>
  <c r="V45" i="8"/>
  <c r="AL45" i="8"/>
  <c r="AM45" i="8" s="1"/>
  <c r="V47" i="8"/>
  <c r="BA47" i="8"/>
  <c r="BB47" i="8" s="1"/>
  <c r="AR41" i="8"/>
  <c r="AS41" i="8" s="1"/>
  <c r="AF41" i="8"/>
  <c r="AG41" i="8" s="1"/>
  <c r="AX41" i="8"/>
  <c r="AY41" i="8" s="1"/>
  <c r="AX43" i="8"/>
  <c r="AY43" i="8" s="1"/>
  <c r="AL43" i="8"/>
  <c r="AM43" i="8" s="1"/>
  <c r="Y43" i="8"/>
  <c r="Z43" i="8" s="1"/>
  <c r="AF44" i="8"/>
  <c r="AG44" i="8" s="1"/>
  <c r="Y45" i="8"/>
  <c r="Z45" i="8" s="1"/>
  <c r="BA45" i="8"/>
  <c r="BB45" i="8" s="1"/>
  <c r="AO47" i="8"/>
  <c r="AP47" i="8" s="1"/>
  <c r="BA16" i="8"/>
  <c r="BB16" i="8" s="1"/>
  <c r="AO16" i="8"/>
  <c r="AP16" i="8" s="1"/>
  <c r="AC16" i="8"/>
  <c r="AD16" i="8" s="1"/>
  <c r="AX16" i="8"/>
  <c r="AY16" i="8" s="1"/>
  <c r="Y20" i="8"/>
  <c r="Z20" i="8" s="1"/>
  <c r="AU28" i="8"/>
  <c r="AV28" i="8" s="1"/>
  <c r="BA32" i="8"/>
  <c r="BB32" i="8" s="1"/>
  <c r="AO32" i="8"/>
  <c r="AP32" i="8" s="1"/>
  <c r="AC32" i="8"/>
  <c r="AD32" i="8" s="1"/>
  <c r="AX32" i="8"/>
  <c r="AY32" i="8" s="1"/>
  <c r="AF35" i="8"/>
  <c r="AG35" i="8" s="1"/>
  <c r="Y36" i="8"/>
  <c r="Z36" i="8" s="1"/>
  <c r="V41" i="8"/>
  <c r="AL41" i="8"/>
  <c r="AM41" i="8" s="1"/>
  <c r="V43" i="8"/>
  <c r="BA43" i="8"/>
  <c r="BB43" i="8" s="1"/>
  <c r="AU44" i="8"/>
  <c r="AV44" i="8" s="1"/>
  <c r="AO45" i="8"/>
  <c r="AP45" i="8" s="1"/>
  <c r="AC47" i="8"/>
  <c r="AD47" i="8" s="1"/>
  <c r="AI18" i="8"/>
  <c r="AJ18" i="8" s="1"/>
  <c r="AI22" i="8"/>
  <c r="AJ22" i="8" s="1"/>
  <c r="AI26" i="8"/>
  <c r="AJ26" i="8" s="1"/>
  <c r="AI30" i="8"/>
  <c r="AJ30" i="8" s="1"/>
  <c r="AI34" i="8"/>
  <c r="AJ34" i="8" s="1"/>
  <c r="AI38" i="8"/>
  <c r="AJ38" i="8" s="1"/>
  <c r="AI42" i="8"/>
  <c r="AJ42" i="8" s="1"/>
  <c r="AI46" i="8"/>
  <c r="AJ46" i="8" s="1"/>
  <c r="F26" i="2"/>
  <c r="F48" i="2" l="1"/>
  <c r="F28" i="2"/>
  <c r="O46" i="2" l="1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Q11" i="2" l="1"/>
  <c r="Q14" i="2"/>
  <c r="Q22" i="2"/>
  <c r="Q12" i="2"/>
  <c r="Q20" i="2"/>
  <c r="Q19" i="2"/>
  <c r="Q13" i="2"/>
  <c r="Q21" i="2"/>
  <c r="Q15" i="2"/>
  <c r="Q16" i="2"/>
  <c r="Q24" i="2"/>
  <c r="Q17" i="2"/>
  <c r="Q25" i="2"/>
  <c r="Q23" i="2"/>
  <c r="Q10" i="2"/>
  <c r="Q18" i="2"/>
  <c r="Q46" i="2"/>
  <c r="Q34" i="2"/>
  <c r="Q33" i="2"/>
  <c r="Q37" i="2"/>
  <c r="Q30" i="2"/>
  <c r="Q31" i="2"/>
  <c r="Q39" i="2"/>
  <c r="Q36" i="2"/>
  <c r="Q9" i="2"/>
  <c r="Q38" i="2"/>
  <c r="Q32" i="2"/>
  <c r="Q40" i="2"/>
  <c r="Q41" i="2"/>
  <c r="Q42" i="2"/>
  <c r="Q35" i="2"/>
  <c r="Q43" i="2"/>
  <c r="Q44" i="2"/>
  <c r="Q45" i="2"/>
</calcChain>
</file>

<file path=xl/sharedStrings.xml><?xml version="1.0" encoding="utf-8"?>
<sst xmlns="http://schemas.openxmlformats.org/spreadsheetml/2006/main" count="13751" uniqueCount="731">
  <si>
    <t>idcomb_satelite</t>
  </si>
  <si>
    <t>cempresa_ct</t>
  </si>
  <si>
    <t>cbalcao_ct</t>
  </si>
  <si>
    <t>cnumecta_ct</t>
  </si>
  <si>
    <t>zdeposit_ct</t>
  </si>
  <si>
    <t>maturity_esg</t>
  </si>
  <si>
    <t>european_union</t>
  </si>
  <si>
    <t>excluded_paris</t>
  </si>
  <si>
    <t>cnael</t>
  </si>
  <si>
    <t>nace_esg</t>
  </si>
  <si>
    <t>investment_sector</t>
  </si>
  <si>
    <t>geo</t>
  </si>
  <si>
    <t>amount</t>
  </si>
  <si>
    <t>acute_changes</t>
  </si>
  <si>
    <t>chronic_changes</t>
  </si>
  <si>
    <t>CONT1;HFS1;B01;MC1005;ORIG4;TYVA02</t>
  </si>
  <si>
    <t>NULL</t>
  </si>
  <si>
    <t>CMAH</t>
  </si>
  <si>
    <t>00000</t>
  </si>
  <si>
    <t>EU1</t>
  </si>
  <si>
    <t>GEO3</t>
  </si>
  <si>
    <t>ACUT2</t>
  </si>
  <si>
    <t>CHRO2</t>
  </si>
  <si>
    <t>MESG4</t>
  </si>
  <si>
    <t>CONT1;HFS2;B01;MC06;ACPF3;SC0302;TYVA01</t>
  </si>
  <si>
    <t>31</t>
  </si>
  <si>
    <t>6416</t>
  </si>
  <si>
    <t>00005800050</t>
  </si>
  <si>
    <t>PTPLGEIM0004000</t>
  </si>
  <si>
    <t>EXC2</t>
  </si>
  <si>
    <t>ACUT1</t>
  </si>
  <si>
    <t>CONT1;HFS2;B01;MC08;TYVA01</t>
  </si>
  <si>
    <t>00100</t>
  </si>
  <si>
    <t>AJID0000232</t>
  </si>
  <si>
    <t>603162BI0041100</t>
  </si>
  <si>
    <t>03162</t>
  </si>
  <si>
    <t>INVS4</t>
  </si>
  <si>
    <t>600421BI0041100</t>
  </si>
  <si>
    <t>00421</t>
  </si>
  <si>
    <t>GEO18</t>
  </si>
  <si>
    <t>CONT1;HFS2;B01;MC06;ACPF5;SC0302;TYVA01</t>
  </si>
  <si>
    <t>00000000000</t>
  </si>
  <si>
    <t>PTLGR0AM0003000</t>
  </si>
  <si>
    <t>US92826C8212000</t>
  </si>
  <si>
    <t>EU2</t>
  </si>
  <si>
    <t>GEO2</t>
  </si>
  <si>
    <t>CARG0000000</t>
  </si>
  <si>
    <t>00100C150SC1333</t>
  </si>
  <si>
    <t>01333</t>
  </si>
  <si>
    <t>CONT1;HFS2;B01;MC06;ACPF5;SC0303;TYVA01</t>
  </si>
  <si>
    <t>AJID0000186</t>
  </si>
  <si>
    <t>400000BI0041100</t>
  </si>
  <si>
    <t>CNAEL18</t>
  </si>
  <si>
    <t>NACE19010303</t>
  </si>
  <si>
    <t>GEO19</t>
  </si>
  <si>
    <t>250EUR49710</t>
  </si>
  <si>
    <t>PRT125001915000</t>
  </si>
  <si>
    <t>US92826C7974000</t>
  </si>
  <si>
    <t>PTECRCEM0001000</t>
  </si>
  <si>
    <t>250EUR84820</t>
  </si>
  <si>
    <t>PRT110000015000</t>
  </si>
  <si>
    <t>CNAEL3</t>
  </si>
  <si>
    <t>NACE03200302</t>
  </si>
  <si>
    <t>250EUR33330</t>
  </si>
  <si>
    <t>00445</t>
  </si>
  <si>
    <t>PTPLG8IM0001000</t>
  </si>
  <si>
    <t>CONT1;HFS2;B01;MC08;TYVA02</t>
  </si>
  <si>
    <t>250EUR31451</t>
  </si>
  <si>
    <t>00442</t>
  </si>
  <si>
    <t>CNAEL6</t>
  </si>
  <si>
    <t>NACE06010101</t>
  </si>
  <si>
    <t>INVS5</t>
  </si>
  <si>
    <t>PTGAM0AM0007000</t>
  </si>
  <si>
    <t>600442BI0041100</t>
  </si>
  <si>
    <t>PTUNEOAM0016000</t>
  </si>
  <si>
    <t>PTPL1AIM0000000</t>
  </si>
  <si>
    <t>200000BI0041100</t>
  </si>
  <si>
    <t>PTTTFAIM0007000</t>
  </si>
  <si>
    <t>250EUR02350</t>
  </si>
  <si>
    <t>BEL201000015000</t>
  </si>
  <si>
    <t>CNAEL11</t>
  </si>
  <si>
    <t>NACE12010101</t>
  </si>
  <si>
    <t>IFRC0100I16</t>
  </si>
  <si>
    <t>1108P49001SC442</t>
  </si>
  <si>
    <t>PTSIB0AM0008000</t>
  </si>
  <si>
    <t>250EUR31450</t>
  </si>
  <si>
    <t>IFRC0000000</t>
  </si>
  <si>
    <t>100I161108SC442</t>
  </si>
  <si>
    <t>250EUR49560</t>
  </si>
  <si>
    <t>PRT125001115000</t>
  </si>
  <si>
    <t>PTNOFIIE0000000</t>
  </si>
  <si>
    <t>00005800035</t>
  </si>
  <si>
    <t>PTAGM0AM0007000</t>
  </si>
  <si>
    <t>250EUR89770</t>
  </si>
  <si>
    <t>PRT150000015000</t>
  </si>
  <si>
    <t>250EUR12810</t>
  </si>
  <si>
    <t>IRL202500215000</t>
  </si>
  <si>
    <t>PTOXYQIM0005000</t>
  </si>
  <si>
    <t>AJID0000152</t>
  </si>
  <si>
    <t>500442BI0041100</t>
  </si>
  <si>
    <t>PTGGM0AM0004000</t>
  </si>
  <si>
    <t>PTYIMBHM0004000</t>
  </si>
  <si>
    <t>250EUR12840</t>
  </si>
  <si>
    <t>250EUR30450</t>
  </si>
  <si>
    <t>PTNGM0AM0000000</t>
  </si>
  <si>
    <t>informing_soc</t>
  </si>
  <si>
    <t>counterparty_soc</t>
  </si>
  <si>
    <t>adjustment_code</t>
  </si>
  <si>
    <t>comb_code</t>
  </si>
  <si>
    <t>eu</t>
  </si>
  <si>
    <t>chro</t>
  </si>
  <si>
    <t>acut</t>
  </si>
  <si>
    <t>nace</t>
  </si>
  <si>
    <t>BI00411</t>
  </si>
  <si>
    <t>CONT1;HFS2;B01;MC08;TYVA02;INVS5;EXC2</t>
  </si>
  <si>
    <t>CONT1;HFS2;B01;MC08;TYVA01;;MESG4</t>
  </si>
  <si>
    <t>CONT1;HFS2;B01;MC06;ACPF5;SC0302;TYVA01;MESG4</t>
  </si>
  <si>
    <t>CONT1;HFS1;B01;MC1005;ORIG4;TYVA01;MESG4</t>
  </si>
  <si>
    <t>CONT1;HFS2;B01;MC06;ACPF5;SC0303;TYVA01;EXC2;MESG4</t>
  </si>
  <si>
    <t>CONT1;HFS2;B01;MC08;TYVA01;INVS4;MESG4</t>
  </si>
  <si>
    <t>CONT1;HFS2;B01;MC08;TYVA01;INVS5;EXC2;MESG4</t>
  </si>
  <si>
    <t>CNAEL10</t>
  </si>
  <si>
    <t>NACE10050104</t>
  </si>
  <si>
    <t>CONT1;HFS2;B01;MC06;ACPF3;SC0302;TYVA01;MESG4</t>
  </si>
  <si>
    <t>00411</t>
  </si>
  <si>
    <t>00683</t>
  </si>
  <si>
    <t>DEZ_24</t>
  </si>
  <si>
    <t>Query</t>
  </si>
  <si>
    <t>SELECT *
FROM bu_esg_work.rf_sat79_Dez24_aux10_manual_v4
;</t>
  </si>
  <si>
    <t/>
  </si>
  <si>
    <t>saldo_ct</t>
  </si>
  <si>
    <t>performing_esg</t>
  </si>
  <si>
    <t>3000000.000000</t>
  </si>
  <si>
    <t>-3000000.000000</t>
  </si>
  <si>
    <t>1289737.34000000000000000000000000</t>
  </si>
  <si>
    <t>624867.66000000000000000000000000</t>
  </si>
  <si>
    <t>202691.51000000000000000000000000</t>
  </si>
  <si>
    <t>140000000.00000000000000000000000000</t>
  </si>
  <si>
    <t>-11000000.00000000000000000000000000</t>
  </si>
  <si>
    <t>-0.86000000000000000000000000</t>
  </si>
  <si>
    <t>250EUR87690</t>
  </si>
  <si>
    <t>ESP201000015000</t>
  </si>
  <si>
    <t>133078.00000000000000000000000000</t>
  </si>
  <si>
    <t>-1.04000000000000000000000000</t>
  </si>
  <si>
    <t>-38154157.00000000000000000000000000</t>
  </si>
  <si>
    <t>1.29000000000000000000000000</t>
  </si>
  <si>
    <t>0.25000000000000000000000000</t>
  </si>
  <si>
    <t>450000000.00000000000000000000000000</t>
  </si>
  <si>
    <t>850382.68000000000000000000000000</t>
  </si>
  <si>
    <t>11000000.00000000000000000000000000</t>
  </si>
  <si>
    <t>11163168.00000000000000000000000000</t>
  </si>
  <si>
    <t>302243.00000000000000000000000000</t>
  </si>
  <si>
    <t>43286.17000000000000000000000000</t>
  </si>
  <si>
    <t>28000000.00000000000000000000000000</t>
  </si>
  <si>
    <t>126877568.04000000000000000000000000</t>
  </si>
  <si>
    <t>88759611.43000000000000000000000000</t>
  </si>
  <si>
    <t>296652.31000000000000000000000000</t>
  </si>
  <si>
    <t>38092.38000000000000000000000000</t>
  </si>
  <si>
    <t>249222.99000000000000000000000000</t>
  </si>
  <si>
    <t>155275.50000000000000000000000000</t>
  </si>
  <si>
    <t>601333BI0041100</t>
  </si>
  <si>
    <t>-0.04000000000000000000000000</t>
  </si>
  <si>
    <t>35578.07000000000000000000000000</t>
  </si>
  <si>
    <t>0.92000000000000000000000000</t>
  </si>
  <si>
    <t>3897812.75000000000000000000000000</t>
  </si>
  <si>
    <t>-0.48000000000000000000000000</t>
  </si>
  <si>
    <t>500000BI0041100</t>
  </si>
  <si>
    <t>0.71000000000000000000000000</t>
  </si>
  <si>
    <t>547935.62000000000000000000000000</t>
  </si>
  <si>
    <t>1315706.23000000000000000000000000</t>
  </si>
  <si>
    <t>344579.69000000000000000000000000</t>
  </si>
  <si>
    <t>-0.14000000000000000000000000</t>
  </si>
  <si>
    <t>4035000.00000000000000000000000000</t>
  </si>
  <si>
    <t>131175.92000000000000000000000000</t>
  </si>
  <si>
    <t>22684.47000000000000000000000000</t>
  </si>
  <si>
    <t>tatico | dez24</t>
  </si>
  <si>
    <t>641600005800050PTPLG8IM0001000</t>
  </si>
  <si>
    <t>6416250EUR33330PRT110000015000</t>
  </si>
  <si>
    <t>641600005800050PTTTFAIM0007000</t>
  </si>
  <si>
    <t>641600005800050PTPL1AIM0000000</t>
  </si>
  <si>
    <t>6416250EUR87690ESP201000015000</t>
  </si>
  <si>
    <t>CMAHAJID0000232601333BI0041100</t>
  </si>
  <si>
    <t>CMAHAJID0000232500000BI0041100</t>
  </si>
  <si>
    <t>-0.430000</t>
  </si>
  <si>
    <t>0.250000</t>
  </si>
  <si>
    <t>450000000.000000</t>
  </si>
  <si>
    <t>-11000000.000000</t>
  </si>
  <si>
    <t>0.490000</t>
  </si>
  <si>
    <t>38092.380000</t>
  </si>
  <si>
    <t>3897812.750000</t>
  </si>
  <si>
    <t>-0.070000</t>
  </si>
  <si>
    <t>35578.070000</t>
  </si>
  <si>
    <t>202691.510000</t>
  </si>
  <si>
    <t>99759611.430000</t>
  </si>
  <si>
    <t>4035000.000000</t>
  </si>
  <si>
    <t>22684.470000</t>
  </si>
  <si>
    <t>131175.920000</t>
  </si>
  <si>
    <t>-1.040000</t>
  </si>
  <si>
    <t>0.610000</t>
  </si>
  <si>
    <t>624867.660000</t>
  </si>
  <si>
    <t>850382.680000</t>
  </si>
  <si>
    <t>Valid</t>
  </si>
  <si>
    <t>Existe em dezembro, mas não existe em jun25</t>
  </si>
  <si>
    <t>Existe em jun25, mas não existe em dezembro 24</t>
  </si>
  <si>
    <t>chave</t>
  </si>
  <si>
    <t>547935.620000</t>
  </si>
  <si>
    <t>467424.190000</t>
  </si>
  <si>
    <t>1783800.700000</t>
  </si>
  <si>
    <t>924559.660000</t>
  </si>
  <si>
    <t>49500.000000</t>
  </si>
  <si>
    <t>886666.950000</t>
  </si>
  <si>
    <t>11163168.000000</t>
  </si>
  <si>
    <t>-36706144.000000</t>
  </si>
  <si>
    <t>28000000.000000</t>
  </si>
  <si>
    <t>1259414.380000</t>
  </si>
  <si>
    <t>1234556.550000</t>
  </si>
  <si>
    <t>87740.160000</t>
  </si>
  <si>
    <t>43286.170000</t>
  </si>
  <si>
    <t>668873.980000</t>
  </si>
  <si>
    <t>-0.410000</t>
  </si>
  <si>
    <t>140000000.000000</t>
  </si>
  <si>
    <t>523978.000000</t>
  </si>
  <si>
    <t>125397640.030000</t>
  </si>
  <si>
    <t>2791027.500000</t>
  </si>
  <si>
    <t>SELECT
    idcomb_satelite, 
    cempresa_ct, 
    cbalcao_ct, 
    cnumecta_ct, 
    zdeposit_ct,
    concat(cbalcao_ct, cnumecta_ct, zdeposit_ct) as chave,
    sum(saldo_ct) * -1 AS SALDO_CT, 
    maturity_esg, 
    european_union, 
    performing_esg, 
    excluded_paris, 
    cnael, 
    nace_esg, 
    investment_sector, 
    sum(AMOUNT) * -1 AS AMOUNT, 
    acute_changes, 
    chronic_changes, 
    GEO
FROM bu_esg_work.rf_sat79_Dez24_aux4_v4
WHERE csatelite= 79
GROUP BY 1,2,3,4,5, 6, 8,9,10,11,12,13,14,16,17,18
;</t>
  </si>
  <si>
    <t>Saldo Jun25</t>
  </si>
  <si>
    <t>Diferença</t>
  </si>
  <si>
    <t>Valid_univ</t>
  </si>
  <si>
    <t>Justificação</t>
  </si>
  <si>
    <t>Tabela do Helder tem o somatório do saldo para os tyva01 e tyva02
SELECT *
FROM BU_CAPTOOLS_WORK.EMI_FINAN_JUN25
WHERE concat(CBALCAO, CNUMECTA, ZDEPOSIT)='6416250EUR31451PRT110000015000'
;</t>
  </si>
  <si>
    <t>Justificação_saldo</t>
  </si>
  <si>
    <t>MESG JUN25</t>
  </si>
  <si>
    <t>EU JUN25</t>
  </si>
  <si>
    <t>Analise MESG</t>
  </si>
  <si>
    <t>Analise EU</t>
  </si>
  <si>
    <t>Analise Saldo</t>
  </si>
  <si>
    <t>Excluded_paris Jun25</t>
  </si>
  <si>
    <t>641600005800050PTPLG8IM0001000';'641600005800050PTPL1AIM0000000';'6416250EUR33330PRT110000015000';'641600005800050PTTTFAIM0007000'</t>
  </si>
  <si>
    <t>Não existe na CT001 a jun25
SELECT
    cbalcao, 
    cnumecta, 
    zdeposit,
    ccontab_final_pcsb,
    ccontab_final_idcomb,
    msaldo_final
    -- SUM(msaldo_final) AS MSALDO_FINAL
FROM cd_captools.ct001_univ_saldo
-- WHERE REF_DATE='2024-12-31'
WHERE REF_DATE='2025-06-30'
AND concat(cbalcao, cnumecta, zdeposit) in('641600005800050PTPLG8IM0001000','641600005800050PTPL1AIM0000000','6416250EUR33330PRT110000015000','641600005800050PTTTFAIM0007000')
-- GROUP BY 1,2,3,4,5
;</t>
  </si>
  <si>
    <t>Analise Universo</t>
  </si>
  <si>
    <t>6416250EUR87690ESP201000015000','CMAHAJID0000232500000BI0041100','CMAHAJID0000232601333BI0041100'</t>
  </si>
  <si>
    <t>Não constavam no full a dezembro de 2024.
SELECT *
FROM bu_esg_work.RF_PILAR3_UNIVERSO_FULL
WHERE dt_rfrnc='2024-12-31'
AND concat(cbalcao_ct, cnumecta_ct, zdeposit_ct) in('6416250EUR87690ESP201000015000','CMAHAJID0000232500000BI0041100','CMAHAJID0000232601333BI0041100')</t>
  </si>
  <si>
    <t>Analise Excluded Paris</t>
  </si>
  <si>
    <t>Cnael Jun25</t>
  </si>
  <si>
    <t>Analise CNAEL</t>
  </si>
  <si>
    <t>Analise NACE</t>
  </si>
  <si>
    <t>NACE Jun25</t>
  </si>
  <si>
    <t>CONTRATO ZDEPOSIT_CT=ESP201000015000</t>
  </si>
  <si>
    <t>Analise INVS</t>
  </si>
  <si>
    <t>INVS Jun25</t>
  </si>
  <si>
    <t>Analise ACUT</t>
  </si>
  <si>
    <t>ACUT Jun25</t>
  </si>
  <si>
    <t>Analise CHRO</t>
  </si>
  <si>
    <t>CHRO Jun25</t>
  </si>
  <si>
    <t>Analise GEO</t>
  </si>
  <si>
    <t>GEO Jun25</t>
  </si>
  <si>
    <t>Variação de saldo
SELECT
    cbalcao, 
    cnumecta, 
    zdeposit,
    ccontab_final_pcsb,
    ccontab_final_idcomb,
    -- ccontab_final_ifrs,
    -- ccontab_final_st_sgps, 
    flag_ativo,
    MSALDO_FINAL
FROM cd_captools.ct001_univ_saldo
WHERE REF_DATE='2025-06-30'
AND concat(cbalcao, cnumecta, zdeposit)='641600005800050PTOXYQIM0005000'
AND flag_ativo=1
;
SELECT *
FROM BU_CAPTOOLS_WORK.EMI_FINAN_JUN25
WHERE concat(CBALCAO, CNUMECTA, ZDEPOSIT)='641600005800050PTOXYQIM0005000'
;
SELECT *
FROM bu_esg_work.rf_pilar3_ct001_DEZ24_v2
WHERE concat(CBALCAO, CNUMECTA, ZDEPOSIT)='641600005800050PTOXYQIM0005000'
;</t>
  </si>
  <si>
    <t>Variação de saldo
SELECT
    cbalcao, 
    cnumecta, 
    zdeposit,
    ccontab_final_pcsb,
    ccontab_final_idcomb,
    -- ccontab_final_ifrs,
    -- ccontab_final_st_sgps, 
    flag_ativo,
    MSALDO_FINAL
FROM cd_captools.ct001_univ_saldo
WHERE REF_DATE='2025-06-30'
AND concat(cbalcao, cnumecta, zdeposit)='641600005800050PTYIMBHM0004000'
AND flag_ativo=1
;
SELECT *
FROM BU_CAPTOOLS_WORK.EMI_FINAN_JUN25
WHERE concat(CBALCAO, CNUMECTA, ZDEPOSIT)='641600005800050PTYIMBHM0004000'
;
SELECT
    msaldo_final
FROM bu_esg_work.rf_pilar3_ct001_DEZ24_v2
WHERE concat(CBALCAO, CNUMECTA, ZDEPOSIT)='641600005800050PTYIMBHM0004000'
;</t>
  </si>
  <si>
    <t>Variação de saldo
SELECT
    cbalcao, 
    cnumecta, 
    zdeposit,
    ccontab_final_pcsb,
    ccontab_final_idcomb,
    -- ccontab_final_ifrs,
    -- ccontab_final_st_sgps, 
    flag_ativo,
    MSALDO_FINAL
FROM cd_captools.ct001_univ_saldo
WHERE REF_DATE='2025-06-30'
AND concat(cbalcao, cnumecta, zdeposit)='CMAHIFRC0000000100I161108SC442'
AND flag_ativo=1
;
SELECT *
FROM BU_CAPTOOLS_WORK.EMI_FINAN_JUN25
WHERE concat(CBALCAO, CNUMECTA, ZDEPOSIT)='CMAHIFRC0000000100I161108SC442'
;
SELECT
    msaldo_final
FROM bu_esg_work.rf_pilar3_ct001_DEZ24_v2
WHERE concat(CBALCAO, CNUMECTA, ZDEPOSIT)='CMAHIFRC0000000100I161108SC442'
;</t>
  </si>
  <si>
    <t>QUERY -&gt;</t>
  </si>
  <si>
    <t>Variação de saldo
SELECT *
FROM bu_esg_work.rf_pilar3_ct001_DEZ24_v2
WHERE concat(CBALCAO, CNUMECTA, ZDEPOSIT)='641600000000000PTNGM0AM0000000'
;
SELECT
    cbalcao, 
    cnumecta, 
    zdeposit,
    ccontab_final_pcsb, 
    ccontab_final_idcomb, 
    msaldo_final
FROM cd_captools.ct001_univ_saldo
where ref_date='2025-06-30'
and flag_ativo=1
and concat(cbalcao, cnumecta, zdeposit)='641600000000000PTNGM0AM0000000'
;
SELECT *
FROM BU_CAPTOOLS_WORK.EMI_FINAN_JUN25
WHERE concat(CBALCAO, CNUMECTA, ZDEPOSIT)='641600000000000PTNGM0AM0000000'
;</t>
  </si>
  <si>
    <t>Variação de saldo
SELECT
    msaldo_final
FROM bu_esg_work.rf_pilar3_ct001_DEZ24_v2
WHERE concat(CBALCAO, CNUMECTA, ZDEPOSIT)='641600005800035PTAGM0AM0007000'
;
SELECT
    cbalcao, 
    cnumecta, 
    zdeposit,
    ccontab_final_pcsb, 
    ccontab_final_idcomb, 
    msaldo_final
FROM cd_captools.ct001_univ_saldo
where ref_date='2025-06-30'
and flag_ativo=1
and concat(cbalcao, cnumecta, zdeposit)='641600005800035PTAGM0AM0007000'
;
SELECT *
FROM BU_CAPTOOLS_WORK.EMI_FINAN_JUN25
WHERE concat(CBALCAO, CNUMECTA, ZDEPOSIT)='641600005800035PTAGM0AM0007000'
;</t>
  </si>
  <si>
    <t>Variação de saldo
SELECT
    msaldo_final
FROM bu_esg_work.rf_pilar3_ct001_DEZ24_v2
WHERE concat(CBALCAO, CNUMECTA, ZDEPOSIT)='641600000000000PTLGR0AM0003000'
;
SELECT
    cbalcao, 
    cnumecta, 
    zdeposit,
    ccontab_final_pcsb, 
    ccontab_final_idcomb,
    msaldo_final
FROM cd_captools.ct001_univ_saldo
where ref_date='2025-06-30'
and flag_ativo=1
and concat(cbalcao, cnumecta, zdeposit)='641600000000000PTLGR0AM0003000'
;
SELECT *
FROM BU_CAPTOOLS_WORK.EMI_FINAN_JUN25
WHERE concat(CBALCAO, CNUMECTA, ZDEPOSIT)='641600000000000PTLGR0AM0003000'
;</t>
  </si>
  <si>
    <t>Variação de saldo
SELECT
    msaldo_final
FROM bu_esg_work.rf_pilar3_ct001_DEZ24_v2
WHERE concat(CBALCAO, CNUMECTA, ZDEPOSIT)='CMAHCARG000000000100C150SC1333'
;
SELECT
    cbalcao, 
    cnumecta, 
    zdeposit,
    ccontab_final_pcsb, 
    ccontab_final_idcomb,
    msaldo_final
FROM cd_captools.ct001_univ_saldo
where ref_date='2025-06-30'
and flag_ativo=1
and concat(cbalcao, cnumecta, zdeposit)='CMAHCARG000000000100C150SC1333'
;
SELECT *
FROM BU_CAPTOOLS_WORK.EMI_FINAN_JUN25
WHERE concat(CBALCAO, CNUMECTA, ZDEPOSIT)='CMAHCARG000000000100C150SC1333'
;</t>
  </si>
  <si>
    <t>Variação de saldo
SELECT
    msaldo_final
FROM bu_esg_work.rf_pilar3_ct001_DEZ24_v2
WHERE concat(CBALCAO, CNUMECTA, ZDEPOSIT)='641600000000000US92826C8212000'
;
SELECT
    cbalcao, 
    cnumecta, 
    zdeposit,
    ccontab_final_pcsb, 
    ccontab_final_idcomb,
    msaldo_final
FROM cd_captools.ct001_univ_saldo
where ref_date='2025-06-30'
and flag_ativo=1
and concat(cbalcao, cnumecta, zdeposit)='641600000000000US92826C8212000'
;
SELECT *
FROM BU_CAPTOOLS_WORK.EMI_FINAN_JUN25
WHERE concat(CBALCAO, CNUMECTA, ZDEPOSIT)='641600000000000US92826C8212000'
;</t>
  </si>
  <si>
    <t>Variação de saldo
SELECT
    msaldo_final
FROM bu_esg_work.rf_pilar3_ct001_DEZ24_v2
WHERE concat(CBALCAO, CNUMECTA, ZDEPOSIT)='641600000000000US92826C7974000'
;
SELECT
    cbalcao, 
    cnumecta, 
    zdeposit,
    ccontab_final_pcsb, 
    ccontab_final_idcomb,
    msaldo_final
FROM cd_captools.ct001_univ_saldo
where ref_date='2025-06-30'
and flag_ativo=1
and concat(cbalcao, cnumecta, zdeposit)='641600000000000US92826C7974000'</t>
  </si>
  <si>
    <t>Variação de saldo
SELECT
    msaldo_final
FROM bu_esg_work.rf_pilar3_ct001_DEZ24_v2
WHERE concat(CBALCAO, CNUMECTA, ZDEPOSIT)='CMAHIFRC0100I161108P49001SC442'
;
SELECT
    cbalcao, 
    cnumecta, 
    zdeposit,
    ccontab_final_pcsb, 
    ccontab_final_idcomb,
    msaldo_final
FROM cd_captools.ct001_univ_saldo
where ref_date='2025-06-30'
and flag_ativo=1
and concat(cbalcao, cnumecta, zdeposit)='CMAHIFRC0100I161108P49001SC442'
;
SELECT *
FROM BU_CAPTOOLS_WORK.EMI_FINAN_JUN25
WHERE concat(CBALCAO, CNUMECTA, ZDEPOSIT) IN('CMAHIFRC0100I161108P49001SC442')
;</t>
  </si>
  <si>
    <t>Variação de saldo
SELECT
    msaldo_final
FROM bu_esg_work.rf_pilar3_ct001_DEZ24_v2
WHERE concat(CBALCAO, CNUMECTA, ZDEPOSIT)='641600000000000PTGGM0AM0004000'
;
SELECT
    cbalcao, 
    cnumecta, 
    zdeposit,
    ccontab_final_pcsb, 
    ccontab_final_idcomb,
    msaldo_final
FROM cd_captools.ct001_univ_saldo
where ref_date='2025-06-30'
and flag_ativo=1
and concat(cbalcao, cnumecta, zdeposit)='641600000000000PTGGM0AM0004000'
;
SELECT *
FROM BU_CAPTOOLS_WORK.EMI_FINAN_JUN25
WHERE concat(CBALCAO, CNUMECTA, ZDEPOSIT) IN('641600000000000PTGGM0AM0004000')
;</t>
  </si>
  <si>
    <t>A contraparte associada ao zcliente aletrou entre Dez24 e jUn25. Já foi colocada a questão ao Nuno Pinheiro</t>
  </si>
  <si>
    <t>Zcliente a dez24 tem contraparte "outras instituicoes financeiras"
Zcliente a jun25 está a NULL
SELECT *
FROM 
    (
    SELECT
        cbalcao, 
        cnumecta, 
        zdeposit, 
        zcliente
    FROM BU_CAPTOOLS_WORK.EMI_FINAN_JUN25 
    WHERE concat(cbalcao, cnumecta, zdeposit) IN('CMAHAJID0000232603162BI0041100')
-- 2101355138
    ) A
    left JOIN
    (
    SELECT
        zcliente, 
        cpais_residencia, 
        contraparte
    FROM cd_captools.ct003_univ_cli
    WHERE ref_date='2025-06-30'
    -- AND zcliente='0000000000'
    ) B
    on a.zcliente=b.zcliente
;</t>
  </si>
  <si>
    <t>SELECT
    A.*
FROM
    (
    SELECT 
        '00411' AS INFORMING_SOC,
        CASE
            WHEN SOCIEDADE_CONTRAPARTE='01278' THEN '00000'
        ELSE SOCIEDADE_CONTRAPARTE
        END AS COUNTERPARTY_SOC,
        'BI00411' AS ADJUSTMENT_CODE,
        CASE
                WHEN IDCOMB_SATELITE LIKE '%TYVA02%' AND EXCLUDED_PARIS &lt;&gt;'' AND INVESTMENT_SECTOR = ''  THEN
                CONCAT(IDCOMB_SATELITE,";",EXCLUDED_PARIS,";",MATURITY_ESG) 
                WHEN IDCOMB_SATELITE LIKE '%TYVA02%' AND EXCLUDED_PARIS &lt;&gt;'' AND INVESTMENT_SECTOR &lt;&gt; ''  THEN 
                CONCAT(IDCOMB_SATELITE,";",INVESTMENT_SECTOR,";",EXCLUDED_PARIS)
                WHEN IDCOMB_SATELITE LIKE '%TYVA02%' AND EXCLUDED_PARIS = '' AND INVESTMENT_SECTOR &lt;&gt; ''  THEN 
                CONCAT(IDCOMB_SATELITE,";",INVESTMENT_SECTOR)
                WHEN IDCOMB_SATELITE LIKE '%MC06%' AND IDCOMB_SATELITE NOT LIKE '%SC0303%' THEN
                CONCAT(IDCOMB_SATELITE,";",MATURITY_ESG)
                WHEN IDCOMB_SATELITE LIKE '%TYVA02%' AND EXCLUDED_PARIS = '' AND INVESTMENT_SECTOR = ''  AND MATURITY_ESG = '' THEN IDCOMB_SATELITE
                WHEN IDCOMB_SATELITE LIKE '%TYVA01%' AND EXCLUDED_PARIS = '' AND IDCOMB_SATELITE LIKE '%MC08%' THEN 
                CONCAT(IDCOMB_SATELITE,";",INVESTMENT_SECTOR,";",MATURITY_ESG)
                WHEN IDCOMB_SATELITE LIKE '%TYVA01%' AND EXCLUDED_PARIS &lt;&gt; '' AND IDCOMB_SATELITE LIKE '%MC08%' THEN
                CONCAT(IDCOMB_SATELITE,";",INVESTMENT_SECTOR,";",EXCLUDED_PARIS,";",MATURITY_ESG)      
                WHEN IDCOMB_SATELITE LIKE '%MC06%' AND IDCOMB_SATELITE LIKE '%SC0303%' THEN 
                CONCAT(IDCOMB_SATELITE,";",EXCLUDED_PARIS,";",MATURITY_ESG)    
                WHEN FLAG_MATURITY=1 AND EXCLUDED_PARIS &lt;&gt;'' AND INVESTMENT_SECTOR &lt;&gt;'' THEN 
                CONCAT(IDCOMB_SATELITE,";",INVESTMENT_SECTOR,";",EXCLUDED_PARIS,";",MATURITY_ESG)
                WHEN FLAG_MATURITY=1 AND EXCLUDED_PARIS =''  THEN 
                CONCAT(IDCOMB_SATELITE,";",MATURITY_ESG)
                WHEN FLAG_MATURITY=0 AND MATURITY_ESG = 'MESG5' AND INVESTMENT_SECTOR &lt;&gt;'' THEN 
                CONCAT(IDCOMB_SATELITE,";",INVESTMENT_SECTOR,";",EXCLUDED_PARIS,";",MATURITY_ESG)
                WHEN FLAG_MATURITY=0 AND EXCLUDED_PARIS &lt;&gt;'' AND INVESTMENT_SECTOR &lt;&gt;'' THEN 
                CONCAT(IDCOMB_SATELITE,";",INVESTMENT_SECTOR,";",EXCLUDED_PARIS) 
                WHEN FLAG_MATURITY=0 AND EXCLUDED_PARIS ='' AND INVESTMENT_SECTOR &lt;&gt;'' THEN 
                CONCAT(IDCOMB_SATELITE,";",INVESTMENT_SECTOR,";",MATURITY_ESG)
                ELSE CONCAT(IDCOMB_SATELITE,";",MATURITY_ESG)
            END   AS COMB_CODE,      
        SUM(ROUND(AMOUNT,0)) AS AMOUNT,
        EUROPEAN_UNION AS EU,
        CHRONIC_CHANGES AS CHRO,
        ACUTE_CHANGES AS ACUT,
        GEO,
        CNAEL,
        NACE_ESG AS NACE
    FROM BU_CAPTOOLS_WORK.JUN25_SAT79_GRA_PN_4
    GROUP BY 1,2,3,4,6,7,8,9,10,11
    ) A
    HAVING AMOUNT &lt;&gt; 0
;</t>
  </si>
  <si>
    <t>WITH AA AS(
SELECT
    A.*
FROM
    (
    SELECT 
        '00411' AS INFORMING_SOC,
        CASE
            WHEN SOCIEDADE_CONTRAPARTE='01278' THEN '00000'
        ELSE SOCIEDADE_CONTRAPARTE
        END AS COUNTERPARTY_SOC,
        'BI00411' AS ADJUSTMENT_CODE,
        CASE
                WHEN IDCOMB_SATELITE LIKE '%TYVA02%' AND EXCLUDED_PARIS &lt;&gt;'' AND INVESTMENT_SECTOR = ''  THEN
                CONCAT(IDCOMB_SATELITE,";",EXCLUDED_PARIS,";",MATURITY_ESG) 
                WHEN IDCOMB_SATELITE LIKE '%TYVA02%' AND EXCLUDED_PARIS &lt;&gt;'' AND INVESTMENT_SECTOR &lt;&gt; ''  THEN 
                CONCAT(IDCOMB_SATELITE,";",INVESTMENT_SECTOR,";",EXCLUDED_PARIS)
                WHEN IDCOMB_SATELITE LIKE '%TYVA02%' AND EXCLUDED_PARIS = '' AND INVESTMENT_SECTOR &lt;&gt; ''  THEN 
                CONCAT(IDCOMB_SATELITE,";",INVESTMENT_SECTOR)
                WHEN IDCOMB_SATELITE LIKE '%MC06%' AND IDCOMB_SATELITE NOT LIKE '%SC0303%' THEN
                CONCAT(IDCOMB_SATELITE,";",MATURITY_ESG)
                WHEN IDCOMB_SATELITE LIKE '%TYVA02%' AND EXCLUDED_PARIS = '' AND INVESTMENT_SECTOR = ''  AND MATURITY_ESG = '' THEN IDCOMB_SATELITE
                WHEN IDCOMB_SATELITE LIKE '%TYVA01%' AND EXCLUDED_PARIS = '' AND IDCOMB_SATELITE LIKE '%MC08%' THEN 
                CONCAT(IDCOMB_SATELITE,";",INVESTMENT_SECTOR,";",MATURITY_ESG)
                WHEN IDCOMB_SATELITE LIKE '%TYVA01%' AND EXCLUDED_PARIS &lt;&gt; '' AND IDCOMB_SATELITE LIKE '%MC08%' THEN
                CONCAT(IDCOMB_SATELITE,";",INVESTMENT_SECTOR,";",EXCLUDED_PARIS,";",MATURITY_ESG)      
                WHEN IDCOMB_SATELITE LIKE '%MC06%' AND IDCOMB_SATELITE LIKE '%SC0303%' THEN 
                CONCAT(IDCOMB_SATELITE,";",EXCLUDED_PARIS,";",MATURITY_ESG)    
                WHEN FLAG_MATURITY=1 AND EXCLUDED_PARIS &lt;&gt;'' AND INVESTMENT_SECTOR &lt;&gt;'' THEN 
                CONCAT(IDCOMB_SATELITE,";",INVESTMENT_SECTOR,";",EXCLUDED_PARIS,";",MATURITY_ESG)
                WHEN FLAG_MATURITY=1 AND EXCLUDED_PARIS =''  THEN 
                CONCAT(IDCOMB_SATELITE,";",MATURITY_ESG)
                WHEN FLAG_MATURITY=0 AND MATURITY_ESG = 'MESG5' AND INVESTMENT_SECTOR &lt;&gt;'' THEN 
                CONCAT(IDCOMB_SATELITE,";",INVESTMENT_SECTOR,";",EXCLUDED_PARIS,";",MATURITY_ESG)
                WHEN FLAG_MATURITY=0 AND EXCLUDED_PARIS &lt;&gt;'' AND INVESTMENT_SECTOR &lt;&gt;'' THEN 
                CONCAT(IDCOMB_SATELITE,";",INVESTMENT_SECTOR,";",EXCLUDED_PARIS) 
                WHEN FLAG_MATURITY=0 AND EXCLUDED_PARIS ='' AND INVESTMENT_SECTOR &lt;&gt;'' THEN 
                CONCAT(IDCOMB_SATELITE,";",INVESTMENT_SECTOR,";",MATURITY_ESG)
                ELSE CONCAT(IDCOMB_SATELITE,";",MATURITY_ESG)
            END   AS COMB_CODE,      
        SUM(ROUND(AMOUNT,0)) AS AMOUNT,
        EUROPEAN_UNION AS EU,
        CHRONIC_CHANGES AS CHRO,
        ACUTE_CHANGES AS ACUT,
        GEO,
        CNAEL,
        NACE_ESG AS NACE, 
        cempresa_ct, 
        cbalcao_ct, 
        cnumecta_ct, 
        zdeposit_ct, 
        ckbalbem, 
        ckctabem, 
        ckrefbem
    FROM BU_CAPTOOLS_WORK.JUN25_SAT79_GRA_PN_4
    GROUP BY 1,2,3,4,6,7,8,9,10,11,12,13,14,15,16,17,18
    ) A
    HAVING AMOUNT &lt;&gt; 0
)
SELECT *
FROM AA
-- WHERE COMB_CODE='CONT1;HFS2;B01;MC08;TYVA02;INVS5;EXC2'
;</t>
  </si>
  <si>
    <t>SELECT DISTINCT
    idcomb_satelite, 
    cempresa_ct, 
    cbalcao_ct, 
    cnumecta_ct, 
    zdeposit_ct, 
    '' AS CHAVE,
    amount, 
    maturity_esg, 
    european_union,
    NULL AS performing_esg,
    excluded_paris, 
    cnael, 
    nace_esg, 
    investment_sector, 
    amount, 
    acute_changes, 
    chronic_changes, 
    GEO
FROM bu_captools_work.JUN25_SAT79_GRA_PN_4
WHERE idcomb_satelite NOT LIKE '%MC10%'
;</t>
  </si>
  <si>
    <t>chave_bem</t>
  </si>
  <si>
    <t>cod_imovel</t>
  </si>
  <si>
    <t>31CMAHIMOVELGIDAP000000000023730</t>
  </si>
  <si>
    <t xml:space="preserve">
    SELECT DISTINCT
        A.*, 
        B.COD_IMOVEL
    FROM
        (
        SELECT
            idcomb_satelite,
            CEMPRESA_CT, 
            CBALCAO_CT, 
            CNUMECTA_CT, 
            ZDEPOSIT_CT,
            chave_bem,
            sum(amount) AS AMOUNT,
            maturity_esg, 
            european_union,
            excluded_paris, 
            cnael, 
            nace_esg, 
            acute_changes, 
            chronic_changes, 
            GEO
        FROM bu_captools_work.JUN25_SAT79_GRA_PN_4
        WHERE idcomb_satelite LIKE '%MC10%'
        -- AND CBALCAO_CT IS NULL 
        -- AND CHAVE_BEM IS NULL 
        GROUP BY 1,2,3,4,5,6,8,9,10,11,12,13,14,15
        ) A
        LEFT JOIN
        (
        SELECT
            cod_imovel, 
            concat(PROPERTY_BANK_ID, PROPERTY_BRANCH_CODE,PROPERTY_CONTRACT_ID, PROPERTY_REFERENCE_CODE) AS CHAVE_BEM_2
        FROM 
            (
            SELECT
                cod_imovel,
                '31' as PROPERTY_BANK_ID,
                'CMAH' AS PROPERTY_BRANCH_CODE, 
                'IMOVELGIDAP' AS PROPERTY_CONTRACT_ID,
                replace(upper(lpad(COD_IMOVEL,15,'0')),' ', '0') AS PROPERTY_REFERENCE_CODE
            FROM cd_captools.ct666_adjudic_propr
            WHERE ref_date='${REF_DATE}'
            AND V_CONTAB_IFRS IN('199100240', '19910000', '1910000', '199100200', '199100210', '19910001', '1910008', '199100201', '199100211', '199100241')
            UNION ALL
            SELECT
                n_cliente AS COD_IMOVEL,
                '31' AS property_bank_id , 
                'CMAH' AS PROPERTY_BRANCH_CODE, 
                'IMOVELRECUP' AS PROPERTY_CONTRACT_ID,
                lpad(replace( replace( replace( concat( ifnull(upper(n_processo_tc), ''), concat( upper( trim(artigo_matricial) ), concat( ifnull(upper(n_cliente), ''), ifnull(upper(origem), '') ))), '_', '0' ), ' ', '0' ), chr(10), '0' ),15,'0') as property_reference_code
            FROM cd_captools.ct667_dacoes_arrem
            WHERE ref_date='${REF_DATE}'
            AND V_CONTAB_IFRS IN('199100240', '19910000', '1910000', '199100200', '199100210', '19910001', '1910008', '199100201', '199100211', '199100241')
            UNION ALL
            SELECT
                n_imovel AS COD_IMOVEL,
                '89' AS property_bank_id , 
                'CMAH' AS PROPERTY_BRANCH_CODE, 
                'IMOVELIFICS' AS PROPERTY_CONTRACT_ID,
                lpad(n_imovel,15,'0') AS PROPERTY_REFERENCE_CODE
            FROM cd_captools.ct668_imoveis_ific
            WHERE ref_date='${REF_DATE}'
            AND V_CONTAB_IFRS IN('199100240', '19910000', '1910000', '199100200', '199100210', '19910001', '1910008', '199100201', '199100211', '199100241')
            ) ADJUD_INPUTS
        ) B
        ON A.chave_bem=B.CHAVE_BEM_2
        -- WHERE CHAVE_BEM_2 IS NULL
    </t>
  </si>
  <si>
    <t>CONT1;HFS1;B01;MC1005;ORIG4;TYVA01</t>
  </si>
  <si>
    <t>31CMAHIMOVELGIDAP000000000023517</t>
  </si>
  <si>
    <t>31CMAHIMOVELGIDAP000000000023548</t>
  </si>
  <si>
    <t>31CMAHIMOVELGIDAP000000000026800</t>
  </si>
  <si>
    <t>31CMAHIMOVELGIDAP000000000023917</t>
  </si>
  <si>
    <t>31CMAHIMOVELGIDAP000000000023645</t>
  </si>
  <si>
    <t>89CMAHIMOVELIFICS000000069025101</t>
  </si>
  <si>
    <t>31CMAHIMOVELGIDAP000000000023587</t>
  </si>
  <si>
    <t>31CMAHIMOVELGIDAP000000000025588</t>
  </si>
  <si>
    <t>31CMAHIMOVELGIDAP000000000019061</t>
  </si>
  <si>
    <t>31CMAHIMOVELGIDAP000000000018545</t>
  </si>
  <si>
    <t>31CMAHIMOVELGIDAP000000000023643</t>
  </si>
  <si>
    <t>31CMAHIMOVELGIDAP000000000024113</t>
  </si>
  <si>
    <t>31CMAHIMOVELGIDAP000000000027129</t>
  </si>
  <si>
    <t>31CMAHIMOVELRECUPTC7081642009796</t>
  </si>
  <si>
    <t>31CMAHIMOVELGIDAP000000000023669</t>
  </si>
  <si>
    <t>31CMAHIMOVELGIDAP000000000027152</t>
  </si>
  <si>
    <t>31CMAHIMOVELGIDAP000000000023549</t>
  </si>
  <si>
    <t>31CMAHIMOVELRECUPTC7081622010837</t>
  </si>
  <si>
    <t>31CMAHIMOVELGIDAP000000000023575</t>
  </si>
  <si>
    <t>31CMAHIMOVELGIDAP000000000027117</t>
  </si>
  <si>
    <t>31CMAHIMOVELGIDAP000000000027109</t>
  </si>
  <si>
    <t>31CMAHIMOVELGIDAP000000000027170</t>
  </si>
  <si>
    <t>31CMAHIMOVELRECUPRE0284872013110</t>
  </si>
  <si>
    <t>31CMAHIMOVELGIDAP000000000026378</t>
  </si>
  <si>
    <t>31CMAHIMOVELGIDAP000000000023540</t>
  </si>
  <si>
    <t>31CMAHIMOVELGIDAP000000000023581</t>
  </si>
  <si>
    <t>31CMAHIMOVELGIDAP000000000023665</t>
  </si>
  <si>
    <t>31CMAHIMOVELGIDAP000000000023938</t>
  </si>
  <si>
    <t>31CMAHIMOVELGIDAP000000000019502</t>
  </si>
  <si>
    <t>31CMAHIMOVELGIDAP000000000023654</t>
  </si>
  <si>
    <t>31CMAHIMOVELGIDAP000000000023487</t>
  </si>
  <si>
    <t>31CMAHIMOVELGIDAP000000000023530</t>
  </si>
  <si>
    <t>31CMAHIMOVELGIDAP000000000023651</t>
  </si>
  <si>
    <t>31CMAHIMOVELGIDAP000000000024175</t>
  </si>
  <si>
    <t>31CMAHIMOVELGIDAP000000000025696</t>
  </si>
  <si>
    <t>31CMAHIMOVELGIDAP000000000023501</t>
  </si>
  <si>
    <t>31CMAHIMOVELRECUPTC0141772015329</t>
  </si>
  <si>
    <t>31CMAHIMOVELGIDAP000000000023593</t>
  </si>
  <si>
    <t>31CMAHIMOVELGIDAP000000000023720</t>
  </si>
  <si>
    <t>31CMAHIMOVELRECUPTC7033182007884</t>
  </si>
  <si>
    <t>31CMAHIMOVELGIDAP000000000025694</t>
  </si>
  <si>
    <t>31CMAHIMOVELGIDAP000000000025695</t>
  </si>
  <si>
    <t>31CMAHIMOVELGIDAP000000000023554</t>
  </si>
  <si>
    <t>31CMAHIMOVELGIDAP000000000026977</t>
  </si>
  <si>
    <t>31CMAHIMOVELGIDAP000000000027074</t>
  </si>
  <si>
    <t>31CMAHIMOVELGIDAP000000000023555</t>
  </si>
  <si>
    <t>89CMAHIMOVELIFICS000000001010675</t>
  </si>
  <si>
    <t>31CMAHIMOVELRECUPTC7057092012228</t>
  </si>
  <si>
    <t>31CMAHIMOVELGIDAP000000000023529</t>
  </si>
  <si>
    <t>31CMAHIMOVELGIDAP000000000018477</t>
  </si>
  <si>
    <t>31CMAHIMOVELGIDAP000000000023541</t>
  </si>
  <si>
    <t>31CMAHIMOVELRECUPRE0148132018426</t>
  </si>
  <si>
    <t>31CMAHIMOVELRECUP9288009161420BS</t>
  </si>
  <si>
    <t>31CMAHIMOVELGIDAP000000000023614</t>
  </si>
  <si>
    <t>31CMAHIMOVELGIDAP000000000023542</t>
  </si>
  <si>
    <t>31CMAHIMOVELGIDAP000000000023667</t>
  </si>
  <si>
    <t>31CMAHIMOVELGIDAP000000000025698</t>
  </si>
  <si>
    <t>31CMAHIMOVELGIDAP000000000023498</t>
  </si>
  <si>
    <t>31CMAHIMOVELGIDAP000000000015141</t>
  </si>
  <si>
    <t>31CMAHIMOVELGIDAP000000000027167</t>
  </si>
  <si>
    <t>31CMAHIMOVELGIDAP000000000003221</t>
  </si>
  <si>
    <t>31CMAHIMOVELRECUPRE0151852013647</t>
  </si>
  <si>
    <t>31CMAHIMOVELGIDAP000000000023568</t>
  </si>
  <si>
    <t>31CMAHIMOVELRECUP41608030275314B</t>
  </si>
  <si>
    <t>31CMAHIMOVELGIDAP000000000007351</t>
  </si>
  <si>
    <t>31CMAHIMOVELGIDAP000000000027168</t>
  </si>
  <si>
    <t>31CMAHIMOVELGIDAP000000000023525</t>
  </si>
  <si>
    <t>31CMAHIMOVELRECUPTC0345092019115</t>
  </si>
  <si>
    <t>31CMAHIMOVELGIDAP000000000027006</t>
  </si>
  <si>
    <t>31CMAHIMOVELGIDAP000000000023602</t>
  </si>
  <si>
    <t>31CMAHIMOVELGIDAP000000000023632</t>
  </si>
  <si>
    <t>31CMAHIMOVELGIDAP000000000025679</t>
  </si>
  <si>
    <t>31CMAHIMOVELGIDAP000000000023583</t>
  </si>
  <si>
    <t>31CMAHIMOVELGIDAP000000000018760</t>
  </si>
  <si>
    <t>31CMAHIMOVELGIDAP000000000025700</t>
  </si>
  <si>
    <t>31CMAHIMOVELGIDAP000000000023571</t>
  </si>
  <si>
    <t>31CMAHIMOVELGIDAP000000000023488</t>
  </si>
  <si>
    <t>31CMAHIMOVELGIDAP000000000023513</t>
  </si>
  <si>
    <t>31CMAHIMOVELGIDAP000000000023589</t>
  </si>
  <si>
    <t>31CMAHIMOVELGIDAP000000000023792</t>
  </si>
  <si>
    <t>31CMAHIMOVELGIDAP000000000023524</t>
  </si>
  <si>
    <t>31CMAHIMOVELGIDAP000000000023532</t>
  </si>
  <si>
    <t>31CMAHIMOVELGIDAP000000000023656</t>
  </si>
  <si>
    <t>31CMAHIMOVELGIDAP000000000023618</t>
  </si>
  <si>
    <t>31CMAHIMOVELGIDAP000000000023635</t>
  </si>
  <si>
    <t>31CMAHIMOVELGIDAP000000000023639</t>
  </si>
  <si>
    <t>31CMAHIMOVELGIDAP000000000027114</t>
  </si>
  <si>
    <t>31CMAHIMOVELGIDAP000000000019594</t>
  </si>
  <si>
    <t>31CMAHIMOVELGIDAP000000000023559</t>
  </si>
  <si>
    <t>31CMAHIMOVELGIDAP000000000023485</t>
  </si>
  <si>
    <t>31CMAHIMOVELRECUPTC0159542022132</t>
  </si>
  <si>
    <t>31CMAHIMOVELGIDAP000000000023490</t>
  </si>
  <si>
    <t>31CMAHIMOVELGIDAP000000000023493</t>
  </si>
  <si>
    <t>31CMAHIMOVELGIDAP000000000023653</t>
  </si>
  <si>
    <t>31CMAHIMOVELGIDAP000000000023619</t>
  </si>
  <si>
    <t>31CMAHIMOVELGIDAP000000000023620</t>
  </si>
  <si>
    <t>31CMAHIMOVELGIDAP000000000023591</t>
  </si>
  <si>
    <t>31CMAHIMOVELGIDAP000000000000949</t>
  </si>
  <si>
    <t>31CMAHIMOVELGIDAP000000000027143</t>
  </si>
  <si>
    <t>31CMAHIMOVELGIDAP000000000023630</t>
  </si>
  <si>
    <t>31CMAHIMOVELGIDAP000000000023563</t>
  </si>
  <si>
    <t>31CMAHIMOVELGIDAP000000000023504</t>
  </si>
  <si>
    <t>31CMAHIMOVELGIDAP000000000023609</t>
  </si>
  <si>
    <t>31CMAHIMOVELGIDAP000000000017261</t>
  </si>
  <si>
    <t>31CMAHIMOVELGIDAP000000000023509</t>
  </si>
  <si>
    <t>31CMAHIMOVELGIDAP000000000023636</t>
  </si>
  <si>
    <t>31CMAHIMOVELGIDAP000000000023631</t>
  </si>
  <si>
    <t>31CMAHIMOVELGIDAP000000000007346</t>
  </si>
  <si>
    <t>31CMAHIMOVELGIDAP000000000023608</t>
  </si>
  <si>
    <t>31CMAHIMOVELGIDAP000000000023573</t>
  </si>
  <si>
    <t>31CMAHIMOVELGIDAP000000000025702</t>
  </si>
  <si>
    <t>31CMAHIMOVELGIDAP000000000023491</t>
  </si>
  <si>
    <t>31CMAHIMOVELGIDAP000000000023601</t>
  </si>
  <si>
    <t>31CMAHIMOVELGIDAP000000000023648</t>
  </si>
  <si>
    <t>31CMAHIMOVELRECUPTC9002242003575</t>
  </si>
  <si>
    <t>31CMAHIMOVELGIDAP000000000025701</t>
  </si>
  <si>
    <t>31CMAHIMOVELGIDAP000000000023557</t>
  </si>
  <si>
    <t>31CMAHIMOVELGIDAP000000000027169</t>
  </si>
  <si>
    <t>31CMAHIMOVELGIDAP000000000023547</t>
  </si>
  <si>
    <t>31CMAHIMOVELGIDAP000000000023606</t>
  </si>
  <si>
    <t>31CMAHIMOVELGIDAP000000000018102</t>
  </si>
  <si>
    <t>31CMAHIMOVELGIDAP000000000023512</t>
  </si>
  <si>
    <t>31CMAHIMOVELGIDAP000000000025706</t>
  </si>
  <si>
    <t>31CMAHIMOVELGIDAP000000000019156</t>
  </si>
  <si>
    <t>31CMAHIMOVELGIDAP000000000023533</t>
  </si>
  <si>
    <t>31CMAHIMOVELGIDAP000000000023610</t>
  </si>
  <si>
    <t>31CMAHIMOVELGIDAP000000000023565</t>
  </si>
  <si>
    <t>31CMAHIMOVELRECUPTC7058462012795</t>
  </si>
  <si>
    <t>31CMAHIMOVELGIDAP000000000023484</t>
  </si>
  <si>
    <t>31CMAHIMOVELGIDAP000000000023627</t>
  </si>
  <si>
    <t>31CMAHIMOVELGIDAP000000000023522</t>
  </si>
  <si>
    <t>31CMAHIMOVELGIDAP000000000023520</t>
  </si>
  <si>
    <t>31CMAHIMOVELGIDAP000000000025684</t>
  </si>
  <si>
    <t>31CMAHIMOVELGIDAP000000000023505</t>
  </si>
  <si>
    <t>31CMAHIMOVELGIDAP000000000023544</t>
  </si>
  <si>
    <t>31CMAHIMOVELGIDAP000000000027136</t>
  </si>
  <si>
    <t>31CMAHIMOVELRECUPTC0124042014287</t>
  </si>
  <si>
    <t>31CMAHIMOVELGIDAP000000000025680</t>
  </si>
  <si>
    <t>31CMAHIMOVELGIDAP000000000023569</t>
  </si>
  <si>
    <t>31CMAHIMOVELRECUPRE0131032022627</t>
  </si>
  <si>
    <t>31CMAHIMOVELGIDAP000000000026051</t>
  </si>
  <si>
    <t>31CMAHIMOVELGIDAP000000000023497</t>
  </si>
  <si>
    <t>31CMAHIMOVELGIDAP000000000027150</t>
  </si>
  <si>
    <t>31CMAHIMOVELRECUPTC0118780202223</t>
  </si>
  <si>
    <t>31CMAHIMOVELGIDAP000000000024738</t>
  </si>
  <si>
    <t>31CMAHIMOVELGIDAP000000000023791</t>
  </si>
  <si>
    <t>31CMAHIMOVELGIDAP000000000026399</t>
  </si>
  <si>
    <t>31CMAHIMOVELGIDAP000000000023534</t>
  </si>
  <si>
    <t>31CMAHIMOVELGIDAP000000000023560</t>
  </si>
  <si>
    <t>31CMAHIMOVELGIDAP000000000025692</t>
  </si>
  <si>
    <t>31CMAHIMOVELGIDAP000000000023503</t>
  </si>
  <si>
    <t>31CMAHIMOVELGIDAP000000000023566</t>
  </si>
  <si>
    <t>89CMAHIMOVELIFICS000000006961494</t>
  </si>
  <si>
    <t>31CMAHIMOVELGIDAP000000000023588</t>
  </si>
  <si>
    <t>31CMAHIMOVELGIDAP000000000026045</t>
  </si>
  <si>
    <t>31CMAHIMOVELGIDAP000000000027147</t>
  </si>
  <si>
    <t>31CMAHIMOVELGIDAP000000000023507</t>
  </si>
  <si>
    <t>31CMAHIMOVELRECUPTC8034122008107</t>
  </si>
  <si>
    <t>31CMAHIMOVELRECUPTC2876720211172</t>
  </si>
  <si>
    <t>31CMAHIMOVELGIDAP000000000023528</t>
  </si>
  <si>
    <t>31CMAHIMOVELGIDAP000000000023613</t>
  </si>
  <si>
    <t>31CMAHIMOVELGIDAP000000000023580</t>
  </si>
  <si>
    <t>31CMAHIMOVELGIDAP000000000025685</t>
  </si>
  <si>
    <t>31CMAHIMOVELGIDAP000000000023521</t>
  </si>
  <si>
    <t>31CMAHIMOVELGIDAP000000000020789</t>
  </si>
  <si>
    <t>31CMAHIMOVELGIDAP000000000023537</t>
  </si>
  <si>
    <t>31CMAHIMOVELGIDAP000000000023788</t>
  </si>
  <si>
    <t>31CMAHIMOVELRECUPTC0347432015530</t>
  </si>
  <si>
    <t>31CMAHIMOVELGIDAP000000000027026</t>
  </si>
  <si>
    <t>31CMAHIMOVELGIDAP000000000026784</t>
  </si>
  <si>
    <t>31CMAHIMOVELRECUPRE0349132016196</t>
  </si>
  <si>
    <t>31CMAHIMOVELGIDAP000000000027096</t>
  </si>
  <si>
    <t>31CMAHIMOVELGIDAP000000000025690</t>
  </si>
  <si>
    <t>31CMAHIMOVELGIDAP000000000023616</t>
  </si>
  <si>
    <t>31CMAHIMOVELGIDAP000000000023577</t>
  </si>
  <si>
    <t>31CMAHIMOVELGIDAP000000000023499</t>
  </si>
  <si>
    <t>31CMAHIMOVELGIDAP000000000003301</t>
  </si>
  <si>
    <t>31CMAHIMOVELGIDAP000000000019503</t>
  </si>
  <si>
    <t>31CMAHIMOVELGIDAP000000000027115</t>
  </si>
  <si>
    <t>31CMAHIMOVELGIDAP000000000007383</t>
  </si>
  <si>
    <t>31CMAHIMOVELGIDAP000000000027172</t>
  </si>
  <si>
    <t>31CMAHIMOVELGIDAP000000000023539</t>
  </si>
  <si>
    <t>31CMAHIMOVELGIDAP000000000025688</t>
  </si>
  <si>
    <t>31CMAHIMOVELGIDAP000000000023661</t>
  </si>
  <si>
    <t>31CMAHIMOVELGIDAP000000000023663</t>
  </si>
  <si>
    <t>31CMAHIMOVELGIDAP000000000023603</t>
  </si>
  <si>
    <t>31CMAHIMOVELGIDAP000000000023646</t>
  </si>
  <si>
    <t>31CMAHIMOVELGIDAP000000000023570</t>
  </si>
  <si>
    <t>31CMAHIMOVELGIDAP000000000023514</t>
  </si>
  <si>
    <t>31CMAHIMOVELGIDAP000000000023592</t>
  </si>
  <si>
    <t>31CMAHIMOVELGIDAP000000000023641</t>
  </si>
  <si>
    <t>31CMAHIMOVELGIDAP000000000025707</t>
  </si>
  <si>
    <t>31CMAHIMOVELGIDAP000000000007378</t>
  </si>
  <si>
    <t>31CMAHIMOVELGIDAP000000000023545</t>
  </si>
  <si>
    <t>31CMAHIMOVELGIDAP000000000026381</t>
  </si>
  <si>
    <t>31CMAHIMOVELGIDAP000000000023558</t>
  </si>
  <si>
    <t>31CMAHIMOVELGIDAP000000000023657</t>
  </si>
  <si>
    <t>31CMAHIMOVELGIDAP000000000023564</t>
  </si>
  <si>
    <t>31CMAHIMOVELRECUPTC0109921020173</t>
  </si>
  <si>
    <t>31CMAHIMOVELGIDAP000000000023617</t>
  </si>
  <si>
    <t>31CMAHIMOVELGIDAP000000000024279</t>
  </si>
  <si>
    <t>31CMAHIMOVELGIDAP000000000023508</t>
  </si>
  <si>
    <t>31CMAHIMOVELGIDAP000000000023658</t>
  </si>
  <si>
    <t>31CMAHIMOVELGIDAP000000000027125</t>
  </si>
  <si>
    <t>31CMAHIMOVELGIDAP000000000023551</t>
  </si>
  <si>
    <t>31CMAHIMOVELGIDAP000000000023486</t>
  </si>
  <si>
    <t>31CMAHIMOVELGIDAP000000000023622</t>
  </si>
  <si>
    <t>31CMAHIMOVELGIDAP000000000027145</t>
  </si>
  <si>
    <t>31CMAHIMOVELGIDAP000000000023670</t>
  </si>
  <si>
    <t>31CMAHIMOVELGIDAP000000000027045</t>
  </si>
  <si>
    <t>31CMAHIMOVELGIDAP000000000025705</t>
  </si>
  <si>
    <t>31CMAHIMOVELGIDAP000000000023519</t>
  </si>
  <si>
    <t>31CMAHIMOVELRECUPRE0382682013547</t>
  </si>
  <si>
    <t>31CMAHIMOVELGIDAP000000000027149</t>
  </si>
  <si>
    <t>31CMAHIMOVELGIDAP000000000023655</t>
  </si>
  <si>
    <t>31CMAHIMOVELGIDAP000000000023492</t>
  </si>
  <si>
    <t>31CMAHIMOVELGIDAP000000000012230</t>
  </si>
  <si>
    <t>31CMAHIMOVELGIDAP000000000023562</t>
  </si>
  <si>
    <t>31CMAHIMOVELGIDAP000000000023518</t>
  </si>
  <si>
    <t>31CMAHIMOVELGIDAP000000000026511</t>
  </si>
  <si>
    <t>31CMAHIMOVELGIDAP000000000027082</t>
  </si>
  <si>
    <t>31CMAHIMOVELGIDAP000000000023550</t>
  </si>
  <si>
    <t>31CMAHIMOVELGIDAP000000000023494</t>
  </si>
  <si>
    <t>31CMAHIMOVELGIDAP000000000027103</t>
  </si>
  <si>
    <t>31CMAHIMOVELGIDAP000000000023634</t>
  </si>
  <si>
    <t>31CMAHIMOVELGIDAP000000000024378</t>
  </si>
  <si>
    <t>31CMAHIMOVELGIDAP000000000023652</t>
  </si>
  <si>
    <t>31CMAHIMOVELGIDAP000000000023538</t>
  </si>
  <si>
    <t>31CMAHIMOVELGIDAP000000000026050</t>
  </si>
  <si>
    <t>31CMAHIMOVELGIDAP000000000015975</t>
  </si>
  <si>
    <t>31CMAHIMOVELGIDAP000000000027130</t>
  </si>
  <si>
    <t>31CMAHIMOVELGIDAP000000000027078</t>
  </si>
  <si>
    <t>31CMAHIMOVELGIDAP000000000024280</t>
  </si>
  <si>
    <t>31CMAHIMOVELGIDAP000000000025699</t>
  </si>
  <si>
    <t>31CMAHIMOVELGIDAP000000000023666</t>
  </si>
  <si>
    <t>31CMAHIMOVELGIDAP000000000023526</t>
  </si>
  <si>
    <t>31CMAHIMOVELGIDAP000000000023625</t>
  </si>
  <si>
    <t>31CMAHIMOVELGIDAP000000000023572</t>
  </si>
  <si>
    <t>31CMAHIMOVELGIDAP000000000026902</t>
  </si>
  <si>
    <t>31CMAHIMOVELGIDAP000000000023997</t>
  </si>
  <si>
    <t>31CMAHIMOVELGIDAP000000000023638</t>
  </si>
  <si>
    <t>31CMAHIMOVELGIDAP000000000016870</t>
  </si>
  <si>
    <t>31CMAHIMOVELGIDAP000000000023523</t>
  </si>
  <si>
    <t>31CMAHIMOVELGIDAP000000000027043</t>
  </si>
  <si>
    <t>31CMAHIMOVELGIDAP000000000016976</t>
  </si>
  <si>
    <t>31CMAHIMOVELGIDAP000000000023496</t>
  </si>
  <si>
    <t>31CMAHIMOVELGIDAP000000000023594</t>
  </si>
  <si>
    <t>31CMAHIMOVELGIDAP000000000023511</t>
  </si>
  <si>
    <t>31CMAHIMOVELGIDAP000000000024019</t>
  </si>
  <si>
    <t>31CMAHIMOVELGIDAP000000000007353</t>
  </si>
  <si>
    <t>31CMAHIMOVELGIDAP000000000022432</t>
  </si>
  <si>
    <t>31CMAHIMOVELGIDAP000000000023552</t>
  </si>
  <si>
    <t>31CMAHIMOVELGIDAP000000000027153</t>
  </si>
  <si>
    <t>31CMAHIMOVELGIDAP000000000018101</t>
  </si>
  <si>
    <t>31CMAHIMOVELGIDAP000000000023976</t>
  </si>
  <si>
    <t>31CMAHIMOVELGIDAP000000000025689</t>
  </si>
  <si>
    <t>31CMAHIMOVELGIDAP000000000023502</t>
  </si>
  <si>
    <t>31CMAHIMOVELGIDAP000000000023621</t>
  </si>
  <si>
    <t>31CMAHIMOVELGIDAP000000000027141</t>
  </si>
  <si>
    <t>31CMAHIMOVELGIDAP000000000002435</t>
  </si>
  <si>
    <t>31CMAHIMOVELRECUPRE0148162015100</t>
  </si>
  <si>
    <t>31CMAHIMOVELGIDAP000000000023598</t>
  </si>
  <si>
    <t>31CMAHIMOVELGIDAP000000000023612</t>
  </si>
  <si>
    <t>31CMAHIMOVELGIDAP000000000019283</t>
  </si>
  <si>
    <t>31CMAHIMOVELGIDAP000000000019370</t>
  </si>
  <si>
    <t>31CMAHIMOVELGIDAP000000000024166</t>
  </si>
  <si>
    <t>31CMAHIMOVELRECUP38189002101516B</t>
  </si>
  <si>
    <t>31CMAHIMOVELGIDAP000000000026679</t>
  </si>
  <si>
    <t>31CMAHIMOVELGIDAP000000000027146</t>
  </si>
  <si>
    <t>31CMAHIMOVELRECUP25188010464178B</t>
  </si>
  <si>
    <t>31CMAHIMOVELGIDAP000000000023515</t>
  </si>
  <si>
    <t>31CMAHIMOVELGIDAP000000000023778</t>
  </si>
  <si>
    <t>31CMAHIMOVELGIDAP000000000023574</t>
  </si>
  <si>
    <t>31CMAHIMOVELGIDAP000000000027061</t>
  </si>
  <si>
    <t>31CMAHIMOVELGIDAP000000000023546</t>
  </si>
  <si>
    <t>31CMAHIMOVELGIDAP000000000023650</t>
  </si>
  <si>
    <t>31CMAHIMOVELGIDAP000000000023662</t>
  </si>
  <si>
    <t>31CMAHIMOVELGIDAP000000000027157</t>
  </si>
  <si>
    <t>31CMAHIMOVELGIDAP000000000023604</t>
  </si>
  <si>
    <t>31CMAHIMOVELGIDAP000000000023582</t>
  </si>
  <si>
    <t>31CMAHIMOVELGIDAP000000000008264</t>
  </si>
  <si>
    <t>31CMAHIMOVELGIDAP000000000025681</t>
  </si>
  <si>
    <t>31CMAHIMOVELGIDAP000000000025693</t>
  </si>
  <si>
    <t>31CMAHIMOVELGIDAP000000000027118</t>
  </si>
  <si>
    <t>31CMAHIMOVELGIDAP000000000027171</t>
  </si>
  <si>
    <t>31CMAHIMOVELGIDAP000000000023586</t>
  </si>
  <si>
    <t>31CMAHIMOVELGIDAP000000000023567</t>
  </si>
  <si>
    <t>31CMAHIMOVELGIDAP000000000023506</t>
  </si>
  <si>
    <t>31CMAHIMOVELGIDAP000000000025602</t>
  </si>
  <si>
    <t>31CMAHIMOVELGIDAP000000000023644</t>
  </si>
  <si>
    <t>31CMAHIMOVELGIDAP000000000026401</t>
  </si>
  <si>
    <t>31CMAHIMOVELGIDAP000000000023584</t>
  </si>
  <si>
    <t>31CMAHIMOVELGIDAP000000000023642</t>
  </si>
  <si>
    <t>31CMAHIMOVELRECUPU055010R064BAPO</t>
  </si>
  <si>
    <t>31CMAHIMOVELGIDAP000000000023553</t>
  </si>
  <si>
    <t>31CMAHIMOVELRECUPRE0331722014435</t>
  </si>
  <si>
    <t>31CMAHIMOVELGIDAP000000000024233</t>
  </si>
  <si>
    <t>31CMAHIMOVELGIDAP000000000023664</t>
  </si>
  <si>
    <t>31CMAHIMOVELRECUPTC0199202017202</t>
  </si>
  <si>
    <t>31CMAHIMOVELGIDAP000000000023495</t>
  </si>
  <si>
    <t>31CMAHIMOVELGIDAP000000000026777</t>
  </si>
  <si>
    <t>31CMAHIMOVELGIDAP000000000023615</t>
  </si>
  <si>
    <t>31CMAHIMOVELRECUPTC0199202017204</t>
  </si>
  <si>
    <t>31CMAHIMOVELRECUP29687400168683B</t>
  </si>
  <si>
    <t>31CMAHIMOVELGIDAP000000000023668</t>
  </si>
  <si>
    <t>31CMAHIMOVELGIDAP000000000025682</t>
  </si>
  <si>
    <t>31CMAHIMOVELGIDAP000000000027106</t>
  </si>
  <si>
    <t>31CMAHIMOVELGIDAP000000000023348</t>
  </si>
  <si>
    <t>31CMAHIMOVELGIDAP000000000023527</t>
  </si>
  <si>
    <t>31CMAHIMOVELGIDAP000000000025683</t>
  </si>
  <si>
    <t>31CMAHIMOVELGIDAP0IMOV0PRE0ABERT</t>
  </si>
  <si>
    <t>IMOV PRE ABERT</t>
  </si>
  <si>
    <t>31CMAHIMOVELGIDAP000000000023872</t>
  </si>
  <si>
    <t>31CMAHIMOVELGIDAP000000000026926</t>
  </si>
  <si>
    <t>31CMAHIMOVELGIDAP000000000023626</t>
  </si>
  <si>
    <t>31CMAHIMOVELGIDAP000000000023607</t>
  </si>
  <si>
    <t>31CMAHIMOVELGIDAP000000000002090</t>
  </si>
  <si>
    <t>31CMAHIMOVELGIDAP000000000023489</t>
  </si>
  <si>
    <t>31CMAHIMOVELGIDAP000000000027080</t>
  </si>
  <si>
    <t>31CMAHIMOVELRECUPTC0199202017205</t>
  </si>
  <si>
    <t>31CMAHIMOVELGIDAP000000000025704</t>
  </si>
  <si>
    <t>31CMAHIMOVELGIDAP000000000002665</t>
  </si>
  <si>
    <t>31CMAHIMOVELGIDAP000000000023605</t>
  </si>
  <si>
    <t>31CMAHIMOVELGIDAP000000000023628</t>
  </si>
  <si>
    <t>31CMAHIMOVELGIDAP000000000023685</t>
  </si>
  <si>
    <t>31CMAHIMOVELGIDAP000000000023556</t>
  </si>
  <si>
    <t>31CMAHIMOVELGIDAP000000000027036</t>
  </si>
  <si>
    <t>31CMAHIMOVELGIDAP000000000027142</t>
  </si>
  <si>
    <t>31CMAHIMOVELGIDAP000000000026978</t>
  </si>
  <si>
    <t>31CMAHIMOVELGIDAP000000000025686</t>
  </si>
  <si>
    <t>31CMAHIMOVELGIDAP000000000023531</t>
  </si>
  <si>
    <t>31CMAHIMOVELGIDAP000000000027151</t>
  </si>
  <si>
    <t>31CMAHIMOVELGIDAP000000000023596</t>
  </si>
  <si>
    <t>31CMAHIMOVELGIDAP000000000023660</t>
  </si>
  <si>
    <t>31CMAHIMOVELGIDAP000000000023578</t>
  </si>
  <si>
    <t>31CMAHIMOVELGIDAP000000000023694</t>
  </si>
  <si>
    <t>31CMAHIMOVELGIDAP000000000026536</t>
  </si>
  <si>
    <t>31CMAHIMOVELGIDAP000000000027148</t>
  </si>
  <si>
    <t>89CMAHIMOVELIFICS000000001010263</t>
  </si>
  <si>
    <t>31CMAHIMOVELGIDAP000000000023633</t>
  </si>
  <si>
    <t>31CMAHIMOVELRECUPTC0199202017203</t>
  </si>
  <si>
    <t>31CMAHIMOVELGIDAP000000000027007</t>
  </si>
  <si>
    <t>31CMAHIMOVELGIDAP000000000023595</t>
  </si>
  <si>
    <t>31CMAHIMOVELRECUPTC0199202017376</t>
  </si>
  <si>
    <t>89CMAHIMOVELIFICS000000069016611</t>
  </si>
  <si>
    <t>31CMAHIMOVELGIDAP000000000001539</t>
  </si>
  <si>
    <t>31CMAHIMOVELGIDAP000000000018272</t>
  </si>
  <si>
    <t>31CMAHIMOVELGIDAP000000000026510</t>
  </si>
  <si>
    <t>31CMAHIMOVELGIDAP000000000019368</t>
  </si>
  <si>
    <t>31CMAHIMOVELGIDAP000000000012024</t>
  </si>
  <si>
    <t>31CMAHIMOVELGIDAP000000000023623</t>
  </si>
  <si>
    <t>31CMAHIMOVELGIDAP000000000025697</t>
  </si>
  <si>
    <t>31CMAHIMOVELGIDAP000000000027144</t>
  </si>
  <si>
    <t>31CMAHIMOVELGIDAP000000000026984</t>
  </si>
  <si>
    <t>31CMAHIMOVELGIDAP000000000025687</t>
  </si>
  <si>
    <t>31CMAHIMOVELGIDAP000000000027116</t>
  </si>
  <si>
    <t>31CMAHIMOVELGIDAP000000000023535</t>
  </si>
  <si>
    <t>31CMAHIMOVELGIDAP000000000019369</t>
  </si>
  <si>
    <t>31CMAHIMOVELRECUPRE0204242018367</t>
  </si>
  <si>
    <t>31CMAHIMOVELGIDAP000000000023510</t>
  </si>
  <si>
    <t>31CMAHIMOVELGIDAP000000000023579</t>
  </si>
  <si>
    <t>31CMAHIMOVELGIDAP000000000026044</t>
  </si>
  <si>
    <t>31CMAHIMOVELGIDAP000000000023674</t>
  </si>
  <si>
    <t>31CMAHIMOVELGIDAP000000000023585</t>
  </si>
  <si>
    <t>31CMAHIMOVELGIDAP000000000023992</t>
  </si>
  <si>
    <t>31CMAHIMOVELGIDAP000000000023576</t>
  </si>
  <si>
    <t>31CMAHIMOVELGIDAP000000000023637</t>
  </si>
  <si>
    <t>31CMAHIMOVELGIDAP000000000023599</t>
  </si>
  <si>
    <t>31CMAHIMOVELGIDAP000000000026994</t>
  </si>
  <si>
    <t>31CMAHIMOVELGIDAP000000000023611</t>
  </si>
  <si>
    <t>31CMAHIMOVELGIDAP000000000023649</t>
  </si>
  <si>
    <t>31CMAHIMOVELGIDAP000000000023600</t>
  </si>
  <si>
    <t>31CMAHIMOVELGIDAP000000000023561</t>
  </si>
  <si>
    <t>31CMAHIMOVELGIDAP000000000026501</t>
  </si>
  <si>
    <t>31CMAHIMOVELGIDAP000000000023647</t>
  </si>
  <si>
    <t>31CMAHIMOVELRECUPTC7109992011448</t>
  </si>
  <si>
    <t>31CMAHIMOVELGIDAP000000000025703</t>
  </si>
  <si>
    <t>31CMAHIMOVELGIDAP000000000023358</t>
  </si>
  <si>
    <t>31CMAHIMOVELGIDAP000000000027081</t>
  </si>
  <si>
    <t>31CMAHIMOVELGIDAP000000000025516</t>
  </si>
  <si>
    <t>31CMAHIMOVELGIDAP000000000023590</t>
  </si>
  <si>
    <t>31CMAHIMOVELGIDAP000000000027132</t>
  </si>
  <si>
    <t>31CMAHIMOVELGIDAP000000000023543</t>
  </si>
  <si>
    <t>31CMAHIMOVELGIDAP000000000027127</t>
  </si>
  <si>
    <t>31CMAHIMOVELGIDAP000000000027047</t>
  </si>
  <si>
    <t>31CMAHIMOVELGIDAP000000000023671</t>
  </si>
  <si>
    <t>31CMAHIMOVELGIDAP000000000027060</t>
  </si>
  <si>
    <t>31CMAHIMOVELGIDAP000000000007400</t>
  </si>
  <si>
    <t>31CMAHIMOVELRECUPRE0141332016152</t>
  </si>
  <si>
    <t>9001054885a</t>
  </si>
  <si>
    <t>31CMAHIMOVELGIDAP000000000023949</t>
  </si>
  <si>
    <t>31CMAHIMOVELGIDAP000000000023516</t>
  </si>
  <si>
    <t>31CMAHIMOVELGIDAP000000000025691</t>
  </si>
  <si>
    <t>31CMAHIMOVELGIDAP000000000023597</t>
  </si>
  <si>
    <t>31CMAHIMOVELGIDAP000000000023629</t>
  </si>
  <si>
    <t>31CMAHIMOVELGIDAP000000000019371</t>
  </si>
  <si>
    <t>31CMAHIMOVELGIDAP000000000023536</t>
  </si>
  <si>
    <t>31CMAHIMOVELGIDAP000000000023702</t>
  </si>
  <si>
    <t>31CMAHIMOVELGIDAP000000000023624</t>
  </si>
  <si>
    <t>31CMAHIMOVELGIDAP000000000023640</t>
  </si>
  <si>
    <t>89CMAHIMOVELIFICS000000069025102</t>
  </si>
  <si>
    <t>31CMAHIMOVELGIDAP000000000023659</t>
  </si>
  <si>
    <t>31CMAHIMOVELRECUPTC9096422009464</t>
  </si>
  <si>
    <t>31CMAHIMOVELGIDAP000000000023500</t>
  </si>
  <si>
    <t>WITH AA AS(
SELECT
    idcomb_satelite, 
    cod_imovel, 
    SUM(AMOUNT) AS AMOUNT,
    maturity_esg,
    'EU1' as EU,
    excluded_paris,
    '' as cnael,
    '' as nace,
    acute_changes, 
    chronic_changes, 
    'GEO3' AS GEO
FROM bu_esg_work.rf_sat79_Dez24_aux8
-- WHERE cod_imovel='23517'
-- WHERE cod_imovel='69025101'
-- WHERE cod_imovel='26401'
-- WHERE cod_imovel='26800'
GROUP BY 1,2,4,5,6,7,8,9,10,11
)
SELECT *
    -- count(*), 
    -- sum(AMOUNT)
FROM AA
-- 431
-- 19 505 893.82
;</t>
  </si>
  <si>
    <t>IMÓVEISEMPRÉ-ABERTURA</t>
  </si>
  <si>
    <t>2101343557b</t>
  </si>
  <si>
    <t>2101343557a</t>
  </si>
  <si>
    <t>Incremento de no universo de adjudicados
WITH AA AS(
SELECT DISTINCT
    cod_imovel, 
    concat(PROPERTY_BANK_ID, PROPERTY_BRANCH_CODE,PROPERTY_CONTRACT_ID, PROPERTY_REFERENCE_CODE) AS CHAVE_BEM_2
FROM 
    (
    SELECT
        cod_imovel,
        '31' as PROPERTY_BANK_ID,
        'CMAH' AS PROPERTY_BRANCH_CODE, 
        'IMOVELGIDAP' AS PROPERTY_CONTRACT_ID,
        replace(upper(lpad(COD_IMOVEL,15,'0')),' ', '0') AS PROPERTY_REFERENCE_CODE
    FROM cd_captools.ct666_adjudic_propr
    WHERE ref_date='${REF_DATE}'
    AND V_CONTAB_IFRS IN('199100240', '19910000', '1910000', '199100200', '199100210', '19910001', '1910008', '199100201', '199100211', '199100241')
    UNION ALL
    SELECT
        n_cliente AS COD_IMOVEL,
        '31' AS property_bank_id , 
        'CMAH' AS PROPERTY_BRANCH_CODE, 
        'IMOVELRECUP' AS PROPERTY_CONTRACT_ID,
        lpad(replace( replace( replace( concat( ifnull(upper(n_processo_tc), ''), concat( upper( trim(artigo_matricial) ), concat( ifnull(upper(n_cliente), ''), ifnull(upper(origem), '') ))), '_', '0' ), ' ', '0' ), chr(10), '0' ),15,'0') as property_reference_code
    FROM cd_captools.ct667_dacoes_arrem
    WHERE ref_date='${REF_DATE}'
    AND V_CONTAB_IFRS IN('199100240', '19910000', '1910000', '199100200', '199100210', '19910001', '1910008', '199100201', '199100211', '199100241')
    UNION ALL
    SELECT
        n_imovel AS COD_IMOVEL,
        '89' AS property_bank_id , 
        'CMAH' AS PROPERTY_BRANCH_CODE, 
        'IMOVELIFICS' AS PROPERTY_CONTRACT_ID,
        lpad(n_imovel,15,'0') AS PROPERTY_REFERENCE_CODE
    FROM cd_captools.ct668_imoveis_ific
    WHERE ref_date='${REF_DATE}'
    AND V_CONTAB_IFRS IN('199100240', '19910000', '1910000', '199100200', '199100210', '19910001', '1910008', '199100201', '199100211', '199100241')
    ) ADJUD_INPUTS
)
SELECT *
FROM AA
WHERE CHAVE_BEM_2 IN('31CMAHIMOVELGIDAP000000000027129','31CMAHIMOVELGIDAP000000000027152','31CMAHIMOVELGIDAP000000000027117','31CMAHIMOVELGIDAP000000000027170','31CMAHIMOVELGIDAP000000000027167','31CMAHIMOVELGIDAP000000000027168','31CMAHIMOVELGIDAP000000000027143','31CMAHIMOVELGIDAP000000000027169','31CMAHIMOVELGIDAP000000000027150','31CMAHIMOVELRECUPTC0118780202223','31CMAHIMOVELGIDAP000000000027147','31CMAHIMOVELGIDAP000000000027096','31CMAHIMOVELGIDAP000000000027172','31CMAHIMOVELRECUPTC0109921020173','31CMAHIMOVELGIDAP000000000027149','31CMAHIMOVELGIDAP000000000027130','31CMAHIMOVELGIDAP000000000027153','31CMAHIMOVELGIDAP000000000027157','31CMAHIMOVELGIDAP000000000027171','31CMAHIMOVELRECUPTC0199202017202','31CMAHIMOVELRECUPTC0199202017204','31CMAHIMOVELGIDAP0IMOV0PRE0ABERT','31CMAHIMOVELRECUPTC0199202017205','31CMAHIMOVELGIDAP000000000027142','31CMAHIMOVELGIDAP000000000027151','31CMAHIMOVELGIDAP000000000027148','89CMAHIMOVELIFICS000000001010263','31CMAHIMOVELRECUPTC0199202017203','31CMAHIMOVELRECUPTC0199202017376','89CMAHIMOVELIFICS000000069016611','31CMAHIMOVELGIDAP000000000027116','31CMAHIMOVELGIDAP000000000027127')</t>
  </si>
  <si>
    <t>Saldo dez</t>
  </si>
  <si>
    <t>Diff</t>
  </si>
  <si>
    <t>NOTA</t>
  </si>
  <si>
    <t>A dezembro 24, tinhamos adjudicados que marcavam ACUT1</t>
  </si>
  <si>
    <t>A jun25, já nenhum marca porque houve uma alterações nos inputs de marcações de riscos físicos</t>
  </si>
  <si>
    <t>SELECT
    cod_imovel,
    `4_collateral_nuts`,
    CASE 
        WHEN trim(`4_collateral_nuts`) = 'PT195' THEN 'PT16H'
   WHEN trim(`4_collateral_nuts`) = 'PT1D2' THEN 'PT16I'
   WHEN trim(`4_collateral_nuts`) = 'PT1D1' THEN 'PT16B'
   WHEN trim(`4_collateral_nuts`) = 'PT191' THEN 'PT16D'
   WHEN trim(`4_collateral_nuts`) = 'PT192' THEN 'PT16E'
   WHEN trim(`4_collateral_nuts`) = 'PT193' THEN 'PT16F'
   WHEN trim(`4_collateral_nuts`) = 'PT194' THEN 'PT16G'
   WHEN trim(`4_collateral_nuts`) = 'PT1C1' THEN 'PT181'
   WHEN trim(`4_collateral_nuts`) = 'PT1C2' THEN 'PT184'
   WHEN trim(`4_collateral_nuts`) = 'PT1D3' THEN 'PT185'
   WHEN trim(`4_collateral_nuts`) = 'PT1C3' THEN 'PT186'
   WHEN trim(`4_collateral_nuts`) = 'PT1C4' THEN 'PT187'
   WHEN trim(`4_collateral_nuts`) = 'PT196' THEN 'PT116J'
   WHEN trim(`4_collateral_nuts`) IN ('PT1B0', 'PT1A0') THEN 'PT170'
   ELSE `4_collateral_nuts`
 END AS `4_collateral_nuts_old`,
    substring(`5_collateral_zip_code`,1,4) AS zipCode_Collateral
FROM bu_esg_work.adjudicados_Dez24_final
WHERE cod_imovel in('27115','26679','27045','2100176174')
;</t>
  </si>
  <si>
    <t>SELECT
    concat(property_bank_id, property_branch_code, property_contract_id, property_reference_code) as chave,
    postal_code
FROM bu_esg_work.property
where data_date_part='2025-06-30'
and concat(property_bank_id, property_branch_code, property_contract_id, property_reference_code) in ('31CMAHIMOVELGIDAP000000000026679','31CMAHIMOVELGIDAP000000000027115','31CMAHIMOVELRECUPTC9002242003575','31CMAHIMOVELGIDAP000000000027045')
;</t>
  </si>
  <si>
    <t>SELECT
    rs_acute, 
    rs_chronic,
    substring(LOCAT,5,4) as cpt_code
FROM bu_esg_work.physical_risk_cp_dez24
WHERE nace='Secured'
AND substring(LOCAT,5,4) in ('2600', '2845', '9970')
;</t>
  </si>
  <si>
    <t>-&gt; Obtenção de codigo postal para os 4 imoveis que marcam ACUT1 a dez24</t>
  </si>
  <si>
    <t>-&gt; Verificação da marcação do risco na tabela de dezembro (com base nos codigos postais)</t>
  </si>
  <si>
    <t>-&gt; Obtenção dos codigos postais dos mesmos imoveis, mas para jun25. É preciso verificar manualmente no ficheiro excel (TABELA DE INPUTS - 20250527 Pillar 3 ESG - Physical risk v8) a marcação do RS_ACUTE</t>
  </si>
  <si>
    <t>Casos que tinham ACUT 1 no tático</t>
  </si>
  <si>
    <t>bu_esg_work.adjudicados_Dez24_final</t>
  </si>
  <si>
    <t>Property</t>
  </si>
  <si>
    <t>4_collateral_nuts</t>
  </si>
  <si>
    <t>4_collateral_nuts_old</t>
  </si>
  <si>
    <t>zipcode_collateral</t>
  </si>
  <si>
    <t>Postal code</t>
  </si>
  <si>
    <t xml:space="preserve">RS_ACUTE (TABELA DE INPUTS - 20250527 Pillar 3 ESG - Physical risk v8) </t>
  </si>
  <si>
    <t>postal_code</t>
  </si>
  <si>
    <t>PT1B0</t>
  </si>
  <si>
    <t>PT170</t>
  </si>
  <si>
    <t>NO</t>
  </si>
  <si>
    <t>9970-094 Ponta Delgada</t>
  </si>
  <si>
    <t>2600-051</t>
  </si>
  <si>
    <t>PT1A0</t>
  </si>
  <si>
    <t>2845-000</t>
  </si>
  <si>
    <t>PT200</t>
  </si>
  <si>
    <t>2600-132</t>
  </si>
  <si>
    <t>6416250EUR31451PRT110000015000TYVA01</t>
  </si>
  <si>
    <t>Novo contrato que passou a integrar o universo em jun25
CMAHAJID0000232500000BI0041100</t>
  </si>
  <si>
    <t>SELECT
    A.*
FROM
    (
    SELECT 
        '00411' AS INFORMING_SOC,
        CASE
            WHEN SOCIEDADE_CONTRAPARTE='01278' THEN '00000'
        ELSE SOCIEDADE_CONTRAPARTE
        END AS COUNTERPARTY_SOC,
        'BI00411' AS ADJUSTMENT_CODE,
        CASE
                WHEN IDCOMB_SATELITE LIKE '%TYVA02%' AND EXCLUDED_PARIS &lt;&gt;'' AND INVESTMENT_SECTOR = ''  THEN
                CONCAT(IDCOMB_SATELITE,";",EXCLUDED_PARIS,";",MATURITY_ESG) 
                WHEN IDCOMB_SATELITE LIKE '%TYVA02%' AND EXCLUDED_PARIS &lt;&gt;'' AND INVESTMENT_SECTOR &lt;&gt; ''  THEN 
                CONCAT(IDCOMB_SATELITE,";",INVESTMENT_SECTOR,";",EXCLUDED_PARIS)
                WHEN IDCOMB_SATELITE LIKE '%TYVA02%' AND EXCLUDED_PARIS = '' AND INVESTMENT_SECTOR &lt;&gt; ''  THEN 
                CONCAT(IDCOMB_SATELITE,";",INVESTMENT_SECTOR)
                WHEN IDCOMB_SATELITE LIKE '%MC06%' AND IDCOMB_SATELITE NOT LIKE '%SC0303%' THEN
                CONCAT(IDCOMB_SATELITE,";",MATURITY_ESG)
                WHEN IDCOMB_SATELITE LIKE '%TYVA02%' AND EXCLUDED_PARIS = '' AND INVESTMENT_SECTOR = ''  AND MATURITY_ESG = '' THEN IDCOMB_SATELITE
                WHEN IDCOMB_SATELITE LIKE '%TYVA01%' AND EXCLUDED_PARIS = '' AND IDCOMB_SATELITE LIKE '%MC08%' THEN 
                CONCAT(IDCOMB_SATELITE,";",INVESTMENT_SECTOR,";",MATURITY_ESG)
                WHEN IDCOMB_SATELITE LIKE '%TYVA01%' AND EXCLUDED_PARIS &lt;&gt; '' AND IDCOMB_SATELITE LIKE '%MC08%' THEN
                CONCAT(IDCOMB_SATELITE,";",INVESTMENT_SECTOR,";",EXCLUDED_PARIS,";",MATURITY_ESG)      
                WHEN IDCOMB_SATELITE LIKE '%MC06%' AND IDCOMB_SATELITE LIKE '%SC0303%' THEN 
                CONCAT(IDCOMB_SATELITE,";",EXCLUDED_PARIS,";",MATURITY_ESG)    
                WHEN FLAG_MATURITY=1 AND EXCLUDED_PARIS &lt;&gt;'' AND INVESTMENT_SECTOR &lt;&gt;'' THEN 
                CONCAT(IDCOMB_SATELITE,";",INVESTMENT_SECTOR,";",EXCLUDED_PARIS,";",MATURITY_ESG)
                WHEN FLAG_MATURITY=1 AND EXCLUDED_PARIS =''  THEN 
                CONCAT(IDCOMB_SATELITE,";",MATURITY_ESG)
                WHEN FLAG_MATURITY=0 AND MATURITY_ESG = 'MESG5' AND INVESTMENT_SECTOR &lt;&gt;'' THEN 
                CONCAT(IDCOMB_SATELITE,";",INVESTMENT_SECTOR,";",EXCLUDED_PARIS,";",MATURITY_ESG)
                WHEN FLAG_MATURITY=0 AND EXCLUDED_PARIS &lt;&gt;'' AND INVESTMENT_SECTOR &lt;&gt;'' THEN 
                CONCAT(IDCOMB_SATELITE,";",INVESTMENT_SECTOR,";",EXCLUDED_PARIS) 
                WHEN FLAG_MATURITY=0 AND EXCLUDED_PARIS ='' AND INVESTMENT_SECTOR &lt;&gt;'' THEN 
                CONCAT(IDCOMB_SATELITE,";",INVESTMENT_SECTOR,";",MATURITY_ESG)
                ELSE CONCAT(IDCOMB_SATELITE,";",MATURITY_ESG)
            END   AS COMB_CODE,      
        SUM(ROUND(AMOUNT,0)) AS AMOUNT,
        EUROPEAN_UNION AS EU,
        CHRONIC_CHANGES AS CHRO,
        ACUTE_CHANGES AS ACUT,
        GEO,
        CNAEL,
        NACE_ESG AS NACE
    FROM BU_CAPTOOLS_WORK.JUN25_SAT79_GRA_PN_5
    GROUP BY 1,2,3,4,6,7,8,9,10,11
    ) A
    HAVING AMOUNT &lt;&gt; 0
;</t>
  </si>
  <si>
    <t>WITH AA AS(
SELECT
    A.*
FROM
    (
    SELECT 
        '00411' AS INFORMING_SOC,
        CASE
            WHEN SOCIEDADE_CONTRAPARTE='01278' THEN '00000'
        ELSE SOCIEDADE_CONTRAPARTE
        END AS COUNTERPARTY_SOC,
        'BI00411' AS ADJUSTMENT_CODE,
        CASE
                WHEN IDCOMB_SATELITE LIKE '%TYVA02%' AND EXCLUDED_PARIS &lt;&gt;'' AND INVESTMENT_SECTOR = ''  THEN
                CONCAT(IDCOMB_SATELITE,";",EXCLUDED_PARIS,";",MATURITY_ESG) 
                WHEN IDCOMB_SATELITE LIKE '%TYVA02%' AND EXCLUDED_PARIS &lt;&gt;'' AND INVESTMENT_SECTOR &lt;&gt; ''  THEN 
                CONCAT(IDCOMB_SATELITE,";",INVESTMENT_SECTOR,";",EXCLUDED_PARIS)
                WHEN IDCOMB_SATELITE LIKE '%TYVA02%' AND EXCLUDED_PARIS = '' AND INVESTMENT_SECTOR &lt;&gt; ''  THEN 
                CONCAT(IDCOMB_SATELITE,";",INVESTMENT_SECTOR)
                WHEN IDCOMB_SATELITE LIKE '%MC06%' AND IDCOMB_SATELITE NOT LIKE '%SC0303%' THEN
                CONCAT(IDCOMB_SATELITE,";",MATURITY_ESG)
                WHEN IDCOMB_SATELITE LIKE '%TYVA02%' AND EXCLUDED_PARIS = '' AND INVESTMENT_SECTOR = ''  AND MATURITY_ESG = '' THEN IDCOMB_SATELITE
                WHEN IDCOMB_SATELITE LIKE '%TYVA01%' AND EXCLUDED_PARIS = '' AND IDCOMB_SATELITE LIKE '%MC08%' THEN 
                CONCAT(IDCOMB_SATELITE,";",INVESTMENT_SECTOR,";",MATURITY_ESG)
                WHEN IDCOMB_SATELITE LIKE '%TYVA01%' AND EXCLUDED_PARIS &lt;&gt; '' AND IDCOMB_SATELITE LIKE '%MC08%' THEN
                CONCAT(IDCOMB_SATELITE,";",INVESTMENT_SECTOR,";",EXCLUDED_PARIS,";",MATURITY_ESG)      
                WHEN IDCOMB_SATELITE LIKE '%MC06%' AND IDCOMB_SATELITE LIKE '%SC0303%' THEN 
                CONCAT(IDCOMB_SATELITE,";",EXCLUDED_PARIS,";",MATURITY_ESG)    
                WHEN FLAG_MATURITY=1 AND EXCLUDED_PARIS &lt;&gt;'' AND INVESTMENT_SECTOR &lt;&gt;'' THEN 
                CONCAT(IDCOMB_SATELITE,";",INVESTMENT_SECTOR,";",EXCLUDED_PARIS,";",MATURITY_ESG)
                WHEN FLAG_MATURITY=1 AND EXCLUDED_PARIS =''  THEN 
                CONCAT(IDCOMB_SATELITE,";",MATURITY_ESG)
                WHEN FLAG_MATURITY=0 AND MATURITY_ESG = 'MESG5' AND INVESTMENT_SECTOR &lt;&gt;'' THEN 
                CONCAT(IDCOMB_SATELITE,";",INVESTMENT_SECTOR,";",EXCLUDED_PARIS,";",MATURITY_ESG)
                WHEN FLAG_MATURITY=0 AND EXCLUDED_PARIS &lt;&gt;'' AND INVESTMENT_SECTOR &lt;&gt;'' THEN 
                CONCAT(IDCOMB_SATELITE,";",INVESTMENT_SECTOR,";",EXCLUDED_PARIS) 
                WHEN FLAG_MATURITY=0 AND EXCLUDED_PARIS ='' AND INVESTMENT_SECTOR &lt;&gt;'' THEN 
                CONCAT(IDCOMB_SATELITE,";",INVESTMENT_SECTOR,";",MATURITY_ESG)
                ELSE CONCAT(IDCOMB_SATELITE,";",MATURITY_ESG)
            END   AS COMB_CODE,      
        SUM(ROUND(AMOUNT,0)) AS AMOUNT,
        EUROPEAN_UNION AS EU,
        CHRONIC_CHANGES AS CHRO,
        ACUTE_CHANGES AS ACUT,
        GEO,
        CNAEL,
        NACE_ESG AS NACE, 
        cempresa_ct, 
        cbalcao_ct, 
        cnumecta_ct, 
        zdeposit_ct, 
        ckbalbem, 
        ckctabem, 
        ckrefbem
    FROM BU_CAPTOOLS_WORK.JUN25_SAT79_GRA_PN_5
    GROUP BY 1,2,3,4,6,7,8,9,10,11,12,13,14,15,16,17,18
    ) A
    HAVING AMOUNT &lt;&gt; 0
)
SELECT *
FROM AA
-- WHERE COMB_CODE='CONT1;HFS2;B01;MC08;TYVA02;INVS5;EXC2'
;</t>
  </si>
  <si>
    <t>jun/25</t>
  </si>
  <si>
    <t>Soma 11M (do erro da tabela de emissoes)</t>
  </si>
  <si>
    <t>Adjudicados</t>
  </si>
  <si>
    <t>Somatório do MESG4 + TYVA01</t>
  </si>
  <si>
    <t>MESG 4 + TYVA 01</t>
  </si>
  <si>
    <t>Adjud</t>
  </si>
  <si>
    <t>Exclusivo dez (operações gerais)</t>
  </si>
  <si>
    <t>Exclusivo universo Jun25</t>
  </si>
  <si>
    <t>Incremento adjudi</t>
  </si>
  <si>
    <t>Variação de saldos Adjud</t>
  </si>
  <si>
    <t>Exclusivo dez (Adjudicados)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</si>
</sst>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" xfId="0" applyFont="1" applyFill="1" applyBorder="1"/>
    <xf numFmtId="0" fontId="5" fillId="0" borderId="0" xfId="0" applyFont="1" applyFill="1"/>
    <xf numFmtId="0" fontId="5" fillId="0" borderId="0" xfId="0" applyFont="1" applyFill="1" applyBorder="1"/>
    <xf numFmtId="0" fontId="2" fillId="0" borderId="0" xfId="0" applyFont="1" applyFill="1"/>
    <xf numFmtId="17" fontId="3" fillId="0" borderId="2" xfId="0" applyNumberFormat="1" applyFont="1" applyBorder="1" applyAlignment="1">
      <alignment horizontal="left"/>
    </xf>
    <xf numFmtId="0" fontId="0" fillId="0" borderId="2" xfId="0" applyBorder="1"/>
    <xf numFmtId="49" fontId="0" fillId="0" borderId="0" xfId="0" applyNumberFormat="1"/>
    <xf numFmtId="49" fontId="1" fillId="3" borderId="3" xfId="0" applyNumberFormat="1" applyFont="1" applyFill="1" applyBorder="1" applyAlignment="1">
      <alignment horizontal="center"/>
    </xf>
    <xf numFmtId="49" fontId="0" fillId="0" borderId="4" xfId="0" applyNumberFormat="1" applyBorder="1"/>
    <xf numFmtId="4" fontId="0" fillId="0" borderId="4" xfId="0" applyNumberFormat="1" applyBorder="1"/>
    <xf numFmtId="49" fontId="3" fillId="0" borderId="0" xfId="0" applyNumberFormat="1" applyFont="1" applyFill="1" applyBorder="1"/>
    <xf numFmtId="49" fontId="0" fillId="4" borderId="0" xfId="0" applyNumberFormat="1" applyFill="1" applyAlignment="1"/>
    <xf numFmtId="0" fontId="0" fillId="0" borderId="0" xfId="0" quotePrefix="1"/>
    <xf numFmtId="49" fontId="0" fillId="5" borderId="4" xfId="0" applyNumberFormat="1" applyFill="1" applyBorder="1"/>
    <xf numFmtId="4" fontId="0" fillId="5" borderId="4" xfId="0" applyNumberFormat="1" applyFill="1" applyBorder="1"/>
    <xf numFmtId="4" fontId="0" fillId="0" borderId="0" xfId="0" applyNumberFormat="1"/>
    <xf numFmtId="0" fontId="3" fillId="0" borderId="0" xfId="0" applyFont="1"/>
    <xf numFmtId="0" fontId="0" fillId="4" borderId="0" xfId="0" applyFill="1" applyAlignment="1"/>
    <xf numFmtId="49" fontId="0" fillId="0" borderId="0" xfId="0" quotePrefix="1" applyNumberFormat="1"/>
    <xf numFmtId="0" fontId="0" fillId="0" borderId="0" xfId="0" applyNumberFormat="1"/>
    <xf numFmtId="49" fontId="3" fillId="0" borderId="0" xfId="0" applyNumberFormat="1" applyFont="1"/>
    <xf numFmtId="49" fontId="1" fillId="3" borderId="5" xfId="0" applyNumberFormat="1" applyFont="1" applyFill="1" applyBorder="1" applyAlignment="1">
      <alignment horizontal="center"/>
    </xf>
    <xf numFmtId="0" fontId="0" fillId="0" borderId="0" xfId="0" quotePrefix="1" applyAlignment="1"/>
    <xf numFmtId="0" fontId="0" fillId="0" borderId="0" xfId="0" applyAlignment="1"/>
    <xf numFmtId="49" fontId="0" fillId="5" borderId="0" xfId="0" applyNumberFormat="1" applyFill="1"/>
    <xf numFmtId="0" fontId="0" fillId="0" borderId="0" xfId="0" applyAlignment="1">
      <alignment horizontal="center"/>
    </xf>
    <xf numFmtId="4" fontId="0" fillId="0" borderId="0" xfId="0" applyNumberFormat="1" applyFont="1"/>
    <xf numFmtId="49" fontId="0" fillId="0" borderId="0" xfId="0" quotePrefix="1" applyNumberFormat="1" applyAlignment="1"/>
    <xf numFmtId="49" fontId="0" fillId="0" borderId="0" xfId="0" applyNumberFormat="1" applyFont="1"/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Border="1"/>
    <xf numFmtId="0" fontId="0" fillId="0" borderId="0" xfId="0" applyBorder="1"/>
    <xf numFmtId="0" fontId="5" fillId="0" borderId="0" xfId="0" quotePrefix="1" applyFont="1" applyFill="1" applyBorder="1"/>
    <xf numFmtId="49" fontId="0" fillId="0" borderId="0" xfId="0" applyNumberFormat="1" applyAlignment="1"/>
    <xf numFmtId="49" fontId="3" fillId="0" borderId="4" xfId="0" applyNumberFormat="1" applyFont="1" applyBorder="1"/>
    <xf numFmtId="4" fontId="0" fillId="0" borderId="2" xfId="0" applyNumberFormat="1" applyBorder="1"/>
    <xf numFmtId="17" fontId="3" fillId="0" borderId="0" xfId="0" applyNumberFormat="1" applyFont="1"/>
    <xf numFmtId="0" fontId="0" fillId="0" borderId="0" xfId="0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10" xfId="0" applyFill="1" applyBorder="1" applyAlignment="1"/>
    <xf numFmtId="0" fontId="0" fillId="2" borderId="0" xfId="0" quotePrefix="1" applyFill="1" applyBorder="1"/>
    <xf numFmtId="0" fontId="0" fillId="2" borderId="12" xfId="0" applyFill="1" applyBorder="1" applyAlignment="1"/>
    <xf numFmtId="0" fontId="0" fillId="2" borderId="2" xfId="0" applyFill="1" applyBorder="1"/>
    <xf numFmtId="0" fontId="0" fillId="2" borderId="2" xfId="0" quotePrefix="1" applyFill="1" applyBorder="1"/>
    <xf numFmtId="0" fontId="0" fillId="2" borderId="13" xfId="0" applyFill="1" applyBorder="1"/>
    <xf numFmtId="0" fontId="3" fillId="0" borderId="0" xfId="0" quotePrefix="1" applyFont="1"/>
    <xf numFmtId="4" fontId="5" fillId="0" borderId="0" xfId="0" quotePrefix="1" applyNumberFormat="1" applyFont="1" applyFill="1" applyBorder="1"/>
    <xf numFmtId="0" fontId="3" fillId="5" borderId="0" xfId="0" applyFont="1" applyFill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" fontId="5" fillId="0" borderId="0" xfId="0" applyNumberFormat="1" applyFont="1" applyFill="1" applyBorder="1"/>
    <xf numFmtId="4" fontId="2" fillId="0" borderId="0" xfId="0" applyNumberFormat="1" applyFon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231929</xdr:colOff>
      <xdr:row>2</xdr:row>
      <xdr:rowOff>4611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7650" y="190500"/>
          <a:ext cx="1146329" cy="195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231929</xdr:colOff>
      <xdr:row>2</xdr:row>
      <xdr:rowOff>4611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7650" y="190500"/>
          <a:ext cx="1146329" cy="195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1146329</xdr:colOff>
      <xdr:row>2</xdr:row>
      <xdr:rowOff>4611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7650" y="190500"/>
          <a:ext cx="1146329" cy="1951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117629</xdr:colOff>
      <xdr:row>2</xdr:row>
      <xdr:rowOff>4611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7650" y="190500"/>
          <a:ext cx="1146329" cy="195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D48"/>
  <sheetViews>
    <sheetView showGridLines="0" workbookViewId="0">
      <selection activeCell="M9" sqref="M9"/>
    </sheetView>
  </sheetViews>
  <sheetFormatPr defaultRowHeight="15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28515625" bestFit="1" customWidth="1"/>
    <col min="7" max="7" width="4.28515625" customWidth="1"/>
    <col min="8" max="8" width="7" customWidth="1"/>
    <col min="9" max="10" width="6.7109375" customWidth="1"/>
    <col min="11" max="11" width="8.7109375" customWidth="1"/>
    <col min="12" max="12" width="14" bestFit="1" customWidth="1"/>
    <col min="22" max="22" width="53.85546875" bestFit="1" customWidth="1"/>
    <col min="23" max="23" width="15" bestFit="1" customWidth="1"/>
  </cols>
  <sheetData>
    <row r="1" spans="1:16384" s="1" customFormat="1" x14ac:dyDescent="0.25"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1" customFormat="1" x14ac:dyDescent="0.25"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1" customFormat="1" x14ac:dyDescent="0.25"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1" customFormat="1" ht="15.75" thickBo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6" customFormat="1" ht="6.95" customHeight="1" thickTop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x14ac:dyDescent="0.25">
      <c r="B6" s="7">
        <v>45809</v>
      </c>
      <c r="C6" s="8"/>
      <c r="D6" s="8"/>
      <c r="E6" s="8">
        <f>SUM(F30:F33)</f>
        <v>19505906</v>
      </c>
      <c r="F6" s="39">
        <f>SUM(F9:F10)</f>
        <v>51217580</v>
      </c>
      <c r="G6" s="8"/>
      <c r="H6" s="8"/>
      <c r="I6" s="8"/>
      <c r="J6" s="8"/>
      <c r="K6" s="8"/>
      <c r="L6" s="39">
        <f>F6-E6</f>
        <v>31711674</v>
      </c>
      <c r="M6" s="8"/>
      <c r="N6" s="8"/>
      <c r="O6" s="8"/>
      <c r="P6" s="8"/>
      <c r="Q6" s="8"/>
      <c r="R6" s="8"/>
      <c r="S6" s="8"/>
      <c r="T6" s="8"/>
      <c r="U6" s="8"/>
      <c r="W6">
        <v>1</v>
      </c>
    </row>
    <row r="7" spans="1:16384" ht="6.95" customHeight="1" x14ac:dyDescent="0.25"/>
    <row r="8" spans="1:16384" x14ac:dyDescent="0.25">
      <c r="B8" s="10" t="s">
        <v>105</v>
      </c>
      <c r="C8" s="10" t="s">
        <v>106</v>
      </c>
      <c r="D8" s="10" t="s">
        <v>107</v>
      </c>
      <c r="E8" s="10" t="s">
        <v>108</v>
      </c>
      <c r="F8" s="10" t="s">
        <v>12</v>
      </c>
      <c r="G8" s="10" t="s">
        <v>109</v>
      </c>
      <c r="H8" s="10" t="s">
        <v>110</v>
      </c>
      <c r="I8" s="10" t="s">
        <v>111</v>
      </c>
      <c r="J8" s="10" t="s">
        <v>11</v>
      </c>
      <c r="K8" s="10" t="s">
        <v>8</v>
      </c>
      <c r="L8" s="10" t="s">
        <v>112</v>
      </c>
      <c r="M8" s="10" t="s">
        <v>127</v>
      </c>
    </row>
    <row r="9" spans="1:16384" x14ac:dyDescent="0.25">
      <c r="B9" s="11" t="s">
        <v>124</v>
      </c>
      <c r="C9" s="11" t="s">
        <v>18</v>
      </c>
      <c r="D9" s="11" t="s">
        <v>113</v>
      </c>
      <c r="E9" s="11" t="s">
        <v>117</v>
      </c>
      <c r="F9" s="12">
        <v>71745158</v>
      </c>
      <c r="G9" s="11" t="s">
        <v>19</v>
      </c>
      <c r="H9" s="11" t="s">
        <v>22</v>
      </c>
      <c r="I9" s="11" t="s">
        <v>21</v>
      </c>
      <c r="J9" s="11" t="s">
        <v>20</v>
      </c>
      <c r="K9" s="11"/>
      <c r="L9" s="11"/>
      <c r="M9" s="14" t="s">
        <v>270</v>
      </c>
      <c r="N9" s="15" t="s">
        <v>129</v>
      </c>
      <c r="O9" t="str">
        <f>CONCATENATE(E9,G9,H9,I9,J9,K9,L9)</f>
        <v>CONT1;HFS1;B01;MC1005;ORIG4;TYVA01;MESG4EU1CHRO2ACUT2GEO3</v>
      </c>
      <c r="P9" s="15" t="s">
        <v>129</v>
      </c>
      <c r="Q9" t="str">
        <f>VLOOKUP(O9,$O$30:$O$46,1,FALSE)</f>
        <v>CONT1;HFS1;B01;MC1005;ORIG4;TYVA01;MESG4EU1CHRO2ACUT2GEO3</v>
      </c>
      <c r="R9" s="15" t="s">
        <v>129</v>
      </c>
      <c r="S9" s="10" t="s">
        <v>259</v>
      </c>
      <c r="T9" s="26" t="s">
        <v>271</v>
      </c>
      <c r="U9" s="15" t="s">
        <v>129</v>
      </c>
    </row>
    <row r="10" spans="1:16384" x14ac:dyDescent="0.25">
      <c r="B10" s="11" t="s">
        <v>124</v>
      </c>
      <c r="C10" s="11" t="s">
        <v>18</v>
      </c>
      <c r="D10" s="11" t="s">
        <v>113</v>
      </c>
      <c r="E10" s="11" t="s">
        <v>15</v>
      </c>
      <c r="F10" s="12">
        <v>-20527578</v>
      </c>
      <c r="G10" s="11" t="s">
        <v>19</v>
      </c>
      <c r="H10" s="11" t="s">
        <v>22</v>
      </c>
      <c r="I10" s="11" t="s">
        <v>21</v>
      </c>
      <c r="J10" s="11" t="s">
        <v>20</v>
      </c>
      <c r="K10" s="11"/>
      <c r="L10" s="11"/>
      <c r="M10" s="9"/>
      <c r="O10" t="str">
        <f t="shared" ref="O10:O25" si="0">CONCATENATE(E10,G10,H10,I10,J10,K10,L10)</f>
        <v>CONT1;HFS1;B01;MC1005;ORIG4;TYVA02EU1CHRO2ACUT2GEO3</v>
      </c>
      <c r="P10" s="15" t="s">
        <v>129</v>
      </c>
      <c r="Q10" t="str">
        <f t="shared" ref="Q10:Q25" si="1">VLOOKUP(O10,$O$30:$O$46,1,FALSE)</f>
        <v>CONT1;HFS1;B01;MC1005;ORIG4;TYVA02EU1CHRO2ACUT2GEO3</v>
      </c>
      <c r="R10" s="15" t="s">
        <v>129</v>
      </c>
    </row>
    <row r="11" spans="1:16384" x14ac:dyDescent="0.25">
      <c r="B11" s="11" t="s">
        <v>124</v>
      </c>
      <c r="C11" s="11" t="s">
        <v>18</v>
      </c>
      <c r="D11" s="11" t="s">
        <v>113</v>
      </c>
      <c r="E11" s="11" t="s">
        <v>123</v>
      </c>
      <c r="F11" s="12">
        <v>1</v>
      </c>
      <c r="G11" s="11" t="s">
        <v>19</v>
      </c>
      <c r="H11" s="11" t="s">
        <v>22</v>
      </c>
      <c r="I11" s="11" t="s">
        <v>21</v>
      </c>
      <c r="J11" s="11" t="s">
        <v>54</v>
      </c>
      <c r="K11" s="11"/>
      <c r="L11" s="11"/>
      <c r="M11" s="37" t="s">
        <v>717</v>
      </c>
      <c r="O11" t="str">
        <f t="shared" si="0"/>
        <v>CONT1;HFS2;B01;MC06;ACPF3;SC0302;TYVA01;MESG4EU1CHRO2ACUT2GEO19</v>
      </c>
      <c r="P11" s="15" t="s">
        <v>129</v>
      </c>
      <c r="Q11" t="e">
        <f t="shared" si="1"/>
        <v>#N/A</v>
      </c>
      <c r="R11" s="30" t="s">
        <v>129</v>
      </c>
    </row>
    <row r="12" spans="1:16384" x14ac:dyDescent="0.25">
      <c r="B12" s="11" t="s">
        <v>124</v>
      </c>
      <c r="C12" s="11" t="s">
        <v>18</v>
      </c>
      <c r="D12" s="11" t="s">
        <v>113</v>
      </c>
      <c r="E12" s="11" t="s">
        <v>123</v>
      </c>
      <c r="F12" s="12">
        <v>11909666</v>
      </c>
      <c r="G12" s="11" t="s">
        <v>19</v>
      </c>
      <c r="H12" s="11" t="s">
        <v>22</v>
      </c>
      <c r="I12" s="11" t="s">
        <v>21</v>
      </c>
      <c r="J12" s="11" t="s">
        <v>20</v>
      </c>
      <c r="K12" s="11"/>
      <c r="L12" s="11"/>
      <c r="O12" t="str">
        <f t="shared" si="0"/>
        <v>CONT1;HFS2;B01;MC06;ACPF3;SC0302;TYVA01;MESG4EU1CHRO2ACUT2GEO3</v>
      </c>
      <c r="P12" s="15" t="s">
        <v>129</v>
      </c>
      <c r="Q12" t="str">
        <f t="shared" si="1"/>
        <v>CONT1;HFS2;B01;MC06;ACPF3;SC0302;TYVA01;MESG4EU1CHRO2ACUT2GEO3</v>
      </c>
      <c r="R12" s="30" t="s">
        <v>129</v>
      </c>
      <c r="S12" s="56" t="s">
        <v>689</v>
      </c>
      <c r="T12" s="56"/>
      <c r="U12" s="56"/>
      <c r="V12" s="56"/>
      <c r="W12" s="56"/>
    </row>
    <row r="13" spans="1:16384" x14ac:dyDescent="0.25">
      <c r="B13" s="11" t="s">
        <v>124</v>
      </c>
      <c r="C13" s="11" t="s">
        <v>18</v>
      </c>
      <c r="D13" s="11" t="s">
        <v>113</v>
      </c>
      <c r="E13" s="11" t="s">
        <v>116</v>
      </c>
      <c r="F13" s="12">
        <v>2605443</v>
      </c>
      <c r="G13" s="11" t="s">
        <v>44</v>
      </c>
      <c r="H13" s="11" t="s">
        <v>22</v>
      </c>
      <c r="I13" s="11" t="s">
        <v>21</v>
      </c>
      <c r="J13" s="11" t="s">
        <v>45</v>
      </c>
      <c r="K13" s="11"/>
      <c r="L13" s="11"/>
      <c r="M13" s="9"/>
      <c r="O13" t="str">
        <f t="shared" si="0"/>
        <v>CONT1;HFS2;B01;MC06;ACPF5;SC0302;TYVA01;MESG4EU2CHRO2ACUT2GEO2</v>
      </c>
      <c r="P13" s="15" t="s">
        <v>129</v>
      </c>
      <c r="Q13" t="str">
        <f t="shared" si="1"/>
        <v>CONT1;HFS2;B01;MC06;ACPF5;SC0302;TYVA01;MESG4EU2CHRO2ACUT2GEO2</v>
      </c>
      <c r="R13" s="30" t="s">
        <v>129</v>
      </c>
      <c r="S13" s="42" t="s">
        <v>690</v>
      </c>
      <c r="T13" s="43"/>
      <c r="U13" s="43"/>
      <c r="V13" s="43"/>
      <c r="W13" s="44"/>
    </row>
    <row r="14" spans="1:16384" x14ac:dyDescent="0.25">
      <c r="B14" s="11" t="s">
        <v>124</v>
      </c>
      <c r="C14" s="11" t="s">
        <v>18</v>
      </c>
      <c r="D14" s="11" t="s">
        <v>113</v>
      </c>
      <c r="E14" s="11" t="s">
        <v>116</v>
      </c>
      <c r="F14" s="12">
        <v>170043081</v>
      </c>
      <c r="G14" s="11" t="s">
        <v>19</v>
      </c>
      <c r="H14" s="11" t="s">
        <v>22</v>
      </c>
      <c r="I14" s="11" t="s">
        <v>21</v>
      </c>
      <c r="J14" s="11" t="s">
        <v>20</v>
      </c>
      <c r="K14" s="11"/>
      <c r="L14" s="11"/>
      <c r="M14" s="9"/>
      <c r="O14" t="str">
        <f t="shared" si="0"/>
        <v>CONT1;HFS2;B01;MC06;ACPF5;SC0302;TYVA01;MESG4EU1CHRO2ACUT2GEO3</v>
      </c>
      <c r="P14" s="15" t="s">
        <v>129</v>
      </c>
      <c r="Q14" t="str">
        <f t="shared" si="1"/>
        <v>CONT1;HFS2;B01;MC06;ACPF5;SC0302;TYVA01;MESG4EU1CHRO2ACUT2GEO3</v>
      </c>
      <c r="R14" s="30" t="s">
        <v>129</v>
      </c>
      <c r="S14" s="45" t="s">
        <v>691</v>
      </c>
      <c r="T14" s="46"/>
      <c r="U14" s="46"/>
      <c r="V14" s="46"/>
      <c r="W14" s="47"/>
    </row>
    <row r="15" spans="1:16384" x14ac:dyDescent="0.25">
      <c r="B15" s="11" t="s">
        <v>124</v>
      </c>
      <c r="C15" s="11" t="s">
        <v>18</v>
      </c>
      <c r="D15" s="11" t="s">
        <v>113</v>
      </c>
      <c r="E15" s="38" t="s">
        <v>116</v>
      </c>
      <c r="F15" s="12">
        <v>1</v>
      </c>
      <c r="G15" s="11" t="s">
        <v>19</v>
      </c>
      <c r="H15" s="11" t="s">
        <v>22</v>
      </c>
      <c r="I15" s="11" t="s">
        <v>21</v>
      </c>
      <c r="J15" s="11" t="s">
        <v>54</v>
      </c>
      <c r="K15" s="11"/>
      <c r="L15" s="11"/>
      <c r="M15" s="9"/>
      <c r="O15" t="str">
        <f t="shared" si="0"/>
        <v>CONT1;HFS2;B01;MC06;ACPF5;SC0302;TYVA01;MESG4EU1CHRO2ACUT2GEO19</v>
      </c>
      <c r="P15" s="15" t="s">
        <v>129</v>
      </c>
      <c r="Q15" t="e">
        <f t="shared" si="1"/>
        <v>#N/A</v>
      </c>
      <c r="R15" s="30" t="s">
        <v>129</v>
      </c>
      <c r="S15" s="48" t="s">
        <v>692</v>
      </c>
      <c r="T15" s="46"/>
      <c r="U15" s="49" t="s">
        <v>695</v>
      </c>
      <c r="V15" s="46"/>
      <c r="W15" s="47"/>
    </row>
    <row r="16" spans="1:16384" x14ac:dyDescent="0.25">
      <c r="B16" s="11" t="s">
        <v>124</v>
      </c>
      <c r="C16" s="11" t="s">
        <v>18</v>
      </c>
      <c r="D16" s="11" t="s">
        <v>113</v>
      </c>
      <c r="E16" s="11" t="s">
        <v>118</v>
      </c>
      <c r="F16" s="12">
        <v>22684</v>
      </c>
      <c r="G16" s="11" t="s">
        <v>19</v>
      </c>
      <c r="H16" s="11" t="s">
        <v>22</v>
      </c>
      <c r="I16" s="11" t="s">
        <v>21</v>
      </c>
      <c r="J16" s="11" t="s">
        <v>20</v>
      </c>
      <c r="K16" s="11" t="s">
        <v>52</v>
      </c>
      <c r="L16" s="11" t="s">
        <v>53</v>
      </c>
      <c r="M16" s="9"/>
      <c r="O16" t="str">
        <f t="shared" si="0"/>
        <v>CONT1;HFS2;B01;MC06;ACPF5;SC0303;TYVA01;EXC2;MESG4EU1CHRO2ACUT2GEO3CNAEL18NACE19010303</v>
      </c>
      <c r="P16" s="15" t="s">
        <v>129</v>
      </c>
      <c r="Q16" t="str">
        <f t="shared" si="1"/>
        <v>CONT1;HFS2;B01;MC06;ACPF5;SC0303;TYVA01;EXC2;MESG4EU1CHRO2ACUT2GEO3CNAEL18NACE19010303</v>
      </c>
      <c r="R16" s="30" t="s">
        <v>129</v>
      </c>
      <c r="S16" s="48" t="s">
        <v>694</v>
      </c>
      <c r="T16" s="46"/>
      <c r="U16" s="49" t="s">
        <v>696</v>
      </c>
      <c r="V16" s="46"/>
      <c r="W16" s="47"/>
      <c r="X16" s="15" t="s">
        <v>129</v>
      </c>
    </row>
    <row r="17" spans="2:24" x14ac:dyDescent="0.25">
      <c r="B17" s="11" t="s">
        <v>124</v>
      </c>
      <c r="C17" s="11" t="s">
        <v>18</v>
      </c>
      <c r="D17" s="11" t="s">
        <v>113</v>
      </c>
      <c r="E17" s="11" t="s">
        <v>118</v>
      </c>
      <c r="F17" s="12">
        <v>35578</v>
      </c>
      <c r="G17" s="11" t="s">
        <v>19</v>
      </c>
      <c r="H17" s="11" t="s">
        <v>22</v>
      </c>
      <c r="I17" s="11" t="s">
        <v>21</v>
      </c>
      <c r="J17" s="11" t="s">
        <v>20</v>
      </c>
      <c r="K17" s="11" t="s">
        <v>61</v>
      </c>
      <c r="L17" s="11" t="s">
        <v>62</v>
      </c>
      <c r="M17" s="9"/>
      <c r="O17" t="str">
        <f t="shared" si="0"/>
        <v>CONT1;HFS2;B01;MC06;ACPF5;SC0303;TYVA01;EXC2;MESG4EU1CHRO2ACUT2GEO3CNAEL3NACE03200302</v>
      </c>
      <c r="P17" s="15" t="s">
        <v>129</v>
      </c>
      <c r="Q17" t="str">
        <f t="shared" si="1"/>
        <v>CONT1;HFS2;B01;MC06;ACPF5;SC0303;TYVA01;EXC2;MESG4EU1CHRO2ACUT2GEO3CNAEL3NACE03200302</v>
      </c>
      <c r="R17" s="30" t="s">
        <v>129</v>
      </c>
      <c r="S17" s="50" t="s">
        <v>693</v>
      </c>
      <c r="T17" s="51"/>
      <c r="U17" s="52" t="s">
        <v>697</v>
      </c>
      <c r="V17" s="51"/>
      <c r="W17" s="53"/>
      <c r="X17" s="15" t="s">
        <v>129</v>
      </c>
    </row>
    <row r="18" spans="2:24" x14ac:dyDescent="0.25">
      <c r="B18" s="11" t="s">
        <v>124</v>
      </c>
      <c r="C18" s="11" t="s">
        <v>18</v>
      </c>
      <c r="D18" s="11" t="s">
        <v>113</v>
      </c>
      <c r="E18" s="11" t="s">
        <v>118</v>
      </c>
      <c r="F18" s="12">
        <v>131176</v>
      </c>
      <c r="G18" s="11" t="s">
        <v>19</v>
      </c>
      <c r="H18" s="11" t="s">
        <v>22</v>
      </c>
      <c r="I18" s="11" t="s">
        <v>21</v>
      </c>
      <c r="J18" s="11" t="s">
        <v>39</v>
      </c>
      <c r="K18" s="11" t="s">
        <v>80</v>
      </c>
      <c r="L18" s="11" t="s">
        <v>81</v>
      </c>
      <c r="M18" s="9"/>
      <c r="O18" t="str">
        <f t="shared" si="0"/>
        <v>CONT1;HFS2;B01;MC06;ACPF5;SC0303;TYVA01;EXC2;MESG4EU1CHRO2ACUT2GEO18CNAEL11NACE12010101</v>
      </c>
      <c r="P18" s="15" t="s">
        <v>129</v>
      </c>
      <c r="Q18" t="str">
        <f t="shared" si="1"/>
        <v>CONT1;HFS2;B01;MC06;ACPF5;SC0303;TYVA01;EXC2;MESG4EU1CHRO2ACUT2GEO18CNAEL11NACE12010101</v>
      </c>
      <c r="R18" s="30" t="s">
        <v>129</v>
      </c>
    </row>
    <row r="19" spans="2:24" x14ac:dyDescent="0.25">
      <c r="B19" s="11" t="s">
        <v>124</v>
      </c>
      <c r="C19" s="11" t="s">
        <v>38</v>
      </c>
      <c r="D19" s="11" t="s">
        <v>113</v>
      </c>
      <c r="E19" s="11" t="s">
        <v>115</v>
      </c>
      <c r="F19" s="12">
        <v>-1</v>
      </c>
      <c r="G19" s="11" t="s">
        <v>19</v>
      </c>
      <c r="H19" s="11" t="s">
        <v>22</v>
      </c>
      <c r="I19" s="11" t="s">
        <v>21</v>
      </c>
      <c r="J19" s="11" t="s">
        <v>39</v>
      </c>
      <c r="K19" s="11"/>
      <c r="L19" s="11"/>
      <c r="M19" s="9"/>
      <c r="O19" t="str">
        <f t="shared" si="0"/>
        <v>CONT1;HFS2;B01;MC08;TYVA01;;MESG4EU1CHRO2ACUT2GEO18</v>
      </c>
      <c r="P19" s="15" t="s">
        <v>129</v>
      </c>
      <c r="Q19" t="str">
        <f t="shared" si="1"/>
        <v>CONT1;HFS2;B01;MC08;TYVA01;;MESG4EU1CHRO2ACUT2GEO18</v>
      </c>
      <c r="R19" s="30" t="s">
        <v>129</v>
      </c>
    </row>
    <row r="20" spans="2:24" x14ac:dyDescent="0.25">
      <c r="B20" s="11" t="s">
        <v>124</v>
      </c>
      <c r="C20" s="11" t="s">
        <v>35</v>
      </c>
      <c r="D20" s="11" t="s">
        <v>113</v>
      </c>
      <c r="E20" s="11" t="s">
        <v>119</v>
      </c>
      <c r="F20" s="12">
        <v>7932813</v>
      </c>
      <c r="G20" s="11" t="s">
        <v>19</v>
      </c>
      <c r="H20" s="11" t="s">
        <v>22</v>
      </c>
      <c r="I20" s="11" t="s">
        <v>21</v>
      </c>
      <c r="J20" s="11" t="s">
        <v>20</v>
      </c>
      <c r="K20" s="11"/>
      <c r="L20" s="11"/>
      <c r="M20" s="9"/>
      <c r="O20" t="str">
        <f t="shared" si="0"/>
        <v>CONT1;HFS2;B01;MC08;TYVA01;INVS4;MESG4EU1CHRO2ACUT2GEO3</v>
      </c>
      <c r="P20" s="15" t="s">
        <v>129</v>
      </c>
      <c r="Q20" t="str">
        <f t="shared" si="1"/>
        <v>CONT1;HFS2;B01;MC08;TYVA01;INVS4;MESG4EU1CHRO2ACUT2GEO3</v>
      </c>
      <c r="R20" s="30" t="s">
        <v>129</v>
      </c>
    </row>
    <row r="21" spans="2:24" x14ac:dyDescent="0.25">
      <c r="B21" s="11" t="s">
        <v>124</v>
      </c>
      <c r="C21" s="11" t="s">
        <v>38</v>
      </c>
      <c r="D21" s="11" t="s">
        <v>113</v>
      </c>
      <c r="E21" s="11" t="s">
        <v>119</v>
      </c>
      <c r="F21" s="12">
        <v>450662960</v>
      </c>
      <c r="G21" s="11" t="s">
        <v>19</v>
      </c>
      <c r="H21" s="11" t="s">
        <v>22</v>
      </c>
      <c r="I21" s="11" t="s">
        <v>21</v>
      </c>
      <c r="J21" s="11" t="s">
        <v>39</v>
      </c>
      <c r="K21" s="11"/>
      <c r="L21" s="11"/>
      <c r="M21" s="9"/>
      <c r="O21" t="str">
        <f t="shared" si="0"/>
        <v>CONT1;HFS2;B01;MC08;TYVA01;INVS4;MESG4EU1CHRO2ACUT2GEO18</v>
      </c>
      <c r="P21" s="15" t="s">
        <v>129</v>
      </c>
      <c r="Q21" t="str">
        <f t="shared" si="1"/>
        <v>CONT1;HFS2;B01;MC08;TYVA01;INVS4;MESG4EU1CHRO2ACUT2GEO18</v>
      </c>
      <c r="R21" s="30" t="s">
        <v>129</v>
      </c>
    </row>
    <row r="22" spans="2:24" x14ac:dyDescent="0.25">
      <c r="B22" s="11" t="s">
        <v>124</v>
      </c>
      <c r="C22" s="11" t="s">
        <v>48</v>
      </c>
      <c r="D22" s="11" t="s">
        <v>113</v>
      </c>
      <c r="E22" s="11" t="s">
        <v>119</v>
      </c>
      <c r="F22" s="12">
        <v>88723411</v>
      </c>
      <c r="G22" s="11" t="s">
        <v>19</v>
      </c>
      <c r="H22" s="11" t="s">
        <v>22</v>
      </c>
      <c r="I22" s="11" t="s">
        <v>21</v>
      </c>
      <c r="J22" s="11" t="s">
        <v>20</v>
      </c>
      <c r="K22" s="11"/>
      <c r="L22" s="11"/>
      <c r="M22" s="9"/>
      <c r="O22" t="str">
        <f t="shared" si="0"/>
        <v>CONT1;HFS2;B01;MC08;TYVA01;INVS4;MESG4EU1CHRO2ACUT2GEO3</v>
      </c>
      <c r="P22" s="15" t="s">
        <v>129</v>
      </c>
      <c r="Q22" t="str">
        <f t="shared" si="1"/>
        <v>CONT1;HFS2;B01;MC08;TYVA01;INVS4;MESG4EU1CHRO2ACUT2GEO3</v>
      </c>
      <c r="R22" s="30" t="s">
        <v>129</v>
      </c>
    </row>
    <row r="23" spans="2:24" x14ac:dyDescent="0.25">
      <c r="B23" s="11" t="s">
        <v>124</v>
      </c>
      <c r="C23" s="11" t="s">
        <v>125</v>
      </c>
      <c r="D23" s="11" t="s">
        <v>113</v>
      </c>
      <c r="E23" s="11" t="s">
        <v>120</v>
      </c>
      <c r="F23" s="12">
        <v>133078</v>
      </c>
      <c r="G23" s="11" t="s">
        <v>19</v>
      </c>
      <c r="H23" s="11" t="s">
        <v>22</v>
      </c>
      <c r="I23" s="11" t="s">
        <v>21</v>
      </c>
      <c r="J23" s="11" t="s">
        <v>20</v>
      </c>
      <c r="K23" s="11" t="s">
        <v>121</v>
      </c>
      <c r="L23" s="11" t="s">
        <v>122</v>
      </c>
      <c r="M23" s="9" t="s">
        <v>247</v>
      </c>
      <c r="O23" t="str">
        <f t="shared" si="0"/>
        <v>CONT1;HFS2;B01;MC08;TYVA01;INVS5;EXC2;MESG4EU1CHRO2ACUT2GEO3CNAEL10NACE10050104</v>
      </c>
      <c r="P23" s="15" t="s">
        <v>129</v>
      </c>
      <c r="Q23" t="e">
        <f t="shared" si="1"/>
        <v>#N/A</v>
      </c>
      <c r="R23" s="30" t="s">
        <v>129</v>
      </c>
    </row>
    <row r="24" spans="2:24" x14ac:dyDescent="0.25">
      <c r="B24" s="11" t="s">
        <v>124</v>
      </c>
      <c r="C24" s="11" t="s">
        <v>68</v>
      </c>
      <c r="D24" s="11" t="s">
        <v>113</v>
      </c>
      <c r="E24" s="11" t="s">
        <v>120</v>
      </c>
      <c r="F24" s="12">
        <f>88962303+11000000</f>
        <v>99962303</v>
      </c>
      <c r="G24" s="11" t="s">
        <v>19</v>
      </c>
      <c r="H24" s="11" t="s">
        <v>22</v>
      </c>
      <c r="I24" s="11" t="s">
        <v>21</v>
      </c>
      <c r="J24" s="11" t="s">
        <v>20</v>
      </c>
      <c r="K24" s="11" t="s">
        <v>69</v>
      </c>
      <c r="L24" s="11" t="s">
        <v>70</v>
      </c>
      <c r="O24" t="str">
        <f t="shared" si="0"/>
        <v>CONT1;HFS2;B01;MC08;TYVA01;INVS5;EXC2;MESG4EU1CHRO2ACUT2GEO3CNAEL6NACE06010101</v>
      </c>
      <c r="P24" s="15" t="s">
        <v>129</v>
      </c>
      <c r="Q24" t="str">
        <f t="shared" si="1"/>
        <v>CONT1;HFS2;B01;MC08;TYVA01;INVS5;EXC2;MESG4EU1CHRO2ACUT2GEO3CNAEL6NACE06010101</v>
      </c>
      <c r="R24" s="30" t="s">
        <v>129</v>
      </c>
    </row>
    <row r="25" spans="2:24" x14ac:dyDescent="0.25">
      <c r="B25" s="11" t="s">
        <v>124</v>
      </c>
      <c r="C25" s="11" t="s">
        <v>68</v>
      </c>
      <c r="D25" s="11" t="s">
        <v>113</v>
      </c>
      <c r="E25" s="11" t="s">
        <v>114</v>
      </c>
      <c r="F25" s="12">
        <v>-11000000</v>
      </c>
      <c r="G25" s="11" t="s">
        <v>19</v>
      </c>
      <c r="H25" s="11" t="s">
        <v>22</v>
      </c>
      <c r="I25" s="11" t="s">
        <v>21</v>
      </c>
      <c r="J25" s="11" t="s">
        <v>20</v>
      </c>
      <c r="K25" s="11" t="s">
        <v>69</v>
      </c>
      <c r="L25" s="11" t="s">
        <v>70</v>
      </c>
      <c r="M25" s="21"/>
      <c r="N25" s="26"/>
      <c r="O25" t="str">
        <f t="shared" si="0"/>
        <v>CONT1;HFS2;B01;MC08;TYVA02;INVS5;EXC2EU1CHRO2ACUT2GEO3CNAEL6NACE06010101</v>
      </c>
      <c r="P25" s="15" t="s">
        <v>129</v>
      </c>
      <c r="Q25" t="str">
        <f t="shared" si="1"/>
        <v>CONT1;HFS2;B01;MC08;TYVA02;INVS5;EXC2EU1CHRO2ACUT2GEO3CNAEL6NACE06010101</v>
      </c>
      <c r="R25" s="30" t="s">
        <v>129</v>
      </c>
    </row>
    <row r="26" spans="2:24" x14ac:dyDescent="0.25">
      <c r="B26" s="35"/>
      <c r="C26" s="35"/>
      <c r="D26" s="35"/>
      <c r="E26" s="34"/>
      <c r="F26" s="34">
        <f>SUM(F9:F25)</f>
        <v>872379774</v>
      </c>
      <c r="G26" s="35"/>
      <c r="H26" s="35"/>
      <c r="I26" s="35"/>
      <c r="J26" s="35"/>
      <c r="K26" s="35"/>
      <c r="L26" s="35"/>
      <c r="R26" s="15"/>
    </row>
    <row r="27" spans="2:24" x14ac:dyDescent="0.25">
      <c r="E27" s="18"/>
      <c r="F27" s="18"/>
      <c r="R27" s="15"/>
    </row>
    <row r="28" spans="2:24" x14ac:dyDescent="0.25">
      <c r="B28" s="13" t="s">
        <v>126</v>
      </c>
      <c r="E28" s="18">
        <v>19505893</v>
      </c>
      <c r="F28" s="18">
        <f>SUM(F30:F46)</f>
        <v>847227229</v>
      </c>
      <c r="R28" s="15"/>
    </row>
    <row r="29" spans="2:24" x14ac:dyDescent="0.25">
      <c r="B29" s="10" t="s">
        <v>105</v>
      </c>
      <c r="C29" s="10" t="s">
        <v>106</v>
      </c>
      <c r="D29" s="10" t="s">
        <v>107</v>
      </c>
      <c r="E29" s="10" t="s">
        <v>108</v>
      </c>
      <c r="F29" s="10" t="s">
        <v>12</v>
      </c>
      <c r="G29" s="10" t="s">
        <v>109</v>
      </c>
      <c r="H29" s="10" t="s">
        <v>110</v>
      </c>
      <c r="I29" s="10" t="s">
        <v>111</v>
      </c>
      <c r="J29" s="10" t="s">
        <v>11</v>
      </c>
      <c r="K29" s="10" t="s">
        <v>8</v>
      </c>
      <c r="L29" s="10" t="s">
        <v>112</v>
      </c>
      <c r="M29" s="10" t="s">
        <v>127</v>
      </c>
      <c r="R29" s="15"/>
    </row>
    <row r="30" spans="2:24" x14ac:dyDescent="0.25">
      <c r="B30" s="11" t="s">
        <v>124</v>
      </c>
      <c r="C30" s="11" t="s">
        <v>18</v>
      </c>
      <c r="D30" s="11" t="s">
        <v>113</v>
      </c>
      <c r="E30" s="11" t="s">
        <v>117</v>
      </c>
      <c r="F30" s="12">
        <v>278361</v>
      </c>
      <c r="G30" s="11" t="s">
        <v>19</v>
      </c>
      <c r="H30" s="11" t="s">
        <v>22</v>
      </c>
      <c r="I30" s="11" t="s">
        <v>30</v>
      </c>
      <c r="J30" s="11" t="s">
        <v>20</v>
      </c>
      <c r="K30" s="11"/>
      <c r="L30" s="11"/>
      <c r="M30" s="14" t="s">
        <v>128</v>
      </c>
      <c r="N30" s="15" t="s">
        <v>129</v>
      </c>
      <c r="O30" t="str">
        <f>CONCATENATE(E30,G30,H30,I30,J30,K30,L30)</f>
        <v>CONT1;HFS1;B01;MC1005;ORIG4;TYVA01;MESG4EU1CHRO2ACUT1GEO3</v>
      </c>
      <c r="P30" s="15" t="s">
        <v>129</v>
      </c>
      <c r="Q30" t="e">
        <f>VLOOKUP(O30,$O$9:$O$25,1,FALSE)</f>
        <v>#N/A</v>
      </c>
      <c r="R30" s="15" t="s">
        <v>129</v>
      </c>
    </row>
    <row r="31" spans="2:24" x14ac:dyDescent="0.25">
      <c r="B31" s="11" t="s">
        <v>124</v>
      </c>
      <c r="C31" s="11" t="s">
        <v>18</v>
      </c>
      <c r="D31" s="11" t="s">
        <v>113</v>
      </c>
      <c r="E31" s="11" t="s">
        <v>117</v>
      </c>
      <c r="F31" s="12">
        <v>40381801</v>
      </c>
      <c r="G31" s="11" t="s">
        <v>19</v>
      </c>
      <c r="H31" s="11" t="s">
        <v>22</v>
      </c>
      <c r="I31" s="11" t="s">
        <v>21</v>
      </c>
      <c r="J31" s="11" t="s">
        <v>20</v>
      </c>
      <c r="K31" s="11"/>
      <c r="L31" s="11"/>
      <c r="O31" t="str">
        <f t="shared" ref="O31:O46" si="2">CONCATENATE(E31,G31,H31,I31,J31,K31,L31)</f>
        <v>CONT1;HFS1;B01;MC1005;ORIG4;TYVA01;MESG4EU1CHRO2ACUT2GEO3</v>
      </c>
      <c r="P31" s="15" t="s">
        <v>129</v>
      </c>
      <c r="Q31" t="str">
        <f t="shared" ref="Q31:Q46" si="3">VLOOKUP(O31,$O$9:$O$25,1,FALSE)</f>
        <v>CONT1;HFS1;B01;MC1005;ORIG4;TYVA01;MESG4EU1CHRO2ACUT2GEO3</v>
      </c>
      <c r="R31" s="15" t="s">
        <v>129</v>
      </c>
    </row>
    <row r="32" spans="2:24" x14ac:dyDescent="0.25">
      <c r="B32" s="11" t="s">
        <v>124</v>
      </c>
      <c r="C32" s="11" t="s">
        <v>18</v>
      </c>
      <c r="D32" s="11" t="s">
        <v>113</v>
      </c>
      <c r="E32" s="11" t="s">
        <v>15</v>
      </c>
      <c r="F32" s="12">
        <v>-21085073</v>
      </c>
      <c r="G32" s="11" t="s">
        <v>19</v>
      </c>
      <c r="H32" s="11" t="s">
        <v>22</v>
      </c>
      <c r="I32" s="11" t="s">
        <v>21</v>
      </c>
      <c r="J32" s="11" t="s">
        <v>20</v>
      </c>
      <c r="K32" s="11"/>
      <c r="L32" s="11"/>
      <c r="O32" t="str">
        <f t="shared" si="2"/>
        <v>CONT1;HFS1;B01;MC1005;ORIG4;TYVA02EU1CHRO2ACUT2GEO3</v>
      </c>
      <c r="P32" s="15" t="s">
        <v>129</v>
      </c>
      <c r="Q32" t="str">
        <f t="shared" si="3"/>
        <v>CONT1;HFS1;B01;MC1005;ORIG4;TYVA02EU1CHRO2ACUT2GEO3</v>
      </c>
      <c r="R32" s="15" t="s">
        <v>129</v>
      </c>
    </row>
    <row r="33" spans="2:18" x14ac:dyDescent="0.25">
      <c r="B33" s="11" t="s">
        <v>124</v>
      </c>
      <c r="C33" s="11" t="s">
        <v>18</v>
      </c>
      <c r="D33" s="11" t="s">
        <v>113</v>
      </c>
      <c r="E33" s="11" t="s">
        <v>15</v>
      </c>
      <c r="F33" s="12">
        <v>-69183</v>
      </c>
      <c r="G33" s="11" t="s">
        <v>19</v>
      </c>
      <c r="H33" s="11" t="s">
        <v>22</v>
      </c>
      <c r="I33" s="11" t="s">
        <v>30</v>
      </c>
      <c r="J33" s="11" t="s">
        <v>20</v>
      </c>
      <c r="K33" s="11"/>
      <c r="L33" s="11"/>
      <c r="O33" t="str">
        <f t="shared" si="2"/>
        <v>CONT1;HFS1;B01;MC1005;ORIG4;TYVA02EU1CHRO2ACUT1GEO3</v>
      </c>
      <c r="P33" s="15" t="s">
        <v>129</v>
      </c>
      <c r="Q33" t="e">
        <f t="shared" si="3"/>
        <v>#N/A</v>
      </c>
      <c r="R33" s="15" t="s">
        <v>129</v>
      </c>
    </row>
    <row r="34" spans="2:18" x14ac:dyDescent="0.25">
      <c r="B34" s="11" t="s">
        <v>124</v>
      </c>
      <c r="C34" s="11" t="s">
        <v>18</v>
      </c>
      <c r="D34" s="11" t="s">
        <v>113</v>
      </c>
      <c r="E34" s="11" t="s">
        <v>123</v>
      </c>
      <c r="F34" s="12">
        <v>17085832</v>
      </c>
      <c r="G34" s="11" t="s">
        <v>19</v>
      </c>
      <c r="H34" s="11" t="s">
        <v>22</v>
      </c>
      <c r="I34" s="11" t="s">
        <v>21</v>
      </c>
      <c r="J34" s="11" t="s">
        <v>20</v>
      </c>
      <c r="K34" s="11"/>
      <c r="L34" s="11"/>
      <c r="O34" t="str">
        <f t="shared" si="2"/>
        <v>CONT1;HFS2;B01;MC06;ACPF3;SC0302;TYVA01;MESG4EU1CHRO2ACUT2GEO3</v>
      </c>
      <c r="P34" s="15" t="s">
        <v>129</v>
      </c>
      <c r="Q34" t="str">
        <f t="shared" si="3"/>
        <v>CONT1;HFS2;B01;MC06;ACPF3;SC0302;TYVA01;MESG4EU1CHRO2ACUT2GEO3</v>
      </c>
      <c r="R34" s="15" t="s">
        <v>129</v>
      </c>
    </row>
    <row r="35" spans="2:18" x14ac:dyDescent="0.25">
      <c r="B35" s="11" t="s">
        <v>124</v>
      </c>
      <c r="C35" s="11" t="s">
        <v>18</v>
      </c>
      <c r="D35" s="11" t="s">
        <v>113</v>
      </c>
      <c r="E35" s="16" t="s">
        <v>116</v>
      </c>
      <c r="F35" s="17">
        <v>2493971</v>
      </c>
      <c r="G35" s="16" t="s">
        <v>44</v>
      </c>
      <c r="H35" s="16" t="s">
        <v>22</v>
      </c>
      <c r="I35" s="16" t="s">
        <v>21</v>
      </c>
      <c r="J35" s="11" t="s">
        <v>45</v>
      </c>
      <c r="K35" s="11"/>
      <c r="L35" s="11"/>
      <c r="O35" t="str">
        <f t="shared" si="2"/>
        <v>CONT1;HFS2;B01;MC06;ACPF5;SC0302;TYVA01;MESG4EU2CHRO2ACUT2GEO2</v>
      </c>
      <c r="P35" s="15" t="s">
        <v>129</v>
      </c>
      <c r="Q35" t="str">
        <f t="shared" si="3"/>
        <v>CONT1;HFS2;B01;MC06;ACPF5;SC0302;TYVA01;MESG4EU2CHRO2ACUT2GEO2</v>
      </c>
      <c r="R35" s="15" t="s">
        <v>129</v>
      </c>
    </row>
    <row r="36" spans="2:18" x14ac:dyDescent="0.25">
      <c r="B36" s="11" t="s">
        <v>124</v>
      </c>
      <c r="C36" s="11" t="s">
        <v>18</v>
      </c>
      <c r="D36" s="11" t="s">
        <v>113</v>
      </c>
      <c r="E36" s="11" t="s">
        <v>116</v>
      </c>
      <c r="F36" s="12">
        <v>171653011</v>
      </c>
      <c r="G36" s="11" t="s">
        <v>19</v>
      </c>
      <c r="H36" s="11" t="s">
        <v>22</v>
      </c>
      <c r="I36" s="11" t="s">
        <v>21</v>
      </c>
      <c r="J36" s="11" t="s">
        <v>20</v>
      </c>
      <c r="K36" s="11"/>
      <c r="L36" s="11"/>
      <c r="O36" t="str">
        <f t="shared" si="2"/>
        <v>CONT1;HFS2;B01;MC06;ACPF5;SC0302;TYVA01;MESG4EU1CHRO2ACUT2GEO3</v>
      </c>
      <c r="P36" s="15" t="s">
        <v>129</v>
      </c>
      <c r="Q36" t="str">
        <f t="shared" si="3"/>
        <v>CONT1;HFS2;B01;MC06;ACPF5;SC0302;TYVA01;MESG4EU1CHRO2ACUT2GEO3</v>
      </c>
      <c r="R36" s="15" t="s">
        <v>129</v>
      </c>
    </row>
    <row r="37" spans="2:18" x14ac:dyDescent="0.25">
      <c r="B37" s="11" t="s">
        <v>124</v>
      </c>
      <c r="C37" s="11" t="s">
        <v>18</v>
      </c>
      <c r="D37" s="11" t="s">
        <v>113</v>
      </c>
      <c r="E37" s="11" t="s">
        <v>118</v>
      </c>
      <c r="F37" s="12">
        <v>22684</v>
      </c>
      <c r="G37" s="11" t="s">
        <v>19</v>
      </c>
      <c r="H37" s="11" t="s">
        <v>22</v>
      </c>
      <c r="I37" s="11" t="s">
        <v>21</v>
      </c>
      <c r="J37" s="11" t="s">
        <v>20</v>
      </c>
      <c r="K37" s="11" t="s">
        <v>52</v>
      </c>
      <c r="L37" s="11" t="s">
        <v>53</v>
      </c>
      <c r="O37" t="str">
        <f t="shared" si="2"/>
        <v>CONT1;HFS2;B01;MC06;ACPF5;SC0303;TYVA01;EXC2;MESG4EU1CHRO2ACUT2GEO3CNAEL18NACE19010303</v>
      </c>
      <c r="P37" s="15" t="s">
        <v>129</v>
      </c>
      <c r="Q37" t="str">
        <f t="shared" si="3"/>
        <v>CONT1;HFS2;B01;MC06;ACPF5;SC0303;TYVA01;EXC2;MESG4EU1CHRO2ACUT2GEO3CNAEL18NACE19010303</v>
      </c>
      <c r="R37" s="15" t="s">
        <v>129</v>
      </c>
    </row>
    <row r="38" spans="2:18" x14ac:dyDescent="0.25">
      <c r="B38" s="11" t="s">
        <v>124</v>
      </c>
      <c r="C38" s="11" t="s">
        <v>18</v>
      </c>
      <c r="D38" s="11" t="s">
        <v>113</v>
      </c>
      <c r="E38" s="11" t="s">
        <v>118</v>
      </c>
      <c r="F38" s="12">
        <v>35578</v>
      </c>
      <c r="G38" s="11" t="s">
        <v>19</v>
      </c>
      <c r="H38" s="11" t="s">
        <v>22</v>
      </c>
      <c r="I38" s="11" t="s">
        <v>21</v>
      </c>
      <c r="J38" s="11" t="s">
        <v>20</v>
      </c>
      <c r="K38" s="11" t="s">
        <v>61</v>
      </c>
      <c r="L38" s="11" t="s">
        <v>62</v>
      </c>
      <c r="O38" t="str">
        <f t="shared" si="2"/>
        <v>CONT1;HFS2;B01;MC06;ACPF5;SC0303;TYVA01;EXC2;MESG4EU1CHRO2ACUT2GEO3CNAEL3NACE03200302</v>
      </c>
      <c r="P38" s="15" t="s">
        <v>129</v>
      </c>
      <c r="Q38" t="str">
        <f t="shared" si="3"/>
        <v>CONT1;HFS2;B01;MC06;ACPF5;SC0303;TYVA01;EXC2;MESG4EU1CHRO2ACUT2GEO3CNAEL3NACE03200302</v>
      </c>
      <c r="R38" s="15" t="s">
        <v>129</v>
      </c>
    </row>
    <row r="39" spans="2:18" x14ac:dyDescent="0.25">
      <c r="B39" s="11" t="s">
        <v>124</v>
      </c>
      <c r="C39" s="11" t="s">
        <v>18</v>
      </c>
      <c r="D39" s="11" t="s">
        <v>113</v>
      </c>
      <c r="E39" s="11" t="s">
        <v>118</v>
      </c>
      <c r="F39" s="12">
        <v>131176</v>
      </c>
      <c r="G39" s="11" t="s">
        <v>19</v>
      </c>
      <c r="H39" s="11" t="s">
        <v>22</v>
      </c>
      <c r="I39" s="11" t="s">
        <v>21</v>
      </c>
      <c r="J39" s="11" t="s">
        <v>39</v>
      </c>
      <c r="K39" s="11" t="s">
        <v>80</v>
      </c>
      <c r="L39" s="11" t="s">
        <v>81</v>
      </c>
      <c r="O39" t="str">
        <f t="shared" si="2"/>
        <v>CONT1;HFS2;B01;MC06;ACPF5;SC0303;TYVA01;EXC2;MESG4EU1CHRO2ACUT2GEO18CNAEL11NACE12010101</v>
      </c>
      <c r="P39" s="15" t="s">
        <v>129</v>
      </c>
      <c r="Q39" t="str">
        <f t="shared" si="3"/>
        <v>CONT1;HFS2;B01;MC06;ACPF5;SC0303;TYVA01;EXC2;MESG4EU1CHRO2ACUT2GEO18CNAEL11NACE12010101</v>
      </c>
      <c r="R39" s="15" t="s">
        <v>129</v>
      </c>
    </row>
    <row r="40" spans="2:18" x14ac:dyDescent="0.25">
      <c r="B40" s="11" t="s">
        <v>124</v>
      </c>
      <c r="C40" s="11" t="s">
        <v>38</v>
      </c>
      <c r="D40" s="11" t="s">
        <v>113</v>
      </c>
      <c r="E40" s="11" t="s">
        <v>115</v>
      </c>
      <c r="F40" s="12">
        <v>-1</v>
      </c>
      <c r="G40" s="11" t="s">
        <v>19</v>
      </c>
      <c r="H40" s="11" t="s">
        <v>22</v>
      </c>
      <c r="I40" s="11" t="s">
        <v>21</v>
      </c>
      <c r="J40" s="11" t="s">
        <v>39</v>
      </c>
      <c r="K40" s="11"/>
      <c r="L40" s="11"/>
      <c r="O40" t="str">
        <f t="shared" si="2"/>
        <v>CONT1;HFS2;B01;MC08;TYVA01;;MESG4EU1CHRO2ACUT2GEO18</v>
      </c>
      <c r="P40" s="15" t="s">
        <v>129</v>
      </c>
      <c r="Q40" t="str">
        <f t="shared" si="3"/>
        <v>CONT1;HFS2;B01;MC08;TYVA01;;MESG4EU1CHRO2ACUT2GEO18</v>
      </c>
      <c r="R40" s="15" t="s">
        <v>129</v>
      </c>
    </row>
    <row r="41" spans="2:18" x14ac:dyDescent="0.25">
      <c r="B41" s="11" t="s">
        <v>124</v>
      </c>
      <c r="C41" s="11" t="s">
        <v>64</v>
      </c>
      <c r="D41" s="11" t="s">
        <v>113</v>
      </c>
      <c r="E41" s="11" t="s">
        <v>119</v>
      </c>
      <c r="F41" s="12">
        <v>49500</v>
      </c>
      <c r="G41" s="11" t="s">
        <v>19</v>
      </c>
      <c r="H41" s="11" t="s">
        <v>22</v>
      </c>
      <c r="I41" s="11" t="s">
        <v>21</v>
      </c>
      <c r="J41" s="11" t="s">
        <v>20</v>
      </c>
      <c r="K41" s="11"/>
      <c r="L41" s="11"/>
      <c r="O41" t="str">
        <f t="shared" si="2"/>
        <v>CONT1;HFS2;B01;MC08;TYVA01;INVS4;MESG4EU1CHRO2ACUT2GEO3</v>
      </c>
      <c r="P41" s="15" t="s">
        <v>129</v>
      </c>
      <c r="Q41" t="str">
        <f t="shared" si="3"/>
        <v>CONT1;HFS2;B01;MC08;TYVA01;INVS4;MESG4EU1CHRO2ACUT2GEO3</v>
      </c>
      <c r="R41" s="15" t="s">
        <v>129</v>
      </c>
    </row>
    <row r="42" spans="2:18" x14ac:dyDescent="0.25">
      <c r="B42" s="11" t="s">
        <v>124</v>
      </c>
      <c r="C42" s="11" t="s">
        <v>35</v>
      </c>
      <c r="D42" s="11" t="s">
        <v>113</v>
      </c>
      <c r="E42" s="11" t="s">
        <v>119</v>
      </c>
      <c r="F42" s="12">
        <v>7932813</v>
      </c>
      <c r="G42" s="11" t="s">
        <v>19</v>
      </c>
      <c r="H42" s="11" t="s">
        <v>22</v>
      </c>
      <c r="I42" s="11" t="s">
        <v>21</v>
      </c>
      <c r="J42" s="11" t="s">
        <v>20</v>
      </c>
      <c r="K42" s="11"/>
      <c r="L42" s="11"/>
      <c r="O42" t="str">
        <f t="shared" si="2"/>
        <v>CONT1;HFS2;B01;MC08;TYVA01;INVS4;MESG4EU1CHRO2ACUT2GEO3</v>
      </c>
      <c r="P42" s="15" t="s">
        <v>129</v>
      </c>
      <c r="Q42" t="str">
        <f t="shared" si="3"/>
        <v>CONT1;HFS2;B01;MC08;TYVA01;INVS4;MESG4EU1CHRO2ACUT2GEO3</v>
      </c>
      <c r="R42" s="15" t="s">
        <v>129</v>
      </c>
    </row>
    <row r="43" spans="2:18" x14ac:dyDescent="0.25">
      <c r="B43" s="11" t="s">
        <v>124</v>
      </c>
      <c r="C43" s="11" t="s">
        <v>48</v>
      </c>
      <c r="D43" s="11" t="s">
        <v>113</v>
      </c>
      <c r="E43" s="11" t="s">
        <v>119</v>
      </c>
      <c r="F43" s="12">
        <v>88691496</v>
      </c>
      <c r="G43" s="11" t="s">
        <v>19</v>
      </c>
      <c r="H43" s="11" t="s">
        <v>22</v>
      </c>
      <c r="I43" s="11" t="s">
        <v>21</v>
      </c>
      <c r="J43" s="11" t="s">
        <v>20</v>
      </c>
      <c r="K43" s="11"/>
      <c r="L43" s="11"/>
      <c r="O43" t="str">
        <f t="shared" si="2"/>
        <v>CONT1;HFS2;B01;MC08;TYVA01;INVS4;MESG4EU1CHRO2ACUT2GEO3</v>
      </c>
      <c r="P43" s="15" t="s">
        <v>129</v>
      </c>
      <c r="Q43" t="str">
        <f t="shared" si="3"/>
        <v>CONT1;HFS2;B01;MC08;TYVA01;INVS4;MESG4EU1CHRO2ACUT2GEO3</v>
      </c>
      <c r="R43" s="15" t="s">
        <v>129</v>
      </c>
    </row>
    <row r="44" spans="2:18" x14ac:dyDescent="0.25">
      <c r="B44" s="11" t="s">
        <v>124</v>
      </c>
      <c r="C44" s="11" t="s">
        <v>38</v>
      </c>
      <c r="D44" s="11" t="s">
        <v>113</v>
      </c>
      <c r="E44" s="11" t="s">
        <v>119</v>
      </c>
      <c r="F44" s="12">
        <v>450662960</v>
      </c>
      <c r="G44" s="11" t="s">
        <v>19</v>
      </c>
      <c r="H44" s="11" t="s">
        <v>22</v>
      </c>
      <c r="I44" s="11" t="s">
        <v>21</v>
      </c>
      <c r="J44" s="11" t="s">
        <v>39</v>
      </c>
      <c r="K44" s="11"/>
      <c r="L44" s="11"/>
      <c r="O44" t="str">
        <f t="shared" si="2"/>
        <v>CONT1;HFS2;B01;MC08;TYVA01;INVS4;MESG4EU1CHRO2ACUT2GEO18</v>
      </c>
      <c r="P44" s="15" t="s">
        <v>129</v>
      </c>
      <c r="Q44" t="str">
        <f t="shared" si="3"/>
        <v>CONT1;HFS2;B01;MC08;TYVA01;INVS4;MESG4EU1CHRO2ACUT2GEO18</v>
      </c>
      <c r="R44" s="15" t="s">
        <v>129</v>
      </c>
    </row>
    <row r="45" spans="2:18" x14ac:dyDescent="0.25">
      <c r="B45" s="11" t="s">
        <v>124</v>
      </c>
      <c r="C45" s="11" t="s">
        <v>68</v>
      </c>
      <c r="D45" s="11" t="s">
        <v>113</v>
      </c>
      <c r="E45" s="11" t="s">
        <v>120</v>
      </c>
      <c r="F45" s="12">
        <v>99962303</v>
      </c>
      <c r="G45" s="11" t="s">
        <v>19</v>
      </c>
      <c r="H45" s="11" t="s">
        <v>22</v>
      </c>
      <c r="I45" s="11" t="s">
        <v>21</v>
      </c>
      <c r="J45" s="11" t="s">
        <v>20</v>
      </c>
      <c r="K45" s="11" t="s">
        <v>69</v>
      </c>
      <c r="L45" s="11" t="s">
        <v>70</v>
      </c>
      <c r="O45" t="str">
        <f t="shared" si="2"/>
        <v>CONT1;HFS2;B01;MC08;TYVA01;INVS5;EXC2;MESG4EU1CHRO2ACUT2GEO3CNAEL6NACE06010101</v>
      </c>
      <c r="P45" s="15" t="s">
        <v>129</v>
      </c>
      <c r="Q45" t="str">
        <f t="shared" si="3"/>
        <v>CONT1;HFS2;B01;MC08;TYVA01;INVS5;EXC2;MESG4EU1CHRO2ACUT2GEO3CNAEL6NACE06010101</v>
      </c>
      <c r="R45" s="15" t="s">
        <v>129</v>
      </c>
    </row>
    <row r="46" spans="2:18" x14ac:dyDescent="0.25">
      <c r="B46" s="11" t="s">
        <v>124</v>
      </c>
      <c r="C46" s="11" t="s">
        <v>68</v>
      </c>
      <c r="D46" s="11" t="s">
        <v>113</v>
      </c>
      <c r="E46" s="11" t="s">
        <v>114</v>
      </c>
      <c r="F46" s="12">
        <v>-11000000</v>
      </c>
      <c r="G46" s="11" t="s">
        <v>19</v>
      </c>
      <c r="H46" s="11" t="s">
        <v>22</v>
      </c>
      <c r="I46" s="11" t="s">
        <v>21</v>
      </c>
      <c r="J46" s="11" t="s">
        <v>20</v>
      </c>
      <c r="K46" s="11" t="s">
        <v>69</v>
      </c>
      <c r="L46" s="11" t="s">
        <v>70</v>
      </c>
      <c r="O46" t="str">
        <f t="shared" si="2"/>
        <v>CONT1;HFS2;B01;MC08;TYVA02;INVS5;EXC2EU1CHRO2ACUT2GEO3CNAEL6NACE06010101</v>
      </c>
      <c r="P46" s="15" t="s">
        <v>129</v>
      </c>
      <c r="Q46" t="str">
        <f t="shared" si="3"/>
        <v>CONT1;HFS2;B01;MC08;TYVA02;INVS5;EXC2EU1CHRO2ACUT2GEO3CNAEL6NACE06010101</v>
      </c>
      <c r="R46" s="15" t="s">
        <v>129</v>
      </c>
    </row>
    <row r="48" spans="2:18" x14ac:dyDescent="0.25">
      <c r="F48" s="18">
        <f>SUM(F34:F46)</f>
        <v>827721323</v>
      </c>
    </row>
  </sheetData>
  <autoFilter ref="B29:L46"/>
  <mergeCells count="1">
    <mergeCell ref="S12:W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FD46"/>
  <sheetViews>
    <sheetView showGridLines="0" workbookViewId="0">
      <selection activeCell="E8" sqref="E8"/>
    </sheetView>
  </sheetViews>
  <sheetFormatPr defaultRowHeight="15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28515625" bestFit="1" customWidth="1"/>
    <col min="7" max="7" width="4.28515625" customWidth="1"/>
    <col min="8" max="8" width="7" customWidth="1"/>
    <col min="9" max="10" width="6.7109375" customWidth="1"/>
    <col min="11" max="11" width="8.7109375" customWidth="1"/>
    <col min="12" max="12" width="14" bestFit="1" customWidth="1"/>
    <col min="22" max="22" width="53.85546875" bestFit="1" customWidth="1"/>
    <col min="23" max="23" width="15" bestFit="1" customWidth="1"/>
    <col min="30" max="30" width="13.5703125" bestFit="1" customWidth="1"/>
  </cols>
  <sheetData>
    <row r="1" spans="1:16384" s="1" customFormat="1" x14ac:dyDescent="0.25"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1" customFormat="1" x14ac:dyDescent="0.25"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1" customFormat="1" x14ac:dyDescent="0.25"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1" customFormat="1" ht="15.75" thickBo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6" customFormat="1" ht="6.95" customHeight="1" thickTop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x14ac:dyDescent="0.25">
      <c r="B6" s="7">
        <v>45809</v>
      </c>
      <c r="C6" s="8"/>
      <c r="D6" s="39">
        <f>SUM(E6:F6)</f>
        <v>731877376</v>
      </c>
      <c r="E6" s="39">
        <v>547319184</v>
      </c>
      <c r="F6" s="39">
        <v>184558192</v>
      </c>
      <c r="G6" s="8"/>
      <c r="H6" s="8"/>
      <c r="I6" s="8"/>
      <c r="J6" s="8"/>
      <c r="K6" s="8"/>
      <c r="L6" s="39"/>
      <c r="M6" s="8"/>
      <c r="N6" s="8"/>
      <c r="O6" s="8"/>
      <c r="P6" s="8"/>
      <c r="Q6" s="8"/>
      <c r="R6" s="8"/>
      <c r="S6" s="8"/>
      <c r="T6" s="8"/>
      <c r="U6" s="8"/>
      <c r="W6">
        <v>1</v>
      </c>
      <c r="AD6" s="18"/>
    </row>
    <row r="7" spans="1:16384" ht="6.95" customHeight="1" x14ac:dyDescent="0.25"/>
    <row r="8" spans="1:16384" x14ac:dyDescent="0.25">
      <c r="B8" s="10" t="s">
        <v>105</v>
      </c>
      <c r="C8" s="10" t="s">
        <v>106</v>
      </c>
      <c r="D8" s="10" t="s">
        <v>107</v>
      </c>
      <c r="E8" s="10" t="s">
        <v>108</v>
      </c>
      <c r="F8" s="10" t="s">
        <v>12</v>
      </c>
      <c r="G8" s="10" t="s">
        <v>109</v>
      </c>
      <c r="H8" s="10" t="s">
        <v>110</v>
      </c>
      <c r="I8" s="10" t="s">
        <v>111</v>
      </c>
      <c r="J8" s="10" t="s">
        <v>11</v>
      </c>
      <c r="K8" s="10" t="s">
        <v>8</v>
      </c>
      <c r="L8" s="10" t="s">
        <v>112</v>
      </c>
      <c r="M8" s="10" t="s">
        <v>127</v>
      </c>
    </row>
    <row r="9" spans="1:16384" x14ac:dyDescent="0.25">
      <c r="B9" s="11" t="s">
        <v>124</v>
      </c>
      <c r="C9" s="11" t="s">
        <v>18</v>
      </c>
      <c r="D9" s="11" t="s">
        <v>113</v>
      </c>
      <c r="E9" s="11" t="s">
        <v>117</v>
      </c>
      <c r="F9" s="12">
        <v>71745158</v>
      </c>
      <c r="G9" s="11" t="s">
        <v>19</v>
      </c>
      <c r="H9" s="11" t="s">
        <v>22</v>
      </c>
      <c r="I9" s="11" t="s">
        <v>21</v>
      </c>
      <c r="J9" s="11" t="s">
        <v>20</v>
      </c>
      <c r="K9" s="11"/>
      <c r="L9" s="11"/>
      <c r="M9" s="14" t="s">
        <v>718</v>
      </c>
      <c r="N9" s="15" t="s">
        <v>129</v>
      </c>
      <c r="O9" t="str">
        <f>CONCATENATE(E9,G9,H9,I9,J9,K9,L9)</f>
        <v>CONT1;HFS1;B01;MC1005;ORIG4;TYVA01;MESG4EU1CHRO2ACUT2GEO3</v>
      </c>
      <c r="P9" s="15" t="s">
        <v>129</v>
      </c>
      <c r="Q9" t="str">
        <f t="shared" ref="Q9:Q23" si="0">VLOOKUP(O9,$O$28:$O$44,1,FALSE)</f>
        <v>CONT1;HFS1;B01;MC1005;ORIG4;TYVA01;MESG4EU1CHRO2ACUT2GEO3</v>
      </c>
      <c r="R9" s="15" t="s">
        <v>129</v>
      </c>
      <c r="S9" s="10" t="s">
        <v>259</v>
      </c>
      <c r="T9" s="26" t="s">
        <v>719</v>
      </c>
      <c r="U9" s="15" t="s">
        <v>129</v>
      </c>
    </row>
    <row r="10" spans="1:16384" x14ac:dyDescent="0.25">
      <c r="B10" s="11" t="s">
        <v>124</v>
      </c>
      <c r="C10" s="11" t="s">
        <v>18</v>
      </c>
      <c r="D10" s="11" t="s">
        <v>113</v>
      </c>
      <c r="E10" s="11" t="s">
        <v>15</v>
      </c>
      <c r="F10" s="12">
        <v>-20527578</v>
      </c>
      <c r="G10" s="11" t="s">
        <v>19</v>
      </c>
      <c r="H10" s="11" t="s">
        <v>22</v>
      </c>
      <c r="I10" s="11" t="s">
        <v>21</v>
      </c>
      <c r="J10" s="11" t="s">
        <v>20</v>
      </c>
      <c r="K10" s="11"/>
      <c r="L10" s="11"/>
      <c r="M10" s="9"/>
      <c r="O10" t="str">
        <f t="shared" ref="O10:O23" si="1">CONCATENATE(E10,G10,H10,I10,J10,K10,L10)</f>
        <v>CONT1;HFS1;B01;MC1005;ORIG4;TYVA02EU1CHRO2ACUT2GEO3</v>
      </c>
      <c r="P10" s="15" t="s">
        <v>129</v>
      </c>
      <c r="Q10" t="str">
        <f t="shared" si="0"/>
        <v>CONT1;HFS1;B01;MC1005;ORIG4;TYVA02EU1CHRO2ACUT2GEO3</v>
      </c>
      <c r="R10" s="15" t="s">
        <v>129</v>
      </c>
    </row>
    <row r="11" spans="1:16384" x14ac:dyDescent="0.25">
      <c r="B11" s="11" t="s">
        <v>124</v>
      </c>
      <c r="C11" s="11" t="s">
        <v>18</v>
      </c>
      <c r="D11" s="11" t="s">
        <v>113</v>
      </c>
      <c r="E11" s="11" t="s">
        <v>123</v>
      </c>
      <c r="F11" s="12">
        <v>11909667</v>
      </c>
      <c r="G11" s="11" t="s">
        <v>19</v>
      </c>
      <c r="H11" s="11" t="s">
        <v>22</v>
      </c>
      <c r="I11" s="11" t="s">
        <v>21</v>
      </c>
      <c r="J11" s="11" t="s">
        <v>20</v>
      </c>
      <c r="K11" s="11"/>
      <c r="L11" s="11"/>
      <c r="M11" s="37"/>
      <c r="O11" t="str">
        <f t="shared" si="1"/>
        <v>CONT1;HFS2;B01;MC06;ACPF3;SC0302;TYVA01;MESG4EU1CHRO2ACUT2GEO3</v>
      </c>
      <c r="P11" s="15" t="s">
        <v>129</v>
      </c>
      <c r="Q11" t="str">
        <f t="shared" si="0"/>
        <v>CONT1;HFS2;B01;MC06;ACPF3;SC0302;TYVA01;MESG4EU1CHRO2ACUT2GEO3</v>
      </c>
      <c r="R11" s="30" t="s">
        <v>129</v>
      </c>
    </row>
    <row r="12" spans="1:16384" x14ac:dyDescent="0.25">
      <c r="B12" s="11" t="s">
        <v>124</v>
      </c>
      <c r="C12" s="11" t="s">
        <v>18</v>
      </c>
      <c r="D12" s="11" t="s">
        <v>113</v>
      </c>
      <c r="E12" s="11" t="s">
        <v>116</v>
      </c>
      <c r="F12" s="12">
        <v>170043082</v>
      </c>
      <c r="G12" s="11" t="s">
        <v>19</v>
      </c>
      <c r="H12" s="11" t="s">
        <v>22</v>
      </c>
      <c r="I12" s="11" t="s">
        <v>21</v>
      </c>
      <c r="J12" s="11" t="s">
        <v>20</v>
      </c>
      <c r="K12" s="11"/>
      <c r="L12" s="11"/>
      <c r="O12" t="str">
        <f t="shared" si="1"/>
        <v>CONT1;HFS2;B01;MC06;ACPF5;SC0302;TYVA01;MESG4EU1CHRO2ACUT2GEO3</v>
      </c>
      <c r="P12" s="15" t="s">
        <v>129</v>
      </c>
      <c r="Q12" t="str">
        <f t="shared" si="0"/>
        <v>CONT1;HFS2;B01;MC06;ACPF5;SC0302;TYVA01;MESG4EU1CHRO2ACUT2GEO3</v>
      </c>
      <c r="R12" s="30" t="s">
        <v>129</v>
      </c>
      <c r="S12" s="56" t="s">
        <v>689</v>
      </c>
      <c r="T12" s="56"/>
      <c r="U12" s="56"/>
      <c r="V12" s="56"/>
      <c r="W12" s="56"/>
    </row>
    <row r="13" spans="1:16384" x14ac:dyDescent="0.25">
      <c r="B13" s="11" t="s">
        <v>124</v>
      </c>
      <c r="C13" s="11" t="s">
        <v>18</v>
      </c>
      <c r="D13" s="11" t="s">
        <v>113</v>
      </c>
      <c r="E13" s="11" t="s">
        <v>116</v>
      </c>
      <c r="F13" s="12">
        <v>2605443</v>
      </c>
      <c r="G13" s="11" t="s">
        <v>44</v>
      </c>
      <c r="H13" s="11" t="s">
        <v>22</v>
      </c>
      <c r="I13" s="11" t="s">
        <v>21</v>
      </c>
      <c r="J13" s="11" t="s">
        <v>45</v>
      </c>
      <c r="K13" s="11"/>
      <c r="L13" s="11"/>
      <c r="M13" s="9"/>
      <c r="O13" t="str">
        <f t="shared" si="1"/>
        <v>CONT1;HFS2;B01;MC06;ACPF5;SC0302;TYVA01;MESG4EU2CHRO2ACUT2GEO2</v>
      </c>
      <c r="P13" s="15" t="s">
        <v>129</v>
      </c>
      <c r="Q13" t="str">
        <f t="shared" si="0"/>
        <v>CONT1;HFS2;B01;MC06;ACPF5;SC0302;TYVA01;MESG4EU2CHRO2ACUT2GEO2</v>
      </c>
      <c r="R13" s="30" t="s">
        <v>129</v>
      </c>
      <c r="S13" s="42" t="s">
        <v>690</v>
      </c>
      <c r="T13" s="43"/>
      <c r="U13" s="43"/>
      <c r="V13" s="43"/>
      <c r="W13" s="44"/>
    </row>
    <row r="14" spans="1:16384" x14ac:dyDescent="0.25">
      <c r="B14" s="11" t="s">
        <v>124</v>
      </c>
      <c r="C14" s="11" t="s">
        <v>18</v>
      </c>
      <c r="D14" s="11" t="s">
        <v>113</v>
      </c>
      <c r="E14" s="11" t="s">
        <v>118</v>
      </c>
      <c r="F14" s="12">
        <v>35578</v>
      </c>
      <c r="G14" s="11" t="s">
        <v>19</v>
      </c>
      <c r="H14" s="11" t="s">
        <v>22</v>
      </c>
      <c r="I14" s="11" t="s">
        <v>21</v>
      </c>
      <c r="J14" s="11" t="s">
        <v>20</v>
      </c>
      <c r="K14" s="11" t="s">
        <v>61</v>
      </c>
      <c r="L14" s="11" t="s">
        <v>62</v>
      </c>
      <c r="M14" s="9"/>
      <c r="O14" t="str">
        <f t="shared" si="1"/>
        <v>CONT1;HFS2;B01;MC06;ACPF5;SC0303;TYVA01;EXC2;MESG4EU1CHRO2ACUT2GEO3CNAEL3NACE03200302</v>
      </c>
      <c r="P14" s="15" t="s">
        <v>129</v>
      </c>
      <c r="Q14" t="str">
        <f t="shared" si="0"/>
        <v>CONT1;HFS2;B01;MC06;ACPF5;SC0303;TYVA01;EXC2;MESG4EU1CHRO2ACUT2GEO3CNAEL3NACE03200302</v>
      </c>
      <c r="R14" s="30" t="s">
        <v>129</v>
      </c>
      <c r="S14" s="45" t="s">
        <v>691</v>
      </c>
      <c r="T14" s="46"/>
      <c r="U14" s="46"/>
      <c r="V14" s="46"/>
      <c r="W14" s="47"/>
    </row>
    <row r="15" spans="1:16384" x14ac:dyDescent="0.25">
      <c r="B15" s="11" t="s">
        <v>124</v>
      </c>
      <c r="C15" s="11" t="s">
        <v>18</v>
      </c>
      <c r="D15" s="11" t="s">
        <v>113</v>
      </c>
      <c r="E15" s="38" t="s">
        <v>118</v>
      </c>
      <c r="F15" s="12">
        <v>131176</v>
      </c>
      <c r="G15" s="11" t="s">
        <v>19</v>
      </c>
      <c r="H15" s="11" t="s">
        <v>22</v>
      </c>
      <c r="I15" s="11" t="s">
        <v>21</v>
      </c>
      <c r="J15" s="11" t="s">
        <v>39</v>
      </c>
      <c r="K15" s="11" t="s">
        <v>80</v>
      </c>
      <c r="L15" s="11" t="s">
        <v>81</v>
      </c>
      <c r="M15" s="9"/>
      <c r="O15" t="str">
        <f t="shared" si="1"/>
        <v>CONT1;HFS2;B01;MC06;ACPF5;SC0303;TYVA01;EXC2;MESG4EU1CHRO2ACUT2GEO18CNAEL11NACE12010101</v>
      </c>
      <c r="P15" s="15" t="s">
        <v>129</v>
      </c>
      <c r="Q15" t="str">
        <f t="shared" si="0"/>
        <v>CONT1;HFS2;B01;MC06;ACPF5;SC0303;TYVA01;EXC2;MESG4EU1CHRO2ACUT2GEO18CNAEL11NACE12010101</v>
      </c>
      <c r="R15" s="30" t="s">
        <v>129</v>
      </c>
      <c r="S15" s="48" t="s">
        <v>692</v>
      </c>
      <c r="T15" s="46"/>
      <c r="U15" s="49" t="s">
        <v>695</v>
      </c>
      <c r="V15" s="46"/>
      <c r="W15" s="47"/>
    </row>
    <row r="16" spans="1:16384" x14ac:dyDescent="0.25">
      <c r="B16" s="11" t="s">
        <v>124</v>
      </c>
      <c r="C16" s="11" t="s">
        <v>18</v>
      </c>
      <c r="D16" s="11" t="s">
        <v>113</v>
      </c>
      <c r="E16" s="11" t="s">
        <v>118</v>
      </c>
      <c r="F16" s="12">
        <v>22684</v>
      </c>
      <c r="G16" s="11" t="s">
        <v>19</v>
      </c>
      <c r="H16" s="11" t="s">
        <v>22</v>
      </c>
      <c r="I16" s="11" t="s">
        <v>21</v>
      </c>
      <c r="J16" s="11" t="s">
        <v>20</v>
      </c>
      <c r="K16" s="11" t="s">
        <v>52</v>
      </c>
      <c r="L16" s="11" t="s">
        <v>53</v>
      </c>
      <c r="M16" s="9"/>
      <c r="O16" t="str">
        <f t="shared" si="1"/>
        <v>CONT1;HFS2;B01;MC06;ACPF5;SC0303;TYVA01;EXC2;MESG4EU1CHRO2ACUT2GEO3CNAEL18NACE19010303</v>
      </c>
      <c r="P16" s="15" t="s">
        <v>129</v>
      </c>
      <c r="Q16" t="str">
        <f t="shared" si="0"/>
        <v>CONT1;HFS2;B01;MC06;ACPF5;SC0303;TYVA01;EXC2;MESG4EU1CHRO2ACUT2GEO3CNAEL18NACE19010303</v>
      </c>
      <c r="R16" s="30" t="s">
        <v>129</v>
      </c>
      <c r="S16" s="48" t="s">
        <v>694</v>
      </c>
      <c r="T16" s="46"/>
      <c r="U16" s="49" t="s">
        <v>696</v>
      </c>
      <c r="V16" s="46"/>
      <c r="W16" s="47"/>
      <c r="X16" s="15" t="s">
        <v>129</v>
      </c>
    </row>
    <row r="17" spans="2:24" x14ac:dyDescent="0.25">
      <c r="B17" s="11" t="s">
        <v>124</v>
      </c>
      <c r="C17" s="11" t="s">
        <v>38</v>
      </c>
      <c r="D17" s="11" t="s">
        <v>113</v>
      </c>
      <c r="E17" s="11" t="s">
        <v>115</v>
      </c>
      <c r="F17" s="12">
        <v>-1</v>
      </c>
      <c r="G17" s="11" t="s">
        <v>19</v>
      </c>
      <c r="H17" s="11" t="s">
        <v>22</v>
      </c>
      <c r="I17" s="11" t="s">
        <v>21</v>
      </c>
      <c r="J17" s="11" t="s">
        <v>39</v>
      </c>
      <c r="K17" s="11"/>
      <c r="L17" s="11"/>
      <c r="M17" s="9"/>
      <c r="O17" t="str">
        <f t="shared" si="1"/>
        <v>CONT1;HFS2;B01;MC08;TYVA01;;MESG4EU1CHRO2ACUT2GEO18</v>
      </c>
      <c r="P17" s="15" t="s">
        <v>129</v>
      </c>
      <c r="Q17" t="str">
        <f t="shared" si="0"/>
        <v>CONT1;HFS2;B01;MC08;TYVA01;;MESG4EU1CHRO2ACUT2GEO18</v>
      </c>
      <c r="R17" s="30" t="s">
        <v>129</v>
      </c>
      <c r="S17" s="50" t="s">
        <v>693</v>
      </c>
      <c r="T17" s="51"/>
      <c r="U17" s="52" t="s">
        <v>697</v>
      </c>
      <c r="V17" s="51"/>
      <c r="W17" s="53"/>
      <c r="X17" s="15" t="s">
        <v>129</v>
      </c>
    </row>
    <row r="18" spans="2:24" x14ac:dyDescent="0.25">
      <c r="B18" s="11" t="s">
        <v>124</v>
      </c>
      <c r="C18" s="11" t="s">
        <v>48</v>
      </c>
      <c r="D18" s="11" t="s">
        <v>113</v>
      </c>
      <c r="E18" s="11" t="s">
        <v>119</v>
      </c>
      <c r="F18" s="12">
        <v>88723411</v>
      </c>
      <c r="G18" s="11" t="s">
        <v>19</v>
      </c>
      <c r="H18" s="11" t="s">
        <v>22</v>
      </c>
      <c r="I18" s="11" t="s">
        <v>21</v>
      </c>
      <c r="J18" s="11" t="s">
        <v>20</v>
      </c>
      <c r="K18" s="11"/>
      <c r="L18" s="11"/>
      <c r="M18" s="9"/>
      <c r="O18" t="str">
        <f t="shared" si="1"/>
        <v>CONT1;HFS2;B01;MC08;TYVA01;INVS4;MESG4EU1CHRO2ACUT2GEO3</v>
      </c>
      <c r="P18" s="15" t="s">
        <v>129</v>
      </c>
      <c r="Q18" t="str">
        <f t="shared" si="0"/>
        <v>CONT1;HFS2;B01;MC08;TYVA01;INVS4;MESG4EU1CHRO2ACUT2GEO3</v>
      </c>
      <c r="R18" s="30" t="s">
        <v>129</v>
      </c>
    </row>
    <row r="19" spans="2:24" x14ac:dyDescent="0.25">
      <c r="B19" s="11" t="s">
        <v>124</v>
      </c>
      <c r="C19" s="11" t="s">
        <v>35</v>
      </c>
      <c r="D19" s="11" t="s">
        <v>113</v>
      </c>
      <c r="E19" s="11" t="s">
        <v>119</v>
      </c>
      <c r="F19" s="12">
        <v>7932813</v>
      </c>
      <c r="G19" s="11" t="s">
        <v>19</v>
      </c>
      <c r="H19" s="11" t="s">
        <v>22</v>
      </c>
      <c r="I19" s="11" t="s">
        <v>21</v>
      </c>
      <c r="J19" s="11" t="s">
        <v>20</v>
      </c>
      <c r="K19" s="11"/>
      <c r="L19" s="11"/>
      <c r="M19" s="9"/>
      <c r="O19" t="str">
        <f t="shared" si="1"/>
        <v>CONT1;HFS2;B01;MC08;TYVA01;INVS4;MESG4EU1CHRO2ACUT2GEO3</v>
      </c>
      <c r="P19" s="15" t="s">
        <v>129</v>
      </c>
      <c r="Q19" t="str">
        <f t="shared" si="0"/>
        <v>CONT1;HFS2;B01;MC08;TYVA01;INVS4;MESG4EU1CHRO2ACUT2GEO3</v>
      </c>
      <c r="R19" s="30" t="s">
        <v>129</v>
      </c>
    </row>
    <row r="20" spans="2:24" x14ac:dyDescent="0.25">
      <c r="B20" s="11" t="s">
        <v>124</v>
      </c>
      <c r="C20" s="11" t="s">
        <v>38</v>
      </c>
      <c r="D20" s="11" t="s">
        <v>113</v>
      </c>
      <c r="E20" s="11" t="s">
        <v>119</v>
      </c>
      <c r="F20" s="12">
        <v>450662960</v>
      </c>
      <c r="G20" s="11" t="s">
        <v>19</v>
      </c>
      <c r="H20" s="11" t="s">
        <v>22</v>
      </c>
      <c r="I20" s="11" t="s">
        <v>21</v>
      </c>
      <c r="J20" s="11" t="s">
        <v>39</v>
      </c>
      <c r="K20" s="11"/>
      <c r="L20" s="11"/>
      <c r="M20" s="9"/>
      <c r="O20" t="str">
        <f t="shared" si="1"/>
        <v>CONT1;HFS2;B01;MC08;TYVA01;INVS4;MESG4EU1CHRO2ACUT2GEO18</v>
      </c>
      <c r="P20" s="15" t="s">
        <v>129</v>
      </c>
      <c r="Q20" t="str">
        <f t="shared" si="0"/>
        <v>CONT1;HFS2;B01;MC08;TYVA01;INVS4;MESG4EU1CHRO2ACUT2GEO18</v>
      </c>
      <c r="R20" s="30" t="s">
        <v>129</v>
      </c>
    </row>
    <row r="21" spans="2:24" x14ac:dyDescent="0.25">
      <c r="B21" s="11" t="s">
        <v>124</v>
      </c>
      <c r="C21" s="11" t="s">
        <v>125</v>
      </c>
      <c r="D21" s="11" t="s">
        <v>113</v>
      </c>
      <c r="E21" s="11" t="s">
        <v>120</v>
      </c>
      <c r="F21" s="12">
        <v>133078</v>
      </c>
      <c r="G21" s="11" t="s">
        <v>19</v>
      </c>
      <c r="H21" s="11" t="s">
        <v>22</v>
      </c>
      <c r="I21" s="11" t="s">
        <v>21</v>
      </c>
      <c r="J21" s="11" t="s">
        <v>20</v>
      </c>
      <c r="K21" s="11" t="s">
        <v>121</v>
      </c>
      <c r="L21" s="11" t="s">
        <v>122</v>
      </c>
      <c r="M21" s="9" t="s">
        <v>247</v>
      </c>
      <c r="O21" t="str">
        <f t="shared" si="1"/>
        <v>CONT1;HFS2;B01;MC08;TYVA01;INVS5;EXC2;MESG4EU1CHRO2ACUT2GEO3CNAEL10NACE10050104</v>
      </c>
      <c r="P21" s="15" t="s">
        <v>129</v>
      </c>
      <c r="Q21" t="e">
        <f t="shared" si="0"/>
        <v>#N/A</v>
      </c>
      <c r="R21" s="30" t="s">
        <v>129</v>
      </c>
    </row>
    <row r="22" spans="2:24" x14ac:dyDescent="0.25">
      <c r="B22" s="11" t="s">
        <v>124</v>
      </c>
      <c r="C22" s="11" t="s">
        <v>68</v>
      </c>
      <c r="D22" s="11" t="s">
        <v>113</v>
      </c>
      <c r="E22" s="11" t="s">
        <v>120</v>
      </c>
      <c r="F22" s="12">
        <v>99962303</v>
      </c>
      <c r="G22" s="11" t="s">
        <v>19</v>
      </c>
      <c r="H22" s="11" t="s">
        <v>22</v>
      </c>
      <c r="I22" s="11" t="s">
        <v>21</v>
      </c>
      <c r="J22" s="11" t="s">
        <v>20</v>
      </c>
      <c r="K22" s="11" t="s">
        <v>69</v>
      </c>
      <c r="L22" s="11" t="s">
        <v>70</v>
      </c>
      <c r="M22" s="9"/>
      <c r="O22" t="str">
        <f t="shared" si="1"/>
        <v>CONT1;HFS2;B01;MC08;TYVA01;INVS5;EXC2;MESG4EU1CHRO2ACUT2GEO3CNAEL6NACE06010101</v>
      </c>
      <c r="P22" s="15" t="s">
        <v>129</v>
      </c>
      <c r="Q22" t="str">
        <f t="shared" si="0"/>
        <v>CONT1;HFS2;B01;MC08;TYVA01;INVS5;EXC2;MESG4EU1CHRO2ACUT2GEO3CNAEL6NACE06010101</v>
      </c>
      <c r="R22" s="30" t="s">
        <v>129</v>
      </c>
    </row>
    <row r="23" spans="2:24" x14ac:dyDescent="0.25">
      <c r="B23" s="11" t="s">
        <v>124</v>
      </c>
      <c r="C23" s="11" t="s">
        <v>68</v>
      </c>
      <c r="D23" s="11" t="s">
        <v>113</v>
      </c>
      <c r="E23" s="11" t="s">
        <v>114</v>
      </c>
      <c r="F23" s="12">
        <v>-11000000</v>
      </c>
      <c r="G23" s="11" t="s">
        <v>19</v>
      </c>
      <c r="H23" s="11" t="s">
        <v>22</v>
      </c>
      <c r="I23" s="11" t="s">
        <v>21</v>
      </c>
      <c r="J23" s="11" t="s">
        <v>20</v>
      </c>
      <c r="K23" s="11" t="s">
        <v>69</v>
      </c>
      <c r="L23" s="11" t="s">
        <v>70</v>
      </c>
      <c r="M23" s="9"/>
      <c r="O23" t="str">
        <f t="shared" si="1"/>
        <v>CONT1;HFS2;B01;MC08;TYVA02;INVS5;EXC2EU1CHRO2ACUT2GEO3CNAEL6NACE06010101</v>
      </c>
      <c r="P23" s="15" t="s">
        <v>129</v>
      </c>
      <c r="Q23" t="str">
        <f t="shared" si="0"/>
        <v>CONT1;HFS2;B01;MC08;TYVA02;INVS5;EXC2EU1CHRO2ACUT2GEO3CNAEL6NACE06010101</v>
      </c>
      <c r="R23" s="30" t="s">
        <v>129</v>
      </c>
    </row>
    <row r="24" spans="2:24" x14ac:dyDescent="0.25">
      <c r="B24" s="35"/>
      <c r="C24" s="35"/>
      <c r="D24" s="35"/>
      <c r="E24" s="34"/>
      <c r="F24" s="34">
        <f>SUM(F9:F23)</f>
        <v>872379774</v>
      </c>
      <c r="G24" s="35"/>
      <c r="H24" s="35"/>
      <c r="I24" s="35"/>
      <c r="J24" s="35"/>
      <c r="K24" s="35"/>
      <c r="L24" s="35"/>
      <c r="R24" s="15"/>
    </row>
    <row r="25" spans="2:24" x14ac:dyDescent="0.25">
      <c r="E25" s="18"/>
      <c r="F25" s="18"/>
      <c r="R25" s="15"/>
    </row>
    <row r="26" spans="2:24" x14ac:dyDescent="0.25">
      <c r="B26" s="13" t="s">
        <v>126</v>
      </c>
      <c r="E26" s="18"/>
      <c r="F26" s="18">
        <f>SUM(F28:F44)</f>
        <v>847227229</v>
      </c>
      <c r="R26" s="15"/>
    </row>
    <row r="27" spans="2:24" x14ac:dyDescent="0.25">
      <c r="B27" s="10" t="s">
        <v>105</v>
      </c>
      <c r="C27" s="10" t="s">
        <v>106</v>
      </c>
      <c r="D27" s="10" t="s">
        <v>107</v>
      </c>
      <c r="E27" s="10" t="s">
        <v>108</v>
      </c>
      <c r="F27" s="10" t="s">
        <v>12</v>
      </c>
      <c r="G27" s="10" t="s">
        <v>109</v>
      </c>
      <c r="H27" s="10" t="s">
        <v>110</v>
      </c>
      <c r="I27" s="10" t="s">
        <v>111</v>
      </c>
      <c r="J27" s="10" t="s">
        <v>11</v>
      </c>
      <c r="K27" s="10" t="s">
        <v>8</v>
      </c>
      <c r="L27" s="10" t="s">
        <v>112</v>
      </c>
      <c r="M27" s="10" t="s">
        <v>127</v>
      </c>
      <c r="R27" s="15"/>
    </row>
    <row r="28" spans="2:24" x14ac:dyDescent="0.25">
      <c r="B28" s="11" t="s">
        <v>124</v>
      </c>
      <c r="C28" s="11" t="s">
        <v>18</v>
      </c>
      <c r="D28" s="11" t="s">
        <v>113</v>
      </c>
      <c r="E28" s="11" t="s">
        <v>117</v>
      </c>
      <c r="F28" s="12">
        <v>278361</v>
      </c>
      <c r="G28" s="11" t="s">
        <v>19</v>
      </c>
      <c r="H28" s="11" t="s">
        <v>22</v>
      </c>
      <c r="I28" s="11" t="s">
        <v>30</v>
      </c>
      <c r="J28" s="11" t="s">
        <v>20</v>
      </c>
      <c r="K28" s="11"/>
      <c r="L28" s="11"/>
      <c r="M28" s="14" t="s">
        <v>128</v>
      </c>
      <c r="N28" s="15" t="s">
        <v>129</v>
      </c>
      <c r="O28" t="str">
        <f>CONCATENATE(E28,G28,H28,I28,J28,K28,L28)</f>
        <v>CONT1;HFS1;B01;MC1005;ORIG4;TYVA01;MESG4EU1CHRO2ACUT1GEO3</v>
      </c>
      <c r="P28" s="15" t="s">
        <v>129</v>
      </c>
      <c r="Q28" t="e">
        <f t="shared" ref="Q28:Q44" si="2">VLOOKUP(O28,$O$9:$O$23,1,FALSE)</f>
        <v>#N/A</v>
      </c>
      <c r="R28" s="15" t="s">
        <v>129</v>
      </c>
    </row>
    <row r="29" spans="2:24" x14ac:dyDescent="0.25">
      <c r="B29" s="11" t="s">
        <v>124</v>
      </c>
      <c r="C29" s="11" t="s">
        <v>18</v>
      </c>
      <c r="D29" s="11" t="s">
        <v>113</v>
      </c>
      <c r="E29" s="11" t="s">
        <v>117</v>
      </c>
      <c r="F29" s="12">
        <v>40381801</v>
      </c>
      <c r="G29" s="11" t="s">
        <v>19</v>
      </c>
      <c r="H29" s="11" t="s">
        <v>22</v>
      </c>
      <c r="I29" s="11" t="s">
        <v>21</v>
      </c>
      <c r="J29" s="11" t="s">
        <v>20</v>
      </c>
      <c r="K29" s="11"/>
      <c r="L29" s="11"/>
      <c r="O29" t="str">
        <f t="shared" ref="O29:O44" si="3">CONCATENATE(E29,G29,H29,I29,J29,K29,L29)</f>
        <v>CONT1;HFS1;B01;MC1005;ORIG4;TYVA01;MESG4EU1CHRO2ACUT2GEO3</v>
      </c>
      <c r="P29" s="15" t="s">
        <v>129</v>
      </c>
      <c r="Q29" t="str">
        <f t="shared" si="2"/>
        <v>CONT1;HFS1;B01;MC1005;ORIG4;TYVA01;MESG4EU1CHRO2ACUT2GEO3</v>
      </c>
      <c r="R29" s="15" t="s">
        <v>129</v>
      </c>
    </row>
    <row r="30" spans="2:24" x14ac:dyDescent="0.25">
      <c r="B30" s="11" t="s">
        <v>124</v>
      </c>
      <c r="C30" s="11" t="s">
        <v>18</v>
      </c>
      <c r="D30" s="11" t="s">
        <v>113</v>
      </c>
      <c r="E30" s="11" t="s">
        <v>15</v>
      </c>
      <c r="F30" s="12">
        <v>-21085073</v>
      </c>
      <c r="G30" s="11" t="s">
        <v>19</v>
      </c>
      <c r="H30" s="11" t="s">
        <v>22</v>
      </c>
      <c r="I30" s="11" t="s">
        <v>21</v>
      </c>
      <c r="J30" s="11" t="s">
        <v>20</v>
      </c>
      <c r="K30" s="11"/>
      <c r="L30" s="11"/>
      <c r="O30" t="str">
        <f t="shared" si="3"/>
        <v>CONT1;HFS1;B01;MC1005;ORIG4;TYVA02EU1CHRO2ACUT2GEO3</v>
      </c>
      <c r="P30" s="15" t="s">
        <v>129</v>
      </c>
      <c r="Q30" t="str">
        <f t="shared" si="2"/>
        <v>CONT1;HFS1;B01;MC1005;ORIG4;TYVA02EU1CHRO2ACUT2GEO3</v>
      </c>
      <c r="R30" s="15" t="s">
        <v>129</v>
      </c>
    </row>
    <row r="31" spans="2:24" x14ac:dyDescent="0.25">
      <c r="B31" s="11" t="s">
        <v>124</v>
      </c>
      <c r="C31" s="11" t="s">
        <v>18</v>
      </c>
      <c r="D31" s="11" t="s">
        <v>113</v>
      </c>
      <c r="E31" s="11" t="s">
        <v>15</v>
      </c>
      <c r="F31" s="12">
        <v>-69183</v>
      </c>
      <c r="G31" s="11" t="s">
        <v>19</v>
      </c>
      <c r="H31" s="11" t="s">
        <v>22</v>
      </c>
      <c r="I31" s="11" t="s">
        <v>30</v>
      </c>
      <c r="J31" s="11" t="s">
        <v>20</v>
      </c>
      <c r="K31" s="11"/>
      <c r="L31" s="11"/>
      <c r="O31" t="str">
        <f t="shared" si="3"/>
        <v>CONT1;HFS1;B01;MC1005;ORIG4;TYVA02EU1CHRO2ACUT1GEO3</v>
      </c>
      <c r="P31" s="15" t="s">
        <v>129</v>
      </c>
      <c r="Q31" t="e">
        <f t="shared" si="2"/>
        <v>#N/A</v>
      </c>
      <c r="R31" s="15" t="s">
        <v>129</v>
      </c>
    </row>
    <row r="32" spans="2:24" x14ac:dyDescent="0.25">
      <c r="B32" s="11" t="s">
        <v>124</v>
      </c>
      <c r="C32" s="11" t="s">
        <v>18</v>
      </c>
      <c r="D32" s="11" t="s">
        <v>113</v>
      </c>
      <c r="E32" s="11" t="s">
        <v>123</v>
      </c>
      <c r="F32" s="12">
        <v>17085832</v>
      </c>
      <c r="G32" s="11" t="s">
        <v>19</v>
      </c>
      <c r="H32" s="11" t="s">
        <v>22</v>
      </c>
      <c r="I32" s="11" t="s">
        <v>21</v>
      </c>
      <c r="J32" s="11" t="s">
        <v>20</v>
      </c>
      <c r="K32" s="11"/>
      <c r="L32" s="11"/>
      <c r="O32" t="str">
        <f t="shared" si="3"/>
        <v>CONT1;HFS2;B01;MC06;ACPF3;SC0302;TYVA01;MESG4EU1CHRO2ACUT2GEO3</v>
      </c>
      <c r="P32" s="15" t="s">
        <v>129</v>
      </c>
      <c r="Q32" t="str">
        <f t="shared" si="2"/>
        <v>CONT1;HFS2;B01;MC06;ACPF3;SC0302;TYVA01;MESG4EU1CHRO2ACUT2GEO3</v>
      </c>
      <c r="R32" s="15" t="s">
        <v>129</v>
      </c>
    </row>
    <row r="33" spans="2:18" x14ac:dyDescent="0.25">
      <c r="B33" s="11" t="s">
        <v>124</v>
      </c>
      <c r="C33" s="11" t="s">
        <v>18</v>
      </c>
      <c r="D33" s="11" t="s">
        <v>113</v>
      </c>
      <c r="E33" s="16" t="s">
        <v>116</v>
      </c>
      <c r="F33" s="17">
        <v>2493971</v>
      </c>
      <c r="G33" s="16" t="s">
        <v>44</v>
      </c>
      <c r="H33" s="16" t="s">
        <v>22</v>
      </c>
      <c r="I33" s="16" t="s">
        <v>21</v>
      </c>
      <c r="J33" s="11" t="s">
        <v>45</v>
      </c>
      <c r="K33" s="11"/>
      <c r="L33" s="11"/>
      <c r="O33" t="str">
        <f t="shared" si="3"/>
        <v>CONT1;HFS2;B01;MC06;ACPF5;SC0302;TYVA01;MESG4EU2CHRO2ACUT2GEO2</v>
      </c>
      <c r="P33" s="15" t="s">
        <v>129</v>
      </c>
      <c r="Q33" t="str">
        <f t="shared" si="2"/>
        <v>CONT1;HFS2;B01;MC06;ACPF5;SC0302;TYVA01;MESG4EU2CHRO2ACUT2GEO2</v>
      </c>
      <c r="R33" s="15" t="s">
        <v>129</v>
      </c>
    </row>
    <row r="34" spans="2:18" x14ac:dyDescent="0.25">
      <c r="B34" s="11" t="s">
        <v>124</v>
      </c>
      <c r="C34" s="11" t="s">
        <v>18</v>
      </c>
      <c r="D34" s="11" t="s">
        <v>113</v>
      </c>
      <c r="E34" s="11" t="s">
        <v>116</v>
      </c>
      <c r="F34" s="12">
        <v>171653011</v>
      </c>
      <c r="G34" s="11" t="s">
        <v>19</v>
      </c>
      <c r="H34" s="11" t="s">
        <v>22</v>
      </c>
      <c r="I34" s="11" t="s">
        <v>21</v>
      </c>
      <c r="J34" s="11" t="s">
        <v>20</v>
      </c>
      <c r="K34" s="11"/>
      <c r="L34" s="11"/>
      <c r="O34" t="str">
        <f t="shared" si="3"/>
        <v>CONT1;HFS2;B01;MC06;ACPF5;SC0302;TYVA01;MESG4EU1CHRO2ACUT2GEO3</v>
      </c>
      <c r="P34" s="15" t="s">
        <v>129</v>
      </c>
      <c r="Q34" t="str">
        <f t="shared" si="2"/>
        <v>CONT1;HFS2;B01;MC06;ACPF5;SC0302;TYVA01;MESG4EU1CHRO2ACUT2GEO3</v>
      </c>
      <c r="R34" s="15" t="s">
        <v>129</v>
      </c>
    </row>
    <row r="35" spans="2:18" x14ac:dyDescent="0.25">
      <c r="B35" s="11" t="s">
        <v>124</v>
      </c>
      <c r="C35" s="11" t="s">
        <v>18</v>
      </c>
      <c r="D35" s="11" t="s">
        <v>113</v>
      </c>
      <c r="E35" s="11" t="s">
        <v>118</v>
      </c>
      <c r="F35" s="12">
        <v>22684</v>
      </c>
      <c r="G35" s="11" t="s">
        <v>19</v>
      </c>
      <c r="H35" s="11" t="s">
        <v>22</v>
      </c>
      <c r="I35" s="11" t="s">
        <v>21</v>
      </c>
      <c r="J35" s="11" t="s">
        <v>20</v>
      </c>
      <c r="K35" s="11" t="s">
        <v>52</v>
      </c>
      <c r="L35" s="11" t="s">
        <v>53</v>
      </c>
      <c r="O35" t="str">
        <f t="shared" si="3"/>
        <v>CONT1;HFS2;B01;MC06;ACPF5;SC0303;TYVA01;EXC2;MESG4EU1CHRO2ACUT2GEO3CNAEL18NACE19010303</v>
      </c>
      <c r="P35" s="15" t="s">
        <v>129</v>
      </c>
      <c r="Q35" t="str">
        <f t="shared" si="2"/>
        <v>CONT1;HFS2;B01;MC06;ACPF5;SC0303;TYVA01;EXC2;MESG4EU1CHRO2ACUT2GEO3CNAEL18NACE19010303</v>
      </c>
      <c r="R35" s="15" t="s">
        <v>129</v>
      </c>
    </row>
    <row r="36" spans="2:18" x14ac:dyDescent="0.25">
      <c r="B36" s="11" t="s">
        <v>124</v>
      </c>
      <c r="C36" s="11" t="s">
        <v>18</v>
      </c>
      <c r="D36" s="11" t="s">
        <v>113</v>
      </c>
      <c r="E36" s="11" t="s">
        <v>118</v>
      </c>
      <c r="F36" s="12">
        <v>35578</v>
      </c>
      <c r="G36" s="11" t="s">
        <v>19</v>
      </c>
      <c r="H36" s="11" t="s">
        <v>22</v>
      </c>
      <c r="I36" s="11" t="s">
        <v>21</v>
      </c>
      <c r="J36" s="11" t="s">
        <v>20</v>
      </c>
      <c r="K36" s="11" t="s">
        <v>61</v>
      </c>
      <c r="L36" s="11" t="s">
        <v>62</v>
      </c>
      <c r="O36" t="str">
        <f t="shared" si="3"/>
        <v>CONT1;HFS2;B01;MC06;ACPF5;SC0303;TYVA01;EXC2;MESG4EU1CHRO2ACUT2GEO3CNAEL3NACE03200302</v>
      </c>
      <c r="P36" s="15" t="s">
        <v>129</v>
      </c>
      <c r="Q36" t="str">
        <f t="shared" si="2"/>
        <v>CONT1;HFS2;B01;MC06;ACPF5;SC0303;TYVA01;EXC2;MESG4EU1CHRO2ACUT2GEO3CNAEL3NACE03200302</v>
      </c>
      <c r="R36" s="15" t="s">
        <v>129</v>
      </c>
    </row>
    <row r="37" spans="2:18" x14ac:dyDescent="0.25">
      <c r="B37" s="11" t="s">
        <v>124</v>
      </c>
      <c r="C37" s="11" t="s">
        <v>18</v>
      </c>
      <c r="D37" s="11" t="s">
        <v>113</v>
      </c>
      <c r="E37" s="11" t="s">
        <v>118</v>
      </c>
      <c r="F37" s="12">
        <v>131176</v>
      </c>
      <c r="G37" s="11" t="s">
        <v>19</v>
      </c>
      <c r="H37" s="11" t="s">
        <v>22</v>
      </c>
      <c r="I37" s="11" t="s">
        <v>21</v>
      </c>
      <c r="J37" s="11" t="s">
        <v>39</v>
      </c>
      <c r="K37" s="11" t="s">
        <v>80</v>
      </c>
      <c r="L37" s="11" t="s">
        <v>81</v>
      </c>
      <c r="O37" t="str">
        <f t="shared" si="3"/>
        <v>CONT1;HFS2;B01;MC06;ACPF5;SC0303;TYVA01;EXC2;MESG4EU1CHRO2ACUT2GEO18CNAEL11NACE12010101</v>
      </c>
      <c r="P37" s="15" t="s">
        <v>129</v>
      </c>
      <c r="Q37" t="str">
        <f t="shared" si="2"/>
        <v>CONT1;HFS2;B01;MC06;ACPF5;SC0303;TYVA01;EXC2;MESG4EU1CHRO2ACUT2GEO18CNAEL11NACE12010101</v>
      </c>
      <c r="R37" s="15" t="s">
        <v>129</v>
      </c>
    </row>
    <row r="38" spans="2:18" x14ac:dyDescent="0.25">
      <c r="B38" s="11" t="s">
        <v>124</v>
      </c>
      <c r="C38" s="11" t="s">
        <v>38</v>
      </c>
      <c r="D38" s="11" t="s">
        <v>113</v>
      </c>
      <c r="E38" s="11" t="s">
        <v>115</v>
      </c>
      <c r="F38" s="12">
        <v>-1</v>
      </c>
      <c r="G38" s="11" t="s">
        <v>19</v>
      </c>
      <c r="H38" s="11" t="s">
        <v>22</v>
      </c>
      <c r="I38" s="11" t="s">
        <v>21</v>
      </c>
      <c r="J38" s="11" t="s">
        <v>39</v>
      </c>
      <c r="K38" s="11"/>
      <c r="L38" s="11"/>
      <c r="O38" t="str">
        <f t="shared" si="3"/>
        <v>CONT1;HFS2;B01;MC08;TYVA01;;MESG4EU1CHRO2ACUT2GEO18</v>
      </c>
      <c r="P38" s="15" t="s">
        <v>129</v>
      </c>
      <c r="Q38" t="str">
        <f t="shared" si="2"/>
        <v>CONT1;HFS2;B01;MC08;TYVA01;;MESG4EU1CHRO2ACUT2GEO18</v>
      </c>
      <c r="R38" s="15" t="s">
        <v>129</v>
      </c>
    </row>
    <row r="39" spans="2:18" x14ac:dyDescent="0.25">
      <c r="B39" s="11" t="s">
        <v>124</v>
      </c>
      <c r="C39" s="11" t="s">
        <v>64</v>
      </c>
      <c r="D39" s="11" t="s">
        <v>113</v>
      </c>
      <c r="E39" s="11" t="s">
        <v>119</v>
      </c>
      <c r="F39" s="12">
        <v>49500</v>
      </c>
      <c r="G39" s="11" t="s">
        <v>19</v>
      </c>
      <c r="H39" s="11" t="s">
        <v>22</v>
      </c>
      <c r="I39" s="11" t="s">
        <v>21</v>
      </c>
      <c r="J39" s="11" t="s">
        <v>20</v>
      </c>
      <c r="K39" s="11"/>
      <c r="L39" s="11"/>
      <c r="O39" t="str">
        <f t="shared" si="3"/>
        <v>CONT1;HFS2;B01;MC08;TYVA01;INVS4;MESG4EU1CHRO2ACUT2GEO3</v>
      </c>
      <c r="P39" s="15" t="s">
        <v>129</v>
      </c>
      <c r="Q39" t="str">
        <f t="shared" si="2"/>
        <v>CONT1;HFS2;B01;MC08;TYVA01;INVS4;MESG4EU1CHRO2ACUT2GEO3</v>
      </c>
      <c r="R39" s="15" t="s">
        <v>129</v>
      </c>
    </row>
    <row r="40" spans="2:18" x14ac:dyDescent="0.25">
      <c r="B40" s="11" t="s">
        <v>124</v>
      </c>
      <c r="C40" s="11" t="s">
        <v>35</v>
      </c>
      <c r="D40" s="11" t="s">
        <v>113</v>
      </c>
      <c r="E40" s="11" t="s">
        <v>119</v>
      </c>
      <c r="F40" s="12">
        <v>7932813</v>
      </c>
      <c r="G40" s="11" t="s">
        <v>19</v>
      </c>
      <c r="H40" s="11" t="s">
        <v>22</v>
      </c>
      <c r="I40" s="11" t="s">
        <v>21</v>
      </c>
      <c r="J40" s="11" t="s">
        <v>20</v>
      </c>
      <c r="K40" s="11"/>
      <c r="L40" s="11"/>
      <c r="O40" t="str">
        <f t="shared" si="3"/>
        <v>CONT1;HFS2;B01;MC08;TYVA01;INVS4;MESG4EU1CHRO2ACUT2GEO3</v>
      </c>
      <c r="P40" s="15" t="s">
        <v>129</v>
      </c>
      <c r="Q40" t="str">
        <f t="shared" si="2"/>
        <v>CONT1;HFS2;B01;MC08;TYVA01;INVS4;MESG4EU1CHRO2ACUT2GEO3</v>
      </c>
      <c r="R40" s="15" t="s">
        <v>129</v>
      </c>
    </row>
    <row r="41" spans="2:18" x14ac:dyDescent="0.25">
      <c r="B41" s="11" t="s">
        <v>124</v>
      </c>
      <c r="C41" s="11" t="s">
        <v>48</v>
      </c>
      <c r="D41" s="11" t="s">
        <v>113</v>
      </c>
      <c r="E41" s="11" t="s">
        <v>119</v>
      </c>
      <c r="F41" s="12">
        <v>88691496</v>
      </c>
      <c r="G41" s="11" t="s">
        <v>19</v>
      </c>
      <c r="H41" s="11" t="s">
        <v>22</v>
      </c>
      <c r="I41" s="11" t="s">
        <v>21</v>
      </c>
      <c r="J41" s="11" t="s">
        <v>20</v>
      </c>
      <c r="K41" s="11"/>
      <c r="L41" s="11"/>
      <c r="O41" t="str">
        <f t="shared" si="3"/>
        <v>CONT1;HFS2;B01;MC08;TYVA01;INVS4;MESG4EU1CHRO2ACUT2GEO3</v>
      </c>
      <c r="P41" s="15" t="s">
        <v>129</v>
      </c>
      <c r="Q41" t="str">
        <f t="shared" si="2"/>
        <v>CONT1;HFS2;B01;MC08;TYVA01;INVS4;MESG4EU1CHRO2ACUT2GEO3</v>
      </c>
      <c r="R41" s="15" t="s">
        <v>129</v>
      </c>
    </row>
    <row r="42" spans="2:18" x14ac:dyDescent="0.25">
      <c r="B42" s="11" t="s">
        <v>124</v>
      </c>
      <c r="C42" s="11" t="s">
        <v>38</v>
      </c>
      <c r="D42" s="11" t="s">
        <v>113</v>
      </c>
      <c r="E42" s="11" t="s">
        <v>119</v>
      </c>
      <c r="F42" s="12">
        <v>450662960</v>
      </c>
      <c r="G42" s="11" t="s">
        <v>19</v>
      </c>
      <c r="H42" s="11" t="s">
        <v>22</v>
      </c>
      <c r="I42" s="11" t="s">
        <v>21</v>
      </c>
      <c r="J42" s="11" t="s">
        <v>39</v>
      </c>
      <c r="K42" s="11"/>
      <c r="L42" s="11"/>
      <c r="O42" t="str">
        <f t="shared" si="3"/>
        <v>CONT1;HFS2;B01;MC08;TYVA01;INVS4;MESG4EU1CHRO2ACUT2GEO18</v>
      </c>
      <c r="P42" s="15" t="s">
        <v>129</v>
      </c>
      <c r="Q42" t="str">
        <f t="shared" si="2"/>
        <v>CONT1;HFS2;B01;MC08;TYVA01;INVS4;MESG4EU1CHRO2ACUT2GEO18</v>
      </c>
      <c r="R42" s="15" t="s">
        <v>129</v>
      </c>
    </row>
    <row r="43" spans="2:18" x14ac:dyDescent="0.25">
      <c r="B43" s="11" t="s">
        <v>124</v>
      </c>
      <c r="C43" s="11" t="s">
        <v>68</v>
      </c>
      <c r="D43" s="11" t="s">
        <v>113</v>
      </c>
      <c r="E43" s="11" t="s">
        <v>120</v>
      </c>
      <c r="F43" s="12">
        <v>99962303</v>
      </c>
      <c r="G43" s="11" t="s">
        <v>19</v>
      </c>
      <c r="H43" s="11" t="s">
        <v>22</v>
      </c>
      <c r="I43" s="11" t="s">
        <v>21</v>
      </c>
      <c r="J43" s="11" t="s">
        <v>20</v>
      </c>
      <c r="K43" s="11" t="s">
        <v>69</v>
      </c>
      <c r="L43" s="11" t="s">
        <v>70</v>
      </c>
      <c r="O43" t="str">
        <f t="shared" si="3"/>
        <v>CONT1;HFS2;B01;MC08;TYVA01;INVS5;EXC2;MESG4EU1CHRO2ACUT2GEO3CNAEL6NACE06010101</v>
      </c>
      <c r="P43" s="15" t="s">
        <v>129</v>
      </c>
      <c r="Q43" t="str">
        <f t="shared" si="2"/>
        <v>CONT1;HFS2;B01;MC08;TYVA01;INVS5;EXC2;MESG4EU1CHRO2ACUT2GEO3CNAEL6NACE06010101</v>
      </c>
      <c r="R43" s="15" t="s">
        <v>129</v>
      </c>
    </row>
    <row r="44" spans="2:18" x14ac:dyDescent="0.25">
      <c r="B44" s="11" t="s">
        <v>124</v>
      </c>
      <c r="C44" s="11" t="s">
        <v>68</v>
      </c>
      <c r="D44" s="11" t="s">
        <v>113</v>
      </c>
      <c r="E44" s="11" t="s">
        <v>114</v>
      </c>
      <c r="F44" s="12">
        <v>-11000000</v>
      </c>
      <c r="G44" s="11" t="s">
        <v>19</v>
      </c>
      <c r="H44" s="11" t="s">
        <v>22</v>
      </c>
      <c r="I44" s="11" t="s">
        <v>21</v>
      </c>
      <c r="J44" s="11" t="s">
        <v>20</v>
      </c>
      <c r="K44" s="11" t="s">
        <v>69</v>
      </c>
      <c r="L44" s="11" t="s">
        <v>70</v>
      </c>
      <c r="O44" t="str">
        <f t="shared" si="3"/>
        <v>CONT1;HFS2;B01;MC08;TYVA02;INVS5;EXC2EU1CHRO2ACUT2GEO3CNAEL6NACE06010101</v>
      </c>
      <c r="P44" s="15" t="s">
        <v>129</v>
      </c>
      <c r="Q44" t="str">
        <f t="shared" si="2"/>
        <v>CONT1;HFS2;B01;MC08;TYVA02;INVS5;EXC2EU1CHRO2ACUT2GEO3CNAEL6NACE06010101</v>
      </c>
      <c r="R44" s="15" t="s">
        <v>129</v>
      </c>
    </row>
    <row r="46" spans="2:18" x14ac:dyDescent="0.25">
      <c r="F46" s="18">
        <f>SUM(F32:F44)</f>
        <v>827721323</v>
      </c>
    </row>
  </sheetData>
  <autoFilter ref="B8:L24"/>
  <mergeCells count="1">
    <mergeCell ref="S12:W1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136"/>
  <sheetViews>
    <sheetView showGridLines="0" tabSelected="1" workbookViewId="0"/>
  </sheetViews>
  <sheetFormatPr defaultRowHeight="15" x14ac:dyDescent="0.25"/>
  <cols>
    <col min="1" max="1" width="3.7109375" customWidth="1"/>
    <col min="2" max="2" width="42.140625" bestFit="1" customWidth="1"/>
    <col min="7" max="7" width="41.140625" bestFit="1" customWidth="1"/>
    <col min="8" max="8" width="14.28515625" bestFit="1" customWidth="1"/>
    <col min="11" max="11" width="12.42578125" bestFit="1" customWidth="1"/>
    <col min="13" max="13" width="12.42578125" bestFit="1" customWidth="1"/>
    <col min="14" max="14" width="14" bestFit="1" customWidth="1"/>
    <col min="15" max="15" width="14.28515625" bestFit="1" customWidth="1"/>
    <col min="16" max="16" width="14.28515625" customWidth="1"/>
    <col min="17" max="19" width="13.5703125" bestFit="1" customWidth="1"/>
    <col min="21" max="21" width="13.5703125" bestFit="1" customWidth="1"/>
    <col min="22" max="22" width="10.42578125" bestFit="1" customWidth="1"/>
    <col min="23" max="23" width="10.42578125" customWidth="1"/>
    <col min="25" max="26" width="13.5703125" bestFit="1" customWidth="1"/>
    <col min="27" max="27" width="21.5703125" bestFit="1" customWidth="1"/>
    <col min="29" max="29" width="12.28515625" bestFit="1" customWidth="1"/>
    <col min="31" max="31" width="12.140625" bestFit="1" customWidth="1"/>
    <col min="35" max="35" width="20" bestFit="1" customWidth="1"/>
    <col min="38" max="38" width="11.42578125" bestFit="1" customWidth="1"/>
    <col min="41" max="41" width="14" bestFit="1" customWidth="1"/>
    <col min="44" max="44" width="10.7109375" bestFit="1" customWidth="1"/>
    <col min="47" max="47" width="11.28515625" bestFit="1" customWidth="1"/>
    <col min="50" max="50" width="11.42578125" bestFit="1" customWidth="1"/>
    <col min="53" max="53" width="11.42578125" bestFit="1" customWidth="1"/>
  </cols>
  <sheetData>
    <row r="1" spans="1:16384" s="1" customFormat="1" x14ac:dyDescent="0.25"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1" customFormat="1" x14ac:dyDescent="0.25"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1" customFormat="1" x14ac:dyDescent="0.25"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1" customFormat="1" ht="15.75" thickBo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6" customFormat="1" ht="6.95" customHeight="1" thickTop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s="6" customFormat="1" ht="15" customHeight="1" x14ac:dyDescent="0.25">
      <c r="A6" s="4"/>
      <c r="B6" s="5"/>
      <c r="C6" s="5"/>
      <c r="D6" s="5"/>
      <c r="E6" s="5"/>
      <c r="F6" s="5"/>
      <c r="G6" s="5" t="s">
        <v>716</v>
      </c>
      <c r="H6" s="36"/>
      <c r="I6" s="5"/>
      <c r="J6" s="5"/>
      <c r="K6" s="5"/>
      <c r="L6" s="5"/>
      <c r="M6" s="5"/>
      <c r="N6" s="5"/>
      <c r="O6" s="5" t="s">
        <v>724</v>
      </c>
      <c r="P6" s="60">
        <v>838721324.16000021</v>
      </c>
      <c r="Q6" s="60">
        <f>SUM(P6:P7)</f>
        <v>879381469.22000015</v>
      </c>
      <c r="R6" s="5"/>
      <c r="S6" s="5"/>
      <c r="T6" s="5"/>
      <c r="U6" s="5"/>
      <c r="V6" s="5"/>
      <c r="W6"/>
      <c r="X6"/>
    </row>
    <row r="7" spans="1:16384" x14ac:dyDescent="0.25">
      <c r="B7" s="19" t="s">
        <v>175</v>
      </c>
      <c r="O7" t="s">
        <v>725</v>
      </c>
      <c r="P7" s="18">
        <v>40660145.05999995</v>
      </c>
      <c r="Q7" s="18"/>
      <c r="V7" s="58" t="s">
        <v>239</v>
      </c>
      <c r="W7" s="58"/>
      <c r="Y7" s="57" t="s">
        <v>235</v>
      </c>
      <c r="Z7" s="57"/>
      <c r="AA7" s="57"/>
      <c r="AC7" s="57" t="s">
        <v>233</v>
      </c>
      <c r="AD7" s="57"/>
      <c r="AF7" s="57" t="s">
        <v>234</v>
      </c>
      <c r="AG7" s="57"/>
      <c r="AI7" s="57" t="s">
        <v>242</v>
      </c>
      <c r="AJ7" s="57"/>
      <c r="AL7" s="57" t="s">
        <v>244</v>
      </c>
      <c r="AM7" s="57"/>
      <c r="AO7" s="57" t="s">
        <v>245</v>
      </c>
      <c r="AP7" s="57"/>
      <c r="AR7" s="57" t="s">
        <v>248</v>
      </c>
      <c r="AS7" s="57"/>
      <c r="AU7" s="57" t="s">
        <v>250</v>
      </c>
      <c r="AV7" s="57"/>
      <c r="AX7" s="57" t="s">
        <v>252</v>
      </c>
      <c r="AY7" s="57"/>
      <c r="BA7" s="57" t="s">
        <v>254</v>
      </c>
      <c r="BB7" s="57"/>
    </row>
    <row r="8" spans="1:16384" x14ac:dyDescent="0.25"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204</v>
      </c>
      <c r="H8" s="10" t="s">
        <v>130</v>
      </c>
      <c r="I8" s="10" t="s">
        <v>5</v>
      </c>
      <c r="J8" s="10" t="s">
        <v>6</v>
      </c>
      <c r="K8" s="10" t="s">
        <v>131</v>
      </c>
      <c r="L8" s="10" t="s">
        <v>7</v>
      </c>
      <c r="M8" s="10" t="s">
        <v>8</v>
      </c>
      <c r="N8" s="10" t="s">
        <v>9</v>
      </c>
      <c r="O8" s="10" t="s">
        <v>10</v>
      </c>
      <c r="P8" s="10" t="s">
        <v>12</v>
      </c>
      <c r="Q8" s="10" t="s">
        <v>13</v>
      </c>
      <c r="R8" s="10" t="s">
        <v>14</v>
      </c>
      <c r="S8" s="10" t="s">
        <v>11</v>
      </c>
      <c r="T8" s="10" t="s">
        <v>127</v>
      </c>
      <c r="V8" s="24" t="s">
        <v>227</v>
      </c>
      <c r="W8" s="24" t="s">
        <v>228</v>
      </c>
      <c r="Y8" s="10" t="s">
        <v>225</v>
      </c>
      <c r="Z8" s="10" t="s">
        <v>226</v>
      </c>
      <c r="AA8" s="10" t="s">
        <v>230</v>
      </c>
      <c r="AC8" s="10" t="s">
        <v>231</v>
      </c>
      <c r="AD8" s="10" t="s">
        <v>201</v>
      </c>
      <c r="AF8" s="10" t="s">
        <v>232</v>
      </c>
      <c r="AG8" s="10" t="s">
        <v>201</v>
      </c>
      <c r="AI8" s="10" t="s">
        <v>236</v>
      </c>
      <c r="AJ8" s="10" t="s">
        <v>201</v>
      </c>
      <c r="AL8" s="10" t="s">
        <v>243</v>
      </c>
      <c r="AM8" s="10" t="s">
        <v>201</v>
      </c>
      <c r="AO8" s="10" t="s">
        <v>246</v>
      </c>
      <c r="AP8" s="10" t="s">
        <v>201</v>
      </c>
      <c r="AR8" s="10" t="s">
        <v>249</v>
      </c>
      <c r="AS8" s="10" t="s">
        <v>201</v>
      </c>
      <c r="AU8" s="10" t="s">
        <v>251</v>
      </c>
      <c r="AV8" s="10" t="s">
        <v>201</v>
      </c>
      <c r="AX8" s="10" t="s">
        <v>253</v>
      </c>
      <c r="AY8" s="10" t="s">
        <v>201</v>
      </c>
      <c r="BA8" s="10" t="s">
        <v>255</v>
      </c>
      <c r="BB8" s="10" t="s">
        <v>201</v>
      </c>
    </row>
    <row r="9" spans="1:16384" x14ac:dyDescent="0.25">
      <c r="B9" s="9" t="s">
        <v>24</v>
      </c>
      <c r="C9" s="9" t="s">
        <v>25</v>
      </c>
      <c r="D9" s="9" t="s">
        <v>26</v>
      </c>
      <c r="E9" s="9" t="s">
        <v>27</v>
      </c>
      <c r="F9" s="9" t="s">
        <v>58</v>
      </c>
      <c r="G9" s="9" t="str">
        <f>CONCATENATE(D9,E9,F9)&amp;RIGHT(B9,6)</f>
        <v>641600005800050PTECRCEM0001000TYVA01</v>
      </c>
      <c r="H9" s="22" t="s">
        <v>205</v>
      </c>
      <c r="I9" s="18" t="s">
        <v>23</v>
      </c>
      <c r="J9" s="9" t="s">
        <v>19</v>
      </c>
      <c r="K9" s="9"/>
      <c r="L9" s="9"/>
      <c r="M9" s="9"/>
      <c r="N9" s="9"/>
      <c r="O9" s="9"/>
      <c r="P9" s="18">
        <v>547935.62</v>
      </c>
      <c r="Q9" s="18" t="s">
        <v>21</v>
      </c>
      <c r="R9" s="9" t="s">
        <v>22</v>
      </c>
      <c r="S9" s="9" t="s">
        <v>20</v>
      </c>
      <c r="T9" s="14" t="s">
        <v>224</v>
      </c>
      <c r="U9" s="15" t="s">
        <v>129</v>
      </c>
      <c r="V9" t="str">
        <f t="shared" ref="V9:V47" si="0">IFERROR(VLOOKUP(G9,$G$57:$G$94,1,FALSE),"")</f>
        <v>641600005800050PTECRCEM0001000TYVA01</v>
      </c>
      <c r="X9" s="15" t="s">
        <v>129</v>
      </c>
      <c r="Y9" s="18">
        <f t="shared" ref="Y9:Y47" si="1">IFERROR(VLOOKUP(G9,$G$57:$P$94,10,FALSE),"")</f>
        <v>547935.62</v>
      </c>
      <c r="Z9" s="18">
        <f>IFERROR(Y9-P9,"")</f>
        <v>0</v>
      </c>
      <c r="AB9" s="15" t="s">
        <v>129</v>
      </c>
      <c r="AC9" t="str">
        <f t="shared" ref="AC9:AC47" si="2">IFERROR(VLOOKUP(G9,$G$57:$I$94,3,FALSE),"")</f>
        <v>MESG4</v>
      </c>
      <c r="AD9" t="b">
        <f>AC9=I9</f>
        <v>1</v>
      </c>
      <c r="AF9" t="str">
        <f t="shared" ref="AF9:AF47" si="3">IFERROR(VLOOKUP(G9,$G$57:$J$94,4,FALSE),"")</f>
        <v>EU1</v>
      </c>
      <c r="AG9" t="b">
        <f>AF9=J9</f>
        <v>1</v>
      </c>
      <c r="AI9" s="28" t="str">
        <f t="shared" ref="AI9:AI47" si="4">IFERROR(IF(VLOOKUP(G9,$G$57:$L$94,6,FALSE)=0,"",VLOOKUP(G9,$G$57:$L$94,6,FALSE)),"")</f>
        <v/>
      </c>
      <c r="AJ9" t="b">
        <f>AI9=L9</f>
        <v>1</v>
      </c>
      <c r="AL9" t="str">
        <f t="shared" ref="AL9:AL47" si="5">IFERROR(IF(VLOOKUP(G9,$G$57:$M$94,7,FALSE)=0,"",VLOOKUP(G9,$G$57:$M$94,7,FALSE)),"")</f>
        <v/>
      </c>
      <c r="AM9" t="b">
        <f>AL9=M9</f>
        <v>1</v>
      </c>
      <c r="AO9" t="str">
        <f t="shared" ref="AO9:AO47" si="6">IFERROR(IF(VLOOKUP(G9,$G$57:$N$94,8,FALSE)=0,"",VLOOKUP(G9,$G$57:$N$94,8,FALSE)),"")</f>
        <v/>
      </c>
      <c r="AP9" t="b">
        <f>AO9=N9</f>
        <v>1</v>
      </c>
      <c r="AR9" t="str">
        <f t="shared" ref="AR9:AR47" si="7">IFERROR(IF(VLOOKUP(G9,$G$57:$O$94,9,FALSE)=0,"",VLOOKUP(G9,$G$57:$O$94,9,FALSE)),"")</f>
        <v/>
      </c>
      <c r="AS9" t="b">
        <f>AR9=O9</f>
        <v>1</v>
      </c>
      <c r="AU9" s="28" t="str">
        <f t="shared" ref="AU9:AU47" si="8">IFERROR(IF(VLOOKUP(G9,$G$57:$Q$94,11,FALSE)=0,"",VLOOKUP(G9,$G$57:$Q$94,11,FALSE)),"")</f>
        <v>ACUT2</v>
      </c>
      <c r="AV9" t="b">
        <f>AU9=Q9</f>
        <v>1</v>
      </c>
      <c r="AX9" s="28" t="str">
        <f t="shared" ref="AX9:AX47" si="9">IFERROR(IF(VLOOKUP(G9,$G$57:$R$94,12,FALSE)=0,"",VLOOKUP(G9,$G$57:$R$94,12,FALSE)),"")</f>
        <v>CHRO2</v>
      </c>
      <c r="AY9" t="b">
        <f>AX9=R9</f>
        <v>1</v>
      </c>
      <c r="BA9" s="28" t="str">
        <f t="shared" ref="BA9:BA47" si="10">IFERROR(IF(VLOOKUP(G9,$G$57:$S$94,13,FALSE)=0,"",VLOOKUP(G9,$G$57:$S$94,13,FALSE)),"")</f>
        <v>GEO3</v>
      </c>
      <c r="BB9" t="b">
        <f>BA9=S9</f>
        <v>1</v>
      </c>
    </row>
    <row r="10" spans="1:16384" x14ac:dyDescent="0.25">
      <c r="B10" s="9" t="s">
        <v>40</v>
      </c>
      <c r="C10" s="9" t="s">
        <v>25</v>
      </c>
      <c r="D10" s="9" t="s">
        <v>26</v>
      </c>
      <c r="E10" s="9" t="s">
        <v>91</v>
      </c>
      <c r="F10" s="9" t="s">
        <v>92</v>
      </c>
      <c r="G10" s="31" t="str">
        <f t="shared" ref="G10:G47" si="11">CONCATENATE(D10,E10,F10)&amp;RIGHT(B10,6)</f>
        <v>641600005800035PTAGM0AM0007000TYVA01</v>
      </c>
      <c r="H10" s="22" t="s">
        <v>206</v>
      </c>
      <c r="I10" s="18" t="s">
        <v>23</v>
      </c>
      <c r="J10" s="9" t="s">
        <v>19</v>
      </c>
      <c r="K10" s="9"/>
      <c r="L10" s="9"/>
      <c r="M10" s="9"/>
      <c r="N10" s="9"/>
      <c r="O10" s="9"/>
      <c r="P10" s="18">
        <v>467424.19</v>
      </c>
      <c r="Q10" s="18" t="s">
        <v>21</v>
      </c>
      <c r="R10" s="9" t="s">
        <v>22</v>
      </c>
      <c r="S10" s="9" t="s">
        <v>20</v>
      </c>
      <c r="T10" s="9"/>
      <c r="V10" t="str">
        <f t="shared" si="0"/>
        <v>641600005800035PTAGM0AM0007000TYVA01</v>
      </c>
      <c r="X10" s="15" t="s">
        <v>129</v>
      </c>
      <c r="Y10" s="18">
        <f t="shared" si="1"/>
        <v>344579.69</v>
      </c>
      <c r="Z10" s="18">
        <f t="shared" ref="Z10:Z47" si="12">IFERROR(Y10-P10,"")</f>
        <v>-122844.5</v>
      </c>
      <c r="AA10" s="26" t="s">
        <v>261</v>
      </c>
      <c r="AB10" s="15" t="s">
        <v>129</v>
      </c>
      <c r="AC10" t="str">
        <f t="shared" si="2"/>
        <v>MESG4</v>
      </c>
      <c r="AD10" t="b">
        <f t="shared" ref="AD10:AD47" si="13">AC10=I10</f>
        <v>1</v>
      </c>
      <c r="AF10" t="str">
        <f t="shared" si="3"/>
        <v>EU1</v>
      </c>
      <c r="AG10" t="b">
        <f t="shared" ref="AG10:AG47" si="14">AF10=J10</f>
        <v>1</v>
      </c>
      <c r="AI10" s="28" t="str">
        <f t="shared" si="4"/>
        <v/>
      </c>
      <c r="AJ10" t="b">
        <f t="shared" ref="AJ10:AJ47" si="15">AI10=L10</f>
        <v>1</v>
      </c>
      <c r="AL10" t="str">
        <f t="shared" si="5"/>
        <v/>
      </c>
      <c r="AM10" t="b">
        <f t="shared" ref="AM10:AM47" si="16">AL10=M10</f>
        <v>1</v>
      </c>
      <c r="AO10" t="str">
        <f t="shared" si="6"/>
        <v/>
      </c>
      <c r="AP10" t="b">
        <f t="shared" ref="AP10:AP47" si="17">AO10=N10</f>
        <v>1</v>
      </c>
      <c r="AR10" t="str">
        <f t="shared" si="7"/>
        <v/>
      </c>
      <c r="AS10" t="b">
        <f t="shared" ref="AS10:AS47" si="18">AR10=O10</f>
        <v>1</v>
      </c>
      <c r="AU10" s="28" t="str">
        <f t="shared" si="8"/>
        <v>ACUT2</v>
      </c>
      <c r="AV10" t="b">
        <f t="shared" ref="AV10:AV47" si="19">AU10=Q10</f>
        <v>1</v>
      </c>
      <c r="AX10" s="28" t="str">
        <f t="shared" si="9"/>
        <v>CHRO2</v>
      </c>
      <c r="AY10" t="b">
        <f t="shared" ref="AY10:AY47" si="20">AX10=R10</f>
        <v>1</v>
      </c>
      <c r="BA10" s="28" t="str">
        <f t="shared" si="10"/>
        <v>GEO3</v>
      </c>
      <c r="BB10" t="b">
        <f t="shared" ref="BB10:BB47" si="21">BA10=S10</f>
        <v>1</v>
      </c>
    </row>
    <row r="11" spans="1:16384" x14ac:dyDescent="0.25">
      <c r="B11" s="9" t="s">
        <v>31</v>
      </c>
      <c r="C11" s="9" t="s">
        <v>32</v>
      </c>
      <c r="D11" s="9" t="s">
        <v>17</v>
      </c>
      <c r="E11" s="9" t="s">
        <v>33</v>
      </c>
      <c r="F11" s="9" t="s">
        <v>34</v>
      </c>
      <c r="G11" s="9" t="str">
        <f t="shared" si="11"/>
        <v>CMAHAJID0000232603162BI0041100TYVA01</v>
      </c>
      <c r="H11" s="22" t="s">
        <v>184</v>
      </c>
      <c r="I11" s="18" t="s">
        <v>23</v>
      </c>
      <c r="J11" s="9" t="s">
        <v>19</v>
      </c>
      <c r="K11" s="9"/>
      <c r="L11" s="9"/>
      <c r="M11" s="9"/>
      <c r="N11" s="9"/>
      <c r="O11" s="9" t="s">
        <v>36</v>
      </c>
      <c r="P11" s="18">
        <v>0.25</v>
      </c>
      <c r="Q11" s="18" t="s">
        <v>21</v>
      </c>
      <c r="R11" s="9" t="s">
        <v>22</v>
      </c>
      <c r="S11" s="9" t="s">
        <v>20</v>
      </c>
      <c r="T11" s="9"/>
      <c r="V11" t="str">
        <f t="shared" si="0"/>
        <v>CMAHAJID0000232603162BI0041100TYVA01</v>
      </c>
      <c r="X11" s="15" t="s">
        <v>129</v>
      </c>
      <c r="Y11" s="18">
        <f t="shared" si="1"/>
        <v>0.25</v>
      </c>
      <c r="Z11" s="18">
        <f t="shared" si="12"/>
        <v>0</v>
      </c>
      <c r="AB11" s="15" t="s">
        <v>129</v>
      </c>
      <c r="AC11" t="str">
        <f t="shared" si="2"/>
        <v>MESG4</v>
      </c>
      <c r="AD11" t="b">
        <f t="shared" si="13"/>
        <v>1</v>
      </c>
      <c r="AF11" t="str">
        <f t="shared" si="3"/>
        <v>EU1</v>
      </c>
      <c r="AG11" t="b">
        <f t="shared" si="14"/>
        <v>1</v>
      </c>
      <c r="AI11" s="28" t="str">
        <f t="shared" si="4"/>
        <v/>
      </c>
      <c r="AJ11" t="b">
        <f t="shared" si="15"/>
        <v>1</v>
      </c>
      <c r="AL11" t="str">
        <f t="shared" si="5"/>
        <v/>
      </c>
      <c r="AM11" t="b">
        <f t="shared" si="16"/>
        <v>1</v>
      </c>
      <c r="AO11" t="str">
        <f t="shared" si="6"/>
        <v/>
      </c>
      <c r="AP11" t="b">
        <f t="shared" si="17"/>
        <v>1</v>
      </c>
      <c r="AR11" t="str">
        <f t="shared" si="7"/>
        <v/>
      </c>
      <c r="AS11" t="b">
        <f t="shared" si="18"/>
        <v>0</v>
      </c>
      <c r="AT11" s="26" t="s">
        <v>269</v>
      </c>
      <c r="AU11" s="28" t="str">
        <f t="shared" si="8"/>
        <v>ACUT2</v>
      </c>
      <c r="AV11" t="b">
        <f t="shared" si="19"/>
        <v>1</v>
      </c>
      <c r="AX11" s="28" t="str">
        <f t="shared" si="9"/>
        <v>CHRO2</v>
      </c>
      <c r="AY11" t="b">
        <f t="shared" si="20"/>
        <v>1</v>
      </c>
      <c r="BA11" s="28" t="str">
        <f t="shared" si="10"/>
        <v>GEO3</v>
      </c>
      <c r="BB11" t="b">
        <f t="shared" si="21"/>
        <v>1</v>
      </c>
    </row>
    <row r="12" spans="1:16384" x14ac:dyDescent="0.25">
      <c r="B12" s="9" t="s">
        <v>24</v>
      </c>
      <c r="C12" s="9" t="s">
        <v>25</v>
      </c>
      <c r="D12" s="9" t="s">
        <v>26</v>
      </c>
      <c r="E12" s="9" t="s">
        <v>27</v>
      </c>
      <c r="F12" s="9" t="s">
        <v>77</v>
      </c>
      <c r="G12" s="9" t="str">
        <f t="shared" si="11"/>
        <v>641600005800050PTTTFAIM0007000TYVA01</v>
      </c>
      <c r="H12" s="22" t="s">
        <v>207</v>
      </c>
      <c r="I12" s="18" t="s">
        <v>23</v>
      </c>
      <c r="J12" s="9" t="s">
        <v>19</v>
      </c>
      <c r="K12" s="9"/>
      <c r="L12" s="9"/>
      <c r="M12" s="9"/>
      <c r="N12" s="9"/>
      <c r="O12" s="9"/>
      <c r="P12" s="18">
        <v>1783800.7</v>
      </c>
      <c r="Q12" s="18" t="s">
        <v>21</v>
      </c>
      <c r="R12" s="9" t="s">
        <v>22</v>
      </c>
      <c r="S12" s="9" t="s">
        <v>20</v>
      </c>
      <c r="T12" s="9"/>
      <c r="V12" t="str">
        <f t="shared" si="0"/>
        <v/>
      </c>
      <c r="W12" s="25" t="s">
        <v>238</v>
      </c>
      <c r="X12" s="15" t="s">
        <v>129</v>
      </c>
      <c r="Y12" s="18" t="str">
        <f t="shared" si="1"/>
        <v/>
      </c>
      <c r="Z12" s="18" t="str">
        <f t="shared" si="12"/>
        <v/>
      </c>
      <c r="AB12" s="15" t="s">
        <v>129</v>
      </c>
      <c r="AC12" t="str">
        <f t="shared" si="2"/>
        <v/>
      </c>
      <c r="AD12" t="b">
        <f t="shared" si="13"/>
        <v>0</v>
      </c>
      <c r="AF12" t="str">
        <f t="shared" si="3"/>
        <v/>
      </c>
      <c r="AG12" t="b">
        <f t="shared" si="14"/>
        <v>0</v>
      </c>
      <c r="AI12" s="28" t="str">
        <f t="shared" si="4"/>
        <v/>
      </c>
      <c r="AJ12" t="b">
        <f t="shared" si="15"/>
        <v>1</v>
      </c>
      <c r="AL12" t="str">
        <f t="shared" si="5"/>
        <v/>
      </c>
      <c r="AM12" t="b">
        <f t="shared" si="16"/>
        <v>1</v>
      </c>
      <c r="AO12" t="str">
        <f t="shared" si="6"/>
        <v/>
      </c>
      <c r="AP12" t="b">
        <f t="shared" si="17"/>
        <v>1</v>
      </c>
      <c r="AR12" t="str">
        <f t="shared" si="7"/>
        <v/>
      </c>
      <c r="AS12" t="b">
        <f t="shared" si="18"/>
        <v>1</v>
      </c>
      <c r="AU12" s="28" t="str">
        <f t="shared" si="8"/>
        <v/>
      </c>
      <c r="AV12" t="b">
        <f t="shared" si="19"/>
        <v>0</v>
      </c>
      <c r="AX12" s="28" t="str">
        <f t="shared" si="9"/>
        <v/>
      </c>
      <c r="AY12" t="b">
        <f t="shared" si="20"/>
        <v>0</v>
      </c>
      <c r="BA12" s="28" t="str">
        <f t="shared" si="10"/>
        <v/>
      </c>
      <c r="BB12" t="b">
        <f t="shared" si="21"/>
        <v>0</v>
      </c>
    </row>
    <row r="13" spans="1:16384" x14ac:dyDescent="0.25">
      <c r="B13" s="9" t="s">
        <v>40</v>
      </c>
      <c r="C13" s="9" t="s">
        <v>25</v>
      </c>
      <c r="D13" s="9" t="s">
        <v>26</v>
      </c>
      <c r="E13" s="9" t="s">
        <v>41</v>
      </c>
      <c r="F13" s="9" t="s">
        <v>104</v>
      </c>
      <c r="G13" s="31" t="str">
        <f t="shared" si="11"/>
        <v>641600000000000PTNGM0AM0000000TYVA01</v>
      </c>
      <c r="H13" s="22" t="s">
        <v>208</v>
      </c>
      <c r="I13" s="18" t="s">
        <v>23</v>
      </c>
      <c r="J13" s="9" t="s">
        <v>19</v>
      </c>
      <c r="K13" s="9"/>
      <c r="L13" s="9"/>
      <c r="M13" s="9"/>
      <c r="N13" s="9"/>
      <c r="O13" s="9"/>
      <c r="P13" s="18">
        <v>924559.66</v>
      </c>
      <c r="Q13" s="18" t="s">
        <v>21</v>
      </c>
      <c r="R13" s="9" t="s">
        <v>22</v>
      </c>
      <c r="S13" s="9" t="s">
        <v>20</v>
      </c>
      <c r="T13" s="9"/>
      <c r="V13" t="str">
        <f t="shared" si="0"/>
        <v>641600000000000PTNGM0AM0000000TYVA01</v>
      </c>
      <c r="X13" s="15" t="s">
        <v>129</v>
      </c>
      <c r="Y13" s="18">
        <f t="shared" si="1"/>
        <v>296652.31</v>
      </c>
      <c r="Z13" s="18">
        <f t="shared" si="12"/>
        <v>-627907.35000000009</v>
      </c>
      <c r="AA13" s="26" t="s">
        <v>260</v>
      </c>
      <c r="AB13" s="15" t="s">
        <v>129</v>
      </c>
      <c r="AC13" t="str">
        <f t="shared" si="2"/>
        <v>MESG4</v>
      </c>
      <c r="AD13" t="b">
        <f t="shared" si="13"/>
        <v>1</v>
      </c>
      <c r="AF13" t="str">
        <f t="shared" si="3"/>
        <v>EU1</v>
      </c>
      <c r="AG13" t="b">
        <f t="shared" si="14"/>
        <v>1</v>
      </c>
      <c r="AI13" s="28" t="str">
        <f t="shared" si="4"/>
        <v/>
      </c>
      <c r="AJ13" t="b">
        <f t="shared" si="15"/>
        <v>1</v>
      </c>
      <c r="AL13" t="str">
        <f t="shared" si="5"/>
        <v/>
      </c>
      <c r="AM13" t="b">
        <f t="shared" si="16"/>
        <v>1</v>
      </c>
      <c r="AO13" t="str">
        <f t="shared" si="6"/>
        <v/>
      </c>
      <c r="AP13" t="b">
        <f t="shared" si="17"/>
        <v>1</v>
      </c>
      <c r="AR13" t="str">
        <f t="shared" si="7"/>
        <v/>
      </c>
      <c r="AS13" t="b">
        <f t="shared" si="18"/>
        <v>1</v>
      </c>
      <c r="AU13" s="28" t="str">
        <f t="shared" si="8"/>
        <v>ACUT2</v>
      </c>
      <c r="AV13" t="b">
        <f t="shared" si="19"/>
        <v>1</v>
      </c>
      <c r="AX13" s="28" t="str">
        <f t="shared" si="9"/>
        <v>CHRO2</v>
      </c>
      <c r="AY13" t="b">
        <f t="shared" si="20"/>
        <v>1</v>
      </c>
      <c r="BA13" s="28" t="str">
        <f t="shared" si="10"/>
        <v>GEO3</v>
      </c>
      <c r="BB13" t="b">
        <f t="shared" si="21"/>
        <v>1</v>
      </c>
    </row>
    <row r="14" spans="1:16384" x14ac:dyDescent="0.25">
      <c r="B14" s="9" t="s">
        <v>31</v>
      </c>
      <c r="C14" s="9" t="s">
        <v>25</v>
      </c>
      <c r="D14" s="9" t="s">
        <v>26</v>
      </c>
      <c r="E14" s="9" t="s">
        <v>88</v>
      </c>
      <c r="F14" s="9" t="s">
        <v>89</v>
      </c>
      <c r="G14" s="9" t="str">
        <f t="shared" si="11"/>
        <v>6416250EUR49560PRT125001115000TYVA01</v>
      </c>
      <c r="H14" s="22" t="s">
        <v>194</v>
      </c>
      <c r="I14" s="18" t="s">
        <v>23</v>
      </c>
      <c r="J14" s="9" t="s">
        <v>19</v>
      </c>
      <c r="K14" s="9"/>
      <c r="L14" s="9"/>
      <c r="M14" s="9"/>
      <c r="N14" s="9"/>
      <c r="O14" s="9" t="s">
        <v>36</v>
      </c>
      <c r="P14" s="18">
        <v>4035000</v>
      </c>
      <c r="Q14" s="18" t="s">
        <v>21</v>
      </c>
      <c r="R14" s="9" t="s">
        <v>22</v>
      </c>
      <c r="S14" s="9" t="s">
        <v>20</v>
      </c>
      <c r="T14" s="9"/>
      <c r="V14" t="str">
        <f t="shared" si="0"/>
        <v>6416250EUR49560PRT125001115000TYVA01</v>
      </c>
      <c r="X14" s="15" t="s">
        <v>129</v>
      </c>
      <c r="Y14" s="18">
        <f t="shared" si="1"/>
        <v>4035000</v>
      </c>
      <c r="Z14" s="18">
        <f t="shared" si="12"/>
        <v>0</v>
      </c>
      <c r="AB14" s="15" t="s">
        <v>129</v>
      </c>
      <c r="AC14" t="str">
        <f t="shared" si="2"/>
        <v>MESG4</v>
      </c>
      <c r="AD14" t="b">
        <f t="shared" si="13"/>
        <v>1</v>
      </c>
      <c r="AF14" t="str">
        <f t="shared" si="3"/>
        <v>EU1</v>
      </c>
      <c r="AG14" t="b">
        <f t="shared" si="14"/>
        <v>1</v>
      </c>
      <c r="AI14" s="28" t="str">
        <f t="shared" si="4"/>
        <v/>
      </c>
      <c r="AJ14" t="b">
        <f t="shared" si="15"/>
        <v>1</v>
      </c>
      <c r="AL14" t="str">
        <f t="shared" si="5"/>
        <v/>
      </c>
      <c r="AM14" t="b">
        <f t="shared" si="16"/>
        <v>1</v>
      </c>
      <c r="AO14" t="str">
        <f t="shared" si="6"/>
        <v/>
      </c>
      <c r="AP14" t="b">
        <f t="shared" si="17"/>
        <v>1</v>
      </c>
      <c r="AR14" t="str">
        <f t="shared" si="7"/>
        <v>INVS4</v>
      </c>
      <c r="AS14" t="b">
        <f t="shared" si="18"/>
        <v>1</v>
      </c>
      <c r="AU14" s="28" t="str">
        <f t="shared" si="8"/>
        <v>ACUT2</v>
      </c>
      <c r="AV14" t="b">
        <f t="shared" si="19"/>
        <v>1</v>
      </c>
      <c r="AX14" s="28" t="str">
        <f t="shared" si="9"/>
        <v>CHRO2</v>
      </c>
      <c r="AY14" t="b">
        <f t="shared" si="20"/>
        <v>1</v>
      </c>
      <c r="BA14" s="28" t="str">
        <f t="shared" si="10"/>
        <v>GEO3</v>
      </c>
      <c r="BB14" t="b">
        <f t="shared" si="21"/>
        <v>1</v>
      </c>
    </row>
    <row r="15" spans="1:16384" x14ac:dyDescent="0.25">
      <c r="B15" s="9" t="s">
        <v>31</v>
      </c>
      <c r="C15" s="9" t="s">
        <v>25</v>
      </c>
      <c r="D15" s="9" t="s">
        <v>26</v>
      </c>
      <c r="E15" s="9" t="s">
        <v>63</v>
      </c>
      <c r="F15" s="9" t="s">
        <v>60</v>
      </c>
      <c r="G15" s="9" t="str">
        <f t="shared" si="11"/>
        <v>6416250EUR33330PRT110000015000TYVA01</v>
      </c>
      <c r="H15" s="22" t="s">
        <v>209</v>
      </c>
      <c r="I15" s="18" t="s">
        <v>23</v>
      </c>
      <c r="J15" s="9" t="s">
        <v>19</v>
      </c>
      <c r="K15" s="9"/>
      <c r="L15" s="9"/>
      <c r="M15" s="9"/>
      <c r="N15" s="9"/>
      <c r="O15" s="9" t="s">
        <v>36</v>
      </c>
      <c r="P15" s="18">
        <v>49500</v>
      </c>
      <c r="Q15" s="18" t="s">
        <v>21</v>
      </c>
      <c r="R15" s="9" t="s">
        <v>22</v>
      </c>
      <c r="S15" s="9" t="s">
        <v>20</v>
      </c>
      <c r="T15" s="9"/>
      <c r="V15" t="str">
        <f t="shared" si="0"/>
        <v/>
      </c>
      <c r="W15" s="25" t="s">
        <v>238</v>
      </c>
      <c r="X15" s="15" t="s">
        <v>129</v>
      </c>
      <c r="Y15" s="18" t="str">
        <f t="shared" si="1"/>
        <v/>
      </c>
      <c r="Z15" s="18" t="str">
        <f t="shared" si="12"/>
        <v/>
      </c>
      <c r="AB15" s="15" t="s">
        <v>129</v>
      </c>
      <c r="AC15" t="str">
        <f t="shared" si="2"/>
        <v/>
      </c>
      <c r="AD15" t="b">
        <f t="shared" si="13"/>
        <v>0</v>
      </c>
      <c r="AF15" t="str">
        <f t="shared" si="3"/>
        <v/>
      </c>
      <c r="AG15" t="b">
        <f t="shared" si="14"/>
        <v>0</v>
      </c>
      <c r="AI15" s="28" t="str">
        <f t="shared" si="4"/>
        <v/>
      </c>
      <c r="AJ15" t="b">
        <f t="shared" si="15"/>
        <v>1</v>
      </c>
      <c r="AL15" t="str">
        <f t="shared" si="5"/>
        <v/>
      </c>
      <c r="AM15" t="b">
        <f t="shared" si="16"/>
        <v>1</v>
      </c>
      <c r="AO15" t="str">
        <f t="shared" si="6"/>
        <v/>
      </c>
      <c r="AP15" t="b">
        <f t="shared" si="17"/>
        <v>1</v>
      </c>
      <c r="AR15" t="str">
        <f t="shared" si="7"/>
        <v/>
      </c>
      <c r="AS15" t="b">
        <f t="shared" si="18"/>
        <v>0</v>
      </c>
      <c r="AU15" s="28" t="str">
        <f t="shared" si="8"/>
        <v/>
      </c>
      <c r="AV15" t="b">
        <f t="shared" si="19"/>
        <v>0</v>
      </c>
      <c r="AX15" s="28" t="str">
        <f t="shared" si="9"/>
        <v/>
      </c>
      <c r="AY15" t="b">
        <f t="shared" si="20"/>
        <v>0</v>
      </c>
      <c r="BA15" s="28" t="str">
        <f t="shared" si="10"/>
        <v/>
      </c>
      <c r="BB15" t="b">
        <f t="shared" si="21"/>
        <v>0</v>
      </c>
    </row>
    <row r="16" spans="1:16384" x14ac:dyDescent="0.25">
      <c r="B16" s="9" t="s">
        <v>40</v>
      </c>
      <c r="C16" s="9" t="s">
        <v>25</v>
      </c>
      <c r="D16" s="9" t="s">
        <v>26</v>
      </c>
      <c r="E16" s="9" t="s">
        <v>41</v>
      </c>
      <c r="F16" s="9" t="s">
        <v>42</v>
      </c>
      <c r="G16" s="31" t="str">
        <f t="shared" si="11"/>
        <v>641600000000000PTLGR0AM0003000TYVA01</v>
      </c>
      <c r="H16" s="22" t="s">
        <v>210</v>
      </c>
      <c r="I16" s="18" t="s">
        <v>23</v>
      </c>
      <c r="J16" s="9" t="s">
        <v>19</v>
      </c>
      <c r="K16" s="9"/>
      <c r="L16" s="9"/>
      <c r="M16" s="9"/>
      <c r="N16" s="9"/>
      <c r="O16" s="9"/>
      <c r="P16" s="18">
        <v>886666.95</v>
      </c>
      <c r="Q16" s="18" t="s">
        <v>21</v>
      </c>
      <c r="R16" s="9" t="s">
        <v>22</v>
      </c>
      <c r="S16" s="9" t="s">
        <v>20</v>
      </c>
      <c r="T16" s="9"/>
      <c r="V16" t="str">
        <f t="shared" si="0"/>
        <v>641600000000000PTLGR0AM0003000TYVA01</v>
      </c>
      <c r="X16" s="15" t="s">
        <v>129</v>
      </c>
      <c r="Y16" s="18">
        <f t="shared" si="1"/>
        <v>249222.99</v>
      </c>
      <c r="Z16" s="18">
        <f t="shared" si="12"/>
        <v>-637443.96</v>
      </c>
      <c r="AA16" s="26" t="s">
        <v>262</v>
      </c>
      <c r="AB16" s="15" t="s">
        <v>129</v>
      </c>
      <c r="AC16" t="str">
        <f t="shared" si="2"/>
        <v>MESG4</v>
      </c>
      <c r="AD16" t="b">
        <f t="shared" si="13"/>
        <v>1</v>
      </c>
      <c r="AF16" t="str">
        <f t="shared" si="3"/>
        <v>EU1</v>
      </c>
      <c r="AG16" t="b">
        <f t="shared" si="14"/>
        <v>1</v>
      </c>
      <c r="AI16" s="28" t="str">
        <f t="shared" si="4"/>
        <v/>
      </c>
      <c r="AJ16" t="b">
        <f t="shared" si="15"/>
        <v>1</v>
      </c>
      <c r="AL16" t="str">
        <f t="shared" si="5"/>
        <v/>
      </c>
      <c r="AM16" t="b">
        <f t="shared" si="16"/>
        <v>1</v>
      </c>
      <c r="AO16" t="str">
        <f t="shared" si="6"/>
        <v/>
      </c>
      <c r="AP16" t="b">
        <f t="shared" si="17"/>
        <v>1</v>
      </c>
      <c r="AR16" t="str">
        <f t="shared" si="7"/>
        <v/>
      </c>
      <c r="AS16" t="b">
        <f t="shared" si="18"/>
        <v>1</v>
      </c>
      <c r="AU16" s="28" t="str">
        <f t="shared" si="8"/>
        <v>ACUT2</v>
      </c>
      <c r="AV16" t="b">
        <f t="shared" si="19"/>
        <v>1</v>
      </c>
      <c r="AX16" s="28" t="str">
        <f t="shared" si="9"/>
        <v>CHRO2</v>
      </c>
      <c r="AY16" t="b">
        <f t="shared" si="20"/>
        <v>1</v>
      </c>
      <c r="BA16" s="28" t="str">
        <f t="shared" si="10"/>
        <v>GEO3</v>
      </c>
      <c r="BB16" t="b">
        <f t="shared" si="21"/>
        <v>1</v>
      </c>
    </row>
    <row r="17" spans="2:54" x14ac:dyDescent="0.25">
      <c r="B17" s="9" t="s">
        <v>24</v>
      </c>
      <c r="C17" s="9" t="s">
        <v>25</v>
      </c>
      <c r="D17" s="9" t="s">
        <v>26</v>
      </c>
      <c r="E17" s="9" t="s">
        <v>27</v>
      </c>
      <c r="F17" s="9" t="s">
        <v>90</v>
      </c>
      <c r="G17" s="9" t="str">
        <f t="shared" si="11"/>
        <v>641600005800050PTNOFIIE0000000TYVA01</v>
      </c>
      <c r="H17" s="22" t="s">
        <v>211</v>
      </c>
      <c r="I17" s="18" t="s">
        <v>23</v>
      </c>
      <c r="J17" s="9" t="s">
        <v>19</v>
      </c>
      <c r="K17" s="9"/>
      <c r="L17" s="9" t="s">
        <v>29</v>
      </c>
      <c r="M17" s="9"/>
      <c r="N17" s="9"/>
      <c r="O17" s="9"/>
      <c r="P17" s="18">
        <v>11163168</v>
      </c>
      <c r="Q17" s="18" t="s">
        <v>21</v>
      </c>
      <c r="R17" s="9" t="s">
        <v>22</v>
      </c>
      <c r="S17" s="9" t="s">
        <v>20</v>
      </c>
      <c r="T17" s="9"/>
      <c r="V17" t="str">
        <f t="shared" si="0"/>
        <v>641600005800050PTNOFIIE0000000TYVA01</v>
      </c>
      <c r="X17" s="15" t="s">
        <v>129</v>
      </c>
      <c r="Y17" s="18">
        <f t="shared" si="1"/>
        <v>11163168</v>
      </c>
      <c r="Z17" s="18">
        <f t="shared" si="12"/>
        <v>0</v>
      </c>
      <c r="AB17" s="15" t="s">
        <v>129</v>
      </c>
      <c r="AC17" t="str">
        <f t="shared" si="2"/>
        <v>MESG4</v>
      </c>
      <c r="AD17" t="b">
        <f t="shared" si="13"/>
        <v>1</v>
      </c>
      <c r="AF17" t="str">
        <f t="shared" si="3"/>
        <v>EU1</v>
      </c>
      <c r="AG17" t="b">
        <f t="shared" si="14"/>
        <v>1</v>
      </c>
      <c r="AI17" s="28" t="str">
        <f t="shared" si="4"/>
        <v/>
      </c>
      <c r="AJ17" t="b">
        <f t="shared" si="15"/>
        <v>0</v>
      </c>
      <c r="AK17" t="s">
        <v>268</v>
      </c>
      <c r="AL17" t="str">
        <f t="shared" si="5"/>
        <v/>
      </c>
      <c r="AM17" t="b">
        <f t="shared" si="16"/>
        <v>1</v>
      </c>
      <c r="AO17" t="str">
        <f t="shared" si="6"/>
        <v/>
      </c>
      <c r="AP17" t="b">
        <f t="shared" si="17"/>
        <v>1</v>
      </c>
      <c r="AR17" t="str">
        <f t="shared" si="7"/>
        <v/>
      </c>
      <c r="AS17" t="b">
        <f t="shared" si="18"/>
        <v>1</v>
      </c>
      <c r="AU17" s="28" t="str">
        <f t="shared" si="8"/>
        <v>ACUT2</v>
      </c>
      <c r="AV17" t="b">
        <f t="shared" si="19"/>
        <v>1</v>
      </c>
      <c r="AX17" s="28" t="str">
        <f t="shared" si="9"/>
        <v>CHRO2</v>
      </c>
      <c r="AY17" t="b">
        <f t="shared" si="20"/>
        <v>1</v>
      </c>
      <c r="BA17" s="28" t="str">
        <f t="shared" si="10"/>
        <v>GEO3</v>
      </c>
      <c r="BB17" t="b">
        <f t="shared" si="21"/>
        <v>1</v>
      </c>
    </row>
    <row r="18" spans="2:54" x14ac:dyDescent="0.25">
      <c r="B18" s="9" t="s">
        <v>49</v>
      </c>
      <c r="C18" s="9" t="s">
        <v>25</v>
      </c>
      <c r="D18" s="9" t="s">
        <v>26</v>
      </c>
      <c r="E18" s="9" t="s">
        <v>93</v>
      </c>
      <c r="F18" s="9" t="s">
        <v>94</v>
      </c>
      <c r="G18" s="9" t="str">
        <f t="shared" si="11"/>
        <v>6416250EUR89770PRT150000015000TYVA01</v>
      </c>
      <c r="H18" s="22" t="s">
        <v>195</v>
      </c>
      <c r="I18" s="18" t="s">
        <v>23</v>
      </c>
      <c r="J18" s="9" t="s">
        <v>19</v>
      </c>
      <c r="K18" s="9"/>
      <c r="L18" s="9" t="s">
        <v>29</v>
      </c>
      <c r="M18" s="9" t="s">
        <v>52</v>
      </c>
      <c r="N18" s="9" t="s">
        <v>53</v>
      </c>
      <c r="O18" s="9"/>
      <c r="P18" s="18">
        <v>22684.47</v>
      </c>
      <c r="Q18" s="18" t="s">
        <v>21</v>
      </c>
      <c r="R18" s="9" t="s">
        <v>22</v>
      </c>
      <c r="S18" s="9" t="s">
        <v>20</v>
      </c>
      <c r="T18" s="9"/>
      <c r="V18" t="str">
        <f t="shared" si="0"/>
        <v>6416250EUR89770PRT150000015000TYVA01</v>
      </c>
      <c r="X18" s="15" t="s">
        <v>129</v>
      </c>
      <c r="Y18" s="18">
        <f t="shared" si="1"/>
        <v>22684.47</v>
      </c>
      <c r="Z18" s="18">
        <f t="shared" si="12"/>
        <v>0</v>
      </c>
      <c r="AB18" s="15" t="s">
        <v>129</v>
      </c>
      <c r="AC18" t="str">
        <f t="shared" si="2"/>
        <v>MESG4</v>
      </c>
      <c r="AD18" t="b">
        <f t="shared" si="13"/>
        <v>1</v>
      </c>
      <c r="AF18" t="str">
        <f t="shared" si="3"/>
        <v>EU1</v>
      </c>
      <c r="AG18" t="b">
        <f t="shared" si="14"/>
        <v>1</v>
      </c>
      <c r="AI18" s="28" t="str">
        <f t="shared" si="4"/>
        <v>EXC2</v>
      </c>
      <c r="AJ18" t="b">
        <f t="shared" si="15"/>
        <v>1</v>
      </c>
      <c r="AL18" t="str">
        <f t="shared" si="5"/>
        <v>CNAEL18</v>
      </c>
      <c r="AM18" t="b">
        <f t="shared" si="16"/>
        <v>1</v>
      </c>
      <c r="AO18" t="str">
        <f t="shared" si="6"/>
        <v>NACE19010303</v>
      </c>
      <c r="AP18" t="b">
        <f t="shared" si="17"/>
        <v>1</v>
      </c>
      <c r="AR18" t="str">
        <f t="shared" si="7"/>
        <v/>
      </c>
      <c r="AS18" t="b">
        <f t="shared" si="18"/>
        <v>1</v>
      </c>
      <c r="AU18" s="28" t="str">
        <f t="shared" si="8"/>
        <v>ACUT2</v>
      </c>
      <c r="AV18" t="b">
        <f t="shared" si="19"/>
        <v>1</v>
      </c>
      <c r="AX18" s="28" t="str">
        <f t="shared" si="9"/>
        <v>CHRO2</v>
      </c>
      <c r="AY18" t="b">
        <f t="shared" si="20"/>
        <v>1</v>
      </c>
      <c r="BA18" s="28" t="str">
        <f t="shared" si="10"/>
        <v>GEO3</v>
      </c>
      <c r="BB18" t="b">
        <f t="shared" si="21"/>
        <v>1</v>
      </c>
    </row>
    <row r="19" spans="2:54" x14ac:dyDescent="0.25">
      <c r="B19" s="9" t="s">
        <v>31</v>
      </c>
      <c r="C19" s="9" t="s">
        <v>25</v>
      </c>
      <c r="D19" s="9" t="s">
        <v>26</v>
      </c>
      <c r="E19" s="9" t="s">
        <v>41</v>
      </c>
      <c r="F19" s="9" t="s">
        <v>72</v>
      </c>
      <c r="G19" s="9" t="str">
        <f t="shared" si="11"/>
        <v>641600000000000PTGAM0AM0007000TYVA01</v>
      </c>
      <c r="H19" s="22" t="s">
        <v>189</v>
      </c>
      <c r="I19" s="18" t="s">
        <v>23</v>
      </c>
      <c r="J19" s="9" t="s">
        <v>19</v>
      </c>
      <c r="K19" s="9"/>
      <c r="L19" s="9"/>
      <c r="M19" s="9"/>
      <c r="N19" s="9"/>
      <c r="O19" s="9" t="s">
        <v>36</v>
      </c>
      <c r="P19" s="18">
        <v>3897812.75</v>
      </c>
      <c r="Q19" s="18" t="s">
        <v>21</v>
      </c>
      <c r="R19" s="9" t="s">
        <v>22</v>
      </c>
      <c r="S19" s="9" t="s">
        <v>20</v>
      </c>
      <c r="T19" s="9"/>
      <c r="V19" t="str">
        <f t="shared" si="0"/>
        <v>641600000000000PTGAM0AM0007000TYVA01</v>
      </c>
      <c r="X19" s="15" t="s">
        <v>129</v>
      </c>
      <c r="Y19" s="18">
        <f t="shared" si="1"/>
        <v>3897812.75</v>
      </c>
      <c r="Z19" s="18">
        <f t="shared" si="12"/>
        <v>0</v>
      </c>
      <c r="AB19" s="15" t="s">
        <v>129</v>
      </c>
      <c r="AC19" t="str">
        <f t="shared" si="2"/>
        <v>MESG4</v>
      </c>
      <c r="AD19" t="b">
        <f t="shared" si="13"/>
        <v>1</v>
      </c>
      <c r="AF19" t="str">
        <f t="shared" si="3"/>
        <v>EU1</v>
      </c>
      <c r="AG19" t="b">
        <f t="shared" si="14"/>
        <v>1</v>
      </c>
      <c r="AI19" s="28" t="str">
        <f t="shared" si="4"/>
        <v/>
      </c>
      <c r="AJ19" t="b">
        <f t="shared" si="15"/>
        <v>1</v>
      </c>
      <c r="AL19" t="str">
        <f t="shared" si="5"/>
        <v/>
      </c>
      <c r="AM19" t="b">
        <f t="shared" si="16"/>
        <v>1</v>
      </c>
      <c r="AO19" t="str">
        <f t="shared" si="6"/>
        <v/>
      </c>
      <c r="AP19" t="b">
        <f t="shared" si="17"/>
        <v>1</v>
      </c>
      <c r="AR19" t="str">
        <f t="shared" si="7"/>
        <v>INVS4</v>
      </c>
      <c r="AS19" t="b">
        <f t="shared" si="18"/>
        <v>1</v>
      </c>
      <c r="AU19" s="28" t="str">
        <f t="shared" si="8"/>
        <v>ACUT2</v>
      </c>
      <c r="AV19" t="b">
        <f t="shared" si="19"/>
        <v>1</v>
      </c>
      <c r="AX19" s="28" t="str">
        <f t="shared" si="9"/>
        <v>CHRO2</v>
      </c>
      <c r="AY19" t="b">
        <f t="shared" si="20"/>
        <v>1</v>
      </c>
      <c r="BA19" s="28" t="str">
        <f t="shared" si="10"/>
        <v>GEO3</v>
      </c>
      <c r="BB19" t="b">
        <f t="shared" si="21"/>
        <v>1</v>
      </c>
    </row>
    <row r="20" spans="2:54" x14ac:dyDescent="0.25">
      <c r="B20" s="9" t="s">
        <v>31</v>
      </c>
      <c r="C20" s="9" t="s">
        <v>25</v>
      </c>
      <c r="D20" s="9" t="s">
        <v>17</v>
      </c>
      <c r="E20" s="9" t="s">
        <v>46</v>
      </c>
      <c r="F20" s="9" t="s">
        <v>47</v>
      </c>
      <c r="G20" s="31" t="str">
        <f t="shared" si="11"/>
        <v>CMAHCARG000000000100C150SC1333TYVA01</v>
      </c>
      <c r="H20" s="22" t="s">
        <v>212</v>
      </c>
      <c r="I20" s="18" t="s">
        <v>23</v>
      </c>
      <c r="J20" s="9" t="s">
        <v>19</v>
      </c>
      <c r="K20" s="9"/>
      <c r="L20" s="9"/>
      <c r="M20" s="9"/>
      <c r="N20" s="9"/>
      <c r="O20" s="9" t="s">
        <v>36</v>
      </c>
      <c r="P20" s="18">
        <v>-36706144</v>
      </c>
      <c r="Q20" s="18" t="s">
        <v>21</v>
      </c>
      <c r="R20" s="9" t="s">
        <v>22</v>
      </c>
      <c r="S20" s="9" t="s">
        <v>20</v>
      </c>
      <c r="T20" s="9"/>
      <c r="V20" t="str">
        <f t="shared" si="0"/>
        <v>CMAHCARG000000000100C150SC1333TYVA01</v>
      </c>
      <c r="X20" s="15" t="s">
        <v>129</v>
      </c>
      <c r="Y20" s="18">
        <f t="shared" si="1"/>
        <v>-38154157</v>
      </c>
      <c r="Z20" s="18">
        <f t="shared" si="12"/>
        <v>-1448013</v>
      </c>
      <c r="AA20" s="26" t="s">
        <v>263</v>
      </c>
      <c r="AB20" s="15" t="s">
        <v>129</v>
      </c>
      <c r="AC20" t="str">
        <f t="shared" si="2"/>
        <v>MESG4</v>
      </c>
      <c r="AD20" t="b">
        <f t="shared" si="13"/>
        <v>1</v>
      </c>
      <c r="AF20" t="str">
        <f t="shared" si="3"/>
        <v>EU1</v>
      </c>
      <c r="AG20" t="b">
        <f t="shared" si="14"/>
        <v>1</v>
      </c>
      <c r="AI20" s="28" t="str">
        <f t="shared" si="4"/>
        <v/>
      </c>
      <c r="AJ20" t="b">
        <f t="shared" si="15"/>
        <v>1</v>
      </c>
      <c r="AL20" t="str">
        <f t="shared" si="5"/>
        <v/>
      </c>
      <c r="AM20" t="b">
        <f t="shared" si="16"/>
        <v>1</v>
      </c>
      <c r="AO20" t="str">
        <f t="shared" si="6"/>
        <v/>
      </c>
      <c r="AP20" t="b">
        <f t="shared" si="17"/>
        <v>1</v>
      </c>
      <c r="AR20" t="str">
        <f t="shared" si="7"/>
        <v>INVS4</v>
      </c>
      <c r="AS20" t="b">
        <f t="shared" si="18"/>
        <v>1</v>
      </c>
      <c r="AU20" s="28" t="str">
        <f t="shared" si="8"/>
        <v>ACUT2</v>
      </c>
      <c r="AV20" t="b">
        <f t="shared" si="19"/>
        <v>1</v>
      </c>
      <c r="AX20" s="28" t="str">
        <f t="shared" si="9"/>
        <v>CHRO2</v>
      </c>
      <c r="AY20" t="b">
        <f t="shared" si="20"/>
        <v>1</v>
      </c>
      <c r="BA20" s="28" t="str">
        <f t="shared" si="10"/>
        <v>GEO3</v>
      </c>
      <c r="BB20" t="b">
        <f t="shared" si="21"/>
        <v>1</v>
      </c>
    </row>
    <row r="21" spans="2:54" x14ac:dyDescent="0.25">
      <c r="B21" s="9" t="s">
        <v>31</v>
      </c>
      <c r="C21" s="9" t="s">
        <v>25</v>
      </c>
      <c r="D21" s="9" t="s">
        <v>26</v>
      </c>
      <c r="E21" s="9" t="s">
        <v>103</v>
      </c>
      <c r="F21" s="9" t="s">
        <v>96</v>
      </c>
      <c r="G21" s="9" t="str">
        <f t="shared" si="11"/>
        <v>6416250EUR30450IRL202500215000TYVA01</v>
      </c>
      <c r="H21" s="22" t="s">
        <v>185</v>
      </c>
      <c r="I21" s="18" t="s">
        <v>23</v>
      </c>
      <c r="J21" s="9" t="s">
        <v>19</v>
      </c>
      <c r="K21" s="9"/>
      <c r="L21" s="9"/>
      <c r="M21" s="9"/>
      <c r="N21" s="9"/>
      <c r="O21" s="9" t="s">
        <v>36</v>
      </c>
      <c r="P21" s="18">
        <v>450000000</v>
      </c>
      <c r="Q21" s="18" t="s">
        <v>21</v>
      </c>
      <c r="R21" s="9" t="s">
        <v>22</v>
      </c>
      <c r="S21" s="9" t="s">
        <v>39</v>
      </c>
      <c r="T21" s="9"/>
      <c r="V21" t="str">
        <f t="shared" si="0"/>
        <v>6416250EUR30450IRL202500215000TYVA01</v>
      </c>
      <c r="X21" s="15" t="s">
        <v>129</v>
      </c>
      <c r="Y21" s="18">
        <f t="shared" si="1"/>
        <v>450000000</v>
      </c>
      <c r="Z21" s="18">
        <f t="shared" si="12"/>
        <v>0</v>
      </c>
      <c r="AB21" s="15" t="s">
        <v>129</v>
      </c>
      <c r="AC21" t="str">
        <f t="shared" si="2"/>
        <v>MESG4</v>
      </c>
      <c r="AD21" t="b">
        <f t="shared" si="13"/>
        <v>1</v>
      </c>
      <c r="AF21" t="str">
        <f t="shared" si="3"/>
        <v>EU1</v>
      </c>
      <c r="AG21" t="b">
        <f t="shared" si="14"/>
        <v>1</v>
      </c>
      <c r="AI21" s="28" t="str">
        <f t="shared" si="4"/>
        <v/>
      </c>
      <c r="AJ21" t="b">
        <f t="shared" si="15"/>
        <v>1</v>
      </c>
      <c r="AL21" t="str">
        <f t="shared" si="5"/>
        <v/>
      </c>
      <c r="AM21" t="b">
        <f t="shared" si="16"/>
        <v>1</v>
      </c>
      <c r="AO21" t="str">
        <f t="shared" si="6"/>
        <v/>
      </c>
      <c r="AP21" t="b">
        <f t="shared" si="17"/>
        <v>1</v>
      </c>
      <c r="AR21" t="str">
        <f t="shared" si="7"/>
        <v>INVS4</v>
      </c>
      <c r="AS21" t="b">
        <f t="shared" si="18"/>
        <v>1</v>
      </c>
      <c r="AU21" s="28" t="str">
        <f t="shared" si="8"/>
        <v>ACUT2</v>
      </c>
      <c r="AV21" t="b">
        <f t="shared" si="19"/>
        <v>1</v>
      </c>
      <c r="AX21" s="28" t="str">
        <f t="shared" si="9"/>
        <v>CHRO2</v>
      </c>
      <c r="AY21" t="b">
        <f t="shared" si="20"/>
        <v>1</v>
      </c>
      <c r="BA21" s="28" t="str">
        <f t="shared" si="10"/>
        <v>GEO18</v>
      </c>
      <c r="BB21" t="b">
        <f t="shared" si="21"/>
        <v>1</v>
      </c>
    </row>
    <row r="22" spans="2:54" x14ac:dyDescent="0.25">
      <c r="B22" s="9" t="s">
        <v>31</v>
      </c>
      <c r="C22" s="9" t="s">
        <v>25</v>
      </c>
      <c r="D22" s="9" t="s">
        <v>26</v>
      </c>
      <c r="E22" s="9" t="s">
        <v>85</v>
      </c>
      <c r="F22" s="9" t="s">
        <v>60</v>
      </c>
      <c r="G22" s="9" t="str">
        <f t="shared" si="11"/>
        <v>6416250EUR31450PRT110000015000TYVA01</v>
      </c>
      <c r="H22" s="22" t="s">
        <v>192</v>
      </c>
      <c r="I22" s="18" t="s">
        <v>23</v>
      </c>
      <c r="J22" s="9" t="s">
        <v>19</v>
      </c>
      <c r="K22" s="9"/>
      <c r="L22" s="9" t="s">
        <v>29</v>
      </c>
      <c r="M22" s="9" t="s">
        <v>69</v>
      </c>
      <c r="N22" s="9" t="s">
        <v>70</v>
      </c>
      <c r="O22" s="9" t="s">
        <v>71</v>
      </c>
      <c r="P22" s="18">
        <v>202691.51</v>
      </c>
      <c r="Q22" s="18" t="s">
        <v>21</v>
      </c>
      <c r="R22" s="9" t="s">
        <v>22</v>
      </c>
      <c r="S22" s="9" t="s">
        <v>20</v>
      </c>
      <c r="T22" s="9"/>
      <c r="V22" t="str">
        <f t="shared" si="0"/>
        <v>6416250EUR31450PRT110000015000TYVA01</v>
      </c>
      <c r="X22" s="15" t="s">
        <v>129</v>
      </c>
      <c r="Y22" s="18">
        <f t="shared" si="1"/>
        <v>202691.51</v>
      </c>
      <c r="Z22" s="18">
        <f t="shared" si="12"/>
        <v>0</v>
      </c>
      <c r="AB22" s="15" t="s">
        <v>129</v>
      </c>
      <c r="AC22" t="str">
        <f t="shared" si="2"/>
        <v>MESG4</v>
      </c>
      <c r="AD22" t="b">
        <f t="shared" si="13"/>
        <v>1</v>
      </c>
      <c r="AF22" t="str">
        <f t="shared" si="3"/>
        <v>EU1</v>
      </c>
      <c r="AG22" t="b">
        <f t="shared" si="14"/>
        <v>1</v>
      </c>
      <c r="AI22" s="28" t="str">
        <f t="shared" si="4"/>
        <v>EXC2</v>
      </c>
      <c r="AJ22" t="b">
        <f t="shared" si="15"/>
        <v>1</v>
      </c>
      <c r="AL22" t="str">
        <f t="shared" si="5"/>
        <v>CNAEL6</v>
      </c>
      <c r="AM22" t="b">
        <f t="shared" si="16"/>
        <v>1</v>
      </c>
      <c r="AO22" t="str">
        <f t="shared" si="6"/>
        <v>NACE06010101</v>
      </c>
      <c r="AP22" t="b">
        <f t="shared" si="17"/>
        <v>1</v>
      </c>
      <c r="AR22" t="str">
        <f t="shared" si="7"/>
        <v>INVS5</v>
      </c>
      <c r="AS22" t="b">
        <f t="shared" si="18"/>
        <v>1</v>
      </c>
      <c r="AU22" s="28" t="str">
        <f t="shared" si="8"/>
        <v>ACUT2</v>
      </c>
      <c r="AV22" t="b">
        <f t="shared" si="19"/>
        <v>1</v>
      </c>
      <c r="AX22" s="28" t="str">
        <f t="shared" si="9"/>
        <v>CHRO2</v>
      </c>
      <c r="AY22" t="b">
        <f t="shared" si="20"/>
        <v>1</v>
      </c>
      <c r="BA22" s="28" t="str">
        <f t="shared" si="10"/>
        <v>GEO3</v>
      </c>
      <c r="BB22" t="b">
        <f t="shared" si="21"/>
        <v>1</v>
      </c>
    </row>
    <row r="23" spans="2:54" x14ac:dyDescent="0.25">
      <c r="B23" s="9" t="s">
        <v>66</v>
      </c>
      <c r="C23" s="9" t="s">
        <v>25</v>
      </c>
      <c r="D23" s="9" t="s">
        <v>17</v>
      </c>
      <c r="E23" s="9" t="s">
        <v>86</v>
      </c>
      <c r="F23" s="9" t="s">
        <v>87</v>
      </c>
      <c r="G23" s="31" t="str">
        <f t="shared" si="11"/>
        <v>CMAHIFRC0000000100I161108SC442TYVA02</v>
      </c>
      <c r="H23" s="22" t="s">
        <v>132</v>
      </c>
      <c r="I23" s="18" t="s">
        <v>23</v>
      </c>
      <c r="J23" s="9" t="s">
        <v>19</v>
      </c>
      <c r="K23" s="9"/>
      <c r="L23" s="9" t="s">
        <v>29</v>
      </c>
      <c r="M23" s="9" t="s">
        <v>69</v>
      </c>
      <c r="N23" s="9" t="s">
        <v>70</v>
      </c>
      <c r="O23" s="9" t="s">
        <v>71</v>
      </c>
      <c r="P23" s="18">
        <v>3000000</v>
      </c>
      <c r="Q23" s="18" t="s">
        <v>21</v>
      </c>
      <c r="R23" s="9" t="s">
        <v>22</v>
      </c>
      <c r="S23" s="9" t="s">
        <v>20</v>
      </c>
      <c r="T23" s="9"/>
      <c r="V23" t="str">
        <f t="shared" si="0"/>
        <v>CMAHIFRC0000000100I161108SC442TYVA02</v>
      </c>
      <c r="X23" s="15" t="s">
        <v>129</v>
      </c>
      <c r="Y23" s="18">
        <f t="shared" si="1"/>
        <v>11000000</v>
      </c>
      <c r="Z23" s="18">
        <f t="shared" si="12"/>
        <v>8000000</v>
      </c>
      <c r="AA23" s="26" t="s">
        <v>258</v>
      </c>
      <c r="AB23" s="15" t="s">
        <v>129</v>
      </c>
      <c r="AC23" t="str">
        <f t="shared" si="2"/>
        <v>MESG4</v>
      </c>
      <c r="AD23" t="b">
        <f t="shared" si="13"/>
        <v>1</v>
      </c>
      <c r="AF23" t="str">
        <f t="shared" si="3"/>
        <v>EU1</v>
      </c>
      <c r="AG23" t="b">
        <f t="shared" si="14"/>
        <v>1</v>
      </c>
      <c r="AI23" s="28" t="str">
        <f t="shared" si="4"/>
        <v>EXC2</v>
      </c>
      <c r="AJ23" t="b">
        <f t="shared" si="15"/>
        <v>1</v>
      </c>
      <c r="AL23" t="str">
        <f t="shared" si="5"/>
        <v>CNAEL6</v>
      </c>
      <c r="AM23" t="b">
        <f t="shared" si="16"/>
        <v>1</v>
      </c>
      <c r="AO23" t="str">
        <f t="shared" si="6"/>
        <v>NACE06010101</v>
      </c>
      <c r="AP23" t="b">
        <f t="shared" si="17"/>
        <v>1</v>
      </c>
      <c r="AR23" t="str">
        <f t="shared" si="7"/>
        <v>INVS5</v>
      </c>
      <c r="AS23" t="b">
        <f t="shared" si="18"/>
        <v>1</v>
      </c>
      <c r="AU23" s="28" t="str">
        <f t="shared" si="8"/>
        <v>ACUT2</v>
      </c>
      <c r="AV23" t="b">
        <f t="shared" si="19"/>
        <v>1</v>
      </c>
      <c r="AX23" s="28" t="str">
        <f t="shared" si="9"/>
        <v>CHRO2</v>
      </c>
      <c r="AY23" t="b">
        <f t="shared" si="20"/>
        <v>1</v>
      </c>
      <c r="BA23" s="28" t="str">
        <f t="shared" si="10"/>
        <v>GEO3</v>
      </c>
      <c r="BB23" t="b">
        <f t="shared" si="21"/>
        <v>1</v>
      </c>
    </row>
    <row r="24" spans="2:54" x14ac:dyDescent="0.25">
      <c r="B24" s="9" t="s">
        <v>40</v>
      </c>
      <c r="C24" s="9" t="s">
        <v>25</v>
      </c>
      <c r="D24" s="9" t="s">
        <v>26</v>
      </c>
      <c r="E24" s="9" t="s">
        <v>41</v>
      </c>
      <c r="F24" s="9" t="s">
        <v>74</v>
      </c>
      <c r="G24" s="9" t="str">
        <f t="shared" si="11"/>
        <v>641600000000000PTUNEOAM0016000TYVA01</v>
      </c>
      <c r="H24" s="22" t="s">
        <v>213</v>
      </c>
      <c r="I24" s="18" t="s">
        <v>23</v>
      </c>
      <c r="J24" s="9" t="s">
        <v>19</v>
      </c>
      <c r="K24" s="9"/>
      <c r="L24" s="9"/>
      <c r="M24" s="9"/>
      <c r="N24" s="9"/>
      <c r="O24" s="9"/>
      <c r="P24" s="18">
        <v>28000000</v>
      </c>
      <c r="Q24" s="18" t="s">
        <v>21</v>
      </c>
      <c r="R24" s="9" t="s">
        <v>22</v>
      </c>
      <c r="S24" s="9" t="s">
        <v>20</v>
      </c>
      <c r="T24" s="9"/>
      <c r="V24" t="str">
        <f t="shared" si="0"/>
        <v>641600000000000PTUNEOAM0016000TYVA01</v>
      </c>
      <c r="X24" s="15" t="s">
        <v>129</v>
      </c>
      <c r="Y24" s="18">
        <f t="shared" si="1"/>
        <v>28000000</v>
      </c>
      <c r="Z24" s="18">
        <f t="shared" si="12"/>
        <v>0</v>
      </c>
      <c r="AB24" s="15" t="s">
        <v>129</v>
      </c>
      <c r="AC24" t="str">
        <f t="shared" si="2"/>
        <v>MESG4</v>
      </c>
      <c r="AD24" t="b">
        <f t="shared" si="13"/>
        <v>1</v>
      </c>
      <c r="AF24" t="str">
        <f t="shared" si="3"/>
        <v>EU1</v>
      </c>
      <c r="AG24" t="b">
        <f t="shared" si="14"/>
        <v>1</v>
      </c>
      <c r="AI24" s="28" t="str">
        <f t="shared" si="4"/>
        <v/>
      </c>
      <c r="AJ24" t="b">
        <f t="shared" si="15"/>
        <v>1</v>
      </c>
      <c r="AL24" t="str">
        <f t="shared" si="5"/>
        <v/>
      </c>
      <c r="AM24" t="b">
        <f t="shared" si="16"/>
        <v>1</v>
      </c>
      <c r="AO24" t="str">
        <f t="shared" si="6"/>
        <v/>
      </c>
      <c r="AP24" t="b">
        <f t="shared" si="17"/>
        <v>1</v>
      </c>
      <c r="AR24" t="str">
        <f t="shared" si="7"/>
        <v/>
      </c>
      <c r="AS24" t="b">
        <f t="shared" si="18"/>
        <v>1</v>
      </c>
      <c r="AU24" s="28" t="str">
        <f t="shared" si="8"/>
        <v>ACUT2</v>
      </c>
      <c r="AV24" t="b">
        <f t="shared" si="19"/>
        <v>1</v>
      </c>
      <c r="AX24" s="28" t="str">
        <f t="shared" si="9"/>
        <v>CHRO2</v>
      </c>
      <c r="AY24" t="b">
        <f t="shared" si="20"/>
        <v>1</v>
      </c>
      <c r="BA24" s="28" t="str">
        <f t="shared" si="10"/>
        <v>GEO3</v>
      </c>
      <c r="BB24" t="b">
        <f t="shared" si="21"/>
        <v>1</v>
      </c>
    </row>
    <row r="25" spans="2:54" x14ac:dyDescent="0.25">
      <c r="B25" s="9" t="s">
        <v>40</v>
      </c>
      <c r="C25" s="9" t="s">
        <v>25</v>
      </c>
      <c r="D25" s="9" t="s">
        <v>26</v>
      </c>
      <c r="E25" s="9" t="s">
        <v>41</v>
      </c>
      <c r="F25" s="9" t="s">
        <v>43</v>
      </c>
      <c r="G25" s="31" t="str">
        <f t="shared" si="11"/>
        <v>641600000000000US92826C8212000TYVA01</v>
      </c>
      <c r="H25" s="22" t="s">
        <v>214</v>
      </c>
      <c r="I25" s="18" t="s">
        <v>23</v>
      </c>
      <c r="J25" s="9" t="s">
        <v>44</v>
      </c>
      <c r="K25" s="9"/>
      <c r="L25" s="9"/>
      <c r="M25" s="9"/>
      <c r="N25" s="9"/>
      <c r="O25" s="9"/>
      <c r="P25" s="18">
        <v>1259414.3799999999</v>
      </c>
      <c r="Q25" s="18" t="s">
        <v>21</v>
      </c>
      <c r="R25" s="9" t="s">
        <v>22</v>
      </c>
      <c r="S25" s="9" t="s">
        <v>45</v>
      </c>
      <c r="T25" s="9"/>
      <c r="V25" t="str">
        <f t="shared" si="0"/>
        <v>641600000000000US92826C8212000TYVA01</v>
      </c>
      <c r="X25" s="15" t="s">
        <v>129</v>
      </c>
      <c r="Y25" s="18">
        <f t="shared" si="1"/>
        <v>1315706.23</v>
      </c>
      <c r="Z25" s="18">
        <f t="shared" si="12"/>
        <v>56291.850000000093</v>
      </c>
      <c r="AA25" s="26" t="s">
        <v>264</v>
      </c>
      <c r="AB25" s="15" t="s">
        <v>129</v>
      </c>
      <c r="AC25" t="str">
        <f t="shared" si="2"/>
        <v>MESG4</v>
      </c>
      <c r="AD25" t="b">
        <f t="shared" si="13"/>
        <v>1</v>
      </c>
      <c r="AF25" t="str">
        <f t="shared" si="3"/>
        <v>EU2</v>
      </c>
      <c r="AG25" t="b">
        <f t="shared" si="14"/>
        <v>1</v>
      </c>
      <c r="AI25" s="28" t="str">
        <f t="shared" si="4"/>
        <v/>
      </c>
      <c r="AJ25" t="b">
        <f t="shared" si="15"/>
        <v>1</v>
      </c>
      <c r="AL25" t="str">
        <f t="shared" si="5"/>
        <v/>
      </c>
      <c r="AM25" t="b">
        <f t="shared" si="16"/>
        <v>1</v>
      </c>
      <c r="AO25" t="str">
        <f t="shared" si="6"/>
        <v/>
      </c>
      <c r="AP25" t="b">
        <f t="shared" si="17"/>
        <v>1</v>
      </c>
      <c r="AR25" t="str">
        <f t="shared" si="7"/>
        <v/>
      </c>
      <c r="AS25" t="b">
        <f t="shared" si="18"/>
        <v>1</v>
      </c>
      <c r="AU25" s="28" t="str">
        <f t="shared" si="8"/>
        <v>ACUT2</v>
      </c>
      <c r="AV25" t="b">
        <f t="shared" si="19"/>
        <v>1</v>
      </c>
      <c r="AX25" s="28" t="str">
        <f t="shared" si="9"/>
        <v>CHRO2</v>
      </c>
      <c r="AY25" t="b">
        <f t="shared" si="20"/>
        <v>1</v>
      </c>
      <c r="BA25" s="28" t="str">
        <f t="shared" si="10"/>
        <v>GEO2</v>
      </c>
      <c r="BB25" t="b">
        <f t="shared" si="21"/>
        <v>1</v>
      </c>
    </row>
    <row r="26" spans="2:54" x14ac:dyDescent="0.25">
      <c r="B26" s="9" t="s">
        <v>40</v>
      </c>
      <c r="C26" s="9" t="s">
        <v>25</v>
      </c>
      <c r="D26" s="9" t="s">
        <v>26</v>
      </c>
      <c r="E26" s="9" t="s">
        <v>41</v>
      </c>
      <c r="F26" s="9" t="s">
        <v>57</v>
      </c>
      <c r="G26" s="31" t="str">
        <f t="shared" si="11"/>
        <v>641600000000000US92826C7974000TYVA01</v>
      </c>
      <c r="H26" s="22" t="s">
        <v>215</v>
      </c>
      <c r="I26" s="18" t="s">
        <v>23</v>
      </c>
      <c r="J26" s="9" t="s">
        <v>44</v>
      </c>
      <c r="K26" s="9"/>
      <c r="L26" s="9"/>
      <c r="M26" s="9"/>
      <c r="N26" s="9"/>
      <c r="O26" s="9"/>
      <c r="P26" s="18">
        <v>1234556.55</v>
      </c>
      <c r="Q26" s="18" t="s">
        <v>21</v>
      </c>
      <c r="R26" s="9" t="s">
        <v>22</v>
      </c>
      <c r="S26" s="9" t="s">
        <v>45</v>
      </c>
      <c r="T26" s="9"/>
      <c r="V26" t="str">
        <f t="shared" si="0"/>
        <v>641600000000000US92826C7974000TYVA01</v>
      </c>
      <c r="X26" s="15" t="s">
        <v>129</v>
      </c>
      <c r="Y26" s="18">
        <f t="shared" si="1"/>
        <v>1289737.3400000001</v>
      </c>
      <c r="Z26" s="18">
        <f t="shared" si="12"/>
        <v>55180.790000000037</v>
      </c>
      <c r="AA26" s="26" t="s">
        <v>265</v>
      </c>
      <c r="AB26" s="15" t="s">
        <v>129</v>
      </c>
      <c r="AC26" t="str">
        <f t="shared" si="2"/>
        <v>MESG4</v>
      </c>
      <c r="AD26" t="b">
        <f t="shared" si="13"/>
        <v>1</v>
      </c>
      <c r="AF26" t="str">
        <f t="shared" si="3"/>
        <v>EU2</v>
      </c>
      <c r="AG26" t="b">
        <f t="shared" si="14"/>
        <v>1</v>
      </c>
      <c r="AI26" s="28" t="str">
        <f t="shared" si="4"/>
        <v/>
      </c>
      <c r="AJ26" t="b">
        <f t="shared" si="15"/>
        <v>1</v>
      </c>
      <c r="AL26" t="str">
        <f t="shared" si="5"/>
        <v/>
      </c>
      <c r="AM26" t="b">
        <f t="shared" si="16"/>
        <v>1</v>
      </c>
      <c r="AO26" t="str">
        <f t="shared" si="6"/>
        <v/>
      </c>
      <c r="AP26" t="b">
        <f t="shared" si="17"/>
        <v>1</v>
      </c>
      <c r="AR26" t="str">
        <f t="shared" si="7"/>
        <v/>
      </c>
      <c r="AS26" t="b">
        <f t="shared" si="18"/>
        <v>1</v>
      </c>
      <c r="AU26" s="28" t="str">
        <f t="shared" si="8"/>
        <v>ACUT2</v>
      </c>
      <c r="AV26" t="b">
        <f t="shared" si="19"/>
        <v>1</v>
      </c>
      <c r="AX26" s="28" t="str">
        <f t="shared" si="9"/>
        <v>CHRO2</v>
      </c>
      <c r="AY26" t="b">
        <f t="shared" si="20"/>
        <v>1</v>
      </c>
      <c r="BA26" s="28" t="str">
        <f t="shared" si="10"/>
        <v>GEO2</v>
      </c>
      <c r="BB26" t="b">
        <f t="shared" si="21"/>
        <v>1</v>
      </c>
    </row>
    <row r="27" spans="2:54" x14ac:dyDescent="0.25">
      <c r="B27" s="9" t="s">
        <v>31</v>
      </c>
      <c r="C27" s="9" t="s">
        <v>25</v>
      </c>
      <c r="D27" s="9" t="s">
        <v>26</v>
      </c>
      <c r="E27" s="9" t="s">
        <v>95</v>
      </c>
      <c r="F27" s="9" t="s">
        <v>96</v>
      </c>
      <c r="G27" s="9" t="str">
        <f t="shared" si="11"/>
        <v>6416250EUR12810IRL202500215000TYVA01</v>
      </c>
      <c r="H27" s="22" t="s">
        <v>199</v>
      </c>
      <c r="I27" s="18" t="s">
        <v>23</v>
      </c>
      <c r="J27" s="9" t="s">
        <v>19</v>
      </c>
      <c r="K27" s="9"/>
      <c r="L27" s="9"/>
      <c r="M27" s="9"/>
      <c r="N27" s="9"/>
      <c r="O27" s="9" t="s">
        <v>36</v>
      </c>
      <c r="P27" s="18">
        <v>624867.66</v>
      </c>
      <c r="Q27" s="18" t="s">
        <v>21</v>
      </c>
      <c r="R27" s="9" t="s">
        <v>22</v>
      </c>
      <c r="S27" s="9" t="s">
        <v>39</v>
      </c>
      <c r="T27" s="9"/>
      <c r="V27" t="str">
        <f t="shared" si="0"/>
        <v>6416250EUR12810IRL202500215000TYVA01</v>
      </c>
      <c r="X27" s="15" t="s">
        <v>129</v>
      </c>
      <c r="Y27" s="18">
        <f t="shared" si="1"/>
        <v>624867.66</v>
      </c>
      <c r="Z27" s="18">
        <f t="shared" si="12"/>
        <v>0</v>
      </c>
      <c r="AB27" s="15" t="s">
        <v>129</v>
      </c>
      <c r="AC27" t="str">
        <f t="shared" si="2"/>
        <v>MESG4</v>
      </c>
      <c r="AD27" t="b">
        <f t="shared" si="13"/>
        <v>1</v>
      </c>
      <c r="AF27" t="str">
        <f t="shared" si="3"/>
        <v>EU1</v>
      </c>
      <c r="AG27" t="b">
        <f t="shared" si="14"/>
        <v>1</v>
      </c>
      <c r="AI27" s="28" t="str">
        <f t="shared" si="4"/>
        <v/>
      </c>
      <c r="AJ27" t="b">
        <f t="shared" si="15"/>
        <v>1</v>
      </c>
      <c r="AL27" t="str">
        <f t="shared" si="5"/>
        <v/>
      </c>
      <c r="AM27" t="b">
        <f t="shared" si="16"/>
        <v>1</v>
      </c>
      <c r="AO27" t="str">
        <f t="shared" si="6"/>
        <v/>
      </c>
      <c r="AP27" t="b">
        <f t="shared" si="17"/>
        <v>1</v>
      </c>
      <c r="AR27" t="str">
        <f t="shared" si="7"/>
        <v>INVS4</v>
      </c>
      <c r="AS27" t="b">
        <f t="shared" si="18"/>
        <v>1</v>
      </c>
      <c r="AU27" s="28" t="str">
        <f t="shared" si="8"/>
        <v>ACUT2</v>
      </c>
      <c r="AV27" t="b">
        <f t="shared" si="19"/>
        <v>1</v>
      </c>
      <c r="AX27" s="28" t="str">
        <f t="shared" si="9"/>
        <v>CHRO2</v>
      </c>
      <c r="AY27" t="b">
        <f t="shared" si="20"/>
        <v>1</v>
      </c>
      <c r="BA27" s="28" t="str">
        <f t="shared" si="10"/>
        <v>GEO18</v>
      </c>
      <c r="BB27" t="b">
        <f t="shared" si="21"/>
        <v>1</v>
      </c>
    </row>
    <row r="28" spans="2:54" x14ac:dyDescent="0.25">
      <c r="B28" s="9" t="s">
        <v>24</v>
      </c>
      <c r="C28" s="9" t="s">
        <v>25</v>
      </c>
      <c r="D28" s="9" t="s">
        <v>26</v>
      </c>
      <c r="E28" s="9" t="s">
        <v>27</v>
      </c>
      <c r="F28" s="9" t="s">
        <v>75</v>
      </c>
      <c r="G28" s="9" t="str">
        <f t="shared" si="11"/>
        <v>641600005800050PTPL1AIM0000000TYVA01</v>
      </c>
      <c r="H28" s="22" t="s">
        <v>216</v>
      </c>
      <c r="I28" s="18" t="s">
        <v>23</v>
      </c>
      <c r="J28" s="9" t="s">
        <v>19</v>
      </c>
      <c r="K28" s="9"/>
      <c r="L28" s="9" t="s">
        <v>29</v>
      </c>
      <c r="M28" s="9"/>
      <c r="N28" s="9"/>
      <c r="O28" s="9"/>
      <c r="P28" s="18">
        <v>87740.160000000003</v>
      </c>
      <c r="Q28" s="18" t="s">
        <v>21</v>
      </c>
      <c r="R28" s="9" t="s">
        <v>22</v>
      </c>
      <c r="S28" s="9" t="s">
        <v>20</v>
      </c>
      <c r="T28" s="9"/>
      <c r="V28" t="str">
        <f t="shared" si="0"/>
        <v/>
      </c>
      <c r="W28" s="25" t="s">
        <v>238</v>
      </c>
      <c r="X28" s="15" t="s">
        <v>129</v>
      </c>
      <c r="Y28" s="18" t="str">
        <f t="shared" si="1"/>
        <v/>
      </c>
      <c r="Z28" s="18" t="str">
        <f t="shared" si="12"/>
        <v/>
      </c>
      <c r="AB28" s="15" t="s">
        <v>129</v>
      </c>
      <c r="AC28" t="str">
        <f t="shared" si="2"/>
        <v/>
      </c>
      <c r="AD28" t="b">
        <f t="shared" si="13"/>
        <v>0</v>
      </c>
      <c r="AF28" t="str">
        <f t="shared" si="3"/>
        <v/>
      </c>
      <c r="AG28" t="b">
        <f t="shared" si="14"/>
        <v>0</v>
      </c>
      <c r="AI28" s="28" t="str">
        <f t="shared" si="4"/>
        <v/>
      </c>
      <c r="AJ28" t="b">
        <f t="shared" si="15"/>
        <v>0</v>
      </c>
      <c r="AL28" t="str">
        <f t="shared" si="5"/>
        <v/>
      </c>
      <c r="AM28" t="b">
        <f t="shared" si="16"/>
        <v>1</v>
      </c>
      <c r="AO28" t="str">
        <f t="shared" si="6"/>
        <v/>
      </c>
      <c r="AP28" t="b">
        <f t="shared" si="17"/>
        <v>1</v>
      </c>
      <c r="AR28" t="str">
        <f t="shared" si="7"/>
        <v/>
      </c>
      <c r="AS28" t="b">
        <f t="shared" si="18"/>
        <v>1</v>
      </c>
      <c r="AU28" s="28" t="str">
        <f t="shared" si="8"/>
        <v/>
      </c>
      <c r="AV28" t="b">
        <f t="shared" si="19"/>
        <v>0</v>
      </c>
      <c r="AX28" s="28" t="str">
        <f t="shared" si="9"/>
        <v/>
      </c>
      <c r="AY28" t="b">
        <f t="shared" si="20"/>
        <v>0</v>
      </c>
      <c r="BA28" s="28" t="str">
        <f t="shared" si="10"/>
        <v/>
      </c>
      <c r="BB28" t="b">
        <f t="shared" si="21"/>
        <v>0</v>
      </c>
    </row>
    <row r="29" spans="2:54" x14ac:dyDescent="0.25">
      <c r="B29" s="9" t="s">
        <v>40</v>
      </c>
      <c r="C29" s="9" t="s">
        <v>32</v>
      </c>
      <c r="D29" s="9" t="s">
        <v>17</v>
      </c>
      <c r="E29" s="9" t="s">
        <v>33</v>
      </c>
      <c r="F29" s="9" t="s">
        <v>51</v>
      </c>
      <c r="G29" s="9" t="str">
        <f t="shared" si="11"/>
        <v>CMAHAJID0000232400000BI0041100TYVA01</v>
      </c>
      <c r="H29" s="22" t="s">
        <v>198</v>
      </c>
      <c r="I29" s="18" t="s">
        <v>23</v>
      </c>
      <c r="J29" s="9" t="s">
        <v>19</v>
      </c>
      <c r="K29" s="9"/>
      <c r="L29" s="9"/>
      <c r="M29" s="9"/>
      <c r="N29" s="9"/>
      <c r="O29" s="9"/>
      <c r="P29" s="18">
        <v>0.61</v>
      </c>
      <c r="Q29" s="18" t="s">
        <v>21</v>
      </c>
      <c r="R29" s="9" t="s">
        <v>22</v>
      </c>
      <c r="S29" s="9" t="s">
        <v>54</v>
      </c>
      <c r="T29" s="9"/>
      <c r="V29" t="str">
        <f t="shared" si="0"/>
        <v>CMAHAJID0000232400000BI0041100TYVA01</v>
      </c>
      <c r="X29" s="15" t="s">
        <v>129</v>
      </c>
      <c r="Y29" s="18">
        <f t="shared" si="1"/>
        <v>1.29</v>
      </c>
      <c r="Z29" s="18">
        <f t="shared" si="12"/>
        <v>0.68</v>
      </c>
      <c r="AB29" s="15" t="s">
        <v>129</v>
      </c>
      <c r="AC29" t="str">
        <f t="shared" si="2"/>
        <v>MESG4</v>
      </c>
      <c r="AD29" t="b">
        <f t="shared" si="13"/>
        <v>1</v>
      </c>
      <c r="AF29" t="str">
        <f t="shared" si="3"/>
        <v>EU1</v>
      </c>
      <c r="AG29" t="b">
        <f t="shared" si="14"/>
        <v>1</v>
      </c>
      <c r="AH29" s="26"/>
      <c r="AI29" s="28" t="str">
        <f t="shared" si="4"/>
        <v/>
      </c>
      <c r="AJ29" t="b">
        <f t="shared" si="15"/>
        <v>1</v>
      </c>
      <c r="AL29" t="str">
        <f t="shared" si="5"/>
        <v/>
      </c>
      <c r="AM29" t="b">
        <f t="shared" si="16"/>
        <v>1</v>
      </c>
      <c r="AO29" t="str">
        <f t="shared" si="6"/>
        <v/>
      </c>
      <c r="AP29" t="b">
        <f t="shared" si="17"/>
        <v>1</v>
      </c>
      <c r="AR29" t="str">
        <f t="shared" si="7"/>
        <v/>
      </c>
      <c r="AS29" t="b">
        <f t="shared" si="18"/>
        <v>1</v>
      </c>
      <c r="AU29" s="28" t="str">
        <f t="shared" si="8"/>
        <v>ACUT2</v>
      </c>
      <c r="AV29" t="b">
        <f t="shared" si="19"/>
        <v>1</v>
      </c>
      <c r="AX29" s="28" t="str">
        <f t="shared" si="9"/>
        <v>CHRO2</v>
      </c>
      <c r="AY29" t="b">
        <f t="shared" si="20"/>
        <v>1</v>
      </c>
      <c r="BA29" s="28" t="str">
        <f t="shared" si="10"/>
        <v>GEO19</v>
      </c>
      <c r="BB29" t="b">
        <f t="shared" si="21"/>
        <v>1</v>
      </c>
    </row>
    <row r="30" spans="2:54" x14ac:dyDescent="0.25">
      <c r="B30" s="9" t="s">
        <v>40</v>
      </c>
      <c r="C30" s="9" t="s">
        <v>25</v>
      </c>
      <c r="D30" s="9" t="s">
        <v>26</v>
      </c>
      <c r="E30" s="9" t="s">
        <v>55</v>
      </c>
      <c r="F30" s="9" t="s">
        <v>56</v>
      </c>
      <c r="G30" s="9" t="str">
        <f t="shared" si="11"/>
        <v>6416250EUR49710PRT125001915000TYVA01</v>
      </c>
      <c r="H30" s="22" t="s">
        <v>200</v>
      </c>
      <c r="I30" s="18" t="s">
        <v>23</v>
      </c>
      <c r="J30" s="9" t="s">
        <v>19</v>
      </c>
      <c r="K30" s="9"/>
      <c r="L30" s="9"/>
      <c r="M30" s="9"/>
      <c r="N30" s="9"/>
      <c r="O30" s="9"/>
      <c r="P30" s="18">
        <v>850382.68</v>
      </c>
      <c r="Q30" s="18" t="s">
        <v>21</v>
      </c>
      <c r="R30" s="9" t="s">
        <v>22</v>
      </c>
      <c r="S30" s="9" t="s">
        <v>20</v>
      </c>
      <c r="T30" s="9"/>
      <c r="V30" t="str">
        <f t="shared" si="0"/>
        <v>6416250EUR49710PRT125001915000TYVA01</v>
      </c>
      <c r="X30" s="15" t="s">
        <v>129</v>
      </c>
      <c r="Y30" s="18">
        <f t="shared" si="1"/>
        <v>850382.68</v>
      </c>
      <c r="Z30" s="18">
        <f t="shared" si="12"/>
        <v>0</v>
      </c>
      <c r="AB30" s="15" t="s">
        <v>129</v>
      </c>
      <c r="AC30" t="str">
        <f t="shared" si="2"/>
        <v>MESG4</v>
      </c>
      <c r="AD30" t="b">
        <f t="shared" si="13"/>
        <v>1</v>
      </c>
      <c r="AF30" t="str">
        <f t="shared" si="3"/>
        <v>EU1</v>
      </c>
      <c r="AG30" t="b">
        <f t="shared" si="14"/>
        <v>1</v>
      </c>
      <c r="AI30" s="28" t="str">
        <f t="shared" si="4"/>
        <v/>
      </c>
      <c r="AJ30" t="b">
        <f t="shared" si="15"/>
        <v>1</v>
      </c>
      <c r="AL30" t="str">
        <f t="shared" si="5"/>
        <v/>
      </c>
      <c r="AM30" t="b">
        <f t="shared" si="16"/>
        <v>1</v>
      </c>
      <c r="AO30" t="str">
        <f t="shared" si="6"/>
        <v/>
      </c>
      <c r="AP30" t="b">
        <f t="shared" si="17"/>
        <v>1</v>
      </c>
      <c r="AR30" t="str">
        <f t="shared" si="7"/>
        <v/>
      </c>
      <c r="AS30" t="b">
        <f t="shared" si="18"/>
        <v>1</v>
      </c>
      <c r="AU30" s="28" t="str">
        <f t="shared" si="8"/>
        <v>ACUT2</v>
      </c>
      <c r="AV30" t="b">
        <f t="shared" si="19"/>
        <v>1</v>
      </c>
      <c r="AX30" s="28" t="str">
        <f t="shared" si="9"/>
        <v>CHRO2</v>
      </c>
      <c r="AY30" t="b">
        <f t="shared" si="20"/>
        <v>1</v>
      </c>
      <c r="BA30" s="28" t="str">
        <f t="shared" si="10"/>
        <v>GEO3</v>
      </c>
      <c r="BB30" t="b">
        <f t="shared" si="21"/>
        <v>1</v>
      </c>
    </row>
    <row r="31" spans="2:54" x14ac:dyDescent="0.25">
      <c r="B31" s="9" t="s">
        <v>24</v>
      </c>
      <c r="C31" s="9" t="s">
        <v>25</v>
      </c>
      <c r="D31" s="9" t="s">
        <v>26</v>
      </c>
      <c r="E31" s="9" t="s">
        <v>27</v>
      </c>
      <c r="F31" s="9" t="s">
        <v>28</v>
      </c>
      <c r="G31" s="9" t="str">
        <f t="shared" si="11"/>
        <v>641600005800050PTPLGEIM0004000TYVA01</v>
      </c>
      <c r="H31" s="22" t="s">
        <v>217</v>
      </c>
      <c r="I31" s="18" t="s">
        <v>23</v>
      </c>
      <c r="J31" s="9" t="s">
        <v>19</v>
      </c>
      <c r="K31" s="9"/>
      <c r="L31" s="9" t="s">
        <v>29</v>
      </c>
      <c r="M31" s="9"/>
      <c r="N31" s="9"/>
      <c r="O31" s="9"/>
      <c r="P31" s="18">
        <v>43286.17</v>
      </c>
      <c r="Q31" s="18" t="s">
        <v>21</v>
      </c>
      <c r="R31" s="9" t="s">
        <v>22</v>
      </c>
      <c r="S31" s="9" t="s">
        <v>20</v>
      </c>
      <c r="T31" s="9"/>
      <c r="V31" t="str">
        <f t="shared" si="0"/>
        <v>641600005800050PTPLGEIM0004000TYVA01</v>
      </c>
      <c r="X31" s="15" t="s">
        <v>129</v>
      </c>
      <c r="Y31" s="18">
        <f t="shared" si="1"/>
        <v>43286.17</v>
      </c>
      <c r="Z31" s="18">
        <f t="shared" si="12"/>
        <v>0</v>
      </c>
      <c r="AB31" s="15" t="s">
        <v>129</v>
      </c>
      <c r="AC31" t="str">
        <f t="shared" si="2"/>
        <v>MESG4</v>
      </c>
      <c r="AD31" t="b">
        <f t="shared" si="13"/>
        <v>1</v>
      </c>
      <c r="AF31" t="str">
        <f t="shared" si="3"/>
        <v>EU1</v>
      </c>
      <c r="AG31" t="b">
        <f t="shared" si="14"/>
        <v>1</v>
      </c>
      <c r="AI31" s="28" t="str">
        <f t="shared" si="4"/>
        <v/>
      </c>
      <c r="AJ31" t="b">
        <f t="shared" si="15"/>
        <v>0</v>
      </c>
      <c r="AK31" t="s">
        <v>268</v>
      </c>
      <c r="AL31" t="str">
        <f t="shared" si="5"/>
        <v/>
      </c>
      <c r="AM31" t="b">
        <f t="shared" si="16"/>
        <v>1</v>
      </c>
      <c r="AO31" t="str">
        <f t="shared" si="6"/>
        <v/>
      </c>
      <c r="AP31" t="b">
        <f t="shared" si="17"/>
        <v>1</v>
      </c>
      <c r="AR31" t="str">
        <f t="shared" si="7"/>
        <v/>
      </c>
      <c r="AS31" t="b">
        <f t="shared" si="18"/>
        <v>1</v>
      </c>
      <c r="AU31" s="28" t="str">
        <f t="shared" si="8"/>
        <v>ACUT2</v>
      </c>
      <c r="AV31" t="b">
        <f t="shared" si="19"/>
        <v>1</v>
      </c>
      <c r="AX31" s="28" t="str">
        <f t="shared" si="9"/>
        <v>CHRO2</v>
      </c>
      <c r="AY31" t="b">
        <f t="shared" si="20"/>
        <v>1</v>
      </c>
      <c r="BA31" s="28" t="str">
        <f t="shared" si="10"/>
        <v>GEO3</v>
      </c>
      <c r="BB31" t="b">
        <f t="shared" si="21"/>
        <v>1</v>
      </c>
    </row>
    <row r="32" spans="2:54" x14ac:dyDescent="0.25">
      <c r="B32" s="9" t="s">
        <v>24</v>
      </c>
      <c r="C32" s="9" t="s">
        <v>25</v>
      </c>
      <c r="D32" s="9" t="s">
        <v>26</v>
      </c>
      <c r="E32" s="9" t="s">
        <v>27</v>
      </c>
      <c r="F32" s="9" t="s">
        <v>65</v>
      </c>
      <c r="G32" s="9" t="str">
        <f t="shared" si="11"/>
        <v>641600005800050PTPLG8IM0001000TYVA01</v>
      </c>
      <c r="H32" s="22" t="s">
        <v>218</v>
      </c>
      <c r="I32" s="18" t="s">
        <v>23</v>
      </c>
      <c r="J32" s="9" t="s">
        <v>19</v>
      </c>
      <c r="K32" s="9"/>
      <c r="L32" s="9" t="s">
        <v>29</v>
      </c>
      <c r="M32" s="9"/>
      <c r="N32" s="9"/>
      <c r="O32" s="9"/>
      <c r="P32" s="18">
        <v>668873.98</v>
      </c>
      <c r="Q32" s="18" t="s">
        <v>21</v>
      </c>
      <c r="R32" s="9" t="s">
        <v>22</v>
      </c>
      <c r="S32" s="9" t="s">
        <v>20</v>
      </c>
      <c r="T32" s="9"/>
      <c r="V32" t="str">
        <f t="shared" si="0"/>
        <v/>
      </c>
      <c r="W32" s="25" t="s">
        <v>238</v>
      </c>
      <c r="X32" s="15" t="s">
        <v>129</v>
      </c>
      <c r="Y32" s="18" t="str">
        <f t="shared" si="1"/>
        <v/>
      </c>
      <c r="Z32" s="18" t="str">
        <f t="shared" si="12"/>
        <v/>
      </c>
      <c r="AB32" s="15" t="s">
        <v>129</v>
      </c>
      <c r="AC32" t="str">
        <f t="shared" si="2"/>
        <v/>
      </c>
      <c r="AD32" t="b">
        <f t="shared" si="13"/>
        <v>0</v>
      </c>
      <c r="AF32" t="str">
        <f t="shared" si="3"/>
        <v/>
      </c>
      <c r="AG32" t="b">
        <f t="shared" si="14"/>
        <v>0</v>
      </c>
      <c r="AI32" s="28" t="str">
        <f t="shared" si="4"/>
        <v/>
      </c>
      <c r="AJ32" t="b">
        <f t="shared" si="15"/>
        <v>0</v>
      </c>
      <c r="AL32" t="str">
        <f t="shared" si="5"/>
        <v/>
      </c>
      <c r="AM32" t="b">
        <f t="shared" si="16"/>
        <v>1</v>
      </c>
      <c r="AO32" t="str">
        <f t="shared" si="6"/>
        <v/>
      </c>
      <c r="AP32" t="b">
        <f t="shared" si="17"/>
        <v>1</v>
      </c>
      <c r="AR32" t="str">
        <f t="shared" si="7"/>
        <v/>
      </c>
      <c r="AS32" t="b">
        <f t="shared" si="18"/>
        <v>1</v>
      </c>
      <c r="AU32" s="28" t="str">
        <f t="shared" si="8"/>
        <v/>
      </c>
      <c r="AV32" t="b">
        <f t="shared" si="19"/>
        <v>0</v>
      </c>
      <c r="AX32" s="28" t="str">
        <f t="shared" si="9"/>
        <v/>
      </c>
      <c r="AY32" t="b">
        <f t="shared" si="20"/>
        <v>0</v>
      </c>
      <c r="BA32" s="28" t="str">
        <f t="shared" si="10"/>
        <v/>
      </c>
      <c r="BB32" t="b">
        <f t="shared" si="21"/>
        <v>0</v>
      </c>
    </row>
    <row r="33" spans="2:54" x14ac:dyDescent="0.25">
      <c r="B33" s="9" t="s">
        <v>49</v>
      </c>
      <c r="C33" s="9" t="s">
        <v>32</v>
      </c>
      <c r="D33" s="9" t="s">
        <v>17</v>
      </c>
      <c r="E33" s="9" t="s">
        <v>50</v>
      </c>
      <c r="F33" s="9" t="s">
        <v>51</v>
      </c>
      <c r="G33" s="9" t="str">
        <f t="shared" si="11"/>
        <v>CMAHAJID0000186400000BI0041100TYVA01</v>
      </c>
      <c r="H33" s="22" t="s">
        <v>190</v>
      </c>
      <c r="I33" s="18" t="s">
        <v>23</v>
      </c>
      <c r="J33" s="9" t="s">
        <v>19</v>
      </c>
      <c r="K33" s="9"/>
      <c r="L33" s="9" t="s">
        <v>29</v>
      </c>
      <c r="M33" s="9" t="s">
        <v>52</v>
      </c>
      <c r="N33" s="9" t="s">
        <v>53</v>
      </c>
      <c r="O33" s="9"/>
      <c r="P33" s="18">
        <v>-7.0000000000000007E-2</v>
      </c>
      <c r="Q33" s="18" t="s">
        <v>21</v>
      </c>
      <c r="R33" s="9" t="s">
        <v>22</v>
      </c>
      <c r="S33" s="9" t="s">
        <v>54</v>
      </c>
      <c r="T33" s="9"/>
      <c r="V33" t="str">
        <f t="shared" si="0"/>
        <v>CMAHAJID0000186400000BI0041100TYVA01</v>
      </c>
      <c r="X33" s="15" t="s">
        <v>129</v>
      </c>
      <c r="Y33" s="18">
        <f t="shared" si="1"/>
        <v>-0.14000000000000001</v>
      </c>
      <c r="Z33" s="18">
        <f t="shared" si="12"/>
        <v>-7.0000000000000007E-2</v>
      </c>
      <c r="AB33" s="15" t="s">
        <v>129</v>
      </c>
      <c r="AC33" t="str">
        <f t="shared" si="2"/>
        <v>MESG4</v>
      </c>
      <c r="AD33" t="b">
        <f t="shared" si="13"/>
        <v>1</v>
      </c>
      <c r="AF33" t="str">
        <f t="shared" si="3"/>
        <v>EU1</v>
      </c>
      <c r="AG33" t="b">
        <f t="shared" si="14"/>
        <v>1</v>
      </c>
      <c r="AH33" s="26"/>
      <c r="AI33" s="28" t="str">
        <f t="shared" si="4"/>
        <v>EXC2</v>
      </c>
      <c r="AJ33" t="b">
        <f t="shared" si="15"/>
        <v>1</v>
      </c>
      <c r="AL33" t="str">
        <f t="shared" si="5"/>
        <v>CNAEL18</v>
      </c>
      <c r="AM33" t="b">
        <f t="shared" si="16"/>
        <v>1</v>
      </c>
      <c r="AO33" t="str">
        <f t="shared" si="6"/>
        <v>NACE19010303</v>
      </c>
      <c r="AP33" t="b">
        <f t="shared" si="17"/>
        <v>1</v>
      </c>
      <c r="AR33" t="str">
        <f t="shared" si="7"/>
        <v/>
      </c>
      <c r="AS33" t="b">
        <f t="shared" si="18"/>
        <v>1</v>
      </c>
      <c r="AU33" s="28" t="str">
        <f t="shared" si="8"/>
        <v>ACUT2</v>
      </c>
      <c r="AV33" t="b">
        <f t="shared" si="19"/>
        <v>1</v>
      </c>
      <c r="AX33" s="28" t="str">
        <f t="shared" si="9"/>
        <v>CHRO2</v>
      </c>
      <c r="AY33" t="b">
        <f t="shared" si="20"/>
        <v>1</v>
      </c>
      <c r="BA33" s="28" t="str">
        <f t="shared" si="10"/>
        <v>GEO19</v>
      </c>
      <c r="BB33" t="b">
        <f t="shared" si="21"/>
        <v>1</v>
      </c>
    </row>
    <row r="34" spans="2:54" x14ac:dyDescent="0.25">
      <c r="B34" s="9" t="s">
        <v>31</v>
      </c>
      <c r="C34" s="9" t="s">
        <v>25</v>
      </c>
      <c r="D34" s="9" t="s">
        <v>26</v>
      </c>
      <c r="E34" s="9" t="s">
        <v>67</v>
      </c>
      <c r="F34" s="9" t="s">
        <v>60</v>
      </c>
      <c r="G34" s="27" t="str">
        <f t="shared" si="11"/>
        <v>6416250EUR31451PRT110000015000TYVA01</v>
      </c>
      <c r="H34" s="22" t="s">
        <v>193</v>
      </c>
      <c r="I34" s="18" t="s">
        <v>23</v>
      </c>
      <c r="J34" s="9" t="s">
        <v>19</v>
      </c>
      <c r="K34" s="9"/>
      <c r="L34" s="9" t="s">
        <v>29</v>
      </c>
      <c r="M34" s="9" t="s">
        <v>69</v>
      </c>
      <c r="N34" s="9" t="s">
        <v>70</v>
      </c>
      <c r="O34" s="9" t="s">
        <v>71</v>
      </c>
      <c r="P34" s="18">
        <v>99759611.430000007</v>
      </c>
      <c r="Q34" s="32" t="s">
        <v>21</v>
      </c>
      <c r="R34" s="33" t="s">
        <v>22</v>
      </c>
      <c r="S34" s="9" t="s">
        <v>20</v>
      </c>
      <c r="T34" s="9"/>
      <c r="V34" t="str">
        <f t="shared" si="0"/>
        <v>6416250EUR31451PRT110000015000TYVA01</v>
      </c>
      <c r="X34" s="15" t="s">
        <v>129</v>
      </c>
      <c r="Y34" s="18">
        <f t="shared" si="1"/>
        <v>88759611.430000007</v>
      </c>
      <c r="Z34" s="18">
        <f t="shared" si="12"/>
        <v>-11000000</v>
      </c>
      <c r="AA34" s="26" t="s">
        <v>229</v>
      </c>
      <c r="AB34" s="15" t="s">
        <v>129</v>
      </c>
      <c r="AC34" t="str">
        <f t="shared" si="2"/>
        <v>MESG4</v>
      </c>
      <c r="AD34" t="b">
        <f t="shared" si="13"/>
        <v>1</v>
      </c>
      <c r="AF34" t="str">
        <f t="shared" si="3"/>
        <v>EU1</v>
      </c>
      <c r="AG34" t="b">
        <f t="shared" si="14"/>
        <v>1</v>
      </c>
      <c r="AI34" s="28" t="str">
        <f t="shared" si="4"/>
        <v>EXC2</v>
      </c>
      <c r="AJ34" t="b">
        <f t="shared" si="15"/>
        <v>1</v>
      </c>
      <c r="AL34" t="str">
        <f t="shared" si="5"/>
        <v>CNAEL6</v>
      </c>
      <c r="AM34" t="b">
        <f t="shared" si="16"/>
        <v>1</v>
      </c>
      <c r="AO34" t="str">
        <f t="shared" si="6"/>
        <v>NACE06010101</v>
      </c>
      <c r="AP34" t="b">
        <f t="shared" si="17"/>
        <v>1</v>
      </c>
      <c r="AR34" t="str">
        <f t="shared" si="7"/>
        <v>INVS5</v>
      </c>
      <c r="AS34" t="b">
        <f t="shared" si="18"/>
        <v>1</v>
      </c>
      <c r="AU34" s="28" t="str">
        <f t="shared" si="8"/>
        <v>ACUT2</v>
      </c>
      <c r="AV34" t="b">
        <f t="shared" si="19"/>
        <v>1</v>
      </c>
      <c r="AX34" s="28" t="str">
        <f t="shared" si="9"/>
        <v>CHRO2</v>
      </c>
      <c r="AY34" t="b">
        <f t="shared" si="20"/>
        <v>1</v>
      </c>
      <c r="BA34" s="28" t="str">
        <f t="shared" si="10"/>
        <v>GEO3</v>
      </c>
      <c r="BB34" t="b">
        <f t="shared" si="21"/>
        <v>1</v>
      </c>
    </row>
    <row r="35" spans="2:54" x14ac:dyDescent="0.25">
      <c r="B35" s="9" t="s">
        <v>40</v>
      </c>
      <c r="C35" s="9" t="s">
        <v>32</v>
      </c>
      <c r="D35" s="9" t="s">
        <v>17</v>
      </c>
      <c r="E35" s="9" t="s">
        <v>33</v>
      </c>
      <c r="F35" s="9" t="s">
        <v>76</v>
      </c>
      <c r="G35" s="9" t="str">
        <f t="shared" si="11"/>
        <v>CMAHAJID0000232200000BI0041100TYVA01</v>
      </c>
      <c r="H35" s="22" t="s">
        <v>219</v>
      </c>
      <c r="I35" s="18" t="s">
        <v>23</v>
      </c>
      <c r="J35" s="9" t="s">
        <v>19</v>
      </c>
      <c r="K35" s="9"/>
      <c r="L35" s="9"/>
      <c r="M35" s="9"/>
      <c r="N35" s="9"/>
      <c r="O35" s="9"/>
      <c r="P35" s="18">
        <v>-0.41</v>
      </c>
      <c r="Q35" s="18" t="s">
        <v>21</v>
      </c>
      <c r="R35" s="9" t="s">
        <v>22</v>
      </c>
      <c r="S35" s="9" t="s">
        <v>54</v>
      </c>
      <c r="T35" s="9"/>
      <c r="V35" t="str">
        <f t="shared" si="0"/>
        <v>CMAHAJID0000232200000BI0041100TYVA01</v>
      </c>
      <c r="X35" s="15" t="s">
        <v>129</v>
      </c>
      <c r="Y35" s="18">
        <f t="shared" si="1"/>
        <v>-0.48</v>
      </c>
      <c r="Z35" s="18">
        <f t="shared" si="12"/>
        <v>-7.0000000000000007E-2</v>
      </c>
      <c r="AB35" s="15" t="s">
        <v>129</v>
      </c>
      <c r="AC35" t="str">
        <f t="shared" si="2"/>
        <v>MESG4</v>
      </c>
      <c r="AD35" t="b">
        <f t="shared" si="13"/>
        <v>1</v>
      </c>
      <c r="AF35" t="str">
        <f t="shared" si="3"/>
        <v>EU1</v>
      </c>
      <c r="AG35" t="b">
        <f t="shared" si="14"/>
        <v>1</v>
      </c>
      <c r="AH35" s="26"/>
      <c r="AI35" s="28" t="str">
        <f t="shared" si="4"/>
        <v/>
      </c>
      <c r="AJ35" t="b">
        <f t="shared" si="15"/>
        <v>1</v>
      </c>
      <c r="AL35" t="str">
        <f t="shared" si="5"/>
        <v/>
      </c>
      <c r="AM35" t="b">
        <f t="shared" si="16"/>
        <v>1</v>
      </c>
      <c r="AO35" t="str">
        <f t="shared" si="6"/>
        <v/>
      </c>
      <c r="AP35" t="b">
        <f t="shared" si="17"/>
        <v>1</v>
      </c>
      <c r="AR35" t="str">
        <f t="shared" si="7"/>
        <v/>
      </c>
      <c r="AS35" t="b">
        <f t="shared" si="18"/>
        <v>1</v>
      </c>
      <c r="AU35" s="28" t="str">
        <f t="shared" si="8"/>
        <v>ACUT2</v>
      </c>
      <c r="AV35" t="b">
        <f t="shared" si="19"/>
        <v>1</v>
      </c>
      <c r="AX35" s="28" t="str">
        <f t="shared" si="9"/>
        <v>CHRO2</v>
      </c>
      <c r="AY35" t="b">
        <f t="shared" si="20"/>
        <v>1</v>
      </c>
      <c r="BA35" s="28" t="str">
        <f t="shared" si="10"/>
        <v>GEO19</v>
      </c>
      <c r="BB35" t="b">
        <f t="shared" si="21"/>
        <v>1</v>
      </c>
    </row>
    <row r="36" spans="2:54" x14ac:dyDescent="0.25">
      <c r="B36" s="9" t="s">
        <v>31</v>
      </c>
      <c r="C36" s="9" t="s">
        <v>25</v>
      </c>
      <c r="D36" s="9" t="s">
        <v>26</v>
      </c>
      <c r="E36" s="9" t="s">
        <v>102</v>
      </c>
      <c r="F36" s="9" t="s">
        <v>96</v>
      </c>
      <c r="G36" s="9" t="str">
        <f t="shared" si="11"/>
        <v>6416250EUR12840IRL202500215000TYVA01</v>
      </c>
      <c r="H36" s="22" t="s">
        <v>188</v>
      </c>
      <c r="I36" s="18" t="s">
        <v>23</v>
      </c>
      <c r="J36" s="9" t="s">
        <v>19</v>
      </c>
      <c r="K36" s="9"/>
      <c r="L36" s="9"/>
      <c r="M36" s="9"/>
      <c r="N36" s="9"/>
      <c r="O36" s="9" t="s">
        <v>36</v>
      </c>
      <c r="P36" s="18">
        <v>38092.379999999997</v>
      </c>
      <c r="Q36" s="18" t="s">
        <v>21</v>
      </c>
      <c r="R36" s="9" t="s">
        <v>22</v>
      </c>
      <c r="S36" s="9" t="s">
        <v>39</v>
      </c>
      <c r="T36" s="9"/>
      <c r="V36" t="str">
        <f t="shared" si="0"/>
        <v>6416250EUR12840IRL202500215000TYVA01</v>
      </c>
      <c r="X36" s="15" t="s">
        <v>129</v>
      </c>
      <c r="Y36" s="18">
        <f t="shared" si="1"/>
        <v>38092.379999999997</v>
      </c>
      <c r="Z36" s="18">
        <f t="shared" si="12"/>
        <v>0</v>
      </c>
      <c r="AB36" s="15" t="s">
        <v>129</v>
      </c>
      <c r="AC36" t="str">
        <f t="shared" si="2"/>
        <v>MESG4</v>
      </c>
      <c r="AD36" t="b">
        <f t="shared" si="13"/>
        <v>1</v>
      </c>
      <c r="AF36" t="str">
        <f t="shared" si="3"/>
        <v>EU1</v>
      </c>
      <c r="AG36" t="b">
        <f t="shared" si="14"/>
        <v>1</v>
      </c>
      <c r="AI36" s="28" t="str">
        <f t="shared" si="4"/>
        <v/>
      </c>
      <c r="AJ36" t="b">
        <f t="shared" si="15"/>
        <v>1</v>
      </c>
      <c r="AL36" t="str">
        <f t="shared" si="5"/>
        <v/>
      </c>
      <c r="AM36" t="b">
        <f t="shared" si="16"/>
        <v>1</v>
      </c>
      <c r="AO36" t="str">
        <f t="shared" si="6"/>
        <v/>
      </c>
      <c r="AP36" t="b">
        <f t="shared" si="17"/>
        <v>1</v>
      </c>
      <c r="AR36" t="str">
        <f t="shared" si="7"/>
        <v>INVS4</v>
      </c>
      <c r="AS36" t="b">
        <f t="shared" si="18"/>
        <v>1</v>
      </c>
      <c r="AU36" s="28" t="str">
        <f t="shared" si="8"/>
        <v>ACUT2</v>
      </c>
      <c r="AV36" t="b">
        <f t="shared" si="19"/>
        <v>1</v>
      </c>
      <c r="AX36" s="28" t="str">
        <f t="shared" si="9"/>
        <v>CHRO2</v>
      </c>
      <c r="AY36" t="b">
        <f t="shared" si="20"/>
        <v>1</v>
      </c>
      <c r="BA36" s="28" t="str">
        <f t="shared" si="10"/>
        <v>GEO18</v>
      </c>
      <c r="BB36" t="b">
        <f t="shared" si="21"/>
        <v>1</v>
      </c>
    </row>
    <row r="37" spans="2:54" x14ac:dyDescent="0.25">
      <c r="B37" s="9" t="s">
        <v>31</v>
      </c>
      <c r="C37" s="9" t="s">
        <v>32</v>
      </c>
      <c r="D37" s="9" t="s">
        <v>17</v>
      </c>
      <c r="E37" s="9" t="s">
        <v>33</v>
      </c>
      <c r="F37" s="9" t="s">
        <v>73</v>
      </c>
      <c r="G37" s="9" t="str">
        <f t="shared" si="11"/>
        <v>CMAHAJID0000232600442BI0041100TYVA01</v>
      </c>
      <c r="H37" s="22" t="s">
        <v>187</v>
      </c>
      <c r="I37" s="18" t="s">
        <v>23</v>
      </c>
      <c r="J37" s="9" t="s">
        <v>19</v>
      </c>
      <c r="K37" s="9"/>
      <c r="L37" s="9" t="s">
        <v>29</v>
      </c>
      <c r="M37" s="9" t="s">
        <v>69</v>
      </c>
      <c r="N37" s="9" t="s">
        <v>70</v>
      </c>
      <c r="O37" s="9" t="s">
        <v>71</v>
      </c>
      <c r="P37" s="18">
        <v>0.49</v>
      </c>
      <c r="Q37" s="18" t="s">
        <v>21</v>
      </c>
      <c r="R37" s="9" t="s">
        <v>22</v>
      </c>
      <c r="S37" s="9" t="s">
        <v>20</v>
      </c>
      <c r="T37" s="9"/>
      <c r="V37" t="str">
        <f t="shared" si="0"/>
        <v>CMAHAJID0000232600442BI0041100TYVA01</v>
      </c>
      <c r="X37" s="15" t="s">
        <v>129</v>
      </c>
      <c r="Y37" s="18">
        <f t="shared" si="1"/>
        <v>0.92</v>
      </c>
      <c r="Z37" s="18">
        <f t="shared" si="12"/>
        <v>0.43000000000000005</v>
      </c>
      <c r="AB37" s="15" t="s">
        <v>129</v>
      </c>
      <c r="AC37" t="str">
        <f t="shared" si="2"/>
        <v>MESG4</v>
      </c>
      <c r="AD37" t="b">
        <f t="shared" si="13"/>
        <v>1</v>
      </c>
      <c r="AF37" t="str">
        <f t="shared" si="3"/>
        <v>EU1</v>
      </c>
      <c r="AG37" t="b">
        <f t="shared" si="14"/>
        <v>1</v>
      </c>
      <c r="AI37" s="28" t="str">
        <f t="shared" si="4"/>
        <v>EXC2</v>
      </c>
      <c r="AJ37" t="b">
        <f t="shared" si="15"/>
        <v>1</v>
      </c>
      <c r="AL37" t="str">
        <f t="shared" si="5"/>
        <v>CNAEL6</v>
      </c>
      <c r="AM37" t="b">
        <f t="shared" si="16"/>
        <v>1</v>
      </c>
      <c r="AO37" t="str">
        <f t="shared" si="6"/>
        <v>NACE06010101</v>
      </c>
      <c r="AP37" t="b">
        <f t="shared" si="17"/>
        <v>1</v>
      </c>
      <c r="AR37" t="str">
        <f t="shared" si="7"/>
        <v>INVS5</v>
      </c>
      <c r="AS37" t="b">
        <f t="shared" si="18"/>
        <v>1</v>
      </c>
      <c r="AU37" s="28" t="str">
        <f t="shared" si="8"/>
        <v>ACUT2</v>
      </c>
      <c r="AV37" t="b">
        <f t="shared" si="19"/>
        <v>1</v>
      </c>
      <c r="AX37" s="28" t="str">
        <f t="shared" si="9"/>
        <v>CHRO2</v>
      </c>
      <c r="AY37" t="b">
        <f t="shared" si="20"/>
        <v>1</v>
      </c>
      <c r="BA37" s="28" t="str">
        <f t="shared" si="10"/>
        <v>GEO3</v>
      </c>
      <c r="BB37" t="b">
        <f t="shared" si="21"/>
        <v>1</v>
      </c>
    </row>
    <row r="38" spans="2:54" x14ac:dyDescent="0.25">
      <c r="B38" s="9" t="s">
        <v>66</v>
      </c>
      <c r="C38" s="9" t="s">
        <v>25</v>
      </c>
      <c r="D38" s="9" t="s">
        <v>26</v>
      </c>
      <c r="E38" s="9" t="s">
        <v>67</v>
      </c>
      <c r="F38" s="9" t="s">
        <v>60</v>
      </c>
      <c r="G38" s="27" t="str">
        <f t="shared" si="11"/>
        <v>6416250EUR31451PRT110000015000TYVA02</v>
      </c>
      <c r="H38" s="22" t="s">
        <v>186</v>
      </c>
      <c r="I38" s="18" t="s">
        <v>23</v>
      </c>
      <c r="J38" s="9" t="s">
        <v>19</v>
      </c>
      <c r="K38" s="9"/>
      <c r="L38" s="9" t="s">
        <v>29</v>
      </c>
      <c r="M38" s="9" t="s">
        <v>69</v>
      </c>
      <c r="N38" s="9" t="s">
        <v>70</v>
      </c>
      <c r="O38" s="9" t="s">
        <v>71</v>
      </c>
      <c r="P38" s="18">
        <v>-11000000</v>
      </c>
      <c r="Q38" s="32" t="s">
        <v>21</v>
      </c>
      <c r="R38" s="33" t="s">
        <v>22</v>
      </c>
      <c r="S38" s="9" t="s">
        <v>20</v>
      </c>
      <c r="T38" s="9"/>
      <c r="V38" t="str">
        <f t="shared" si="0"/>
        <v>6416250EUR31451PRT110000015000TYVA02</v>
      </c>
      <c r="X38" s="15" t="s">
        <v>129</v>
      </c>
      <c r="Y38" s="18">
        <f t="shared" si="1"/>
        <v>-11000000</v>
      </c>
      <c r="Z38" s="18">
        <f t="shared" si="12"/>
        <v>0</v>
      </c>
      <c r="AA38" s="26" t="s">
        <v>229</v>
      </c>
      <c r="AB38" s="15" t="s">
        <v>129</v>
      </c>
      <c r="AC38" t="str">
        <f t="shared" si="2"/>
        <v>MESG4</v>
      </c>
      <c r="AD38" t="b">
        <f t="shared" si="13"/>
        <v>1</v>
      </c>
      <c r="AF38" t="str">
        <f t="shared" si="3"/>
        <v>EU1</v>
      </c>
      <c r="AG38" t="b">
        <f t="shared" si="14"/>
        <v>1</v>
      </c>
      <c r="AI38" s="28" t="str">
        <f t="shared" si="4"/>
        <v>EXC2</v>
      </c>
      <c r="AJ38" t="b">
        <f t="shared" si="15"/>
        <v>1</v>
      </c>
      <c r="AL38" t="str">
        <f t="shared" si="5"/>
        <v>CNAEL6</v>
      </c>
      <c r="AM38" t="b">
        <f t="shared" si="16"/>
        <v>1</v>
      </c>
      <c r="AO38" t="str">
        <f t="shared" si="6"/>
        <v>NACE06010101</v>
      </c>
      <c r="AP38" t="b">
        <f t="shared" si="17"/>
        <v>1</v>
      </c>
      <c r="AR38" t="str">
        <f t="shared" si="7"/>
        <v>INVS5</v>
      </c>
      <c r="AS38" t="b">
        <f t="shared" si="18"/>
        <v>1</v>
      </c>
      <c r="AU38" s="28" t="str">
        <f t="shared" si="8"/>
        <v>ACUT2</v>
      </c>
      <c r="AV38" t="b">
        <f t="shared" si="19"/>
        <v>1</v>
      </c>
      <c r="AX38" s="28" t="str">
        <f t="shared" si="9"/>
        <v>CHRO2</v>
      </c>
      <c r="AY38" t="b">
        <f t="shared" si="20"/>
        <v>1</v>
      </c>
      <c r="BA38" s="28" t="str">
        <f t="shared" si="10"/>
        <v>GEO3</v>
      </c>
      <c r="BB38" t="b">
        <f t="shared" si="21"/>
        <v>1</v>
      </c>
    </row>
    <row r="39" spans="2:54" x14ac:dyDescent="0.25">
      <c r="B39" s="9" t="s">
        <v>66</v>
      </c>
      <c r="C39" s="9" t="s">
        <v>25</v>
      </c>
      <c r="D39" s="9" t="s">
        <v>17</v>
      </c>
      <c r="E39" s="9" t="s">
        <v>82</v>
      </c>
      <c r="F39" s="9" t="s">
        <v>83</v>
      </c>
      <c r="G39" s="23" t="str">
        <f t="shared" si="11"/>
        <v>CMAHIFRC0100I161108P49001SC442TYVA02</v>
      </c>
      <c r="H39" s="22" t="s">
        <v>133</v>
      </c>
      <c r="I39" s="18" t="s">
        <v>23</v>
      </c>
      <c r="J39" s="9" t="s">
        <v>19</v>
      </c>
      <c r="K39" s="9"/>
      <c r="L39" s="9" t="s">
        <v>29</v>
      </c>
      <c r="M39" s="9" t="s">
        <v>69</v>
      </c>
      <c r="N39" s="9" t="s">
        <v>70</v>
      </c>
      <c r="O39" s="9" t="s">
        <v>71</v>
      </c>
      <c r="P39" s="18">
        <v>-3000000</v>
      </c>
      <c r="Q39" s="18" t="s">
        <v>21</v>
      </c>
      <c r="R39" s="9" t="s">
        <v>22</v>
      </c>
      <c r="S39" s="9" t="s">
        <v>20</v>
      </c>
      <c r="T39" s="9"/>
      <c r="V39" t="str">
        <f t="shared" si="0"/>
        <v>CMAHIFRC0100I161108P49001SC442TYVA02</v>
      </c>
      <c r="X39" s="15" t="s">
        <v>129</v>
      </c>
      <c r="Y39" s="18">
        <f t="shared" si="1"/>
        <v>-11000000</v>
      </c>
      <c r="Z39" s="18">
        <f t="shared" si="12"/>
        <v>-8000000</v>
      </c>
      <c r="AA39" s="26" t="s">
        <v>266</v>
      </c>
      <c r="AB39" s="15" t="s">
        <v>129</v>
      </c>
      <c r="AC39" t="str">
        <f t="shared" si="2"/>
        <v>MESG4</v>
      </c>
      <c r="AD39" t="b">
        <f t="shared" si="13"/>
        <v>1</v>
      </c>
      <c r="AF39" t="str">
        <f t="shared" si="3"/>
        <v>EU1</v>
      </c>
      <c r="AG39" t="b">
        <f t="shared" si="14"/>
        <v>1</v>
      </c>
      <c r="AI39" s="28" t="str">
        <f t="shared" si="4"/>
        <v>EXC2</v>
      </c>
      <c r="AJ39" t="b">
        <f t="shared" si="15"/>
        <v>1</v>
      </c>
      <c r="AL39" t="str">
        <f t="shared" si="5"/>
        <v>CNAEL6</v>
      </c>
      <c r="AM39" t="b">
        <f t="shared" si="16"/>
        <v>1</v>
      </c>
      <c r="AO39" t="str">
        <f t="shared" si="6"/>
        <v>NACE06010101</v>
      </c>
      <c r="AP39" t="b">
        <f t="shared" si="17"/>
        <v>1</v>
      </c>
      <c r="AR39" t="str">
        <f t="shared" si="7"/>
        <v>INVS5</v>
      </c>
      <c r="AS39" t="b">
        <f t="shared" si="18"/>
        <v>1</v>
      </c>
      <c r="AU39" s="28" t="str">
        <f t="shared" si="8"/>
        <v>ACUT2</v>
      </c>
      <c r="AV39" t="b">
        <f t="shared" si="19"/>
        <v>1</v>
      </c>
      <c r="AX39" s="28" t="str">
        <f t="shared" si="9"/>
        <v>CHRO2</v>
      </c>
      <c r="AY39" t="b">
        <f t="shared" si="20"/>
        <v>1</v>
      </c>
      <c r="BA39" s="28" t="str">
        <f t="shared" si="10"/>
        <v>GEO3</v>
      </c>
      <c r="BB39" t="b">
        <f t="shared" si="21"/>
        <v>1</v>
      </c>
    </row>
    <row r="40" spans="2:54" x14ac:dyDescent="0.25">
      <c r="B40" s="9" t="s">
        <v>40</v>
      </c>
      <c r="C40" s="9" t="s">
        <v>25</v>
      </c>
      <c r="D40" s="9" t="s">
        <v>26</v>
      </c>
      <c r="E40" s="9" t="s">
        <v>41</v>
      </c>
      <c r="F40" s="9" t="s">
        <v>84</v>
      </c>
      <c r="G40" s="9" t="str">
        <f t="shared" si="11"/>
        <v>641600000000000PTSIB0AM0008000TYVA01</v>
      </c>
      <c r="H40" s="22" t="s">
        <v>220</v>
      </c>
      <c r="I40" s="18" t="s">
        <v>23</v>
      </c>
      <c r="J40" s="9" t="s">
        <v>19</v>
      </c>
      <c r="K40" s="9"/>
      <c r="L40" s="9"/>
      <c r="M40" s="9"/>
      <c r="N40" s="9"/>
      <c r="O40" s="9"/>
      <c r="P40" s="18">
        <v>140000000</v>
      </c>
      <c r="Q40" s="18" t="s">
        <v>21</v>
      </c>
      <c r="R40" s="9" t="s">
        <v>22</v>
      </c>
      <c r="S40" s="9" t="s">
        <v>20</v>
      </c>
      <c r="T40" s="9"/>
      <c r="V40" t="str">
        <f t="shared" si="0"/>
        <v>641600000000000PTSIB0AM0008000TYVA01</v>
      </c>
      <c r="X40" s="15" t="s">
        <v>129</v>
      </c>
      <c r="Y40" s="18">
        <f t="shared" si="1"/>
        <v>140000000</v>
      </c>
      <c r="Z40" s="18">
        <f t="shared" si="12"/>
        <v>0</v>
      </c>
      <c r="AB40" s="15" t="s">
        <v>129</v>
      </c>
      <c r="AC40" t="str">
        <f t="shared" si="2"/>
        <v>MESG4</v>
      </c>
      <c r="AD40" t="b">
        <f t="shared" si="13"/>
        <v>1</v>
      </c>
      <c r="AF40" t="str">
        <f t="shared" si="3"/>
        <v>EU1</v>
      </c>
      <c r="AG40" t="b">
        <f t="shared" si="14"/>
        <v>1</v>
      </c>
      <c r="AI40" s="28" t="str">
        <f t="shared" si="4"/>
        <v/>
      </c>
      <c r="AJ40" t="b">
        <f t="shared" si="15"/>
        <v>1</v>
      </c>
      <c r="AL40" t="str">
        <f t="shared" si="5"/>
        <v/>
      </c>
      <c r="AM40" t="b">
        <f t="shared" si="16"/>
        <v>1</v>
      </c>
      <c r="AO40" t="str">
        <f t="shared" si="6"/>
        <v/>
      </c>
      <c r="AP40" t="b">
        <f t="shared" si="17"/>
        <v>1</v>
      </c>
      <c r="AR40" t="str">
        <f t="shared" si="7"/>
        <v/>
      </c>
      <c r="AS40" t="b">
        <f t="shared" si="18"/>
        <v>1</v>
      </c>
      <c r="AU40" s="28" t="str">
        <f t="shared" si="8"/>
        <v>ACUT2</v>
      </c>
      <c r="AV40" t="b">
        <f t="shared" si="19"/>
        <v>1</v>
      </c>
      <c r="AX40" s="28" t="str">
        <f t="shared" si="9"/>
        <v>CHRO2</v>
      </c>
      <c r="AY40" t="b">
        <f t="shared" si="20"/>
        <v>1</v>
      </c>
      <c r="BA40" s="28" t="str">
        <f t="shared" si="10"/>
        <v>GEO3</v>
      </c>
      <c r="BB40" t="b">
        <f t="shared" si="21"/>
        <v>1</v>
      </c>
    </row>
    <row r="41" spans="2:54" x14ac:dyDescent="0.25">
      <c r="B41" s="9" t="s">
        <v>49</v>
      </c>
      <c r="C41" s="9" t="s">
        <v>25</v>
      </c>
      <c r="D41" s="9" t="s">
        <v>26</v>
      </c>
      <c r="E41" s="9" t="s">
        <v>78</v>
      </c>
      <c r="F41" s="9" t="s">
        <v>79</v>
      </c>
      <c r="G41" s="9" t="str">
        <f t="shared" si="11"/>
        <v>6416250EUR02350BEL201000015000TYVA01</v>
      </c>
      <c r="H41" s="22" t="s">
        <v>196</v>
      </c>
      <c r="I41" s="18" t="s">
        <v>23</v>
      </c>
      <c r="J41" s="9" t="s">
        <v>19</v>
      </c>
      <c r="K41" s="9"/>
      <c r="L41" s="9" t="s">
        <v>29</v>
      </c>
      <c r="M41" s="9" t="s">
        <v>80</v>
      </c>
      <c r="N41" s="9" t="s">
        <v>81</v>
      </c>
      <c r="O41" s="9"/>
      <c r="P41" s="18">
        <v>131175.92000000001</v>
      </c>
      <c r="Q41" s="18" t="s">
        <v>21</v>
      </c>
      <c r="R41" s="9" t="s">
        <v>22</v>
      </c>
      <c r="S41" s="9" t="s">
        <v>39</v>
      </c>
      <c r="T41" s="9"/>
      <c r="V41" t="str">
        <f t="shared" si="0"/>
        <v>6416250EUR02350BEL201000015000TYVA01</v>
      </c>
      <c r="X41" s="15" t="s">
        <v>129</v>
      </c>
      <c r="Y41" s="18">
        <f t="shared" si="1"/>
        <v>131175.92000000001</v>
      </c>
      <c r="Z41" s="18">
        <f t="shared" si="12"/>
        <v>0</v>
      </c>
      <c r="AB41" s="15" t="s">
        <v>129</v>
      </c>
      <c r="AC41" t="str">
        <f t="shared" si="2"/>
        <v>MESG4</v>
      </c>
      <c r="AD41" t="b">
        <f t="shared" si="13"/>
        <v>1</v>
      </c>
      <c r="AF41" t="str">
        <f t="shared" si="3"/>
        <v>EU1</v>
      </c>
      <c r="AG41" t="b">
        <f t="shared" si="14"/>
        <v>1</v>
      </c>
      <c r="AI41" s="28" t="str">
        <f t="shared" si="4"/>
        <v>EXC2</v>
      </c>
      <c r="AJ41" t="b">
        <f t="shared" si="15"/>
        <v>1</v>
      </c>
      <c r="AL41" t="str">
        <f t="shared" si="5"/>
        <v>CNAEL11</v>
      </c>
      <c r="AM41" t="b">
        <f t="shared" si="16"/>
        <v>1</v>
      </c>
      <c r="AO41" t="str">
        <f t="shared" si="6"/>
        <v>NACE12010101</v>
      </c>
      <c r="AP41" t="b">
        <f t="shared" si="17"/>
        <v>1</v>
      </c>
      <c r="AR41" t="str">
        <f t="shared" si="7"/>
        <v/>
      </c>
      <c r="AS41" t="b">
        <f t="shared" si="18"/>
        <v>1</v>
      </c>
      <c r="AU41" s="28" t="str">
        <f t="shared" si="8"/>
        <v>ACUT2</v>
      </c>
      <c r="AV41" t="b">
        <f t="shared" si="19"/>
        <v>1</v>
      </c>
      <c r="AX41" s="28" t="str">
        <f t="shared" si="9"/>
        <v>CHRO2</v>
      </c>
      <c r="AY41" t="b">
        <f t="shared" si="20"/>
        <v>1</v>
      </c>
      <c r="BA41" s="28" t="str">
        <f t="shared" si="10"/>
        <v>GEO18</v>
      </c>
      <c r="BB41" t="b">
        <f t="shared" si="21"/>
        <v>1</v>
      </c>
    </row>
    <row r="42" spans="2:54" x14ac:dyDescent="0.25">
      <c r="B42" s="9" t="s">
        <v>40</v>
      </c>
      <c r="C42" s="9" t="s">
        <v>25</v>
      </c>
      <c r="D42" s="9" t="s">
        <v>26</v>
      </c>
      <c r="E42" s="9" t="s">
        <v>41</v>
      </c>
      <c r="F42" s="9" t="s">
        <v>100</v>
      </c>
      <c r="G42" s="9" t="str">
        <f t="shared" si="11"/>
        <v>641600000000000PTGGM0AM0004000TYVA01</v>
      </c>
      <c r="H42" s="22" t="s">
        <v>221</v>
      </c>
      <c r="I42" s="18" t="s">
        <v>23</v>
      </c>
      <c r="J42" s="9" t="s">
        <v>19</v>
      </c>
      <c r="K42" s="9"/>
      <c r="L42" s="9"/>
      <c r="M42" s="9"/>
      <c r="N42" s="9"/>
      <c r="O42" s="9"/>
      <c r="P42" s="18">
        <v>523978</v>
      </c>
      <c r="Q42" s="18" t="s">
        <v>21</v>
      </c>
      <c r="R42" s="9" t="s">
        <v>22</v>
      </c>
      <c r="S42" s="9" t="s">
        <v>20</v>
      </c>
      <c r="T42" s="9"/>
      <c r="V42" t="str">
        <f t="shared" si="0"/>
        <v>641600000000000PTGGM0AM0004000TYVA01</v>
      </c>
      <c r="X42" s="15" t="s">
        <v>129</v>
      </c>
      <c r="Y42" s="18">
        <f t="shared" si="1"/>
        <v>302243</v>
      </c>
      <c r="Z42" s="18">
        <f t="shared" si="12"/>
        <v>-221735</v>
      </c>
      <c r="AA42" s="26" t="s">
        <v>267</v>
      </c>
      <c r="AB42" s="15" t="s">
        <v>129</v>
      </c>
      <c r="AC42" t="str">
        <f t="shared" si="2"/>
        <v>MESG4</v>
      </c>
      <c r="AD42" t="b">
        <f t="shared" si="13"/>
        <v>1</v>
      </c>
      <c r="AF42" t="str">
        <f t="shared" si="3"/>
        <v>EU1</v>
      </c>
      <c r="AG42" t="b">
        <f t="shared" si="14"/>
        <v>1</v>
      </c>
      <c r="AI42" s="28" t="str">
        <f t="shared" si="4"/>
        <v/>
      </c>
      <c r="AJ42" t="b">
        <f t="shared" si="15"/>
        <v>1</v>
      </c>
      <c r="AL42" t="str">
        <f t="shared" si="5"/>
        <v/>
      </c>
      <c r="AM42" t="b">
        <f t="shared" si="16"/>
        <v>1</v>
      </c>
      <c r="AO42" t="str">
        <f t="shared" si="6"/>
        <v/>
      </c>
      <c r="AP42" t="b">
        <f t="shared" si="17"/>
        <v>1</v>
      </c>
      <c r="AR42" t="str">
        <f t="shared" si="7"/>
        <v/>
      </c>
      <c r="AS42" t="b">
        <f t="shared" si="18"/>
        <v>1</v>
      </c>
      <c r="AU42" s="28" t="str">
        <f t="shared" si="8"/>
        <v>ACUT2</v>
      </c>
      <c r="AV42" t="b">
        <f t="shared" si="19"/>
        <v>1</v>
      </c>
      <c r="AX42" s="28" t="str">
        <f t="shared" si="9"/>
        <v>CHRO2</v>
      </c>
      <c r="AY42" t="b">
        <f t="shared" si="20"/>
        <v>1</v>
      </c>
      <c r="BA42" s="28" t="str">
        <f t="shared" si="10"/>
        <v>GEO3</v>
      </c>
      <c r="BB42" t="b">
        <f t="shared" si="21"/>
        <v>1</v>
      </c>
    </row>
    <row r="43" spans="2:54" x14ac:dyDescent="0.25">
      <c r="B43" s="9" t="s">
        <v>31</v>
      </c>
      <c r="C43" s="9" t="s">
        <v>32</v>
      </c>
      <c r="D43" s="9" t="s">
        <v>17</v>
      </c>
      <c r="E43" s="9" t="s">
        <v>33</v>
      </c>
      <c r="F43" s="9" t="s">
        <v>37</v>
      </c>
      <c r="G43" s="9" t="str">
        <f t="shared" si="11"/>
        <v>CMAHAJID0000232600421BI0041100TYVA01</v>
      </c>
      <c r="H43" s="22" t="s">
        <v>197</v>
      </c>
      <c r="I43" s="18" t="s">
        <v>23</v>
      </c>
      <c r="J43" s="9" t="s">
        <v>19</v>
      </c>
      <c r="K43" s="9"/>
      <c r="L43" s="9"/>
      <c r="M43" s="9"/>
      <c r="N43" s="9"/>
      <c r="O43" s="9"/>
      <c r="P43" s="18">
        <v>-1.04</v>
      </c>
      <c r="Q43" s="18" t="s">
        <v>21</v>
      </c>
      <c r="R43" s="9" t="s">
        <v>22</v>
      </c>
      <c r="S43" s="9" t="s">
        <v>39</v>
      </c>
      <c r="T43" s="9"/>
      <c r="V43" t="str">
        <f t="shared" si="0"/>
        <v>CMAHAJID0000232600421BI0041100TYVA01</v>
      </c>
      <c r="X43" s="15" t="s">
        <v>129</v>
      </c>
      <c r="Y43" s="18">
        <f t="shared" si="1"/>
        <v>-1.04</v>
      </c>
      <c r="Z43" s="18">
        <f t="shared" si="12"/>
        <v>0</v>
      </c>
      <c r="AB43" s="15" t="s">
        <v>129</v>
      </c>
      <c r="AC43" t="str">
        <f t="shared" si="2"/>
        <v>MESG4</v>
      </c>
      <c r="AD43" t="b">
        <f t="shared" si="13"/>
        <v>1</v>
      </c>
      <c r="AF43" t="str">
        <f t="shared" si="3"/>
        <v>EU1</v>
      </c>
      <c r="AG43" t="b">
        <f t="shared" si="14"/>
        <v>1</v>
      </c>
      <c r="AI43" s="28" t="str">
        <f t="shared" si="4"/>
        <v/>
      </c>
      <c r="AJ43" t="b">
        <f t="shared" si="15"/>
        <v>1</v>
      </c>
      <c r="AL43" t="str">
        <f t="shared" si="5"/>
        <v/>
      </c>
      <c r="AM43" t="b">
        <f t="shared" si="16"/>
        <v>1</v>
      </c>
      <c r="AO43" t="str">
        <f t="shared" si="6"/>
        <v/>
      </c>
      <c r="AP43" t="b">
        <f t="shared" si="17"/>
        <v>1</v>
      </c>
      <c r="AR43" t="str">
        <f t="shared" si="7"/>
        <v/>
      </c>
      <c r="AS43" t="b">
        <f t="shared" si="18"/>
        <v>1</v>
      </c>
      <c r="AU43" s="28" t="str">
        <f t="shared" si="8"/>
        <v>ACUT2</v>
      </c>
      <c r="AV43" t="b">
        <f t="shared" si="19"/>
        <v>1</v>
      </c>
      <c r="AX43" s="28" t="str">
        <f t="shared" si="9"/>
        <v>CHRO2</v>
      </c>
      <c r="AY43" t="b">
        <f t="shared" si="20"/>
        <v>1</v>
      </c>
      <c r="BA43" s="28" t="str">
        <f t="shared" si="10"/>
        <v>GEO18</v>
      </c>
      <c r="BB43" t="b">
        <f t="shared" si="21"/>
        <v>1</v>
      </c>
    </row>
    <row r="44" spans="2:54" x14ac:dyDescent="0.25">
      <c r="B44" s="9" t="s">
        <v>31</v>
      </c>
      <c r="C44" s="9" t="s">
        <v>25</v>
      </c>
      <c r="D44" s="9" t="s">
        <v>26</v>
      </c>
      <c r="E44" s="9" t="s">
        <v>27</v>
      </c>
      <c r="F44" s="9" t="s">
        <v>101</v>
      </c>
      <c r="G44" s="9" t="str">
        <f t="shared" si="11"/>
        <v>641600005800050PTYIMBHM0004000TYVA01</v>
      </c>
      <c r="H44" s="22" t="s">
        <v>222</v>
      </c>
      <c r="I44" s="18" t="s">
        <v>23</v>
      </c>
      <c r="J44" s="9" t="s">
        <v>19</v>
      </c>
      <c r="K44" s="9"/>
      <c r="L44" s="9"/>
      <c r="M44" s="9"/>
      <c r="N44" s="9"/>
      <c r="O44" s="9" t="s">
        <v>36</v>
      </c>
      <c r="P44" s="18">
        <v>125397640.03</v>
      </c>
      <c r="Q44" s="18" t="s">
        <v>21</v>
      </c>
      <c r="R44" s="9" t="s">
        <v>22</v>
      </c>
      <c r="S44" s="9" t="s">
        <v>20</v>
      </c>
      <c r="T44" s="9"/>
      <c r="V44" t="str">
        <f t="shared" si="0"/>
        <v>641600005800050PTYIMBHM0004000TYVA01</v>
      </c>
      <c r="X44" s="15" t="s">
        <v>129</v>
      </c>
      <c r="Y44" s="18">
        <f t="shared" si="1"/>
        <v>126877568.04000001</v>
      </c>
      <c r="Z44" s="18">
        <f t="shared" si="12"/>
        <v>1479928.0100000054</v>
      </c>
      <c r="AA44" s="26" t="s">
        <v>257</v>
      </c>
      <c r="AB44" s="15" t="s">
        <v>129</v>
      </c>
      <c r="AC44" t="str">
        <f t="shared" si="2"/>
        <v>MESG4</v>
      </c>
      <c r="AD44" t="b">
        <f t="shared" si="13"/>
        <v>1</v>
      </c>
      <c r="AF44" t="str">
        <f t="shared" si="3"/>
        <v>EU1</v>
      </c>
      <c r="AG44" t="b">
        <f t="shared" si="14"/>
        <v>1</v>
      </c>
      <c r="AI44" s="28" t="str">
        <f t="shared" si="4"/>
        <v/>
      </c>
      <c r="AJ44" t="b">
        <f t="shared" si="15"/>
        <v>1</v>
      </c>
      <c r="AL44" t="str">
        <f t="shared" si="5"/>
        <v/>
      </c>
      <c r="AM44" t="b">
        <f t="shared" si="16"/>
        <v>1</v>
      </c>
      <c r="AO44" t="str">
        <f t="shared" si="6"/>
        <v/>
      </c>
      <c r="AP44" t="b">
        <f t="shared" si="17"/>
        <v>1</v>
      </c>
      <c r="AR44" t="str">
        <f t="shared" si="7"/>
        <v>INVS4</v>
      </c>
      <c r="AS44" t="b">
        <f t="shared" si="18"/>
        <v>1</v>
      </c>
      <c r="AU44" s="28" t="str">
        <f t="shared" si="8"/>
        <v>ACUT2</v>
      </c>
      <c r="AV44" t="b">
        <f t="shared" si="19"/>
        <v>1</v>
      </c>
      <c r="AX44" s="28" t="str">
        <f t="shared" si="9"/>
        <v>CHRO2</v>
      </c>
      <c r="AY44" t="b">
        <f t="shared" si="20"/>
        <v>1</v>
      </c>
      <c r="BA44" s="28" t="str">
        <f t="shared" si="10"/>
        <v>GEO3</v>
      </c>
      <c r="BB44" t="b">
        <f t="shared" si="21"/>
        <v>1</v>
      </c>
    </row>
    <row r="45" spans="2:54" x14ac:dyDescent="0.25">
      <c r="B45" s="9" t="s">
        <v>49</v>
      </c>
      <c r="C45" s="9" t="s">
        <v>25</v>
      </c>
      <c r="D45" s="9" t="s">
        <v>26</v>
      </c>
      <c r="E45" s="9" t="s">
        <v>59</v>
      </c>
      <c r="F45" s="9" t="s">
        <v>60</v>
      </c>
      <c r="G45" s="9" t="str">
        <f t="shared" si="11"/>
        <v>6416250EUR84820PRT110000015000TYVA01</v>
      </c>
      <c r="H45" s="22" t="s">
        <v>191</v>
      </c>
      <c r="I45" s="18" t="s">
        <v>23</v>
      </c>
      <c r="J45" s="9" t="s">
        <v>19</v>
      </c>
      <c r="K45" s="9"/>
      <c r="L45" s="9" t="s">
        <v>29</v>
      </c>
      <c r="M45" s="9" t="s">
        <v>61</v>
      </c>
      <c r="N45" s="9" t="s">
        <v>62</v>
      </c>
      <c r="O45" s="9"/>
      <c r="P45" s="18">
        <v>35578.07</v>
      </c>
      <c r="Q45" s="18" t="s">
        <v>21</v>
      </c>
      <c r="R45" s="9" t="s">
        <v>22</v>
      </c>
      <c r="S45" s="9" t="s">
        <v>20</v>
      </c>
      <c r="T45" s="9"/>
      <c r="V45" t="str">
        <f t="shared" si="0"/>
        <v>6416250EUR84820PRT110000015000TYVA01</v>
      </c>
      <c r="X45" s="15" t="s">
        <v>129</v>
      </c>
      <c r="Y45" s="18">
        <f t="shared" si="1"/>
        <v>35578.07</v>
      </c>
      <c r="Z45" s="18">
        <f t="shared" si="12"/>
        <v>0</v>
      </c>
      <c r="AB45" s="15" t="s">
        <v>129</v>
      </c>
      <c r="AC45" t="str">
        <f t="shared" si="2"/>
        <v>MESG4</v>
      </c>
      <c r="AD45" t="b">
        <f t="shared" si="13"/>
        <v>1</v>
      </c>
      <c r="AF45" t="str">
        <f t="shared" si="3"/>
        <v>EU1</v>
      </c>
      <c r="AG45" t="b">
        <f t="shared" si="14"/>
        <v>1</v>
      </c>
      <c r="AI45" s="28" t="str">
        <f t="shared" si="4"/>
        <v>EXC2</v>
      </c>
      <c r="AJ45" t="b">
        <f t="shared" si="15"/>
        <v>1</v>
      </c>
      <c r="AL45" t="str">
        <f t="shared" si="5"/>
        <v>CNAEL3</v>
      </c>
      <c r="AM45" t="b">
        <f t="shared" si="16"/>
        <v>1</v>
      </c>
      <c r="AO45" t="str">
        <f t="shared" si="6"/>
        <v>NACE03200302</v>
      </c>
      <c r="AP45" t="b">
        <f t="shared" si="17"/>
        <v>1</v>
      </c>
      <c r="AR45" t="str">
        <f t="shared" si="7"/>
        <v/>
      </c>
      <c r="AS45" t="b">
        <f t="shared" si="18"/>
        <v>1</v>
      </c>
      <c r="AU45" s="28" t="str">
        <f t="shared" si="8"/>
        <v>ACUT2</v>
      </c>
      <c r="AV45" t="b">
        <f t="shared" si="19"/>
        <v>1</v>
      </c>
      <c r="AX45" s="28" t="str">
        <f t="shared" si="9"/>
        <v>CHRO2</v>
      </c>
      <c r="AY45" t="b">
        <f t="shared" si="20"/>
        <v>1</v>
      </c>
      <c r="BA45" s="28" t="str">
        <f t="shared" si="10"/>
        <v>GEO3</v>
      </c>
      <c r="BB45" t="b">
        <f t="shared" si="21"/>
        <v>1</v>
      </c>
    </row>
    <row r="46" spans="2:54" x14ac:dyDescent="0.25">
      <c r="B46" s="9" t="s">
        <v>31</v>
      </c>
      <c r="C46" s="9" t="s">
        <v>32</v>
      </c>
      <c r="D46" s="9" t="s">
        <v>17</v>
      </c>
      <c r="E46" s="9" t="s">
        <v>98</v>
      </c>
      <c r="F46" s="9" t="s">
        <v>99</v>
      </c>
      <c r="G46" s="9" t="str">
        <f t="shared" si="11"/>
        <v>CMAHAJID0000152500442BI0041100TYVA01</v>
      </c>
      <c r="H46" s="22" t="s">
        <v>183</v>
      </c>
      <c r="I46" s="18" t="s">
        <v>23</v>
      </c>
      <c r="J46" s="9" t="s">
        <v>19</v>
      </c>
      <c r="K46" s="9"/>
      <c r="L46" s="9" t="s">
        <v>29</v>
      </c>
      <c r="M46" s="9" t="s">
        <v>69</v>
      </c>
      <c r="N46" s="9" t="s">
        <v>70</v>
      </c>
      <c r="O46" s="9" t="s">
        <v>71</v>
      </c>
      <c r="P46" s="18">
        <v>-0.43</v>
      </c>
      <c r="Q46" s="18" t="s">
        <v>21</v>
      </c>
      <c r="R46" s="9" t="s">
        <v>22</v>
      </c>
      <c r="S46" s="9" t="s">
        <v>20</v>
      </c>
      <c r="T46" s="9"/>
      <c r="V46" t="str">
        <f t="shared" si="0"/>
        <v>CMAHAJID0000152500442BI0041100TYVA01</v>
      </c>
      <c r="X46" s="15" t="s">
        <v>129</v>
      </c>
      <c r="Y46" s="18">
        <f t="shared" si="1"/>
        <v>-0.86</v>
      </c>
      <c r="Z46" s="18">
        <f t="shared" si="12"/>
        <v>-0.43</v>
      </c>
      <c r="AB46" s="15" t="s">
        <v>129</v>
      </c>
      <c r="AC46" t="str">
        <f t="shared" si="2"/>
        <v>MESG4</v>
      </c>
      <c r="AD46" t="b">
        <f t="shared" si="13"/>
        <v>1</v>
      </c>
      <c r="AF46" t="str">
        <f t="shared" si="3"/>
        <v>EU1</v>
      </c>
      <c r="AG46" t="b">
        <f t="shared" si="14"/>
        <v>1</v>
      </c>
      <c r="AI46" s="28" t="str">
        <f t="shared" si="4"/>
        <v>EXC2</v>
      </c>
      <c r="AJ46" t="b">
        <f t="shared" si="15"/>
        <v>1</v>
      </c>
      <c r="AL46" t="str">
        <f t="shared" si="5"/>
        <v>CNAEL6</v>
      </c>
      <c r="AM46" t="b">
        <f t="shared" si="16"/>
        <v>1</v>
      </c>
      <c r="AO46" t="str">
        <f t="shared" si="6"/>
        <v>NACE06010101</v>
      </c>
      <c r="AP46" t="b">
        <f>AO46=N46</f>
        <v>1</v>
      </c>
      <c r="AR46" t="str">
        <f t="shared" si="7"/>
        <v>INVS5</v>
      </c>
      <c r="AS46" t="b">
        <f t="shared" si="18"/>
        <v>1</v>
      </c>
      <c r="AU46" s="28" t="str">
        <f t="shared" si="8"/>
        <v>ACUT2</v>
      </c>
      <c r="AV46" t="b">
        <f t="shared" si="19"/>
        <v>1</v>
      </c>
      <c r="AX46" s="28" t="str">
        <f t="shared" si="9"/>
        <v>CHRO2</v>
      </c>
      <c r="AY46" t="b">
        <f t="shared" si="20"/>
        <v>1</v>
      </c>
      <c r="BA46" s="28" t="str">
        <f t="shared" si="10"/>
        <v>GEO3</v>
      </c>
      <c r="BB46" t="b">
        <f t="shared" si="21"/>
        <v>1</v>
      </c>
    </row>
    <row r="47" spans="2:54" x14ac:dyDescent="0.25">
      <c r="B47" s="9" t="s">
        <v>24</v>
      </c>
      <c r="C47" s="9" t="s">
        <v>25</v>
      </c>
      <c r="D47" s="9" t="s">
        <v>26</v>
      </c>
      <c r="E47" s="9" t="s">
        <v>27</v>
      </c>
      <c r="F47" s="9" t="s">
        <v>97</v>
      </c>
      <c r="G47" s="9" t="str">
        <f t="shared" si="11"/>
        <v>641600005800050PTOXYQIM0005000TYVA01</v>
      </c>
      <c r="H47" s="22" t="s">
        <v>223</v>
      </c>
      <c r="I47" s="18" t="s">
        <v>23</v>
      </c>
      <c r="J47" s="9" t="s">
        <v>19</v>
      </c>
      <c r="K47" s="9"/>
      <c r="L47" s="9"/>
      <c r="M47" s="9"/>
      <c r="N47" s="9"/>
      <c r="O47" s="9"/>
      <c r="P47" s="29">
        <v>2791027.5</v>
      </c>
      <c r="Q47" s="18" t="s">
        <v>21</v>
      </c>
      <c r="R47" s="9" t="s">
        <v>22</v>
      </c>
      <c r="S47" s="9" t="s">
        <v>20</v>
      </c>
      <c r="T47" s="9"/>
      <c r="V47" t="str">
        <f t="shared" si="0"/>
        <v>641600005800050PTOXYQIM0005000TYVA01</v>
      </c>
      <c r="X47" s="15" t="s">
        <v>129</v>
      </c>
      <c r="Y47" s="18">
        <f t="shared" si="1"/>
        <v>155275.5</v>
      </c>
      <c r="Z47" s="18">
        <f t="shared" si="12"/>
        <v>-2635752</v>
      </c>
      <c r="AA47" s="26" t="s">
        <v>256</v>
      </c>
      <c r="AB47" s="15" t="s">
        <v>129</v>
      </c>
      <c r="AC47" t="str">
        <f t="shared" si="2"/>
        <v>MESG4</v>
      </c>
      <c r="AD47" t="b">
        <f t="shared" si="13"/>
        <v>1</v>
      </c>
      <c r="AF47" t="str">
        <f t="shared" si="3"/>
        <v>EU1</v>
      </c>
      <c r="AG47" t="b">
        <f t="shared" si="14"/>
        <v>1</v>
      </c>
      <c r="AI47" s="28" t="str">
        <f t="shared" si="4"/>
        <v/>
      </c>
      <c r="AJ47" t="b">
        <f t="shared" si="15"/>
        <v>1</v>
      </c>
      <c r="AL47" t="str">
        <f t="shared" si="5"/>
        <v/>
      </c>
      <c r="AM47" t="b">
        <f t="shared" si="16"/>
        <v>1</v>
      </c>
      <c r="AO47" t="str">
        <f t="shared" si="6"/>
        <v/>
      </c>
      <c r="AP47" t="b">
        <f t="shared" si="17"/>
        <v>1</v>
      </c>
      <c r="AR47" t="str">
        <f t="shared" si="7"/>
        <v/>
      </c>
      <c r="AS47" t="b">
        <f t="shared" si="18"/>
        <v>1</v>
      </c>
      <c r="AU47" s="28" t="str">
        <f t="shared" si="8"/>
        <v>ACUT2</v>
      </c>
      <c r="AV47" t="b">
        <f t="shared" si="19"/>
        <v>1</v>
      </c>
      <c r="AX47" s="28" t="str">
        <f t="shared" si="9"/>
        <v>CHRO2</v>
      </c>
      <c r="AY47" t="b">
        <f t="shared" si="20"/>
        <v>1</v>
      </c>
      <c r="BA47" s="28" t="str">
        <f t="shared" si="10"/>
        <v>GEO3</v>
      </c>
      <c r="BB47" t="b">
        <f t="shared" si="21"/>
        <v>1</v>
      </c>
    </row>
    <row r="48" spans="2:54" x14ac:dyDescent="0.25">
      <c r="B48" s="9"/>
      <c r="C48" s="9"/>
      <c r="D48" s="9"/>
      <c r="E48" s="9"/>
      <c r="F48" s="9"/>
      <c r="G48" s="22"/>
      <c r="H48" s="18"/>
      <c r="I48" s="9"/>
      <c r="J48" s="9"/>
      <c r="K48" s="9"/>
      <c r="L48" s="9"/>
      <c r="M48" s="9"/>
      <c r="N48" s="9"/>
      <c r="O48" s="9"/>
      <c r="Q48" s="9"/>
      <c r="R48" s="9"/>
      <c r="S48" s="9"/>
      <c r="U48" s="18"/>
      <c r="Z48" s="18"/>
    </row>
    <row r="49" spans="2:44" x14ac:dyDescent="0.25">
      <c r="B49" s="9"/>
      <c r="C49" s="9"/>
      <c r="D49" s="9"/>
      <c r="E49" s="9"/>
      <c r="F49" s="9"/>
      <c r="K49" s="9"/>
      <c r="L49" s="9" t="s">
        <v>726</v>
      </c>
      <c r="M49" s="18">
        <v>-2589914.84</v>
      </c>
      <c r="N49" s="9"/>
      <c r="O49" s="9" t="s">
        <v>722</v>
      </c>
      <c r="P49" s="18">
        <v>71745148.060000032</v>
      </c>
      <c r="Q49" s="18">
        <v>903907352</v>
      </c>
      <c r="R49" s="9"/>
      <c r="S49" s="9"/>
      <c r="U49" s="18"/>
      <c r="Z49" s="18"/>
    </row>
    <row r="50" spans="2:44" x14ac:dyDescent="0.25">
      <c r="B50" s="9"/>
      <c r="C50" s="9"/>
      <c r="D50" s="9"/>
      <c r="E50" s="9"/>
      <c r="F50" s="9"/>
      <c r="G50" t="s">
        <v>716</v>
      </c>
      <c r="K50" s="9"/>
      <c r="L50" s="9" t="s">
        <v>727</v>
      </c>
      <c r="M50" s="18">
        <v>133078</v>
      </c>
      <c r="N50" s="9"/>
      <c r="O50" s="9" t="s">
        <v>721</v>
      </c>
      <c r="P50" s="18">
        <f>P51+P73</f>
        <v>832162193.36999989</v>
      </c>
      <c r="Q50" s="18">
        <f>SUM(P49:P50)</f>
        <v>903907341.42999995</v>
      </c>
      <c r="R50" s="18"/>
      <c r="S50" s="18"/>
      <c r="U50" s="18"/>
      <c r="Z50" s="18"/>
    </row>
    <row r="51" spans="2:44" x14ac:dyDescent="0.25">
      <c r="H51" s="18"/>
      <c r="K51" s="18"/>
      <c r="L51" s="9" t="s">
        <v>728</v>
      </c>
      <c r="M51" s="18">
        <v>34516725.839999996</v>
      </c>
      <c r="O51" t="s">
        <v>723</v>
      </c>
      <c r="P51" s="18">
        <v>821162193.36999989</v>
      </c>
      <c r="Q51" s="18">
        <f>Q49-Q50</f>
        <v>10.570000052452087</v>
      </c>
      <c r="R51" s="18"/>
      <c r="S51" s="18"/>
      <c r="U51" s="18"/>
      <c r="Z51" s="18"/>
      <c r="AA51" s="18"/>
    </row>
    <row r="52" spans="2:44" x14ac:dyDescent="0.25">
      <c r="H52" s="18"/>
      <c r="K52" s="18"/>
      <c r="L52" s="9" t="s">
        <v>729</v>
      </c>
      <c r="M52" s="18">
        <v>109847.13999999998</v>
      </c>
      <c r="P52" s="18"/>
      <c r="Q52" s="18"/>
      <c r="R52" s="18"/>
      <c r="U52" s="18"/>
      <c r="Z52" s="18"/>
      <c r="AA52" s="18"/>
    </row>
    <row r="53" spans="2:44" x14ac:dyDescent="0.25">
      <c r="H53" s="18"/>
      <c r="K53" s="18"/>
      <c r="L53" s="9" t="s">
        <v>730</v>
      </c>
      <c r="M53" s="18">
        <v>-3541572.61</v>
      </c>
      <c r="O53" s="18">
        <v>879381485</v>
      </c>
      <c r="P53" s="18">
        <f>O53+M53+M49</f>
        <v>873249997.54999995</v>
      </c>
      <c r="Q53" s="18">
        <f>P53+SUM(M50:M52)</f>
        <v>908009648.52999997</v>
      </c>
      <c r="R53" s="18"/>
      <c r="U53" s="18"/>
      <c r="Z53" s="18"/>
      <c r="AA53" s="18"/>
    </row>
    <row r="54" spans="2:44" x14ac:dyDescent="0.25">
      <c r="H54" s="18"/>
      <c r="K54" s="18"/>
      <c r="L54" s="9"/>
      <c r="M54" s="18">
        <f>SUM(M49:M53)</f>
        <v>28628163.529999997</v>
      </c>
      <c r="P54" s="18"/>
      <c r="Q54" s="18">
        <f>M53-M52-M50</f>
        <v>-3784497.75</v>
      </c>
      <c r="R54" s="18">
        <f>Q53-Q50</f>
        <v>4102307.1000000238</v>
      </c>
      <c r="U54" s="18"/>
      <c r="Z54" s="18"/>
      <c r="AA54" s="18"/>
    </row>
    <row r="55" spans="2:44" x14ac:dyDescent="0.25">
      <c r="B55" s="23" t="s">
        <v>720</v>
      </c>
      <c r="U55" s="18"/>
    </row>
    <row r="56" spans="2:44" x14ac:dyDescent="0.25">
      <c r="B56" s="10" t="s">
        <v>0</v>
      </c>
      <c r="C56" s="10" t="s">
        <v>1</v>
      </c>
      <c r="D56" s="10" t="s">
        <v>2</v>
      </c>
      <c r="E56" s="10" t="s">
        <v>3</v>
      </c>
      <c r="F56" s="10" t="s">
        <v>4</v>
      </c>
      <c r="G56" s="10" t="s">
        <v>204</v>
      </c>
      <c r="H56" s="10" t="s">
        <v>12</v>
      </c>
      <c r="I56" s="10" t="s">
        <v>5</v>
      </c>
      <c r="J56" s="10" t="s">
        <v>6</v>
      </c>
      <c r="K56" s="10" t="s">
        <v>131</v>
      </c>
      <c r="L56" s="10" t="s">
        <v>7</v>
      </c>
      <c r="M56" s="10" t="s">
        <v>8</v>
      </c>
      <c r="N56" s="10" t="s">
        <v>9</v>
      </c>
      <c r="O56" s="10" t="s">
        <v>10</v>
      </c>
      <c r="P56" s="10" t="s">
        <v>12</v>
      </c>
      <c r="Q56" s="10" t="s">
        <v>13</v>
      </c>
      <c r="R56" s="10" t="s">
        <v>14</v>
      </c>
      <c r="S56" s="10" t="s">
        <v>11</v>
      </c>
      <c r="T56" s="10" t="s">
        <v>127</v>
      </c>
      <c r="V56" s="24" t="s">
        <v>227</v>
      </c>
      <c r="W56" s="24" t="s">
        <v>228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2:44" x14ac:dyDescent="0.25">
      <c r="B57" s="9" t="s">
        <v>31</v>
      </c>
      <c r="C57" s="9" t="s">
        <v>25</v>
      </c>
      <c r="D57" s="9" t="s">
        <v>26</v>
      </c>
      <c r="E57" s="9" t="s">
        <v>88</v>
      </c>
      <c r="F57" s="9" t="s">
        <v>89</v>
      </c>
      <c r="G57" s="9" t="str">
        <f t="shared" ref="G57:G94" si="22">CONCATENATE(D57,E57,F57)&amp;RIGHT(B57,6)</f>
        <v>6416250EUR49560PRT125001115000TYVA01</v>
      </c>
      <c r="H57" t="s">
        <v>172</v>
      </c>
      <c r="I57" t="s">
        <v>23</v>
      </c>
      <c r="J57" s="18" t="s">
        <v>19</v>
      </c>
      <c r="K57" s="9" t="s">
        <v>16</v>
      </c>
      <c r="L57" s="9"/>
      <c r="M57" s="9"/>
      <c r="N57" s="9"/>
      <c r="O57" s="9" t="s">
        <v>36</v>
      </c>
      <c r="P57" s="18">
        <v>4035000</v>
      </c>
      <c r="Q57" s="18" t="s">
        <v>21</v>
      </c>
      <c r="R57" s="18" t="s">
        <v>22</v>
      </c>
      <c r="S57" s="9" t="s">
        <v>20</v>
      </c>
      <c r="T57" s="14" t="s">
        <v>272</v>
      </c>
      <c r="U57" s="15" t="s">
        <v>129</v>
      </c>
      <c r="V57" t="str">
        <f>VLOOKUP(G57,$G$9:$G$47,1,FALSE)</f>
        <v>6416250EUR49560PRT125001115000TYVA01</v>
      </c>
      <c r="X57" s="15" t="s">
        <v>129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2:44" x14ac:dyDescent="0.25">
      <c r="B58" s="9" t="s">
        <v>31</v>
      </c>
      <c r="C58" s="9" t="s">
        <v>32</v>
      </c>
      <c r="D58" s="9" t="s">
        <v>17</v>
      </c>
      <c r="E58" s="9" t="s">
        <v>98</v>
      </c>
      <c r="F58" s="9" t="s">
        <v>99</v>
      </c>
      <c r="G58" s="9" t="str">
        <f t="shared" si="22"/>
        <v>CMAHAJID0000152500442BI0041100TYVA01</v>
      </c>
      <c r="H58" t="s">
        <v>139</v>
      </c>
      <c r="I58" t="s">
        <v>23</v>
      </c>
      <c r="J58" s="18" t="s">
        <v>19</v>
      </c>
      <c r="K58" s="9" t="s">
        <v>16</v>
      </c>
      <c r="L58" s="9" t="s">
        <v>29</v>
      </c>
      <c r="M58" s="9" t="s">
        <v>69</v>
      </c>
      <c r="N58" s="9" t="s">
        <v>70</v>
      </c>
      <c r="O58" s="9" t="s">
        <v>71</v>
      </c>
      <c r="P58" s="18">
        <v>-0.86</v>
      </c>
      <c r="Q58" s="18" t="s">
        <v>21</v>
      </c>
      <c r="R58" s="18" t="s">
        <v>22</v>
      </c>
      <c r="S58" s="9" t="s">
        <v>20</v>
      </c>
      <c r="T58" s="9"/>
      <c r="V58" t="str">
        <f t="shared" ref="V58:V94" si="23">VLOOKUP(G58,$G$9:$G$47,1,FALSE)</f>
        <v>CMAHAJID0000152500442BI0041100TYVA01</v>
      </c>
      <c r="X58" s="15" t="s">
        <v>129</v>
      </c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2:44" x14ac:dyDescent="0.25">
      <c r="B59" s="9" t="s">
        <v>31</v>
      </c>
      <c r="C59" s="9" t="s">
        <v>32</v>
      </c>
      <c r="D59" s="9" t="s">
        <v>17</v>
      </c>
      <c r="E59" s="9" t="s">
        <v>33</v>
      </c>
      <c r="F59" s="9" t="s">
        <v>34</v>
      </c>
      <c r="G59" s="9" t="str">
        <f t="shared" si="22"/>
        <v>CMAHAJID0000232603162BI0041100TYVA01</v>
      </c>
      <c r="H59" t="s">
        <v>146</v>
      </c>
      <c r="I59" t="s">
        <v>23</v>
      </c>
      <c r="J59" s="18" t="s">
        <v>19</v>
      </c>
      <c r="K59" s="9" t="s">
        <v>16</v>
      </c>
      <c r="L59" s="9"/>
      <c r="M59" s="9"/>
      <c r="N59" s="9"/>
      <c r="O59" s="9"/>
      <c r="P59" s="18">
        <v>0.25</v>
      </c>
      <c r="Q59" s="18" t="s">
        <v>21</v>
      </c>
      <c r="R59" s="18" t="s">
        <v>22</v>
      </c>
      <c r="S59" s="9" t="s">
        <v>20</v>
      </c>
      <c r="T59" s="9"/>
      <c r="V59" t="str">
        <f t="shared" si="23"/>
        <v>CMAHAJID0000232603162BI0041100TYVA01</v>
      </c>
      <c r="W59" s="26"/>
      <c r="X59" s="15" t="s">
        <v>129</v>
      </c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2:44" x14ac:dyDescent="0.25">
      <c r="B60" s="9" t="s">
        <v>40</v>
      </c>
      <c r="C60" s="9" t="s">
        <v>25</v>
      </c>
      <c r="D60" s="9" t="s">
        <v>26</v>
      </c>
      <c r="E60" s="9" t="s">
        <v>41</v>
      </c>
      <c r="F60" s="9" t="s">
        <v>100</v>
      </c>
      <c r="G60" s="9" t="str">
        <f t="shared" si="22"/>
        <v>641600000000000PTGGM0AM0004000TYVA01</v>
      </c>
      <c r="H60" t="s">
        <v>151</v>
      </c>
      <c r="I60" t="s">
        <v>23</v>
      </c>
      <c r="J60" s="18" t="s">
        <v>19</v>
      </c>
      <c r="K60" s="9" t="s">
        <v>16</v>
      </c>
      <c r="L60" s="9"/>
      <c r="M60" s="9"/>
      <c r="N60" s="9"/>
      <c r="O60" s="9"/>
      <c r="P60" s="18">
        <v>302243</v>
      </c>
      <c r="Q60" s="18" t="s">
        <v>21</v>
      </c>
      <c r="R60" s="18" t="s">
        <v>22</v>
      </c>
      <c r="S60" s="9" t="s">
        <v>20</v>
      </c>
      <c r="T60" s="9"/>
      <c r="V60" t="str">
        <f t="shared" si="23"/>
        <v>641600000000000PTGGM0AM0004000TYVA01</v>
      </c>
      <c r="X60" s="15" t="s">
        <v>129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2:44" x14ac:dyDescent="0.25">
      <c r="B61" s="9" t="s">
        <v>31</v>
      </c>
      <c r="C61" s="9" t="s">
        <v>25</v>
      </c>
      <c r="D61" s="9" t="s">
        <v>26</v>
      </c>
      <c r="E61" s="9" t="s">
        <v>67</v>
      </c>
      <c r="F61" s="9" t="s">
        <v>60</v>
      </c>
      <c r="G61" s="9" t="str">
        <f t="shared" si="22"/>
        <v>6416250EUR31451PRT110000015000TYVA01</v>
      </c>
      <c r="H61" t="s">
        <v>155</v>
      </c>
      <c r="I61" t="s">
        <v>23</v>
      </c>
      <c r="J61" s="18" t="s">
        <v>19</v>
      </c>
      <c r="K61" s="9" t="s">
        <v>16</v>
      </c>
      <c r="L61" s="9" t="s">
        <v>29</v>
      </c>
      <c r="M61" s="9" t="s">
        <v>69</v>
      </c>
      <c r="N61" s="9" t="s">
        <v>70</v>
      </c>
      <c r="O61" s="9" t="s">
        <v>71</v>
      </c>
      <c r="P61" s="29">
        <v>88759611.430000007</v>
      </c>
      <c r="Q61" s="18" t="s">
        <v>21</v>
      </c>
      <c r="R61" s="18" t="s">
        <v>22</v>
      </c>
      <c r="S61" s="9" t="s">
        <v>20</v>
      </c>
      <c r="T61" s="9"/>
      <c r="V61" t="str">
        <f t="shared" si="23"/>
        <v>6416250EUR31451PRT110000015000TYVA01</v>
      </c>
      <c r="X61" s="15" t="s">
        <v>129</v>
      </c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2:44" x14ac:dyDescent="0.25">
      <c r="B62" s="9" t="s">
        <v>49</v>
      </c>
      <c r="C62" s="9" t="s">
        <v>25</v>
      </c>
      <c r="D62" s="9" t="s">
        <v>26</v>
      </c>
      <c r="E62" s="9" t="s">
        <v>93</v>
      </c>
      <c r="F62" s="9" t="s">
        <v>94</v>
      </c>
      <c r="G62" s="9" t="str">
        <f t="shared" si="22"/>
        <v>6416250EUR89770PRT150000015000TYVA01</v>
      </c>
      <c r="H62" t="s">
        <v>174</v>
      </c>
      <c r="I62" t="s">
        <v>23</v>
      </c>
      <c r="J62" s="18" t="s">
        <v>19</v>
      </c>
      <c r="K62" s="9" t="s">
        <v>16</v>
      </c>
      <c r="L62" s="9" t="s">
        <v>29</v>
      </c>
      <c r="M62" s="9" t="s">
        <v>52</v>
      </c>
      <c r="N62" s="9" t="s">
        <v>53</v>
      </c>
      <c r="O62" s="9"/>
      <c r="P62" s="18">
        <v>22684.47</v>
      </c>
      <c r="Q62" s="18" t="s">
        <v>21</v>
      </c>
      <c r="R62" s="18" t="s">
        <v>22</v>
      </c>
      <c r="S62" s="9" t="s">
        <v>20</v>
      </c>
      <c r="T62" s="9"/>
      <c r="V62" t="str">
        <f t="shared" si="23"/>
        <v>6416250EUR89770PRT150000015000TYVA01</v>
      </c>
      <c r="X62" s="15" t="s">
        <v>129</v>
      </c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2:44" x14ac:dyDescent="0.25">
      <c r="B63" s="9" t="s">
        <v>31</v>
      </c>
      <c r="C63" s="9" t="s">
        <v>32</v>
      </c>
      <c r="D63" s="9" t="s">
        <v>17</v>
      </c>
      <c r="E63" s="9" t="s">
        <v>33</v>
      </c>
      <c r="F63" s="9" t="s">
        <v>73</v>
      </c>
      <c r="G63" s="9" t="str">
        <f t="shared" si="22"/>
        <v>CMAHAJID0000232600442BI0041100TYVA01</v>
      </c>
      <c r="H63" t="s">
        <v>163</v>
      </c>
      <c r="I63" t="s">
        <v>23</v>
      </c>
      <c r="J63" s="18" t="s">
        <v>19</v>
      </c>
      <c r="K63" s="9" t="s">
        <v>16</v>
      </c>
      <c r="L63" s="9" t="s">
        <v>29</v>
      </c>
      <c r="M63" s="9" t="s">
        <v>69</v>
      </c>
      <c r="N63" s="9" t="s">
        <v>70</v>
      </c>
      <c r="O63" s="9" t="s">
        <v>71</v>
      </c>
      <c r="P63" s="18">
        <v>0.92</v>
      </c>
      <c r="Q63" s="18" t="s">
        <v>21</v>
      </c>
      <c r="R63" s="18" t="s">
        <v>22</v>
      </c>
      <c r="S63" s="9" t="s">
        <v>20</v>
      </c>
      <c r="T63" s="9"/>
      <c r="V63" t="str">
        <f t="shared" si="23"/>
        <v>CMAHAJID0000232600442BI0041100TYVA01</v>
      </c>
      <c r="X63" s="15" t="s">
        <v>129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2:44" x14ac:dyDescent="0.25">
      <c r="B64" s="9" t="s">
        <v>49</v>
      </c>
      <c r="C64" s="9" t="s">
        <v>25</v>
      </c>
      <c r="D64" s="9" t="s">
        <v>26</v>
      </c>
      <c r="E64" s="9" t="s">
        <v>59</v>
      </c>
      <c r="F64" s="9" t="s">
        <v>60</v>
      </c>
      <c r="G64" s="9" t="str">
        <f t="shared" si="22"/>
        <v>6416250EUR84820PRT110000015000TYVA01</v>
      </c>
      <c r="H64" t="s">
        <v>162</v>
      </c>
      <c r="I64" t="s">
        <v>23</v>
      </c>
      <c r="J64" s="18" t="s">
        <v>19</v>
      </c>
      <c r="K64" s="9" t="s">
        <v>16</v>
      </c>
      <c r="L64" s="9" t="s">
        <v>29</v>
      </c>
      <c r="M64" s="9" t="s">
        <v>61</v>
      </c>
      <c r="N64" s="9" t="s">
        <v>62</v>
      </c>
      <c r="O64" s="9"/>
      <c r="P64" s="18">
        <v>35578.07</v>
      </c>
      <c r="Q64" s="18" t="s">
        <v>21</v>
      </c>
      <c r="R64" s="18" t="s">
        <v>22</v>
      </c>
      <c r="S64" s="9" t="s">
        <v>20</v>
      </c>
      <c r="T64" s="9"/>
      <c r="V64" t="str">
        <f t="shared" si="23"/>
        <v>6416250EUR84820PRT110000015000TYVA01</v>
      </c>
      <c r="X64" s="15" t="s">
        <v>129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2:44" x14ac:dyDescent="0.25">
      <c r="B65" s="9" t="s">
        <v>24</v>
      </c>
      <c r="C65" s="9" t="s">
        <v>25</v>
      </c>
      <c r="D65" s="9" t="s">
        <v>26</v>
      </c>
      <c r="E65" s="9" t="s">
        <v>27</v>
      </c>
      <c r="F65" s="9" t="s">
        <v>28</v>
      </c>
      <c r="G65" s="9" t="str">
        <f t="shared" si="22"/>
        <v>641600005800050PTPLGEIM0004000TYVA01</v>
      </c>
      <c r="H65" t="s">
        <v>152</v>
      </c>
      <c r="I65" t="s">
        <v>23</v>
      </c>
      <c r="J65" s="18" t="s">
        <v>19</v>
      </c>
      <c r="K65" s="9" t="s">
        <v>16</v>
      </c>
      <c r="L65" s="9"/>
      <c r="M65" s="9"/>
      <c r="N65" s="9"/>
      <c r="O65" s="9"/>
      <c r="P65" s="18">
        <v>43286.17</v>
      </c>
      <c r="Q65" s="18" t="s">
        <v>21</v>
      </c>
      <c r="R65" s="18" t="s">
        <v>22</v>
      </c>
      <c r="S65" s="9" t="s">
        <v>20</v>
      </c>
      <c r="T65" s="9"/>
      <c r="V65" t="str">
        <f t="shared" si="23"/>
        <v>641600005800050PTPLGEIM0004000TYVA01</v>
      </c>
      <c r="X65" s="15" t="s">
        <v>129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2:44" x14ac:dyDescent="0.25">
      <c r="B66" s="9" t="s">
        <v>31</v>
      </c>
      <c r="C66" s="9" t="s">
        <v>25</v>
      </c>
      <c r="D66" s="9" t="s">
        <v>26</v>
      </c>
      <c r="E66" s="9" t="s">
        <v>85</v>
      </c>
      <c r="F66" s="9" t="s">
        <v>60</v>
      </c>
      <c r="G66" s="9" t="str">
        <f t="shared" si="22"/>
        <v>6416250EUR31450PRT110000015000TYVA01</v>
      </c>
      <c r="H66" t="s">
        <v>136</v>
      </c>
      <c r="I66" t="s">
        <v>23</v>
      </c>
      <c r="J66" s="18" t="s">
        <v>19</v>
      </c>
      <c r="K66" s="9" t="s">
        <v>16</v>
      </c>
      <c r="L66" s="9" t="s">
        <v>29</v>
      </c>
      <c r="M66" s="9" t="s">
        <v>69</v>
      </c>
      <c r="N66" s="9" t="s">
        <v>70</v>
      </c>
      <c r="O66" s="9" t="s">
        <v>71</v>
      </c>
      <c r="P66" s="18">
        <v>202691.51</v>
      </c>
      <c r="Q66" s="18" t="s">
        <v>21</v>
      </c>
      <c r="R66" s="18" t="s">
        <v>22</v>
      </c>
      <c r="S66" s="9" t="s">
        <v>20</v>
      </c>
      <c r="T66" s="9"/>
      <c r="V66" t="str">
        <f t="shared" si="23"/>
        <v>6416250EUR31450PRT110000015000TYVA01</v>
      </c>
      <c r="X66" s="15" t="s">
        <v>129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2:44" x14ac:dyDescent="0.25">
      <c r="B67" s="9" t="s">
        <v>40</v>
      </c>
      <c r="C67" s="9" t="s">
        <v>25</v>
      </c>
      <c r="D67" s="9" t="s">
        <v>26</v>
      </c>
      <c r="E67" s="9" t="s">
        <v>41</v>
      </c>
      <c r="F67" s="9" t="s">
        <v>104</v>
      </c>
      <c r="G67" s="9" t="str">
        <f t="shared" si="22"/>
        <v>641600000000000PTNGM0AM0000000TYVA01</v>
      </c>
      <c r="H67" t="s">
        <v>156</v>
      </c>
      <c r="I67" t="s">
        <v>23</v>
      </c>
      <c r="J67" s="18" t="s">
        <v>19</v>
      </c>
      <c r="K67" s="9" t="s">
        <v>16</v>
      </c>
      <c r="L67" s="9"/>
      <c r="M67" s="9"/>
      <c r="N67" s="9"/>
      <c r="O67" s="9"/>
      <c r="P67" s="18">
        <v>296652.31</v>
      </c>
      <c r="Q67" s="18" t="s">
        <v>21</v>
      </c>
      <c r="R67" s="18" t="s">
        <v>22</v>
      </c>
      <c r="S67" s="9" t="s">
        <v>20</v>
      </c>
      <c r="T67" s="9"/>
      <c r="V67" t="str">
        <f t="shared" si="23"/>
        <v>641600000000000PTNGM0AM0000000TYVA01</v>
      </c>
      <c r="W67" s="26"/>
      <c r="X67" s="15" t="s">
        <v>129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2:44" x14ac:dyDescent="0.25">
      <c r="B68" s="9" t="s">
        <v>31</v>
      </c>
      <c r="C68" s="9" t="s">
        <v>25</v>
      </c>
      <c r="D68" s="9" t="s">
        <v>26</v>
      </c>
      <c r="E68" s="9" t="s">
        <v>102</v>
      </c>
      <c r="F68" s="9" t="s">
        <v>96</v>
      </c>
      <c r="G68" s="9" t="str">
        <f t="shared" si="22"/>
        <v>6416250EUR12840IRL202500215000TYVA01</v>
      </c>
      <c r="H68" t="s">
        <v>157</v>
      </c>
      <c r="I68" t="s">
        <v>23</v>
      </c>
      <c r="J68" s="18" t="s">
        <v>19</v>
      </c>
      <c r="K68" s="9" t="s">
        <v>16</v>
      </c>
      <c r="L68" s="9"/>
      <c r="M68" s="9"/>
      <c r="N68" s="9"/>
      <c r="O68" s="9" t="s">
        <v>36</v>
      </c>
      <c r="P68" s="18">
        <v>38092.379999999997</v>
      </c>
      <c r="Q68" s="18" t="s">
        <v>21</v>
      </c>
      <c r="R68" s="18" t="s">
        <v>22</v>
      </c>
      <c r="S68" s="9" t="s">
        <v>39</v>
      </c>
      <c r="T68" s="9"/>
      <c r="V68" t="str">
        <f t="shared" si="23"/>
        <v>6416250EUR12840IRL202500215000TYVA01</v>
      </c>
      <c r="X68" s="15" t="s">
        <v>129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2:44" x14ac:dyDescent="0.25">
      <c r="B69" s="9" t="s">
        <v>40</v>
      </c>
      <c r="C69" s="9" t="s">
        <v>32</v>
      </c>
      <c r="D69" s="9" t="s">
        <v>17</v>
      </c>
      <c r="E69" s="9" t="s">
        <v>33</v>
      </c>
      <c r="F69" s="9" t="s">
        <v>51</v>
      </c>
      <c r="G69" s="9" t="str">
        <f t="shared" si="22"/>
        <v>CMAHAJID0000232400000BI0041100TYVA01</v>
      </c>
      <c r="H69" t="s">
        <v>145</v>
      </c>
      <c r="I69" t="s">
        <v>23</v>
      </c>
      <c r="J69" s="18" t="s">
        <v>19</v>
      </c>
      <c r="K69" s="9" t="s">
        <v>16</v>
      </c>
      <c r="L69" s="9"/>
      <c r="M69" s="9"/>
      <c r="N69" s="9"/>
      <c r="O69" s="9"/>
      <c r="P69" s="18">
        <v>1.29</v>
      </c>
      <c r="Q69" s="18" t="s">
        <v>21</v>
      </c>
      <c r="R69" s="18" t="s">
        <v>22</v>
      </c>
      <c r="S69" s="9" t="s">
        <v>54</v>
      </c>
      <c r="T69" s="9"/>
      <c r="V69" t="str">
        <f t="shared" si="23"/>
        <v>CMAHAJID0000232400000BI0041100TYVA01</v>
      </c>
      <c r="W69" s="26"/>
      <c r="X69" s="15" t="s">
        <v>129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2:44" x14ac:dyDescent="0.25">
      <c r="B70" s="9" t="s">
        <v>31</v>
      </c>
      <c r="C70" s="9" t="s">
        <v>25</v>
      </c>
      <c r="D70" s="9" t="s">
        <v>17</v>
      </c>
      <c r="E70" s="9" t="s">
        <v>46</v>
      </c>
      <c r="F70" s="9" t="s">
        <v>47</v>
      </c>
      <c r="G70" s="9" t="str">
        <f t="shared" si="22"/>
        <v>CMAHCARG000000000100C150SC1333TYVA01</v>
      </c>
      <c r="H70" t="s">
        <v>144</v>
      </c>
      <c r="I70" t="s">
        <v>23</v>
      </c>
      <c r="J70" s="18" t="s">
        <v>19</v>
      </c>
      <c r="K70" s="9" t="s">
        <v>16</v>
      </c>
      <c r="L70" s="9"/>
      <c r="M70" s="9"/>
      <c r="N70" s="9"/>
      <c r="O70" s="9" t="s">
        <v>36</v>
      </c>
      <c r="P70" s="18">
        <v>-38154157</v>
      </c>
      <c r="Q70" s="18" t="s">
        <v>21</v>
      </c>
      <c r="R70" s="18" t="s">
        <v>22</v>
      </c>
      <c r="S70" s="9" t="s">
        <v>20</v>
      </c>
      <c r="T70" s="9"/>
      <c r="V70" t="str">
        <f t="shared" si="23"/>
        <v>CMAHCARG000000000100C150SC1333TYVA01</v>
      </c>
      <c r="X70" s="15" t="s">
        <v>129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2:44" x14ac:dyDescent="0.25">
      <c r="B71" s="9" t="s">
        <v>24</v>
      </c>
      <c r="C71" s="9" t="s">
        <v>25</v>
      </c>
      <c r="D71" s="9" t="s">
        <v>26</v>
      </c>
      <c r="E71" s="9" t="s">
        <v>27</v>
      </c>
      <c r="F71" s="9" t="s">
        <v>58</v>
      </c>
      <c r="G71" s="9" t="str">
        <f t="shared" si="22"/>
        <v>641600005800050PTECRCEM0001000TYVA01</v>
      </c>
      <c r="H71" t="s">
        <v>168</v>
      </c>
      <c r="I71" t="s">
        <v>23</v>
      </c>
      <c r="J71" s="18" t="s">
        <v>19</v>
      </c>
      <c r="K71" s="9" t="s">
        <v>16</v>
      </c>
      <c r="L71" s="9"/>
      <c r="M71" s="9"/>
      <c r="N71" s="9"/>
      <c r="O71" s="9"/>
      <c r="P71" s="18">
        <v>547935.62</v>
      </c>
      <c r="Q71" s="18" t="s">
        <v>21</v>
      </c>
      <c r="R71" s="18" t="s">
        <v>22</v>
      </c>
      <c r="S71" s="9" t="s">
        <v>20</v>
      </c>
      <c r="T71" s="9"/>
      <c r="V71" t="str">
        <f t="shared" si="23"/>
        <v>641600005800050PTECRCEM0001000TYVA01</v>
      </c>
      <c r="X71" s="15" t="s">
        <v>129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2:44" x14ac:dyDescent="0.25">
      <c r="B72" s="9" t="s">
        <v>31</v>
      </c>
      <c r="C72" s="9" t="s">
        <v>25</v>
      </c>
      <c r="D72" s="9" t="s">
        <v>26</v>
      </c>
      <c r="E72" s="9" t="s">
        <v>27</v>
      </c>
      <c r="F72" s="9" t="s">
        <v>101</v>
      </c>
      <c r="G72" s="9" t="str">
        <f t="shared" si="22"/>
        <v>641600005800050PTYIMBHM0004000TYVA01</v>
      </c>
      <c r="H72" t="s">
        <v>154</v>
      </c>
      <c r="I72" t="s">
        <v>23</v>
      </c>
      <c r="J72" s="18" t="s">
        <v>19</v>
      </c>
      <c r="K72" s="9" t="s">
        <v>16</v>
      </c>
      <c r="L72" s="9"/>
      <c r="M72" s="9"/>
      <c r="N72" s="9"/>
      <c r="O72" s="9" t="s">
        <v>36</v>
      </c>
      <c r="P72" s="18">
        <v>126877568.04000001</v>
      </c>
      <c r="Q72" s="18" t="s">
        <v>21</v>
      </c>
      <c r="R72" s="18" t="s">
        <v>22</v>
      </c>
      <c r="S72" s="9" t="s">
        <v>20</v>
      </c>
      <c r="T72" s="9"/>
      <c r="V72" t="str">
        <f t="shared" si="23"/>
        <v>641600005800050PTYIMBHM0004000TYVA01</v>
      </c>
      <c r="X72" s="15" t="s">
        <v>129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2:44" x14ac:dyDescent="0.25">
      <c r="B73" s="9" t="s">
        <v>66</v>
      </c>
      <c r="C73" s="9" t="s">
        <v>25</v>
      </c>
      <c r="D73" s="9" t="s">
        <v>17</v>
      </c>
      <c r="E73" s="9" t="s">
        <v>86</v>
      </c>
      <c r="F73" s="9" t="s">
        <v>87</v>
      </c>
      <c r="G73" s="9" t="str">
        <f t="shared" si="22"/>
        <v>CMAHIFRC0000000100I161108SC442TYVA02</v>
      </c>
      <c r="H73" t="s">
        <v>149</v>
      </c>
      <c r="I73" t="s">
        <v>23</v>
      </c>
      <c r="J73" s="18" t="s">
        <v>19</v>
      </c>
      <c r="K73" s="9" t="s">
        <v>16</v>
      </c>
      <c r="L73" s="9" t="s">
        <v>29</v>
      </c>
      <c r="M73" s="9" t="s">
        <v>69</v>
      </c>
      <c r="N73" s="9" t="s">
        <v>70</v>
      </c>
      <c r="O73" s="9" t="s">
        <v>71</v>
      </c>
      <c r="P73" s="18">
        <v>11000000</v>
      </c>
      <c r="Q73" s="18" t="s">
        <v>21</v>
      </c>
      <c r="R73" s="18" t="s">
        <v>22</v>
      </c>
      <c r="S73" s="9" t="s">
        <v>20</v>
      </c>
      <c r="T73" s="9"/>
      <c r="V73" t="str">
        <f t="shared" si="23"/>
        <v>CMAHIFRC0000000100I161108SC442TYVA02</v>
      </c>
      <c r="X73" s="15" t="s">
        <v>129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2:44" x14ac:dyDescent="0.25">
      <c r="B74" s="9" t="s">
        <v>31</v>
      </c>
      <c r="C74" s="9" t="s">
        <v>25</v>
      </c>
      <c r="D74" s="9" t="s">
        <v>26</v>
      </c>
      <c r="E74" s="9" t="s">
        <v>95</v>
      </c>
      <c r="F74" s="9" t="s">
        <v>96</v>
      </c>
      <c r="G74" s="9" t="str">
        <f t="shared" si="22"/>
        <v>6416250EUR12810IRL202500215000TYVA01</v>
      </c>
      <c r="H74" t="s">
        <v>135</v>
      </c>
      <c r="I74" t="s">
        <v>23</v>
      </c>
      <c r="J74" s="18" t="s">
        <v>19</v>
      </c>
      <c r="K74" s="9" t="s">
        <v>16</v>
      </c>
      <c r="L74" s="9"/>
      <c r="M74" s="9"/>
      <c r="N74" s="9"/>
      <c r="O74" s="9" t="s">
        <v>36</v>
      </c>
      <c r="P74" s="18">
        <v>624867.66</v>
      </c>
      <c r="Q74" s="18" t="s">
        <v>21</v>
      </c>
      <c r="R74" s="18" t="s">
        <v>22</v>
      </c>
      <c r="S74" s="9" t="s">
        <v>39</v>
      </c>
      <c r="T74" s="9"/>
      <c r="V74" t="str">
        <f t="shared" si="23"/>
        <v>6416250EUR12810IRL202500215000TYVA01</v>
      </c>
      <c r="X74" s="15" t="s">
        <v>129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2:44" x14ac:dyDescent="0.25">
      <c r="B75" s="9" t="s">
        <v>24</v>
      </c>
      <c r="C75" s="9" t="s">
        <v>25</v>
      </c>
      <c r="D75" s="9" t="s">
        <v>26</v>
      </c>
      <c r="E75" s="9" t="s">
        <v>27</v>
      </c>
      <c r="F75" s="9" t="s">
        <v>90</v>
      </c>
      <c r="G75" s="9" t="str">
        <f t="shared" si="22"/>
        <v>641600005800050PTNOFIIE0000000TYVA01</v>
      </c>
      <c r="H75" t="s">
        <v>150</v>
      </c>
      <c r="I75" t="s">
        <v>23</v>
      </c>
      <c r="J75" s="18" t="s">
        <v>19</v>
      </c>
      <c r="K75" s="9" t="s">
        <v>16</v>
      </c>
      <c r="L75" s="9"/>
      <c r="M75" s="9"/>
      <c r="N75" s="9"/>
      <c r="O75" s="9"/>
      <c r="P75" s="18">
        <v>11163168</v>
      </c>
      <c r="Q75" s="18" t="s">
        <v>21</v>
      </c>
      <c r="R75" s="18" t="s">
        <v>22</v>
      </c>
      <c r="S75" s="9" t="s">
        <v>20</v>
      </c>
      <c r="T75" s="9"/>
      <c r="V75" t="str">
        <f t="shared" si="23"/>
        <v>641600005800050PTNOFIIE0000000TYVA01</v>
      </c>
      <c r="X75" s="15" t="s">
        <v>129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2:44" x14ac:dyDescent="0.25">
      <c r="B76" s="9" t="s">
        <v>24</v>
      </c>
      <c r="C76" s="9" t="s">
        <v>25</v>
      </c>
      <c r="D76" s="9" t="s">
        <v>26</v>
      </c>
      <c r="E76" s="9" t="s">
        <v>27</v>
      </c>
      <c r="F76" s="9" t="s">
        <v>97</v>
      </c>
      <c r="G76" s="9" t="str">
        <f t="shared" si="22"/>
        <v>641600005800050PTOXYQIM0005000TYVA01</v>
      </c>
      <c r="H76" t="s">
        <v>159</v>
      </c>
      <c r="I76" t="s">
        <v>23</v>
      </c>
      <c r="J76" s="18" t="s">
        <v>19</v>
      </c>
      <c r="K76" s="9" t="s">
        <v>16</v>
      </c>
      <c r="L76" s="9"/>
      <c r="M76" s="9"/>
      <c r="N76" s="9"/>
      <c r="O76" s="9"/>
      <c r="P76" s="18">
        <v>155275.5</v>
      </c>
      <c r="Q76" s="18" t="s">
        <v>21</v>
      </c>
      <c r="R76" s="18" t="s">
        <v>22</v>
      </c>
      <c r="S76" s="9" t="s">
        <v>20</v>
      </c>
      <c r="T76" s="9"/>
      <c r="V76" t="str">
        <f t="shared" si="23"/>
        <v>641600005800050PTOXYQIM0005000TYVA01</v>
      </c>
      <c r="X76" s="15" t="s">
        <v>129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2:44" x14ac:dyDescent="0.25">
      <c r="B77" s="9" t="s">
        <v>24</v>
      </c>
      <c r="C77" s="9" t="s">
        <v>32</v>
      </c>
      <c r="D77" s="9" t="s">
        <v>17</v>
      </c>
      <c r="E77" s="9" t="s">
        <v>33</v>
      </c>
      <c r="F77" s="9" t="s">
        <v>166</v>
      </c>
      <c r="G77" s="9" t="str">
        <f t="shared" si="22"/>
        <v>CMAHAJID0000232500000BI0041100TYVA01</v>
      </c>
      <c r="H77" t="s">
        <v>167</v>
      </c>
      <c r="I77" t="s">
        <v>23</v>
      </c>
      <c r="J77" s="18" t="s">
        <v>19</v>
      </c>
      <c r="K77" s="9" t="s">
        <v>16</v>
      </c>
      <c r="L77" s="9"/>
      <c r="M77" s="9"/>
      <c r="N77" s="9"/>
      <c r="O77" s="9"/>
      <c r="P77" s="18">
        <v>0.71</v>
      </c>
      <c r="Q77" s="18" t="s">
        <v>21</v>
      </c>
      <c r="R77" s="18" t="s">
        <v>22</v>
      </c>
      <c r="S77" s="9" t="s">
        <v>54</v>
      </c>
      <c r="T77" s="9"/>
      <c r="V77" t="e">
        <f t="shared" si="23"/>
        <v>#N/A</v>
      </c>
      <c r="W77" s="26" t="s">
        <v>241</v>
      </c>
      <c r="X77" s="15" t="s">
        <v>129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2:44" x14ac:dyDescent="0.25">
      <c r="B78" s="9" t="s">
        <v>31</v>
      </c>
      <c r="C78" s="9" t="s">
        <v>32</v>
      </c>
      <c r="D78" s="9" t="s">
        <v>17</v>
      </c>
      <c r="E78" s="9" t="s">
        <v>33</v>
      </c>
      <c r="F78" s="9" t="s">
        <v>160</v>
      </c>
      <c r="G78" s="9" t="str">
        <f t="shared" si="22"/>
        <v>CMAHAJID0000232601333BI0041100TYVA01</v>
      </c>
      <c r="H78" t="s">
        <v>161</v>
      </c>
      <c r="I78" t="s">
        <v>23</v>
      </c>
      <c r="J78" s="18" t="s">
        <v>19</v>
      </c>
      <c r="K78" s="9" t="s">
        <v>16</v>
      </c>
      <c r="L78" s="9"/>
      <c r="M78" s="9"/>
      <c r="N78" s="9"/>
      <c r="O78" s="9" t="s">
        <v>36</v>
      </c>
      <c r="P78" s="18">
        <v>-0.04</v>
      </c>
      <c r="Q78" s="18" t="s">
        <v>21</v>
      </c>
      <c r="R78" s="18" t="s">
        <v>22</v>
      </c>
      <c r="S78" s="9" t="s">
        <v>20</v>
      </c>
      <c r="T78" s="9"/>
      <c r="V78" t="e">
        <f t="shared" si="23"/>
        <v>#N/A</v>
      </c>
      <c r="W78" s="26" t="s">
        <v>241</v>
      </c>
      <c r="X78" s="15" t="s">
        <v>129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2:44" x14ac:dyDescent="0.25">
      <c r="B79" s="9" t="s">
        <v>49</v>
      </c>
      <c r="C79" s="9" t="s">
        <v>25</v>
      </c>
      <c r="D79" s="9" t="s">
        <v>26</v>
      </c>
      <c r="E79" s="9" t="s">
        <v>78</v>
      </c>
      <c r="F79" s="9" t="s">
        <v>79</v>
      </c>
      <c r="G79" s="9" t="str">
        <f t="shared" si="22"/>
        <v>6416250EUR02350BEL201000015000TYVA01</v>
      </c>
      <c r="H79" t="s">
        <v>173</v>
      </c>
      <c r="I79" t="s">
        <v>23</v>
      </c>
      <c r="J79" s="18" t="s">
        <v>19</v>
      </c>
      <c r="K79" s="9" t="s">
        <v>16</v>
      </c>
      <c r="L79" s="9" t="s">
        <v>29</v>
      </c>
      <c r="M79" s="9" t="s">
        <v>80</v>
      </c>
      <c r="N79" s="9" t="s">
        <v>81</v>
      </c>
      <c r="O79" s="9"/>
      <c r="P79" s="18">
        <v>131175.92000000001</v>
      </c>
      <c r="Q79" s="18" t="s">
        <v>21</v>
      </c>
      <c r="R79" s="18" t="s">
        <v>22</v>
      </c>
      <c r="S79" s="9" t="s">
        <v>39</v>
      </c>
      <c r="T79" s="9"/>
      <c r="V79" t="str">
        <f t="shared" si="23"/>
        <v>6416250EUR02350BEL201000015000TYVA01</v>
      </c>
      <c r="X79" s="15" t="s">
        <v>129</v>
      </c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2:44" x14ac:dyDescent="0.25">
      <c r="B80" s="9" t="s">
        <v>66</v>
      </c>
      <c r="C80" s="9" t="s">
        <v>25</v>
      </c>
      <c r="D80" s="9" t="s">
        <v>26</v>
      </c>
      <c r="E80" s="9" t="s">
        <v>67</v>
      </c>
      <c r="F80" s="9" t="s">
        <v>60</v>
      </c>
      <c r="G80" s="9" t="str">
        <f t="shared" si="22"/>
        <v>6416250EUR31451PRT110000015000TYVA02</v>
      </c>
      <c r="H80" t="s">
        <v>138</v>
      </c>
      <c r="I80" t="s">
        <v>23</v>
      </c>
      <c r="J80" s="18" t="s">
        <v>19</v>
      </c>
      <c r="K80" s="9" t="s">
        <v>16</v>
      </c>
      <c r="L80" s="9" t="s">
        <v>29</v>
      </c>
      <c r="M80" s="9" t="s">
        <v>69</v>
      </c>
      <c r="N80" s="9" t="s">
        <v>70</v>
      </c>
      <c r="O80" s="9" t="s">
        <v>71</v>
      </c>
      <c r="P80" s="18">
        <v>-11000000</v>
      </c>
      <c r="Q80" s="18" t="s">
        <v>21</v>
      </c>
      <c r="R80" s="18" t="s">
        <v>22</v>
      </c>
      <c r="S80" s="9" t="s">
        <v>20</v>
      </c>
      <c r="T80" s="9"/>
      <c r="V80" t="str">
        <f t="shared" si="23"/>
        <v>6416250EUR31451PRT110000015000TYVA02</v>
      </c>
      <c r="X80" s="15" t="s">
        <v>129</v>
      </c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2:44" x14ac:dyDescent="0.25">
      <c r="B81" s="9" t="s">
        <v>40</v>
      </c>
      <c r="C81" s="9" t="s">
        <v>25</v>
      </c>
      <c r="D81" s="9" t="s">
        <v>26</v>
      </c>
      <c r="E81" s="9" t="s">
        <v>41</v>
      </c>
      <c r="F81" s="9" t="s">
        <v>84</v>
      </c>
      <c r="G81" s="9" t="str">
        <f t="shared" si="22"/>
        <v>641600000000000PTSIB0AM0008000TYVA01</v>
      </c>
      <c r="H81" t="s">
        <v>137</v>
      </c>
      <c r="I81" t="s">
        <v>23</v>
      </c>
      <c r="J81" s="18" t="s">
        <v>19</v>
      </c>
      <c r="K81" s="9" t="s">
        <v>16</v>
      </c>
      <c r="L81" s="9"/>
      <c r="M81" s="9"/>
      <c r="N81" s="9"/>
      <c r="O81" s="9"/>
      <c r="P81" s="18">
        <v>140000000</v>
      </c>
      <c r="Q81" s="18" t="s">
        <v>21</v>
      </c>
      <c r="R81" s="18" t="s">
        <v>22</v>
      </c>
      <c r="S81" s="9" t="s">
        <v>20</v>
      </c>
      <c r="T81" s="9"/>
      <c r="V81" t="str">
        <f t="shared" si="23"/>
        <v>641600000000000PTSIB0AM0008000TYVA01</v>
      </c>
      <c r="X81" s="15" t="s">
        <v>129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2:44" x14ac:dyDescent="0.25">
      <c r="B82" s="9" t="s">
        <v>40</v>
      </c>
      <c r="C82" s="9" t="s">
        <v>25</v>
      </c>
      <c r="D82" s="9" t="s">
        <v>26</v>
      </c>
      <c r="E82" s="9" t="s">
        <v>41</v>
      </c>
      <c r="F82" s="9" t="s">
        <v>74</v>
      </c>
      <c r="G82" s="9" t="str">
        <f t="shared" si="22"/>
        <v>641600000000000PTUNEOAM0016000TYVA01</v>
      </c>
      <c r="H82" t="s">
        <v>153</v>
      </c>
      <c r="I82" t="s">
        <v>23</v>
      </c>
      <c r="J82" s="18" t="s">
        <v>19</v>
      </c>
      <c r="K82" s="9" t="s">
        <v>16</v>
      </c>
      <c r="L82" s="9"/>
      <c r="M82" s="9"/>
      <c r="N82" s="9"/>
      <c r="O82" s="9"/>
      <c r="P82" s="18">
        <v>28000000</v>
      </c>
      <c r="Q82" s="18" t="s">
        <v>21</v>
      </c>
      <c r="R82" s="18" t="s">
        <v>22</v>
      </c>
      <c r="S82" s="9" t="s">
        <v>20</v>
      </c>
      <c r="T82" s="9"/>
      <c r="V82" t="str">
        <f t="shared" si="23"/>
        <v>641600000000000PTUNEOAM0016000TYVA01</v>
      </c>
      <c r="X82" s="15" t="s">
        <v>129</v>
      </c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2:44" x14ac:dyDescent="0.25">
      <c r="B83" s="9" t="s">
        <v>40</v>
      </c>
      <c r="C83" s="9" t="s">
        <v>32</v>
      </c>
      <c r="D83" s="9" t="s">
        <v>17</v>
      </c>
      <c r="E83" s="9" t="s">
        <v>33</v>
      </c>
      <c r="F83" s="9" t="s">
        <v>76</v>
      </c>
      <c r="G83" s="9" t="str">
        <f t="shared" si="22"/>
        <v>CMAHAJID0000232200000BI0041100TYVA01</v>
      </c>
      <c r="H83" t="s">
        <v>165</v>
      </c>
      <c r="I83" t="s">
        <v>23</v>
      </c>
      <c r="J83" s="18" t="s">
        <v>19</v>
      </c>
      <c r="K83" s="9" t="s">
        <v>16</v>
      </c>
      <c r="L83" s="9"/>
      <c r="M83" s="9"/>
      <c r="N83" s="9"/>
      <c r="O83" s="9"/>
      <c r="P83" s="18">
        <v>-0.48</v>
      </c>
      <c r="Q83" s="18" t="s">
        <v>21</v>
      </c>
      <c r="R83" s="18" t="s">
        <v>22</v>
      </c>
      <c r="S83" s="9" t="s">
        <v>54</v>
      </c>
      <c r="T83" s="9"/>
      <c r="V83" t="str">
        <f t="shared" si="23"/>
        <v>CMAHAJID0000232200000BI0041100TYVA01</v>
      </c>
      <c r="X83" s="15" t="s">
        <v>129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2:44" x14ac:dyDescent="0.25">
      <c r="B84" s="9" t="s">
        <v>31</v>
      </c>
      <c r="C84" s="9" t="s">
        <v>25</v>
      </c>
      <c r="D84" s="9" t="s">
        <v>26</v>
      </c>
      <c r="E84" s="9" t="s">
        <v>41</v>
      </c>
      <c r="F84" s="9" t="s">
        <v>72</v>
      </c>
      <c r="G84" s="9" t="str">
        <f t="shared" si="22"/>
        <v>641600000000000PTGAM0AM0007000TYVA01</v>
      </c>
      <c r="H84" t="s">
        <v>164</v>
      </c>
      <c r="I84" t="s">
        <v>23</v>
      </c>
      <c r="J84" s="18" t="s">
        <v>19</v>
      </c>
      <c r="K84" s="9" t="s">
        <v>16</v>
      </c>
      <c r="L84" s="9"/>
      <c r="M84" s="9"/>
      <c r="N84" s="9"/>
      <c r="O84" s="9" t="s">
        <v>36</v>
      </c>
      <c r="P84" s="18">
        <v>3897812.75</v>
      </c>
      <c r="Q84" s="18" t="s">
        <v>21</v>
      </c>
      <c r="R84" s="18" t="s">
        <v>22</v>
      </c>
      <c r="S84" s="9" t="s">
        <v>20</v>
      </c>
      <c r="T84" s="9"/>
      <c r="V84" t="str">
        <f t="shared" si="23"/>
        <v>641600000000000PTGAM0AM0007000TYVA01</v>
      </c>
      <c r="X84" s="15" t="s">
        <v>129</v>
      </c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2:44" x14ac:dyDescent="0.25">
      <c r="B85" s="9" t="s">
        <v>40</v>
      </c>
      <c r="C85" s="9" t="s">
        <v>25</v>
      </c>
      <c r="D85" s="9" t="s">
        <v>26</v>
      </c>
      <c r="E85" s="9" t="s">
        <v>91</v>
      </c>
      <c r="F85" s="9" t="s">
        <v>92</v>
      </c>
      <c r="G85" s="9" t="str">
        <f t="shared" si="22"/>
        <v>641600005800035PTAGM0AM0007000TYVA01</v>
      </c>
      <c r="H85" t="s">
        <v>170</v>
      </c>
      <c r="I85" t="s">
        <v>23</v>
      </c>
      <c r="J85" s="18" t="s">
        <v>19</v>
      </c>
      <c r="K85" s="9" t="s">
        <v>16</v>
      </c>
      <c r="L85" s="9"/>
      <c r="M85" s="9"/>
      <c r="N85" s="9"/>
      <c r="O85" s="9"/>
      <c r="P85" s="18">
        <v>344579.69</v>
      </c>
      <c r="Q85" s="18" t="s">
        <v>21</v>
      </c>
      <c r="R85" s="18" t="s">
        <v>22</v>
      </c>
      <c r="S85" s="9" t="s">
        <v>20</v>
      </c>
      <c r="T85" s="9"/>
      <c r="V85" t="str">
        <f t="shared" si="23"/>
        <v>641600005800035PTAGM0AM0007000TYVA01</v>
      </c>
      <c r="X85" s="15" t="s">
        <v>129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2:44" x14ac:dyDescent="0.25">
      <c r="B86" s="9" t="s">
        <v>31</v>
      </c>
      <c r="C86" s="9" t="s">
        <v>25</v>
      </c>
      <c r="D86" s="9" t="s">
        <v>26</v>
      </c>
      <c r="E86" s="9" t="s">
        <v>140</v>
      </c>
      <c r="F86" s="9" t="s">
        <v>141</v>
      </c>
      <c r="G86" s="9" t="str">
        <f t="shared" si="22"/>
        <v>6416250EUR87690ESP201000015000TYVA01</v>
      </c>
      <c r="H86" t="s">
        <v>142</v>
      </c>
      <c r="I86" t="s">
        <v>23</v>
      </c>
      <c r="J86" s="18" t="s">
        <v>19</v>
      </c>
      <c r="K86" s="9" t="s">
        <v>16</v>
      </c>
      <c r="L86" s="9" t="s">
        <v>29</v>
      </c>
      <c r="M86" s="9" t="s">
        <v>121</v>
      </c>
      <c r="N86" s="9" t="s">
        <v>122</v>
      </c>
      <c r="O86" s="9" t="s">
        <v>71</v>
      </c>
      <c r="P86" s="18">
        <v>133078</v>
      </c>
      <c r="Q86" s="18" t="s">
        <v>21</v>
      </c>
      <c r="R86" s="18" t="s">
        <v>22</v>
      </c>
      <c r="S86" s="9" t="s">
        <v>20</v>
      </c>
      <c r="T86" s="9"/>
      <c r="V86" t="e">
        <f t="shared" si="23"/>
        <v>#N/A</v>
      </c>
      <c r="W86" s="26" t="s">
        <v>241</v>
      </c>
      <c r="X86" s="15" t="s">
        <v>129</v>
      </c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2:44" x14ac:dyDescent="0.25">
      <c r="B87" s="9" t="s">
        <v>40</v>
      </c>
      <c r="C87" s="9" t="s">
        <v>25</v>
      </c>
      <c r="D87" s="9" t="s">
        <v>26</v>
      </c>
      <c r="E87" s="9" t="s">
        <v>41</v>
      </c>
      <c r="F87" s="9" t="s">
        <v>57</v>
      </c>
      <c r="G87" s="9" t="str">
        <f t="shared" si="22"/>
        <v>641600000000000US92826C7974000TYVA01</v>
      </c>
      <c r="H87" t="s">
        <v>134</v>
      </c>
      <c r="I87" t="s">
        <v>23</v>
      </c>
      <c r="J87" s="18" t="s">
        <v>44</v>
      </c>
      <c r="K87" s="9" t="s">
        <v>16</v>
      </c>
      <c r="L87" s="9"/>
      <c r="M87" s="9"/>
      <c r="N87" s="9"/>
      <c r="O87" s="9"/>
      <c r="P87" s="18">
        <v>1289737.3400000001</v>
      </c>
      <c r="Q87" s="18" t="s">
        <v>21</v>
      </c>
      <c r="R87" s="18" t="s">
        <v>22</v>
      </c>
      <c r="S87" s="9" t="s">
        <v>45</v>
      </c>
      <c r="T87" s="9"/>
      <c r="V87" t="str">
        <f t="shared" si="23"/>
        <v>641600000000000US92826C7974000TYVA01</v>
      </c>
      <c r="W87" s="26"/>
      <c r="X87" s="15" t="s">
        <v>129</v>
      </c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2:44" x14ac:dyDescent="0.25">
      <c r="B88" s="9" t="s">
        <v>40</v>
      </c>
      <c r="C88" s="9" t="s">
        <v>25</v>
      </c>
      <c r="D88" s="9" t="s">
        <v>26</v>
      </c>
      <c r="E88" s="9" t="s">
        <v>41</v>
      </c>
      <c r="F88" s="9" t="s">
        <v>43</v>
      </c>
      <c r="G88" s="9" t="str">
        <f t="shared" si="22"/>
        <v>641600000000000US92826C8212000TYVA01</v>
      </c>
      <c r="H88" t="s">
        <v>169</v>
      </c>
      <c r="I88" t="s">
        <v>23</v>
      </c>
      <c r="J88" s="18" t="s">
        <v>44</v>
      </c>
      <c r="K88" s="9" t="s">
        <v>16</v>
      </c>
      <c r="L88" s="9"/>
      <c r="M88" s="9"/>
      <c r="N88" s="9"/>
      <c r="O88" s="9"/>
      <c r="P88" s="18">
        <v>1315706.23</v>
      </c>
      <c r="Q88" s="18" t="s">
        <v>21</v>
      </c>
      <c r="R88" s="18" t="s">
        <v>22</v>
      </c>
      <c r="S88" s="9" t="s">
        <v>45</v>
      </c>
      <c r="T88" s="9"/>
      <c r="V88" t="str">
        <f t="shared" si="23"/>
        <v>641600000000000US92826C8212000TYVA01</v>
      </c>
      <c r="X88" s="15" t="s">
        <v>129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2:44" x14ac:dyDescent="0.25">
      <c r="B89" s="9" t="s">
        <v>40</v>
      </c>
      <c r="C89" s="9" t="s">
        <v>25</v>
      </c>
      <c r="D89" s="9" t="s">
        <v>26</v>
      </c>
      <c r="E89" s="9" t="s">
        <v>41</v>
      </c>
      <c r="F89" s="9" t="s">
        <v>42</v>
      </c>
      <c r="G89" s="9" t="str">
        <f t="shared" si="22"/>
        <v>641600000000000PTLGR0AM0003000TYVA01</v>
      </c>
      <c r="H89" t="s">
        <v>158</v>
      </c>
      <c r="I89" t="s">
        <v>23</v>
      </c>
      <c r="J89" s="18" t="s">
        <v>19</v>
      </c>
      <c r="K89" s="9" t="s">
        <v>16</v>
      </c>
      <c r="L89" s="9"/>
      <c r="M89" s="9"/>
      <c r="N89" s="9"/>
      <c r="O89" s="9"/>
      <c r="P89" s="18">
        <v>249222.99</v>
      </c>
      <c r="Q89" s="18" t="s">
        <v>21</v>
      </c>
      <c r="R89" s="18" t="s">
        <v>22</v>
      </c>
      <c r="S89" s="9" t="s">
        <v>20</v>
      </c>
      <c r="T89" s="9"/>
      <c r="V89" t="str">
        <f t="shared" si="23"/>
        <v>641600000000000PTLGR0AM0003000TYVA01</v>
      </c>
      <c r="X89" s="15" t="s">
        <v>129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2:44" x14ac:dyDescent="0.25">
      <c r="B90" s="9" t="s">
        <v>31</v>
      </c>
      <c r="C90" s="9" t="s">
        <v>32</v>
      </c>
      <c r="D90" s="9" t="s">
        <v>17</v>
      </c>
      <c r="E90" s="9" t="s">
        <v>33</v>
      </c>
      <c r="F90" s="9" t="s">
        <v>37</v>
      </c>
      <c r="G90" s="9" t="str">
        <f t="shared" si="22"/>
        <v>CMAHAJID0000232600421BI0041100TYVA01</v>
      </c>
      <c r="H90" t="s">
        <v>143</v>
      </c>
      <c r="I90" t="s">
        <v>23</v>
      </c>
      <c r="J90" s="18" t="s">
        <v>19</v>
      </c>
      <c r="K90" s="9" t="s">
        <v>16</v>
      </c>
      <c r="L90" s="9"/>
      <c r="M90" s="9"/>
      <c r="N90" s="9"/>
      <c r="O90" s="9"/>
      <c r="P90" s="18">
        <v>-1.04</v>
      </c>
      <c r="Q90" s="18" t="s">
        <v>21</v>
      </c>
      <c r="R90" s="18" t="s">
        <v>22</v>
      </c>
      <c r="S90" s="9" t="s">
        <v>39</v>
      </c>
      <c r="T90" s="9"/>
      <c r="V90" t="str">
        <f t="shared" si="23"/>
        <v>CMAHAJID0000232600421BI0041100TYVA01</v>
      </c>
      <c r="W90" s="26"/>
      <c r="X90" s="15" t="s">
        <v>129</v>
      </c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2:44" x14ac:dyDescent="0.25">
      <c r="B91" s="9" t="s">
        <v>66</v>
      </c>
      <c r="C91" s="9" t="s">
        <v>25</v>
      </c>
      <c r="D91" s="9" t="s">
        <v>17</v>
      </c>
      <c r="E91" s="9" t="s">
        <v>82</v>
      </c>
      <c r="F91" s="9" t="s">
        <v>83</v>
      </c>
      <c r="G91" s="9" t="str">
        <f t="shared" si="22"/>
        <v>CMAHIFRC0100I161108P49001SC442TYVA02</v>
      </c>
      <c r="H91" t="s">
        <v>138</v>
      </c>
      <c r="I91" t="s">
        <v>23</v>
      </c>
      <c r="J91" s="18" t="s">
        <v>19</v>
      </c>
      <c r="K91" s="9" t="s">
        <v>16</v>
      </c>
      <c r="L91" s="9" t="s">
        <v>29</v>
      </c>
      <c r="M91" s="9" t="s">
        <v>69</v>
      </c>
      <c r="N91" s="9" t="s">
        <v>70</v>
      </c>
      <c r="O91" s="9" t="s">
        <v>71</v>
      </c>
      <c r="P91" s="18">
        <v>-11000000</v>
      </c>
      <c r="Q91" s="18" t="s">
        <v>21</v>
      </c>
      <c r="R91" s="18" t="s">
        <v>22</v>
      </c>
      <c r="S91" s="9" t="s">
        <v>20</v>
      </c>
      <c r="T91" s="9"/>
      <c r="V91" t="str">
        <f t="shared" si="23"/>
        <v>CMAHIFRC0100I161108P49001SC442TYVA02</v>
      </c>
      <c r="X91" s="15" t="s">
        <v>129</v>
      </c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2:44" x14ac:dyDescent="0.25">
      <c r="B92" s="9" t="s">
        <v>31</v>
      </c>
      <c r="C92" s="9" t="s">
        <v>25</v>
      </c>
      <c r="D92" s="9" t="s">
        <v>26</v>
      </c>
      <c r="E92" s="9" t="s">
        <v>103</v>
      </c>
      <c r="F92" s="9" t="s">
        <v>96</v>
      </c>
      <c r="G92" s="9" t="str">
        <f t="shared" si="22"/>
        <v>6416250EUR30450IRL202500215000TYVA01</v>
      </c>
      <c r="H92" t="s">
        <v>147</v>
      </c>
      <c r="I92" t="s">
        <v>23</v>
      </c>
      <c r="J92" s="18" t="s">
        <v>19</v>
      </c>
      <c r="K92" s="9" t="s">
        <v>16</v>
      </c>
      <c r="L92" s="9"/>
      <c r="M92" s="9"/>
      <c r="N92" s="9"/>
      <c r="O92" s="9" t="s">
        <v>36</v>
      </c>
      <c r="P92" s="18">
        <v>450000000</v>
      </c>
      <c r="Q92" s="18" t="s">
        <v>21</v>
      </c>
      <c r="R92" s="18" t="s">
        <v>22</v>
      </c>
      <c r="S92" s="9" t="s">
        <v>39</v>
      </c>
      <c r="T92" s="9"/>
      <c r="V92" t="str">
        <f t="shared" si="23"/>
        <v>6416250EUR30450IRL202500215000TYVA01</v>
      </c>
      <c r="X92" s="15" t="s">
        <v>129</v>
      </c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2:44" x14ac:dyDescent="0.25">
      <c r="B93" s="9" t="s">
        <v>49</v>
      </c>
      <c r="C93" s="9" t="s">
        <v>32</v>
      </c>
      <c r="D93" s="9" t="s">
        <v>17</v>
      </c>
      <c r="E93" s="9" t="s">
        <v>50</v>
      </c>
      <c r="F93" s="9" t="s">
        <v>51</v>
      </c>
      <c r="G93" s="9" t="str">
        <f t="shared" si="22"/>
        <v>CMAHAJID0000186400000BI0041100TYVA01</v>
      </c>
      <c r="H93" t="s">
        <v>171</v>
      </c>
      <c r="I93" t="s">
        <v>23</v>
      </c>
      <c r="J93" s="18" t="s">
        <v>19</v>
      </c>
      <c r="K93" s="9" t="s">
        <v>16</v>
      </c>
      <c r="L93" s="9" t="s">
        <v>29</v>
      </c>
      <c r="M93" s="9" t="s">
        <v>52</v>
      </c>
      <c r="N93" s="9" t="s">
        <v>53</v>
      </c>
      <c r="O93" s="9"/>
      <c r="P93" s="18">
        <v>-0.14000000000000001</v>
      </c>
      <c r="Q93" s="18" t="s">
        <v>21</v>
      </c>
      <c r="R93" s="18" t="s">
        <v>22</v>
      </c>
      <c r="S93" s="9" t="s">
        <v>54</v>
      </c>
      <c r="T93" s="9"/>
      <c r="V93" t="str">
        <f t="shared" si="23"/>
        <v>CMAHAJID0000186400000BI0041100TYVA01</v>
      </c>
      <c r="X93" s="15" t="s">
        <v>129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2:44" x14ac:dyDescent="0.25">
      <c r="B94" s="9" t="s">
        <v>40</v>
      </c>
      <c r="C94" s="9" t="s">
        <v>25</v>
      </c>
      <c r="D94" s="9" t="s">
        <v>26</v>
      </c>
      <c r="E94" s="9" t="s">
        <v>55</v>
      </c>
      <c r="F94" s="9" t="s">
        <v>56</v>
      </c>
      <c r="G94" s="9" t="str">
        <f t="shared" si="22"/>
        <v>6416250EUR49710PRT125001915000TYVA01</v>
      </c>
      <c r="H94" t="s">
        <v>148</v>
      </c>
      <c r="I94" t="s">
        <v>23</v>
      </c>
      <c r="J94" s="18" t="s">
        <v>19</v>
      </c>
      <c r="K94" s="9" t="s">
        <v>16</v>
      </c>
      <c r="L94" s="9"/>
      <c r="M94" s="9"/>
      <c r="N94" s="9"/>
      <c r="O94" s="9"/>
      <c r="P94" s="18">
        <v>850382.68</v>
      </c>
      <c r="Q94" s="18" t="s">
        <v>21</v>
      </c>
      <c r="R94" s="18" t="s">
        <v>22</v>
      </c>
      <c r="S94" s="9" t="s">
        <v>20</v>
      </c>
      <c r="T94" s="9"/>
      <c r="V94" t="str">
        <f t="shared" si="23"/>
        <v>6416250EUR49710PRT125001915000TYVA01</v>
      </c>
      <c r="X94" s="15" t="s">
        <v>129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2:44" x14ac:dyDescent="0.25">
      <c r="B95" s="9"/>
      <c r="C95" s="9"/>
      <c r="D95" s="9"/>
      <c r="E95" s="9"/>
      <c r="F95" s="9"/>
      <c r="H95" s="18"/>
      <c r="I95" s="9"/>
      <c r="J95" s="9"/>
      <c r="K95" s="9"/>
      <c r="L95" s="9"/>
      <c r="M95" s="9"/>
      <c r="N95" s="9"/>
      <c r="O95" s="9"/>
      <c r="P95" s="18"/>
      <c r="Q95" s="9"/>
      <c r="R95" s="9"/>
      <c r="S95" s="9"/>
    </row>
    <row r="96" spans="2:44" x14ac:dyDescent="0.25">
      <c r="B96" s="9"/>
      <c r="C96" s="9"/>
      <c r="D96" s="9"/>
      <c r="E96" s="9"/>
      <c r="F96" s="9"/>
      <c r="H96" s="18"/>
      <c r="I96" s="9"/>
      <c r="J96" s="9"/>
      <c r="K96" s="9"/>
      <c r="L96" s="9"/>
      <c r="M96" s="9"/>
      <c r="N96" s="9"/>
      <c r="O96" s="9"/>
      <c r="P96" s="18"/>
      <c r="Q96" s="9"/>
      <c r="R96" s="9"/>
      <c r="S96" s="9"/>
    </row>
    <row r="97" spans="2:19" x14ac:dyDescent="0.25">
      <c r="B97" s="9"/>
      <c r="C97" s="9"/>
      <c r="D97" s="9"/>
      <c r="E97" s="9"/>
      <c r="F97" s="9"/>
      <c r="H97" s="18"/>
      <c r="I97" s="9"/>
      <c r="J97" s="9"/>
      <c r="K97" s="9"/>
      <c r="L97" s="9"/>
      <c r="M97" s="9"/>
      <c r="N97" s="9"/>
      <c r="O97" s="9"/>
      <c r="P97" s="18"/>
      <c r="Q97" s="9"/>
      <c r="R97" s="9"/>
      <c r="S97" s="9"/>
    </row>
    <row r="98" spans="2:19" x14ac:dyDescent="0.25">
      <c r="B98" s="9"/>
      <c r="C98" s="9"/>
      <c r="D98" s="9"/>
      <c r="E98" s="9"/>
      <c r="F98" s="9"/>
      <c r="G98" s="19" t="s">
        <v>202</v>
      </c>
      <c r="H98" s="18"/>
      <c r="I98" s="9"/>
      <c r="J98" s="9"/>
      <c r="K98" s="9"/>
      <c r="L98" s="9"/>
      <c r="M98" s="9"/>
      <c r="N98" s="9"/>
      <c r="O98" s="9"/>
      <c r="P98" s="18"/>
      <c r="Q98" s="9"/>
      <c r="R98" s="9"/>
      <c r="S98" s="9"/>
    </row>
    <row r="99" spans="2:19" x14ac:dyDescent="0.25">
      <c r="B99" s="9"/>
      <c r="C99" s="9"/>
      <c r="D99" s="9"/>
      <c r="E99" s="9"/>
      <c r="F99" s="9"/>
      <c r="G99" t="s">
        <v>176</v>
      </c>
      <c r="H99" s="18"/>
      <c r="I99" s="9"/>
      <c r="J99" s="9"/>
      <c r="K99" s="9"/>
      <c r="L99" s="22"/>
      <c r="M99" s="9"/>
      <c r="N99" s="9"/>
      <c r="O99" s="9"/>
      <c r="P99" s="18"/>
      <c r="Q99" s="9"/>
      <c r="R99" s="9"/>
      <c r="S99" s="9"/>
    </row>
    <row r="100" spans="2:19" x14ac:dyDescent="0.25">
      <c r="B100" s="9"/>
      <c r="C100" s="9"/>
      <c r="D100" s="9"/>
      <c r="E100" s="9"/>
      <c r="F100" s="9"/>
      <c r="G100" t="s">
        <v>179</v>
      </c>
      <c r="H100" s="18"/>
      <c r="I100" s="9"/>
      <c r="J100" s="9"/>
      <c r="K100" s="9"/>
      <c r="L100" s="22"/>
      <c r="M100" s="9"/>
      <c r="N100" s="9"/>
      <c r="O100" s="9"/>
      <c r="P100" s="18"/>
      <c r="Q100" s="9"/>
      <c r="R100" s="9"/>
      <c r="S100" s="9"/>
    </row>
    <row r="101" spans="2:19" x14ac:dyDescent="0.25">
      <c r="B101" s="9"/>
      <c r="C101" s="9"/>
      <c r="D101" s="9"/>
      <c r="E101" s="9"/>
      <c r="F101" s="9"/>
      <c r="G101" t="s">
        <v>177</v>
      </c>
      <c r="H101" s="18"/>
      <c r="I101" s="9"/>
      <c r="J101" s="9"/>
      <c r="K101" s="9"/>
      <c r="L101" s="22"/>
      <c r="M101" s="9"/>
      <c r="N101" s="9"/>
      <c r="O101" s="9"/>
      <c r="P101" s="18"/>
      <c r="Q101" s="9"/>
      <c r="R101" s="9"/>
      <c r="S101" s="9"/>
    </row>
    <row r="102" spans="2:19" x14ac:dyDescent="0.25">
      <c r="B102" s="9"/>
      <c r="C102" s="9"/>
      <c r="D102" s="9"/>
      <c r="E102" s="9"/>
      <c r="F102" s="9"/>
      <c r="G102" t="s">
        <v>178</v>
      </c>
      <c r="H102" s="18"/>
      <c r="I102" s="9"/>
      <c r="J102" s="9"/>
      <c r="K102" s="9"/>
      <c r="L102" s="22"/>
      <c r="M102" s="9"/>
      <c r="N102" s="9"/>
      <c r="O102" s="9"/>
      <c r="P102" s="18"/>
      <c r="Q102" s="9"/>
      <c r="R102" s="9"/>
      <c r="S102" s="9"/>
    </row>
    <row r="103" spans="2:19" x14ac:dyDescent="0.25">
      <c r="G103" s="15" t="s">
        <v>237</v>
      </c>
    </row>
    <row r="106" spans="2:19" x14ac:dyDescent="0.25">
      <c r="G106" s="19" t="s">
        <v>203</v>
      </c>
    </row>
    <row r="107" spans="2:19" x14ac:dyDescent="0.25">
      <c r="G107" t="s">
        <v>180</v>
      </c>
    </row>
    <row r="108" spans="2:19" x14ac:dyDescent="0.25">
      <c r="G108" t="s">
        <v>182</v>
      </c>
    </row>
    <row r="109" spans="2:19" x14ac:dyDescent="0.25">
      <c r="G109" t="s">
        <v>181</v>
      </c>
    </row>
    <row r="111" spans="2:19" x14ac:dyDescent="0.25">
      <c r="G111" s="15" t="s">
        <v>240</v>
      </c>
    </row>
    <row r="128" spans="7:7" x14ac:dyDescent="0.25">
      <c r="G128" s="15"/>
    </row>
    <row r="136" spans="7:7" x14ac:dyDescent="0.25">
      <c r="G136" s="15"/>
    </row>
  </sheetData>
  <autoFilter ref="A8:XFD47"/>
  <mergeCells count="11">
    <mergeCell ref="AO7:AP7"/>
    <mergeCell ref="AR7:AS7"/>
    <mergeCell ref="AU7:AV7"/>
    <mergeCell ref="AX7:AY7"/>
    <mergeCell ref="BA7:BB7"/>
    <mergeCell ref="AL7:AM7"/>
    <mergeCell ref="V7:W7"/>
    <mergeCell ref="Y7:AA7"/>
    <mergeCell ref="AC7:AD7"/>
    <mergeCell ref="AF7:AG7"/>
    <mergeCell ref="AI7:AJ7"/>
  </mergeCells>
  <conditionalFormatting sqref="AD9:AD47">
    <cfRule type="cellIs" dxfId="8" priority="9" operator="equal">
      <formula>FALSE</formula>
    </cfRule>
  </conditionalFormatting>
  <conditionalFormatting sqref="AG9:AG47">
    <cfRule type="cellIs" dxfId="7" priority="8" operator="equal">
      <formula>FALSE</formula>
    </cfRule>
  </conditionalFormatting>
  <conditionalFormatting sqref="AJ9:AJ47">
    <cfRule type="cellIs" dxfId="6" priority="7" operator="equal">
      <formula>FALSE</formula>
    </cfRule>
  </conditionalFormatting>
  <conditionalFormatting sqref="AM9:AM47">
    <cfRule type="cellIs" dxfId="5" priority="6" operator="equal">
      <formula>FALSE</formula>
    </cfRule>
  </conditionalFormatting>
  <conditionalFormatting sqref="AP9:AP47">
    <cfRule type="cellIs" dxfId="4" priority="5" operator="equal">
      <formula>FALSE</formula>
    </cfRule>
  </conditionalFormatting>
  <conditionalFormatting sqref="AS9:AS47">
    <cfRule type="cellIs" dxfId="3" priority="4" operator="equal">
      <formula>FALSE</formula>
    </cfRule>
  </conditionalFormatting>
  <conditionalFormatting sqref="AV9:AV47">
    <cfRule type="cellIs" dxfId="2" priority="3" operator="equal">
      <formula>FALSE</formula>
    </cfRule>
  </conditionalFormatting>
  <conditionalFormatting sqref="AY9:AY47">
    <cfRule type="cellIs" dxfId="1" priority="2" operator="equal">
      <formula>FALSE</formula>
    </cfRule>
  </conditionalFormatting>
  <conditionalFormatting sqref="BB9:BB47">
    <cfRule type="cellIs" dxfId="0" priority="1" operator="equal">
      <formula>FALSE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C1265"/>
  <sheetViews>
    <sheetView showGridLines="0" topLeftCell="H43" workbookViewId="0">
      <selection activeCell="Y49" sqref="Y49"/>
    </sheetView>
  </sheetViews>
  <sheetFormatPr defaultRowHeight="15" x14ac:dyDescent="0.25"/>
  <cols>
    <col min="1" max="1" width="3.7109375" customWidth="1"/>
    <col min="2" max="2" width="15.42578125" bestFit="1" customWidth="1"/>
    <col min="3" max="3" width="25" bestFit="1" customWidth="1"/>
    <col min="4" max="4" width="13.28515625" bestFit="1" customWidth="1"/>
    <col min="7" max="7" width="41.140625" bestFit="1" customWidth="1"/>
    <col min="8" max="8" width="14.28515625" bestFit="1" customWidth="1"/>
    <col min="11" max="11" width="12.42578125" bestFit="1" customWidth="1"/>
    <col min="14" max="14" width="14" bestFit="1" customWidth="1"/>
    <col min="15" max="16" width="14.28515625" bestFit="1" customWidth="1"/>
    <col min="17" max="17" width="15.85546875" bestFit="1" customWidth="1"/>
    <col min="18" max="18" width="12.140625" bestFit="1" customWidth="1"/>
    <col min="21" max="21" width="13.5703125" bestFit="1" customWidth="1"/>
    <col min="22" max="22" width="12" customWidth="1"/>
    <col min="23" max="23" width="11.140625" bestFit="1" customWidth="1"/>
    <col min="24" max="25" width="13.5703125" bestFit="1" customWidth="1"/>
    <col min="26" max="26" width="21.5703125" bestFit="1" customWidth="1"/>
    <col min="28" max="28" width="12.28515625" bestFit="1" customWidth="1"/>
    <col min="30" max="30" width="12.140625" bestFit="1" customWidth="1"/>
    <col min="34" max="34" width="20" bestFit="1" customWidth="1"/>
    <col min="37" max="37" width="11.42578125" bestFit="1" customWidth="1"/>
    <col min="40" max="40" width="14" bestFit="1" customWidth="1"/>
    <col min="43" max="43" width="10.7109375" bestFit="1" customWidth="1"/>
    <col min="46" max="46" width="11.28515625" bestFit="1" customWidth="1"/>
    <col min="49" max="49" width="11.42578125" bestFit="1" customWidth="1"/>
    <col min="52" max="52" width="11.42578125" bestFit="1" customWidth="1"/>
  </cols>
  <sheetData>
    <row r="1" spans="1:16383" s="1" customFormat="1" x14ac:dyDescent="0.25"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</row>
    <row r="2" spans="1:16383" s="1" customFormat="1" x14ac:dyDescent="0.25"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</row>
    <row r="3" spans="1:16383" s="1" customFormat="1" x14ac:dyDescent="0.25"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</row>
    <row r="4" spans="1:16383" s="1" customFormat="1" ht="15.75" thickBo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</row>
    <row r="5" spans="1:16383" s="6" customFormat="1" ht="6.95" customHeight="1" thickTop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</row>
    <row r="6" spans="1:16383" s="6" customFormat="1" ht="15" customHeight="1" x14ac:dyDescent="0.25">
      <c r="A6" s="4"/>
      <c r="B6" s="5"/>
      <c r="C6" s="60"/>
      <c r="D6" s="60"/>
      <c r="E6" s="5"/>
      <c r="F6" s="5"/>
      <c r="G6" s="60"/>
      <c r="H6" s="55">
        <f>SUBTOTAL(9,H10:H814)</f>
        <v>37228422.219999984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/>
      <c r="W6"/>
      <c r="Z6" s="61">
        <f>SUBTOTAL(9,Z10:Z814)</f>
        <v>109847.13999999998</v>
      </c>
    </row>
    <row r="7" spans="1:16383" s="6" customFormat="1" ht="15" customHeight="1" x14ac:dyDescent="0.25">
      <c r="A7" s="4"/>
      <c r="B7" s="40">
        <v>45809</v>
      </c>
      <c r="C7" s="5"/>
      <c r="D7" s="5"/>
      <c r="E7" s="5"/>
      <c r="F7" s="5"/>
      <c r="G7" s="60"/>
      <c r="H7" s="5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V7" s="58" t="s">
        <v>239</v>
      </c>
      <c r="W7" s="58"/>
      <c r="Y7" s="58" t="s">
        <v>235</v>
      </c>
      <c r="Z7" s="58"/>
    </row>
    <row r="8" spans="1:16383" ht="15" customHeight="1" x14ac:dyDescent="0.25"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273</v>
      </c>
      <c r="H8" s="10" t="s">
        <v>12</v>
      </c>
      <c r="I8" s="10" t="s">
        <v>5</v>
      </c>
      <c r="J8" s="10" t="s">
        <v>6</v>
      </c>
      <c r="K8" s="10" t="s">
        <v>7</v>
      </c>
      <c r="L8" s="10" t="s">
        <v>8</v>
      </c>
      <c r="M8" s="10" t="s">
        <v>9</v>
      </c>
      <c r="N8" s="10" t="s">
        <v>13</v>
      </c>
      <c r="O8" s="10" t="s">
        <v>14</v>
      </c>
      <c r="P8" s="10" t="s">
        <v>11</v>
      </c>
      <c r="Q8" s="10" t="s">
        <v>274</v>
      </c>
      <c r="R8" s="10" t="s">
        <v>201</v>
      </c>
      <c r="S8" s="10" t="s">
        <v>127</v>
      </c>
      <c r="V8" s="24" t="s">
        <v>227</v>
      </c>
      <c r="W8" s="24" t="s">
        <v>228</v>
      </c>
      <c r="Y8" s="24" t="s">
        <v>687</v>
      </c>
      <c r="Z8" s="24" t="s">
        <v>688</v>
      </c>
    </row>
    <row r="9" spans="1:16383" ht="15" hidden="1" customHeight="1" x14ac:dyDescent="0.25">
      <c r="B9" t="s">
        <v>15</v>
      </c>
      <c r="C9" t="s">
        <v>16</v>
      </c>
      <c r="D9" t="s">
        <v>16</v>
      </c>
      <c r="E9" t="s">
        <v>16</v>
      </c>
      <c r="F9" t="s">
        <v>16</v>
      </c>
      <c r="G9" t="s">
        <v>275</v>
      </c>
      <c r="H9" s="18">
        <v>-38982.17</v>
      </c>
      <c r="J9" t="s">
        <v>19</v>
      </c>
      <c r="N9" t="s">
        <v>21</v>
      </c>
      <c r="O9" t="s">
        <v>22</v>
      </c>
      <c r="P9" t="s">
        <v>20</v>
      </c>
      <c r="Q9">
        <v>23730</v>
      </c>
      <c r="R9">
        <f>COUNTIF($Q$9:$Q$816,Q9)</f>
        <v>2</v>
      </c>
      <c r="S9" s="20" t="s">
        <v>276</v>
      </c>
      <c r="T9" s="15" t="s">
        <v>129</v>
      </c>
      <c r="V9">
        <f>IFERROR(VLOOKUP(Q9,$C$823:$C$1253,1,FALSE),"")</f>
        <v>23730</v>
      </c>
      <c r="Y9" s="18">
        <f>IFERROR(VLOOKUP(Q9,$C$823:$D$1253,2,FALSE),"")</f>
        <v>89561.46</v>
      </c>
      <c r="Z9" s="18" t="str">
        <f>IFERROR(IF(RIGHT(B9,6)="TYVA02","",H9-Y9),"")</f>
        <v/>
      </c>
    </row>
    <row r="10" spans="1:16383" ht="15" customHeight="1" x14ac:dyDescent="0.25">
      <c r="B10" t="s">
        <v>277</v>
      </c>
      <c r="C10" t="s">
        <v>16</v>
      </c>
      <c r="D10" t="s">
        <v>16</v>
      </c>
      <c r="E10" t="s">
        <v>16</v>
      </c>
      <c r="F10" t="s">
        <v>16</v>
      </c>
      <c r="G10" t="s">
        <v>278</v>
      </c>
      <c r="H10" s="18">
        <v>94109.61</v>
      </c>
      <c r="I10" t="s">
        <v>23</v>
      </c>
      <c r="J10" t="s">
        <v>19</v>
      </c>
      <c r="N10" t="s">
        <v>21</v>
      </c>
      <c r="O10" t="s">
        <v>22</v>
      </c>
      <c r="P10" t="s">
        <v>20</v>
      </c>
      <c r="Q10">
        <v>23517</v>
      </c>
      <c r="R10">
        <f t="shared" ref="R10:R73" si="0">COUNTIF($Q$9:$Q$816,Q10)</f>
        <v>2</v>
      </c>
      <c r="V10">
        <f t="shared" ref="V10:V73" si="1">IFERROR(VLOOKUP(Q10,$C$823:$C$1253,1,FALSE),"")</f>
        <v>23517</v>
      </c>
      <c r="Y10" s="18">
        <f t="shared" ref="Y10:Y73" si="2">IFERROR(VLOOKUP(Q10,$C$823:$D$1253,2,FALSE),"")</f>
        <v>94109.61</v>
      </c>
      <c r="Z10" s="18">
        <f t="shared" ref="Z10:Z73" si="3">IFERROR(IF(RIGHT(B10,6)="TYVA02","",H10-Y10),"")</f>
        <v>0</v>
      </c>
    </row>
    <row r="11" spans="1:16383" x14ac:dyDescent="0.25">
      <c r="B11" t="s">
        <v>277</v>
      </c>
      <c r="C11" t="s">
        <v>16</v>
      </c>
      <c r="D11" t="s">
        <v>16</v>
      </c>
      <c r="E11" t="s">
        <v>16</v>
      </c>
      <c r="F11" t="s">
        <v>16</v>
      </c>
      <c r="G11" t="s">
        <v>279</v>
      </c>
      <c r="H11" s="18">
        <v>9145.82</v>
      </c>
      <c r="I11" t="s">
        <v>23</v>
      </c>
      <c r="J11" t="s">
        <v>19</v>
      </c>
      <c r="N11" t="s">
        <v>21</v>
      </c>
      <c r="O11" t="s">
        <v>22</v>
      </c>
      <c r="P11" t="s">
        <v>20</v>
      </c>
      <c r="Q11">
        <v>23548</v>
      </c>
      <c r="R11">
        <f t="shared" si="0"/>
        <v>2</v>
      </c>
      <c r="V11">
        <f t="shared" si="1"/>
        <v>23548</v>
      </c>
      <c r="Y11" s="18">
        <f t="shared" si="2"/>
        <v>9145.82</v>
      </c>
      <c r="Z11" s="18">
        <f t="shared" si="3"/>
        <v>0</v>
      </c>
    </row>
    <row r="12" spans="1:16383" x14ac:dyDescent="0.25">
      <c r="B12" t="s">
        <v>277</v>
      </c>
      <c r="C12" t="s">
        <v>16</v>
      </c>
      <c r="D12" t="s">
        <v>16</v>
      </c>
      <c r="E12" t="s">
        <v>16</v>
      </c>
      <c r="F12" t="s">
        <v>16</v>
      </c>
      <c r="G12" t="s">
        <v>280</v>
      </c>
      <c r="H12" s="18">
        <v>76226.98</v>
      </c>
      <c r="I12" t="s">
        <v>23</v>
      </c>
      <c r="J12" t="s">
        <v>19</v>
      </c>
      <c r="N12" t="s">
        <v>21</v>
      </c>
      <c r="O12" t="s">
        <v>22</v>
      </c>
      <c r="P12" t="s">
        <v>20</v>
      </c>
      <c r="Q12">
        <v>26800</v>
      </c>
      <c r="R12">
        <f t="shared" si="0"/>
        <v>2</v>
      </c>
      <c r="V12">
        <f t="shared" si="1"/>
        <v>26800</v>
      </c>
      <c r="Y12" s="18">
        <f t="shared" si="2"/>
        <v>76226.98</v>
      </c>
      <c r="Z12" s="18">
        <f t="shared" si="3"/>
        <v>0</v>
      </c>
    </row>
    <row r="13" spans="1:16383" x14ac:dyDescent="0.25">
      <c r="B13" t="s">
        <v>277</v>
      </c>
      <c r="C13" t="s">
        <v>16</v>
      </c>
      <c r="D13" t="s">
        <v>16</v>
      </c>
      <c r="E13" t="s">
        <v>16</v>
      </c>
      <c r="F13" t="s">
        <v>16</v>
      </c>
      <c r="G13" t="s">
        <v>281</v>
      </c>
      <c r="H13" s="18">
        <v>262576.89</v>
      </c>
      <c r="I13" t="s">
        <v>23</v>
      </c>
      <c r="J13" t="s">
        <v>19</v>
      </c>
      <c r="N13" t="s">
        <v>21</v>
      </c>
      <c r="O13" t="s">
        <v>22</v>
      </c>
      <c r="P13" t="s">
        <v>20</v>
      </c>
      <c r="Q13">
        <v>23917</v>
      </c>
      <c r="R13">
        <f t="shared" si="0"/>
        <v>2</v>
      </c>
      <c r="V13">
        <f t="shared" si="1"/>
        <v>23917</v>
      </c>
      <c r="Y13" s="18">
        <f t="shared" si="2"/>
        <v>262576.89</v>
      </c>
      <c r="Z13" s="18">
        <f t="shared" si="3"/>
        <v>0</v>
      </c>
    </row>
    <row r="14" spans="1:16383" hidden="1" x14ac:dyDescent="0.25">
      <c r="B14" t="s">
        <v>15</v>
      </c>
      <c r="C14" t="s">
        <v>16</v>
      </c>
      <c r="D14" t="s">
        <v>16</v>
      </c>
      <c r="E14" t="s">
        <v>16</v>
      </c>
      <c r="F14" t="s">
        <v>16</v>
      </c>
      <c r="G14" t="s">
        <v>282</v>
      </c>
      <c r="H14" s="18">
        <v>-178.95</v>
      </c>
      <c r="J14" t="s">
        <v>19</v>
      </c>
      <c r="N14" t="s">
        <v>21</v>
      </c>
      <c r="O14" t="s">
        <v>22</v>
      </c>
      <c r="P14" t="s">
        <v>20</v>
      </c>
      <c r="Q14">
        <v>23645</v>
      </c>
      <c r="R14">
        <f t="shared" si="0"/>
        <v>2</v>
      </c>
      <c r="V14">
        <f t="shared" si="1"/>
        <v>23645</v>
      </c>
      <c r="Y14" s="18">
        <f t="shared" si="2"/>
        <v>266.56</v>
      </c>
      <c r="Z14" s="18" t="str">
        <f t="shared" si="3"/>
        <v/>
      </c>
    </row>
    <row r="15" spans="1:16383" x14ac:dyDescent="0.25">
      <c r="B15" t="s">
        <v>277</v>
      </c>
      <c r="C15" t="s">
        <v>16</v>
      </c>
      <c r="D15" t="s">
        <v>16</v>
      </c>
      <c r="E15" t="s">
        <v>16</v>
      </c>
      <c r="F15" t="s">
        <v>16</v>
      </c>
      <c r="G15" t="s">
        <v>283</v>
      </c>
      <c r="H15" s="18">
        <v>30846.26</v>
      </c>
      <c r="I15" t="s">
        <v>23</v>
      </c>
      <c r="J15" t="s">
        <v>19</v>
      </c>
      <c r="N15" t="s">
        <v>21</v>
      </c>
      <c r="O15" t="s">
        <v>22</v>
      </c>
      <c r="P15" t="s">
        <v>20</v>
      </c>
      <c r="Q15">
        <v>69025101</v>
      </c>
      <c r="R15">
        <f t="shared" si="0"/>
        <v>2</v>
      </c>
      <c r="V15">
        <f t="shared" si="1"/>
        <v>69025101</v>
      </c>
      <c r="Y15" s="18">
        <f t="shared" si="2"/>
        <v>30846.26</v>
      </c>
      <c r="Z15" s="18">
        <f t="shared" si="3"/>
        <v>0</v>
      </c>
    </row>
    <row r="16" spans="1:16383" x14ac:dyDescent="0.25">
      <c r="B16" t="s">
        <v>277</v>
      </c>
      <c r="C16" t="s">
        <v>16</v>
      </c>
      <c r="D16" t="s">
        <v>16</v>
      </c>
      <c r="E16" t="s">
        <v>16</v>
      </c>
      <c r="F16" t="s">
        <v>16</v>
      </c>
      <c r="G16" t="s">
        <v>284</v>
      </c>
      <c r="H16" s="18">
        <v>1859.47</v>
      </c>
      <c r="I16" t="s">
        <v>23</v>
      </c>
      <c r="J16" t="s">
        <v>19</v>
      </c>
      <c r="N16" t="s">
        <v>21</v>
      </c>
      <c r="O16" t="s">
        <v>22</v>
      </c>
      <c r="P16" t="s">
        <v>20</v>
      </c>
      <c r="Q16">
        <v>23587</v>
      </c>
      <c r="R16">
        <f t="shared" si="0"/>
        <v>2</v>
      </c>
      <c r="V16">
        <f t="shared" si="1"/>
        <v>23587</v>
      </c>
      <c r="Y16" s="18">
        <f t="shared" si="2"/>
        <v>1859.47</v>
      </c>
      <c r="Z16" s="18">
        <f t="shared" si="3"/>
        <v>0</v>
      </c>
    </row>
    <row r="17" spans="2:26" x14ac:dyDescent="0.25">
      <c r="B17" t="s">
        <v>277</v>
      </c>
      <c r="C17" t="s">
        <v>16</v>
      </c>
      <c r="D17" t="s">
        <v>16</v>
      </c>
      <c r="E17" t="s">
        <v>16</v>
      </c>
      <c r="F17" t="s">
        <v>16</v>
      </c>
      <c r="G17" t="s">
        <v>285</v>
      </c>
      <c r="H17" s="18">
        <v>52572.639999999999</v>
      </c>
      <c r="I17" t="s">
        <v>23</v>
      </c>
      <c r="J17" t="s">
        <v>19</v>
      </c>
      <c r="N17" t="s">
        <v>21</v>
      </c>
      <c r="O17" t="s">
        <v>22</v>
      </c>
      <c r="P17" t="s">
        <v>20</v>
      </c>
      <c r="Q17">
        <v>25588</v>
      </c>
      <c r="R17">
        <f t="shared" si="0"/>
        <v>2</v>
      </c>
      <c r="V17">
        <f t="shared" si="1"/>
        <v>25588</v>
      </c>
      <c r="Y17" s="18">
        <f t="shared" si="2"/>
        <v>52572.639999999999</v>
      </c>
      <c r="Z17" s="18">
        <f t="shared" si="3"/>
        <v>0</v>
      </c>
    </row>
    <row r="18" spans="2:26" x14ac:dyDescent="0.25">
      <c r="B18" t="s">
        <v>277</v>
      </c>
      <c r="C18" t="s">
        <v>16</v>
      </c>
      <c r="D18" t="s">
        <v>16</v>
      </c>
      <c r="E18" t="s">
        <v>16</v>
      </c>
      <c r="F18" t="s">
        <v>16</v>
      </c>
      <c r="G18" t="s">
        <v>286</v>
      </c>
      <c r="H18" s="18">
        <v>82013.759999999995</v>
      </c>
      <c r="I18" t="s">
        <v>23</v>
      </c>
      <c r="J18" t="s">
        <v>19</v>
      </c>
      <c r="N18" t="s">
        <v>21</v>
      </c>
      <c r="O18" t="s">
        <v>22</v>
      </c>
      <c r="P18" t="s">
        <v>20</v>
      </c>
      <c r="Q18">
        <v>19061</v>
      </c>
      <c r="R18">
        <f t="shared" si="0"/>
        <v>2</v>
      </c>
      <c r="V18">
        <f t="shared" si="1"/>
        <v>19061</v>
      </c>
      <c r="Y18" s="18">
        <f t="shared" si="2"/>
        <v>82013.759999999995</v>
      </c>
      <c r="Z18" s="18">
        <f t="shared" si="3"/>
        <v>0</v>
      </c>
    </row>
    <row r="19" spans="2:26" x14ac:dyDescent="0.25">
      <c r="B19" t="s">
        <v>277</v>
      </c>
      <c r="C19" t="s">
        <v>16</v>
      </c>
      <c r="D19" t="s">
        <v>16</v>
      </c>
      <c r="E19" t="s">
        <v>16</v>
      </c>
      <c r="F19" t="s">
        <v>16</v>
      </c>
      <c r="G19" t="s">
        <v>287</v>
      </c>
      <c r="H19" s="18">
        <v>55000</v>
      </c>
      <c r="I19" t="s">
        <v>23</v>
      </c>
      <c r="J19" t="s">
        <v>19</v>
      </c>
      <c r="N19" t="s">
        <v>21</v>
      </c>
      <c r="O19" t="s">
        <v>22</v>
      </c>
      <c r="P19" t="s">
        <v>20</v>
      </c>
      <c r="Q19">
        <v>18545</v>
      </c>
      <c r="R19">
        <f t="shared" si="0"/>
        <v>2</v>
      </c>
      <c r="V19">
        <f t="shared" si="1"/>
        <v>18545</v>
      </c>
      <c r="Y19" s="18">
        <f t="shared" si="2"/>
        <v>55000</v>
      </c>
      <c r="Z19" s="18">
        <f t="shared" si="3"/>
        <v>0</v>
      </c>
    </row>
    <row r="20" spans="2:26" x14ac:dyDescent="0.25">
      <c r="B20" t="s">
        <v>277</v>
      </c>
      <c r="C20" t="s">
        <v>16</v>
      </c>
      <c r="D20" t="s">
        <v>16</v>
      </c>
      <c r="E20" t="s">
        <v>16</v>
      </c>
      <c r="F20" t="s">
        <v>16</v>
      </c>
      <c r="G20" t="s">
        <v>288</v>
      </c>
      <c r="H20" s="18">
        <v>334.28</v>
      </c>
      <c r="I20" t="s">
        <v>23</v>
      </c>
      <c r="J20" t="s">
        <v>19</v>
      </c>
      <c r="N20" t="s">
        <v>21</v>
      </c>
      <c r="O20" t="s">
        <v>22</v>
      </c>
      <c r="P20" t="s">
        <v>20</v>
      </c>
      <c r="Q20">
        <v>23643</v>
      </c>
      <c r="R20">
        <f t="shared" si="0"/>
        <v>2</v>
      </c>
      <c r="V20">
        <f t="shared" si="1"/>
        <v>23643</v>
      </c>
      <c r="Y20" s="18">
        <f t="shared" si="2"/>
        <v>334.28</v>
      </c>
      <c r="Z20" s="18">
        <f t="shared" si="3"/>
        <v>0</v>
      </c>
    </row>
    <row r="21" spans="2:26" x14ac:dyDescent="0.25">
      <c r="B21" t="s">
        <v>277</v>
      </c>
      <c r="C21" t="s">
        <v>16</v>
      </c>
      <c r="D21" t="s">
        <v>16</v>
      </c>
      <c r="E21" t="s">
        <v>16</v>
      </c>
      <c r="F21" t="s">
        <v>16</v>
      </c>
      <c r="G21" t="s">
        <v>289</v>
      </c>
      <c r="H21" s="18">
        <v>386525.1</v>
      </c>
      <c r="I21" t="s">
        <v>23</v>
      </c>
      <c r="J21" t="s">
        <v>19</v>
      </c>
      <c r="N21" t="s">
        <v>21</v>
      </c>
      <c r="O21" t="s">
        <v>22</v>
      </c>
      <c r="P21" t="s">
        <v>20</v>
      </c>
      <c r="Q21">
        <v>24113</v>
      </c>
      <c r="R21">
        <f t="shared" si="0"/>
        <v>2</v>
      </c>
      <c r="V21">
        <f t="shared" si="1"/>
        <v>24113</v>
      </c>
      <c r="Y21" s="18">
        <f t="shared" si="2"/>
        <v>386525.1</v>
      </c>
      <c r="Z21" s="18">
        <f t="shared" si="3"/>
        <v>0</v>
      </c>
    </row>
    <row r="22" spans="2:26" hidden="1" x14ac:dyDescent="0.25">
      <c r="B22" t="s">
        <v>15</v>
      </c>
      <c r="C22" t="s">
        <v>16</v>
      </c>
      <c r="D22" t="s">
        <v>16</v>
      </c>
      <c r="E22" t="s">
        <v>16</v>
      </c>
      <c r="F22" t="s">
        <v>16</v>
      </c>
      <c r="G22" t="s">
        <v>290</v>
      </c>
      <c r="H22" s="18">
        <v>-2236.0700000000002</v>
      </c>
      <c r="J22" t="s">
        <v>19</v>
      </c>
      <c r="N22" t="s">
        <v>21</v>
      </c>
      <c r="O22" t="s">
        <v>22</v>
      </c>
      <c r="P22" t="s">
        <v>20</v>
      </c>
      <c r="Q22">
        <v>27129</v>
      </c>
      <c r="R22">
        <f t="shared" si="0"/>
        <v>2</v>
      </c>
      <c r="V22" t="str">
        <f t="shared" si="1"/>
        <v/>
      </c>
      <c r="W22" s="26" t="s">
        <v>686</v>
      </c>
      <c r="X22" s="15" t="s">
        <v>129</v>
      </c>
      <c r="Y22" s="18" t="str">
        <f t="shared" si="2"/>
        <v/>
      </c>
      <c r="Z22" s="18" t="str">
        <f t="shared" si="3"/>
        <v/>
      </c>
    </row>
    <row r="23" spans="2:26" hidden="1" x14ac:dyDescent="0.25">
      <c r="B23" t="s">
        <v>15</v>
      </c>
      <c r="C23" t="s">
        <v>16</v>
      </c>
      <c r="D23" t="s">
        <v>16</v>
      </c>
      <c r="E23" t="s">
        <v>16</v>
      </c>
      <c r="F23" t="s">
        <v>16</v>
      </c>
      <c r="G23" t="s">
        <v>291</v>
      </c>
      <c r="H23" s="18">
        <v>-1025.07</v>
      </c>
      <c r="J23" t="s">
        <v>19</v>
      </c>
      <c r="N23" t="s">
        <v>21</v>
      </c>
      <c r="O23" t="s">
        <v>22</v>
      </c>
      <c r="P23" t="s">
        <v>20</v>
      </c>
      <c r="Q23">
        <v>7400356304</v>
      </c>
      <c r="R23">
        <f t="shared" si="0"/>
        <v>2</v>
      </c>
      <c r="V23">
        <f t="shared" si="1"/>
        <v>7400356304</v>
      </c>
      <c r="Y23" s="18">
        <f t="shared" si="2"/>
        <v>26120.79</v>
      </c>
      <c r="Z23" s="18" t="str">
        <f t="shared" si="3"/>
        <v/>
      </c>
    </row>
    <row r="24" spans="2:26" x14ac:dyDescent="0.25">
      <c r="B24" t="s">
        <v>277</v>
      </c>
      <c r="C24" t="s">
        <v>16</v>
      </c>
      <c r="D24" t="s">
        <v>16</v>
      </c>
      <c r="E24" t="s">
        <v>16</v>
      </c>
      <c r="F24" t="s">
        <v>16</v>
      </c>
      <c r="G24" t="s">
        <v>292</v>
      </c>
      <c r="H24" s="18">
        <v>180612.34</v>
      </c>
      <c r="I24" t="s">
        <v>23</v>
      </c>
      <c r="J24" t="s">
        <v>19</v>
      </c>
      <c r="N24" t="s">
        <v>21</v>
      </c>
      <c r="O24" t="s">
        <v>22</v>
      </c>
      <c r="P24" t="s">
        <v>20</v>
      </c>
      <c r="Q24">
        <v>23669</v>
      </c>
      <c r="R24">
        <f t="shared" si="0"/>
        <v>2</v>
      </c>
      <c r="V24">
        <f t="shared" si="1"/>
        <v>23669</v>
      </c>
      <c r="Y24" s="18">
        <f t="shared" si="2"/>
        <v>180612.34</v>
      </c>
      <c r="Z24" s="18">
        <f t="shared" si="3"/>
        <v>0</v>
      </c>
    </row>
    <row r="25" spans="2:26" hidden="1" x14ac:dyDescent="0.25">
      <c r="B25" t="s">
        <v>15</v>
      </c>
      <c r="C25" t="s">
        <v>16</v>
      </c>
      <c r="D25" t="s">
        <v>16</v>
      </c>
      <c r="E25" t="s">
        <v>16</v>
      </c>
      <c r="F25" t="s">
        <v>16</v>
      </c>
      <c r="G25" t="s">
        <v>293</v>
      </c>
      <c r="H25" s="18">
        <v>-4235.78</v>
      </c>
      <c r="J25" t="s">
        <v>19</v>
      </c>
      <c r="N25" t="s">
        <v>21</v>
      </c>
      <c r="O25" t="s">
        <v>22</v>
      </c>
      <c r="P25" t="s">
        <v>20</v>
      </c>
      <c r="Q25">
        <v>27152</v>
      </c>
      <c r="R25">
        <f t="shared" si="0"/>
        <v>2</v>
      </c>
      <c r="V25" t="str">
        <f t="shared" si="1"/>
        <v/>
      </c>
      <c r="W25" s="26" t="s">
        <v>686</v>
      </c>
      <c r="X25" s="15" t="s">
        <v>129</v>
      </c>
      <c r="Y25" s="18" t="str">
        <f t="shared" si="2"/>
        <v/>
      </c>
      <c r="Z25" s="18" t="str">
        <f t="shared" si="3"/>
        <v/>
      </c>
    </row>
    <row r="26" spans="2:26" hidden="1" x14ac:dyDescent="0.25">
      <c r="B26" t="s">
        <v>15</v>
      </c>
      <c r="C26" t="s">
        <v>16</v>
      </c>
      <c r="D26" t="s">
        <v>16</v>
      </c>
      <c r="E26" t="s">
        <v>16</v>
      </c>
      <c r="F26" t="s">
        <v>16</v>
      </c>
      <c r="G26" t="s">
        <v>294</v>
      </c>
      <c r="H26" s="18">
        <v>-6702.59</v>
      </c>
      <c r="J26" t="s">
        <v>19</v>
      </c>
      <c r="N26" t="s">
        <v>21</v>
      </c>
      <c r="O26" t="s">
        <v>22</v>
      </c>
      <c r="P26" t="s">
        <v>20</v>
      </c>
      <c r="Q26">
        <v>23549</v>
      </c>
      <c r="R26">
        <f t="shared" si="0"/>
        <v>2</v>
      </c>
      <c r="V26">
        <f t="shared" si="1"/>
        <v>23549</v>
      </c>
      <c r="Y26" s="18">
        <f t="shared" si="2"/>
        <v>9145.82</v>
      </c>
      <c r="Z26" s="18" t="str">
        <f t="shared" si="3"/>
        <v/>
      </c>
    </row>
    <row r="27" spans="2:26" hidden="1" x14ac:dyDescent="0.25">
      <c r="B27" t="s">
        <v>15</v>
      </c>
      <c r="C27" t="s">
        <v>16</v>
      </c>
      <c r="D27" t="s">
        <v>16</v>
      </c>
      <c r="E27" t="s">
        <v>16</v>
      </c>
      <c r="F27" t="s">
        <v>16</v>
      </c>
      <c r="G27" t="s">
        <v>295</v>
      </c>
      <c r="H27" s="18">
        <v>-25719.29</v>
      </c>
      <c r="J27" t="s">
        <v>19</v>
      </c>
      <c r="N27" t="s">
        <v>21</v>
      </c>
      <c r="O27" t="s">
        <v>22</v>
      </c>
      <c r="P27" t="s">
        <v>20</v>
      </c>
      <c r="Q27">
        <v>3761002127</v>
      </c>
      <c r="R27">
        <f t="shared" si="0"/>
        <v>2</v>
      </c>
      <c r="V27">
        <f t="shared" si="1"/>
        <v>3761002127</v>
      </c>
      <c r="Y27" s="18">
        <f t="shared" si="2"/>
        <v>89297.81</v>
      </c>
      <c r="Z27" s="18" t="str">
        <f t="shared" si="3"/>
        <v/>
      </c>
    </row>
    <row r="28" spans="2:26" x14ac:dyDescent="0.25">
      <c r="B28" t="s">
        <v>277</v>
      </c>
      <c r="C28" t="s">
        <v>16</v>
      </c>
      <c r="D28" t="s">
        <v>16</v>
      </c>
      <c r="E28" t="s">
        <v>16</v>
      </c>
      <c r="F28" t="s">
        <v>16</v>
      </c>
      <c r="G28" t="s">
        <v>296</v>
      </c>
      <c r="H28" s="18">
        <v>13435.51</v>
      </c>
      <c r="I28" t="s">
        <v>23</v>
      </c>
      <c r="J28" t="s">
        <v>19</v>
      </c>
      <c r="N28" t="s">
        <v>21</v>
      </c>
      <c r="O28" t="s">
        <v>22</v>
      </c>
      <c r="P28" t="s">
        <v>20</v>
      </c>
      <c r="Q28">
        <v>23575</v>
      </c>
      <c r="R28">
        <f t="shared" si="0"/>
        <v>2</v>
      </c>
      <c r="V28">
        <f t="shared" si="1"/>
        <v>23575</v>
      </c>
      <c r="Y28" s="18">
        <f t="shared" si="2"/>
        <v>13435.51</v>
      </c>
      <c r="Z28" s="18">
        <f t="shared" si="3"/>
        <v>0</v>
      </c>
    </row>
    <row r="29" spans="2:26" hidden="1" x14ac:dyDescent="0.25">
      <c r="B29" t="s">
        <v>15</v>
      </c>
      <c r="C29" t="s">
        <v>16</v>
      </c>
      <c r="D29" t="s">
        <v>16</v>
      </c>
      <c r="E29" t="s">
        <v>16</v>
      </c>
      <c r="F29" t="s">
        <v>16</v>
      </c>
      <c r="G29" t="s">
        <v>297</v>
      </c>
      <c r="H29" s="18">
        <v>-1628.61</v>
      </c>
      <c r="J29" t="s">
        <v>19</v>
      </c>
      <c r="N29" t="s">
        <v>21</v>
      </c>
      <c r="O29" t="s">
        <v>22</v>
      </c>
      <c r="P29" t="s">
        <v>20</v>
      </c>
      <c r="Q29">
        <v>27117</v>
      </c>
      <c r="R29">
        <f t="shared" si="0"/>
        <v>2</v>
      </c>
      <c r="V29" t="str">
        <f t="shared" si="1"/>
        <v/>
      </c>
      <c r="W29" s="26" t="s">
        <v>686</v>
      </c>
      <c r="X29" s="15" t="s">
        <v>129</v>
      </c>
      <c r="Y29" s="18" t="str">
        <f t="shared" si="2"/>
        <v/>
      </c>
      <c r="Z29" s="18" t="str">
        <f t="shared" si="3"/>
        <v/>
      </c>
    </row>
    <row r="30" spans="2:26" x14ac:dyDescent="0.25">
      <c r="B30" t="s">
        <v>277</v>
      </c>
      <c r="C30" t="s">
        <v>16</v>
      </c>
      <c r="D30" t="s">
        <v>16</v>
      </c>
      <c r="E30" t="s">
        <v>16</v>
      </c>
      <c r="F30" t="s">
        <v>16</v>
      </c>
      <c r="G30" t="s">
        <v>298</v>
      </c>
      <c r="H30" s="18">
        <v>11931.23</v>
      </c>
      <c r="I30" t="s">
        <v>23</v>
      </c>
      <c r="J30" t="s">
        <v>19</v>
      </c>
      <c r="N30" t="s">
        <v>21</v>
      </c>
      <c r="O30" t="s">
        <v>22</v>
      </c>
      <c r="P30" t="s">
        <v>20</v>
      </c>
      <c r="Q30">
        <v>27109</v>
      </c>
      <c r="R30">
        <f t="shared" si="0"/>
        <v>2</v>
      </c>
      <c r="V30">
        <f t="shared" si="1"/>
        <v>27109</v>
      </c>
      <c r="Y30" s="18">
        <f t="shared" si="2"/>
        <v>11931.23</v>
      </c>
      <c r="Z30" s="18">
        <f t="shared" si="3"/>
        <v>0</v>
      </c>
    </row>
    <row r="31" spans="2:26" hidden="1" x14ac:dyDescent="0.25">
      <c r="B31" t="s">
        <v>15</v>
      </c>
      <c r="C31" t="s">
        <v>16</v>
      </c>
      <c r="D31" t="s">
        <v>16</v>
      </c>
      <c r="E31" t="s">
        <v>16</v>
      </c>
      <c r="F31" t="s">
        <v>16</v>
      </c>
      <c r="G31" t="s">
        <v>299</v>
      </c>
      <c r="H31" s="18">
        <v>-14799.88</v>
      </c>
      <c r="J31" t="s">
        <v>19</v>
      </c>
      <c r="N31" t="s">
        <v>21</v>
      </c>
      <c r="O31" t="s">
        <v>22</v>
      </c>
      <c r="P31" t="s">
        <v>20</v>
      </c>
      <c r="Q31">
        <v>27170</v>
      </c>
      <c r="R31">
        <f t="shared" si="0"/>
        <v>2</v>
      </c>
      <c r="V31" t="str">
        <f t="shared" si="1"/>
        <v/>
      </c>
      <c r="W31" s="26" t="s">
        <v>686</v>
      </c>
      <c r="X31" s="15" t="s">
        <v>129</v>
      </c>
      <c r="Y31" s="18" t="str">
        <f t="shared" si="2"/>
        <v/>
      </c>
      <c r="Z31" s="18" t="str">
        <f t="shared" si="3"/>
        <v/>
      </c>
    </row>
    <row r="32" spans="2:26" hidden="1" x14ac:dyDescent="0.25">
      <c r="B32" t="s">
        <v>15</v>
      </c>
      <c r="C32" t="s">
        <v>16</v>
      </c>
      <c r="D32" t="s">
        <v>16</v>
      </c>
      <c r="E32" t="s">
        <v>16</v>
      </c>
      <c r="F32" t="s">
        <v>16</v>
      </c>
      <c r="G32" t="s">
        <v>300</v>
      </c>
      <c r="H32" s="18">
        <v>-23221.47</v>
      </c>
      <c r="J32" t="s">
        <v>19</v>
      </c>
      <c r="N32" t="s">
        <v>21</v>
      </c>
      <c r="O32" t="s">
        <v>22</v>
      </c>
      <c r="P32" t="s">
        <v>20</v>
      </c>
      <c r="Q32">
        <v>9000507854</v>
      </c>
      <c r="R32">
        <f t="shared" si="0"/>
        <v>2</v>
      </c>
      <c r="V32">
        <f t="shared" si="1"/>
        <v>9000507854</v>
      </c>
      <c r="Y32" s="18">
        <f t="shared" si="2"/>
        <v>45239.56</v>
      </c>
      <c r="Z32" s="18" t="str">
        <f t="shared" si="3"/>
        <v/>
      </c>
    </row>
    <row r="33" spans="2:26" x14ac:dyDescent="0.25">
      <c r="B33" t="s">
        <v>277</v>
      </c>
      <c r="C33" t="s">
        <v>16</v>
      </c>
      <c r="D33" t="s">
        <v>16</v>
      </c>
      <c r="E33" t="s">
        <v>16</v>
      </c>
      <c r="F33" t="s">
        <v>16</v>
      </c>
      <c r="G33" t="s">
        <v>301</v>
      </c>
      <c r="H33" s="18">
        <v>63813.84</v>
      </c>
      <c r="I33" t="s">
        <v>23</v>
      </c>
      <c r="J33" t="s">
        <v>19</v>
      </c>
      <c r="N33" t="s">
        <v>21</v>
      </c>
      <c r="O33" t="s">
        <v>22</v>
      </c>
      <c r="P33" t="s">
        <v>20</v>
      </c>
      <c r="Q33">
        <v>26378</v>
      </c>
      <c r="R33">
        <f t="shared" si="0"/>
        <v>2</v>
      </c>
      <c r="V33">
        <f t="shared" si="1"/>
        <v>26378</v>
      </c>
      <c r="Y33" s="18">
        <f t="shared" si="2"/>
        <v>63813.84</v>
      </c>
      <c r="Z33" s="18">
        <f t="shared" si="3"/>
        <v>0</v>
      </c>
    </row>
    <row r="34" spans="2:26" x14ac:dyDescent="0.25">
      <c r="B34" t="s">
        <v>277</v>
      </c>
      <c r="C34" t="s">
        <v>16</v>
      </c>
      <c r="D34" t="s">
        <v>16</v>
      </c>
      <c r="E34" t="s">
        <v>16</v>
      </c>
      <c r="F34" t="s">
        <v>16</v>
      </c>
      <c r="G34" t="s">
        <v>302</v>
      </c>
      <c r="H34" s="18">
        <v>10748.41</v>
      </c>
      <c r="I34" t="s">
        <v>23</v>
      </c>
      <c r="J34" t="s">
        <v>19</v>
      </c>
      <c r="N34" t="s">
        <v>21</v>
      </c>
      <c r="O34" t="s">
        <v>22</v>
      </c>
      <c r="P34" t="s">
        <v>20</v>
      </c>
      <c r="Q34">
        <v>23540</v>
      </c>
      <c r="R34">
        <f t="shared" si="0"/>
        <v>2</v>
      </c>
      <c r="V34">
        <f t="shared" si="1"/>
        <v>23540</v>
      </c>
      <c r="Y34" s="18">
        <f t="shared" si="2"/>
        <v>10748.41</v>
      </c>
      <c r="Z34" s="18">
        <f t="shared" si="3"/>
        <v>0</v>
      </c>
    </row>
    <row r="35" spans="2:26" x14ac:dyDescent="0.25">
      <c r="B35" t="s">
        <v>277</v>
      </c>
      <c r="C35" t="s">
        <v>16</v>
      </c>
      <c r="D35" t="s">
        <v>16</v>
      </c>
      <c r="E35" t="s">
        <v>16</v>
      </c>
      <c r="F35" t="s">
        <v>16</v>
      </c>
      <c r="G35" t="s">
        <v>303</v>
      </c>
      <c r="H35" s="18">
        <v>3257.84</v>
      </c>
      <c r="I35" t="s">
        <v>23</v>
      </c>
      <c r="J35" t="s">
        <v>19</v>
      </c>
      <c r="N35" t="s">
        <v>21</v>
      </c>
      <c r="O35" t="s">
        <v>22</v>
      </c>
      <c r="P35" t="s">
        <v>20</v>
      </c>
      <c r="Q35">
        <v>23581</v>
      </c>
      <c r="R35">
        <f t="shared" si="0"/>
        <v>2</v>
      </c>
      <c r="V35">
        <f t="shared" si="1"/>
        <v>23581</v>
      </c>
      <c r="Y35" s="18">
        <f t="shared" si="2"/>
        <v>3257.84</v>
      </c>
      <c r="Z35" s="18">
        <f t="shared" si="3"/>
        <v>0</v>
      </c>
    </row>
    <row r="36" spans="2:26" hidden="1" x14ac:dyDescent="0.25">
      <c r="B36" t="s">
        <v>15</v>
      </c>
      <c r="C36" t="s">
        <v>16</v>
      </c>
      <c r="D36" t="s">
        <v>16</v>
      </c>
      <c r="E36" t="s">
        <v>16</v>
      </c>
      <c r="F36" t="s">
        <v>16</v>
      </c>
      <c r="G36" t="s">
        <v>304</v>
      </c>
      <c r="H36" s="18">
        <v>-6637.47</v>
      </c>
      <c r="J36" t="s">
        <v>19</v>
      </c>
      <c r="N36" t="s">
        <v>21</v>
      </c>
      <c r="O36" t="s">
        <v>22</v>
      </c>
      <c r="P36" t="s">
        <v>20</v>
      </c>
      <c r="Q36">
        <v>23665</v>
      </c>
      <c r="R36">
        <f t="shared" si="0"/>
        <v>2</v>
      </c>
      <c r="V36">
        <f t="shared" si="1"/>
        <v>23665</v>
      </c>
      <c r="Y36" s="18">
        <f t="shared" si="2"/>
        <v>11085.91</v>
      </c>
      <c r="Z36" s="18" t="str">
        <f t="shared" si="3"/>
        <v/>
      </c>
    </row>
    <row r="37" spans="2:26" x14ac:dyDescent="0.25">
      <c r="B37" t="s">
        <v>277</v>
      </c>
      <c r="C37" t="s">
        <v>16</v>
      </c>
      <c r="D37" t="s">
        <v>16</v>
      </c>
      <c r="E37" t="s">
        <v>16</v>
      </c>
      <c r="F37" t="s">
        <v>16</v>
      </c>
      <c r="G37" t="s">
        <v>305</v>
      </c>
      <c r="H37" s="18">
        <v>149171.75</v>
      </c>
      <c r="I37" t="s">
        <v>23</v>
      </c>
      <c r="J37" t="s">
        <v>19</v>
      </c>
      <c r="N37" t="s">
        <v>21</v>
      </c>
      <c r="O37" t="s">
        <v>22</v>
      </c>
      <c r="P37" t="s">
        <v>20</v>
      </c>
      <c r="Q37">
        <v>23938</v>
      </c>
      <c r="R37">
        <f t="shared" si="0"/>
        <v>2</v>
      </c>
      <c r="V37">
        <f t="shared" si="1"/>
        <v>23938</v>
      </c>
      <c r="Y37" s="18">
        <f t="shared" si="2"/>
        <v>149171.75</v>
      </c>
      <c r="Z37" s="18">
        <f t="shared" si="3"/>
        <v>0</v>
      </c>
    </row>
    <row r="38" spans="2:26" x14ac:dyDescent="0.25">
      <c r="B38" t="s">
        <v>277</v>
      </c>
      <c r="C38" t="s">
        <v>16</v>
      </c>
      <c r="D38" t="s">
        <v>16</v>
      </c>
      <c r="E38" t="s">
        <v>16</v>
      </c>
      <c r="F38" t="s">
        <v>16</v>
      </c>
      <c r="G38" t="s">
        <v>306</v>
      </c>
      <c r="H38" s="18">
        <v>16330.68</v>
      </c>
      <c r="I38" t="s">
        <v>23</v>
      </c>
      <c r="J38" t="s">
        <v>19</v>
      </c>
      <c r="N38" t="s">
        <v>21</v>
      </c>
      <c r="O38" t="s">
        <v>22</v>
      </c>
      <c r="P38" t="s">
        <v>20</v>
      </c>
      <c r="Q38">
        <v>19502</v>
      </c>
      <c r="R38">
        <f t="shared" si="0"/>
        <v>2</v>
      </c>
      <c r="V38">
        <f t="shared" si="1"/>
        <v>19502</v>
      </c>
      <c r="Y38" s="18">
        <f t="shared" si="2"/>
        <v>16330.68</v>
      </c>
      <c r="Z38" s="18">
        <f t="shared" si="3"/>
        <v>0</v>
      </c>
    </row>
    <row r="39" spans="2:26" x14ac:dyDescent="0.25">
      <c r="B39" t="s">
        <v>277</v>
      </c>
      <c r="C39" t="s">
        <v>16</v>
      </c>
      <c r="D39" t="s">
        <v>16</v>
      </c>
      <c r="E39" t="s">
        <v>16</v>
      </c>
      <c r="F39" t="s">
        <v>16</v>
      </c>
      <c r="G39" t="s">
        <v>307</v>
      </c>
      <c r="H39" s="18">
        <v>243.99</v>
      </c>
      <c r="I39" t="s">
        <v>23</v>
      </c>
      <c r="J39" t="s">
        <v>19</v>
      </c>
      <c r="N39" t="s">
        <v>21</v>
      </c>
      <c r="O39" t="s">
        <v>22</v>
      </c>
      <c r="P39" t="s">
        <v>20</v>
      </c>
      <c r="Q39">
        <v>23654</v>
      </c>
      <c r="R39">
        <f t="shared" si="0"/>
        <v>2</v>
      </c>
      <c r="V39">
        <f t="shared" si="1"/>
        <v>23654</v>
      </c>
      <c r="Y39" s="18">
        <f t="shared" si="2"/>
        <v>243.99</v>
      </c>
      <c r="Z39" s="18">
        <f t="shared" si="3"/>
        <v>0</v>
      </c>
    </row>
    <row r="40" spans="2:26" hidden="1" x14ac:dyDescent="0.25">
      <c r="B40" t="s">
        <v>15</v>
      </c>
      <c r="C40" t="s">
        <v>16</v>
      </c>
      <c r="D40" t="s">
        <v>16</v>
      </c>
      <c r="E40" t="s">
        <v>16</v>
      </c>
      <c r="F40" t="s">
        <v>16</v>
      </c>
      <c r="G40" t="s">
        <v>281</v>
      </c>
      <c r="H40" s="18">
        <v>-148265.66</v>
      </c>
      <c r="J40" t="s">
        <v>19</v>
      </c>
      <c r="N40" t="s">
        <v>21</v>
      </c>
      <c r="O40" t="s">
        <v>22</v>
      </c>
      <c r="P40" t="s">
        <v>20</v>
      </c>
      <c r="Q40">
        <v>23917</v>
      </c>
      <c r="R40">
        <f t="shared" si="0"/>
        <v>2</v>
      </c>
      <c r="V40">
        <f t="shared" si="1"/>
        <v>23917</v>
      </c>
      <c r="Y40" s="18">
        <f t="shared" si="2"/>
        <v>262576.89</v>
      </c>
      <c r="Z40" s="18" t="str">
        <f t="shared" si="3"/>
        <v/>
      </c>
    </row>
    <row r="41" spans="2:26" hidden="1" x14ac:dyDescent="0.25">
      <c r="B41" t="s">
        <v>15</v>
      </c>
      <c r="C41" t="s">
        <v>16</v>
      </c>
      <c r="D41" t="s">
        <v>16</v>
      </c>
      <c r="E41" t="s">
        <v>16</v>
      </c>
      <c r="F41" t="s">
        <v>16</v>
      </c>
      <c r="G41" t="s">
        <v>308</v>
      </c>
      <c r="H41" s="18">
        <v>-20017.95</v>
      </c>
      <c r="J41" t="s">
        <v>19</v>
      </c>
      <c r="N41" t="s">
        <v>21</v>
      </c>
      <c r="O41" t="s">
        <v>22</v>
      </c>
      <c r="P41" t="s">
        <v>20</v>
      </c>
      <c r="Q41">
        <v>23487</v>
      </c>
      <c r="R41">
        <f t="shared" si="0"/>
        <v>2</v>
      </c>
      <c r="V41">
        <f t="shared" si="1"/>
        <v>23487</v>
      </c>
      <c r="Y41" s="18">
        <f t="shared" si="2"/>
        <v>26578.67</v>
      </c>
      <c r="Z41" s="18" t="str">
        <f t="shared" si="3"/>
        <v/>
      </c>
    </row>
    <row r="42" spans="2:26" x14ac:dyDescent="0.25">
      <c r="B42" t="s">
        <v>277</v>
      </c>
      <c r="C42" t="s">
        <v>16</v>
      </c>
      <c r="D42" t="s">
        <v>16</v>
      </c>
      <c r="E42" t="s">
        <v>16</v>
      </c>
      <c r="F42" t="s">
        <v>16</v>
      </c>
      <c r="G42" t="s">
        <v>309</v>
      </c>
      <c r="H42" s="18">
        <v>20653.07</v>
      </c>
      <c r="I42" t="s">
        <v>23</v>
      </c>
      <c r="J42" t="s">
        <v>19</v>
      </c>
      <c r="N42" t="s">
        <v>21</v>
      </c>
      <c r="O42" t="s">
        <v>22</v>
      </c>
      <c r="P42" t="s">
        <v>20</v>
      </c>
      <c r="Q42">
        <v>23530</v>
      </c>
      <c r="R42">
        <f t="shared" si="0"/>
        <v>2</v>
      </c>
      <c r="V42">
        <f t="shared" si="1"/>
        <v>23530</v>
      </c>
      <c r="Y42" s="18">
        <f t="shared" si="2"/>
        <v>20653.07</v>
      </c>
      <c r="Z42" s="18">
        <f t="shared" si="3"/>
        <v>0</v>
      </c>
    </row>
    <row r="43" spans="2:26" x14ac:dyDescent="0.25">
      <c r="B43" t="s">
        <v>277</v>
      </c>
      <c r="C43" t="s">
        <v>16</v>
      </c>
      <c r="D43" t="s">
        <v>16</v>
      </c>
      <c r="E43" t="s">
        <v>16</v>
      </c>
      <c r="F43" t="s">
        <v>16</v>
      </c>
      <c r="G43" t="s">
        <v>310</v>
      </c>
      <c r="H43" s="18">
        <v>117.16</v>
      </c>
      <c r="I43" t="s">
        <v>23</v>
      </c>
      <c r="J43" t="s">
        <v>19</v>
      </c>
      <c r="N43" t="s">
        <v>21</v>
      </c>
      <c r="O43" t="s">
        <v>22</v>
      </c>
      <c r="P43" t="s">
        <v>20</v>
      </c>
      <c r="Q43">
        <v>23651</v>
      </c>
      <c r="R43">
        <f t="shared" si="0"/>
        <v>2</v>
      </c>
      <c r="V43">
        <f t="shared" si="1"/>
        <v>23651</v>
      </c>
      <c r="Y43" s="18">
        <f t="shared" si="2"/>
        <v>117.16</v>
      </c>
      <c r="Z43" s="18">
        <f t="shared" si="3"/>
        <v>0</v>
      </c>
    </row>
    <row r="44" spans="2:26" hidden="1" x14ac:dyDescent="0.25">
      <c r="B44" t="s">
        <v>15</v>
      </c>
      <c r="C44" t="s">
        <v>16</v>
      </c>
      <c r="D44" t="s">
        <v>16</v>
      </c>
      <c r="E44" t="s">
        <v>16</v>
      </c>
      <c r="F44" t="s">
        <v>16</v>
      </c>
      <c r="G44" t="s">
        <v>311</v>
      </c>
      <c r="H44" s="18">
        <v>-424642.06</v>
      </c>
      <c r="J44" t="s">
        <v>19</v>
      </c>
      <c r="N44" t="s">
        <v>21</v>
      </c>
      <c r="O44" t="s">
        <v>22</v>
      </c>
      <c r="P44" t="s">
        <v>20</v>
      </c>
      <c r="Q44">
        <v>24175</v>
      </c>
      <c r="R44">
        <f t="shared" si="0"/>
        <v>2</v>
      </c>
      <c r="V44">
        <f t="shared" si="1"/>
        <v>24175</v>
      </c>
      <c r="Y44" s="18">
        <f t="shared" si="2"/>
        <v>559555.30000000005</v>
      </c>
      <c r="Z44" s="18" t="str">
        <f t="shared" si="3"/>
        <v/>
      </c>
    </row>
    <row r="45" spans="2:26" hidden="1" x14ac:dyDescent="0.25">
      <c r="B45" t="s">
        <v>15</v>
      </c>
      <c r="C45" t="s">
        <v>16</v>
      </c>
      <c r="D45" t="s">
        <v>16</v>
      </c>
      <c r="E45" t="s">
        <v>16</v>
      </c>
      <c r="F45" t="s">
        <v>16</v>
      </c>
      <c r="G45" t="s">
        <v>312</v>
      </c>
      <c r="H45" s="18">
        <v>-100499.03</v>
      </c>
      <c r="J45" t="s">
        <v>19</v>
      </c>
      <c r="N45" t="s">
        <v>21</v>
      </c>
      <c r="O45" t="s">
        <v>22</v>
      </c>
      <c r="P45" t="s">
        <v>20</v>
      </c>
      <c r="Q45">
        <v>25696</v>
      </c>
      <c r="R45">
        <f t="shared" si="0"/>
        <v>2</v>
      </c>
      <c r="V45">
        <f t="shared" si="1"/>
        <v>25696</v>
      </c>
      <c r="Y45" s="18">
        <f t="shared" si="2"/>
        <v>161631.99</v>
      </c>
      <c r="Z45" s="18" t="str">
        <f t="shared" si="3"/>
        <v/>
      </c>
    </row>
    <row r="46" spans="2:26" x14ac:dyDescent="0.25">
      <c r="B46" t="s">
        <v>277</v>
      </c>
      <c r="C46" t="s">
        <v>16</v>
      </c>
      <c r="D46" t="s">
        <v>16</v>
      </c>
      <c r="E46" t="s">
        <v>16</v>
      </c>
      <c r="F46" t="s">
        <v>16</v>
      </c>
      <c r="G46" t="s">
        <v>313</v>
      </c>
      <c r="H46" s="18">
        <v>19026.830000000002</v>
      </c>
      <c r="I46" t="s">
        <v>23</v>
      </c>
      <c r="J46" t="s">
        <v>19</v>
      </c>
      <c r="N46" t="s">
        <v>21</v>
      </c>
      <c r="O46" t="s">
        <v>22</v>
      </c>
      <c r="P46" t="s">
        <v>20</v>
      </c>
      <c r="Q46">
        <v>23501</v>
      </c>
      <c r="R46">
        <f t="shared" si="0"/>
        <v>2</v>
      </c>
      <c r="V46">
        <f t="shared" si="1"/>
        <v>23501</v>
      </c>
      <c r="Y46" s="18">
        <f t="shared" si="2"/>
        <v>19026.830000000002</v>
      </c>
      <c r="Z46" s="18">
        <f t="shared" si="3"/>
        <v>0</v>
      </c>
    </row>
    <row r="47" spans="2:26" x14ac:dyDescent="0.25">
      <c r="B47" t="s">
        <v>277</v>
      </c>
      <c r="C47" t="s">
        <v>16</v>
      </c>
      <c r="D47" t="s">
        <v>16</v>
      </c>
      <c r="E47" t="s">
        <v>16</v>
      </c>
      <c r="F47" t="s">
        <v>16</v>
      </c>
      <c r="G47" t="s">
        <v>314</v>
      </c>
      <c r="H47" s="18">
        <v>29543.32</v>
      </c>
      <c r="I47" t="s">
        <v>23</v>
      </c>
      <c r="J47" t="s">
        <v>19</v>
      </c>
      <c r="N47" t="s">
        <v>21</v>
      </c>
      <c r="O47" t="s">
        <v>22</v>
      </c>
      <c r="P47" t="s">
        <v>20</v>
      </c>
      <c r="Q47">
        <v>9002212320</v>
      </c>
      <c r="R47">
        <f t="shared" si="0"/>
        <v>2</v>
      </c>
      <c r="V47">
        <f t="shared" si="1"/>
        <v>9002212320</v>
      </c>
      <c r="Y47" s="18">
        <f t="shared" si="2"/>
        <v>29543.32</v>
      </c>
      <c r="Z47" s="18">
        <f t="shared" si="3"/>
        <v>0</v>
      </c>
    </row>
    <row r="48" spans="2:26" x14ac:dyDescent="0.25">
      <c r="B48" t="s">
        <v>277</v>
      </c>
      <c r="C48" t="s">
        <v>16</v>
      </c>
      <c r="D48" t="s">
        <v>16</v>
      </c>
      <c r="E48" t="s">
        <v>16</v>
      </c>
      <c r="F48" t="s">
        <v>16</v>
      </c>
      <c r="G48" t="s">
        <v>315</v>
      </c>
      <c r="H48" s="18">
        <v>2176.5500000000002</v>
      </c>
      <c r="I48" t="s">
        <v>23</v>
      </c>
      <c r="J48" t="s">
        <v>19</v>
      </c>
      <c r="N48" t="s">
        <v>21</v>
      </c>
      <c r="O48" t="s">
        <v>22</v>
      </c>
      <c r="P48" t="s">
        <v>20</v>
      </c>
      <c r="Q48">
        <v>23593</v>
      </c>
      <c r="R48">
        <f t="shared" si="0"/>
        <v>2</v>
      </c>
      <c r="V48">
        <f t="shared" si="1"/>
        <v>23593</v>
      </c>
      <c r="Y48" s="18">
        <f t="shared" si="2"/>
        <v>2176.5500000000002</v>
      </c>
      <c r="Z48" s="18">
        <f t="shared" si="3"/>
        <v>0</v>
      </c>
    </row>
    <row r="49" spans="2:26" x14ac:dyDescent="0.25">
      <c r="B49" t="s">
        <v>277</v>
      </c>
      <c r="C49" t="s">
        <v>16</v>
      </c>
      <c r="D49" t="s">
        <v>16</v>
      </c>
      <c r="E49" t="s">
        <v>16</v>
      </c>
      <c r="F49" t="s">
        <v>16</v>
      </c>
      <c r="G49" t="s">
        <v>316</v>
      </c>
      <c r="H49" s="18">
        <v>1576002.22</v>
      </c>
      <c r="I49" t="s">
        <v>23</v>
      </c>
      <c r="J49" t="s">
        <v>19</v>
      </c>
      <c r="N49" t="s">
        <v>21</v>
      </c>
      <c r="O49" t="s">
        <v>22</v>
      </c>
      <c r="P49" t="s">
        <v>20</v>
      </c>
      <c r="Q49">
        <v>23720</v>
      </c>
      <c r="R49">
        <f t="shared" si="0"/>
        <v>2</v>
      </c>
      <c r="V49">
        <f t="shared" si="1"/>
        <v>23720</v>
      </c>
      <c r="Y49" s="18">
        <f t="shared" si="2"/>
        <v>1575835.52</v>
      </c>
      <c r="Z49" s="18">
        <f t="shared" si="3"/>
        <v>166.69999999995343</v>
      </c>
    </row>
    <row r="50" spans="2:26" x14ac:dyDescent="0.25">
      <c r="B50" t="s">
        <v>277</v>
      </c>
      <c r="C50" t="s">
        <v>16</v>
      </c>
      <c r="D50" t="s">
        <v>16</v>
      </c>
      <c r="E50" t="s">
        <v>16</v>
      </c>
      <c r="F50" t="s">
        <v>16</v>
      </c>
      <c r="G50" t="s">
        <v>317</v>
      </c>
      <c r="H50" s="18">
        <v>29640.62</v>
      </c>
      <c r="I50" t="s">
        <v>23</v>
      </c>
      <c r="J50" t="s">
        <v>19</v>
      </c>
      <c r="N50" t="s">
        <v>21</v>
      </c>
      <c r="O50" t="s">
        <v>22</v>
      </c>
      <c r="P50" t="s">
        <v>20</v>
      </c>
      <c r="Q50">
        <v>8000237888</v>
      </c>
      <c r="R50">
        <f t="shared" si="0"/>
        <v>2</v>
      </c>
      <c r="V50">
        <f t="shared" si="1"/>
        <v>8000237888</v>
      </c>
      <c r="Y50" s="18">
        <f t="shared" si="2"/>
        <v>29640.62</v>
      </c>
      <c r="Z50" s="18">
        <f t="shared" si="3"/>
        <v>0</v>
      </c>
    </row>
    <row r="51" spans="2:26" x14ac:dyDescent="0.25">
      <c r="B51" t="s">
        <v>277</v>
      </c>
      <c r="C51" t="s">
        <v>16</v>
      </c>
      <c r="D51" t="s">
        <v>16</v>
      </c>
      <c r="E51" t="s">
        <v>16</v>
      </c>
      <c r="F51" t="s">
        <v>16</v>
      </c>
      <c r="G51" t="s">
        <v>318</v>
      </c>
      <c r="H51" s="18">
        <v>632967.29</v>
      </c>
      <c r="I51" t="s">
        <v>23</v>
      </c>
      <c r="J51" t="s">
        <v>19</v>
      </c>
      <c r="N51" t="s">
        <v>21</v>
      </c>
      <c r="O51" t="s">
        <v>22</v>
      </c>
      <c r="P51" t="s">
        <v>20</v>
      </c>
      <c r="Q51">
        <v>25694</v>
      </c>
      <c r="R51">
        <f t="shared" si="0"/>
        <v>2</v>
      </c>
      <c r="V51">
        <f t="shared" si="1"/>
        <v>25694</v>
      </c>
      <c r="Y51" s="18">
        <f t="shared" si="2"/>
        <v>632967.29</v>
      </c>
      <c r="Z51" s="18">
        <f t="shared" si="3"/>
        <v>0</v>
      </c>
    </row>
    <row r="52" spans="2:26" hidden="1" x14ac:dyDescent="0.25">
      <c r="B52" t="s">
        <v>15</v>
      </c>
      <c r="C52" t="s">
        <v>16</v>
      </c>
      <c r="D52" t="s">
        <v>16</v>
      </c>
      <c r="E52" t="s">
        <v>16</v>
      </c>
      <c r="F52" t="s">
        <v>16</v>
      </c>
      <c r="G52" t="s">
        <v>319</v>
      </c>
      <c r="H52" s="18">
        <v>-66845.509999999995</v>
      </c>
      <c r="J52" t="s">
        <v>19</v>
      </c>
      <c r="N52" t="s">
        <v>21</v>
      </c>
      <c r="O52" t="s">
        <v>22</v>
      </c>
      <c r="P52" t="s">
        <v>20</v>
      </c>
      <c r="Q52">
        <v>25695</v>
      </c>
      <c r="R52">
        <f t="shared" si="0"/>
        <v>2</v>
      </c>
      <c r="V52">
        <f t="shared" si="1"/>
        <v>25695</v>
      </c>
      <c r="Y52" s="18">
        <f t="shared" si="2"/>
        <v>99497.34</v>
      </c>
      <c r="Z52" s="18" t="str">
        <f t="shared" si="3"/>
        <v/>
      </c>
    </row>
    <row r="53" spans="2:26" x14ac:dyDescent="0.25">
      <c r="B53" t="s">
        <v>277</v>
      </c>
      <c r="C53" t="s">
        <v>16</v>
      </c>
      <c r="D53" t="s">
        <v>16</v>
      </c>
      <c r="E53" t="s">
        <v>16</v>
      </c>
      <c r="F53" t="s">
        <v>16</v>
      </c>
      <c r="G53" t="s">
        <v>320</v>
      </c>
      <c r="H53" s="18">
        <v>1687.5</v>
      </c>
      <c r="I53" t="s">
        <v>23</v>
      </c>
      <c r="J53" t="s">
        <v>19</v>
      </c>
      <c r="N53" t="s">
        <v>21</v>
      </c>
      <c r="O53" t="s">
        <v>22</v>
      </c>
      <c r="P53" t="s">
        <v>20</v>
      </c>
      <c r="Q53">
        <v>23554</v>
      </c>
      <c r="R53">
        <f t="shared" si="0"/>
        <v>2</v>
      </c>
      <c r="V53">
        <f t="shared" si="1"/>
        <v>23554</v>
      </c>
      <c r="Y53" s="18">
        <f t="shared" si="2"/>
        <v>1687.5</v>
      </c>
      <c r="Z53" s="18">
        <f t="shared" si="3"/>
        <v>0</v>
      </c>
    </row>
    <row r="54" spans="2:26" hidden="1" x14ac:dyDescent="0.25">
      <c r="B54" t="s">
        <v>15</v>
      </c>
      <c r="C54" t="s">
        <v>16</v>
      </c>
      <c r="D54" t="s">
        <v>16</v>
      </c>
      <c r="E54" t="s">
        <v>16</v>
      </c>
      <c r="F54" t="s">
        <v>16</v>
      </c>
      <c r="G54" t="s">
        <v>321</v>
      </c>
      <c r="H54" s="18">
        <v>-7384.56</v>
      </c>
      <c r="J54" t="s">
        <v>19</v>
      </c>
      <c r="N54" t="s">
        <v>21</v>
      </c>
      <c r="O54" t="s">
        <v>22</v>
      </c>
      <c r="P54" t="s">
        <v>20</v>
      </c>
      <c r="Q54">
        <v>26977</v>
      </c>
      <c r="R54">
        <f t="shared" si="0"/>
        <v>2</v>
      </c>
      <c r="V54">
        <f t="shared" si="1"/>
        <v>26977</v>
      </c>
      <c r="Y54" s="18">
        <f t="shared" si="2"/>
        <v>188172.93</v>
      </c>
      <c r="Z54" s="18" t="str">
        <f t="shared" si="3"/>
        <v/>
      </c>
    </row>
    <row r="55" spans="2:26" hidden="1" x14ac:dyDescent="0.25">
      <c r="B55" t="s">
        <v>15</v>
      </c>
      <c r="C55" t="s">
        <v>16</v>
      </c>
      <c r="D55" t="s">
        <v>16</v>
      </c>
      <c r="E55" t="s">
        <v>16</v>
      </c>
      <c r="F55" t="s">
        <v>16</v>
      </c>
      <c r="G55" t="s">
        <v>322</v>
      </c>
      <c r="H55" s="18">
        <v>-1218.82</v>
      </c>
      <c r="J55" t="s">
        <v>19</v>
      </c>
      <c r="N55" t="s">
        <v>21</v>
      </c>
      <c r="O55" t="s">
        <v>22</v>
      </c>
      <c r="P55" t="s">
        <v>20</v>
      </c>
      <c r="Q55">
        <v>27074</v>
      </c>
      <c r="R55">
        <f t="shared" si="0"/>
        <v>2</v>
      </c>
      <c r="V55">
        <f t="shared" si="1"/>
        <v>27074</v>
      </c>
      <c r="Y55" s="18">
        <f t="shared" si="2"/>
        <v>31058</v>
      </c>
      <c r="Z55" s="18" t="str">
        <f t="shared" si="3"/>
        <v/>
      </c>
    </row>
    <row r="56" spans="2:26" hidden="1" x14ac:dyDescent="0.25">
      <c r="B56" t="s">
        <v>15</v>
      </c>
      <c r="C56" t="s">
        <v>16</v>
      </c>
      <c r="D56" t="s">
        <v>16</v>
      </c>
      <c r="E56" t="s">
        <v>16</v>
      </c>
      <c r="F56" t="s">
        <v>16</v>
      </c>
      <c r="G56" t="s">
        <v>323</v>
      </c>
      <c r="H56" s="18">
        <v>-1955.45</v>
      </c>
      <c r="J56" t="s">
        <v>19</v>
      </c>
      <c r="N56" t="s">
        <v>21</v>
      </c>
      <c r="O56" t="s">
        <v>22</v>
      </c>
      <c r="P56" t="s">
        <v>20</v>
      </c>
      <c r="Q56">
        <v>23555</v>
      </c>
      <c r="R56">
        <f t="shared" si="0"/>
        <v>2</v>
      </c>
      <c r="V56">
        <f t="shared" si="1"/>
        <v>23555</v>
      </c>
      <c r="Y56" s="18">
        <f t="shared" si="2"/>
        <v>2296.14</v>
      </c>
      <c r="Z56" s="18" t="str">
        <f t="shared" si="3"/>
        <v/>
      </c>
    </row>
    <row r="57" spans="2:26" hidden="1" x14ac:dyDescent="0.25">
      <c r="B57" t="s">
        <v>15</v>
      </c>
      <c r="C57" t="s">
        <v>16</v>
      </c>
      <c r="D57" t="s">
        <v>16</v>
      </c>
      <c r="E57" t="s">
        <v>16</v>
      </c>
      <c r="F57" t="s">
        <v>16</v>
      </c>
      <c r="G57" t="s">
        <v>324</v>
      </c>
      <c r="H57" s="18">
        <v>-1053.2</v>
      </c>
      <c r="J57" t="s">
        <v>19</v>
      </c>
      <c r="N57" t="s">
        <v>21</v>
      </c>
      <c r="O57" t="s">
        <v>22</v>
      </c>
      <c r="P57" t="s">
        <v>20</v>
      </c>
      <c r="Q57">
        <v>1010675</v>
      </c>
      <c r="R57">
        <f t="shared" si="0"/>
        <v>2</v>
      </c>
      <c r="V57">
        <f t="shared" si="1"/>
        <v>1010675</v>
      </c>
      <c r="Y57" s="18">
        <f t="shared" si="2"/>
        <v>39594</v>
      </c>
      <c r="Z57" s="18" t="str">
        <f t="shared" si="3"/>
        <v/>
      </c>
    </row>
    <row r="58" spans="2:26" x14ac:dyDescent="0.25">
      <c r="B58" t="s">
        <v>277</v>
      </c>
      <c r="C58" t="s">
        <v>16</v>
      </c>
      <c r="D58" t="s">
        <v>16</v>
      </c>
      <c r="E58" t="s">
        <v>16</v>
      </c>
      <c r="F58" t="s">
        <v>16</v>
      </c>
      <c r="G58" t="s">
        <v>325</v>
      </c>
      <c r="H58" s="18">
        <v>54508</v>
      </c>
      <c r="I58" t="s">
        <v>23</v>
      </c>
      <c r="J58" t="s">
        <v>19</v>
      </c>
      <c r="N58" t="s">
        <v>21</v>
      </c>
      <c r="O58" t="s">
        <v>22</v>
      </c>
      <c r="P58" t="s">
        <v>20</v>
      </c>
      <c r="Q58">
        <v>7400091336</v>
      </c>
      <c r="R58">
        <f t="shared" si="0"/>
        <v>2</v>
      </c>
      <c r="V58">
        <f t="shared" si="1"/>
        <v>7400091336</v>
      </c>
      <c r="Y58" s="18">
        <f t="shared" si="2"/>
        <v>54508</v>
      </c>
      <c r="Z58" s="18">
        <f t="shared" si="3"/>
        <v>0</v>
      </c>
    </row>
    <row r="59" spans="2:26" x14ac:dyDescent="0.25">
      <c r="B59" t="s">
        <v>277</v>
      </c>
      <c r="C59" t="s">
        <v>16</v>
      </c>
      <c r="D59" t="s">
        <v>16</v>
      </c>
      <c r="E59" t="s">
        <v>16</v>
      </c>
      <c r="F59" t="s">
        <v>16</v>
      </c>
      <c r="G59" t="s">
        <v>326</v>
      </c>
      <c r="H59" s="18">
        <v>17273.77</v>
      </c>
      <c r="I59" t="s">
        <v>23</v>
      </c>
      <c r="J59" t="s">
        <v>19</v>
      </c>
      <c r="N59" t="s">
        <v>21</v>
      </c>
      <c r="O59" t="s">
        <v>22</v>
      </c>
      <c r="P59" t="s">
        <v>20</v>
      </c>
      <c r="Q59">
        <v>23529</v>
      </c>
      <c r="R59">
        <f t="shared" si="0"/>
        <v>2</v>
      </c>
      <c r="V59">
        <f t="shared" si="1"/>
        <v>23529</v>
      </c>
      <c r="Y59" s="18">
        <f t="shared" si="2"/>
        <v>17273.77</v>
      </c>
      <c r="Z59" s="18">
        <f t="shared" si="3"/>
        <v>0</v>
      </c>
    </row>
    <row r="60" spans="2:26" x14ac:dyDescent="0.25">
      <c r="B60" t="s">
        <v>277</v>
      </c>
      <c r="C60" t="s">
        <v>16</v>
      </c>
      <c r="D60" t="s">
        <v>16</v>
      </c>
      <c r="E60" t="s">
        <v>16</v>
      </c>
      <c r="F60" t="s">
        <v>16</v>
      </c>
      <c r="G60" t="s">
        <v>327</v>
      </c>
      <c r="H60" s="18">
        <v>59600</v>
      </c>
      <c r="I60" t="s">
        <v>23</v>
      </c>
      <c r="J60" t="s">
        <v>19</v>
      </c>
      <c r="N60" t="s">
        <v>21</v>
      </c>
      <c r="O60" t="s">
        <v>22</v>
      </c>
      <c r="P60" t="s">
        <v>20</v>
      </c>
      <c r="Q60">
        <v>18477</v>
      </c>
      <c r="R60">
        <f t="shared" si="0"/>
        <v>2</v>
      </c>
      <c r="V60">
        <f t="shared" si="1"/>
        <v>18477</v>
      </c>
      <c r="Y60" s="18">
        <f t="shared" si="2"/>
        <v>59600</v>
      </c>
      <c r="Z60" s="18">
        <f t="shared" si="3"/>
        <v>0</v>
      </c>
    </row>
    <row r="61" spans="2:26" hidden="1" x14ac:dyDescent="0.25">
      <c r="B61" t="s">
        <v>15</v>
      </c>
      <c r="C61" t="s">
        <v>16</v>
      </c>
      <c r="D61" t="s">
        <v>16</v>
      </c>
      <c r="E61" t="s">
        <v>16</v>
      </c>
      <c r="F61" t="s">
        <v>16</v>
      </c>
      <c r="G61" t="s">
        <v>328</v>
      </c>
      <c r="H61" s="18">
        <v>-8645.8700000000008</v>
      </c>
      <c r="J61" t="s">
        <v>19</v>
      </c>
      <c r="N61" t="s">
        <v>21</v>
      </c>
      <c r="O61" t="s">
        <v>22</v>
      </c>
      <c r="P61" t="s">
        <v>20</v>
      </c>
      <c r="Q61">
        <v>23541</v>
      </c>
      <c r="R61">
        <f t="shared" si="0"/>
        <v>2</v>
      </c>
      <c r="V61">
        <f t="shared" si="1"/>
        <v>23541</v>
      </c>
      <c r="Y61" s="18">
        <f t="shared" si="2"/>
        <v>10748.41</v>
      </c>
      <c r="Z61" s="18" t="str">
        <f t="shared" si="3"/>
        <v/>
      </c>
    </row>
    <row r="62" spans="2:26" x14ac:dyDescent="0.25">
      <c r="B62" t="s">
        <v>277</v>
      </c>
      <c r="C62" t="s">
        <v>16</v>
      </c>
      <c r="D62" t="s">
        <v>16</v>
      </c>
      <c r="E62" t="s">
        <v>16</v>
      </c>
      <c r="F62" t="s">
        <v>16</v>
      </c>
      <c r="G62" t="s">
        <v>329</v>
      </c>
      <c r="H62" s="18">
        <v>35733.86</v>
      </c>
      <c r="I62" t="s">
        <v>23</v>
      </c>
      <c r="J62" t="s">
        <v>19</v>
      </c>
      <c r="N62" t="s">
        <v>21</v>
      </c>
      <c r="O62" t="s">
        <v>22</v>
      </c>
      <c r="P62" t="s">
        <v>20</v>
      </c>
      <c r="Q62">
        <v>7400374370</v>
      </c>
      <c r="R62">
        <f t="shared" si="0"/>
        <v>2</v>
      </c>
      <c r="V62">
        <f t="shared" si="1"/>
        <v>7400374370</v>
      </c>
      <c r="Y62" s="18">
        <f t="shared" si="2"/>
        <v>35733.86</v>
      </c>
      <c r="Z62" s="18">
        <f t="shared" si="3"/>
        <v>0</v>
      </c>
    </row>
    <row r="63" spans="2:26" hidden="1" x14ac:dyDescent="0.25">
      <c r="B63" t="s">
        <v>15</v>
      </c>
      <c r="C63" t="s">
        <v>16</v>
      </c>
      <c r="D63" t="s">
        <v>16</v>
      </c>
      <c r="E63" t="s">
        <v>16</v>
      </c>
      <c r="F63" t="s">
        <v>16</v>
      </c>
      <c r="G63" t="s">
        <v>330</v>
      </c>
      <c r="H63" s="18">
        <v>-3139.48</v>
      </c>
      <c r="J63" t="s">
        <v>19</v>
      </c>
      <c r="N63" t="s">
        <v>21</v>
      </c>
      <c r="O63" t="s">
        <v>22</v>
      </c>
      <c r="P63" t="s">
        <v>20</v>
      </c>
      <c r="Q63">
        <v>8009161420</v>
      </c>
      <c r="R63">
        <f t="shared" si="0"/>
        <v>2</v>
      </c>
      <c r="V63">
        <f t="shared" si="1"/>
        <v>8009161420</v>
      </c>
      <c r="Y63" s="18">
        <f t="shared" si="2"/>
        <v>80000</v>
      </c>
      <c r="Z63" s="18" t="str">
        <f t="shared" si="3"/>
        <v/>
      </c>
    </row>
    <row r="64" spans="2:26" hidden="1" x14ac:dyDescent="0.25">
      <c r="B64" t="s">
        <v>15</v>
      </c>
      <c r="C64" t="s">
        <v>16</v>
      </c>
      <c r="D64" t="s">
        <v>16</v>
      </c>
      <c r="E64" t="s">
        <v>16</v>
      </c>
      <c r="F64" t="s">
        <v>16</v>
      </c>
      <c r="G64" t="s">
        <v>331</v>
      </c>
      <c r="H64" s="18">
        <v>-1116.3399999999999</v>
      </c>
      <c r="J64" t="s">
        <v>19</v>
      </c>
      <c r="N64" t="s">
        <v>21</v>
      </c>
      <c r="O64" t="s">
        <v>22</v>
      </c>
      <c r="P64" t="s">
        <v>20</v>
      </c>
      <c r="Q64">
        <v>23614</v>
      </c>
      <c r="R64">
        <f t="shared" si="0"/>
        <v>2</v>
      </c>
      <c r="V64">
        <f t="shared" si="1"/>
        <v>23614</v>
      </c>
      <c r="Y64" s="18">
        <f t="shared" si="2"/>
        <v>2050.8000000000002</v>
      </c>
      <c r="Z64" s="18" t="str">
        <f t="shared" si="3"/>
        <v/>
      </c>
    </row>
    <row r="65" spans="2:26" hidden="1" x14ac:dyDescent="0.25">
      <c r="B65" t="s">
        <v>15</v>
      </c>
      <c r="C65" t="s">
        <v>16</v>
      </c>
      <c r="D65" t="s">
        <v>16</v>
      </c>
      <c r="E65" t="s">
        <v>16</v>
      </c>
      <c r="F65" t="s">
        <v>16</v>
      </c>
      <c r="G65" t="s">
        <v>332</v>
      </c>
      <c r="H65" s="18">
        <v>-11586.05</v>
      </c>
      <c r="J65" t="s">
        <v>19</v>
      </c>
      <c r="N65" t="s">
        <v>21</v>
      </c>
      <c r="O65" t="s">
        <v>22</v>
      </c>
      <c r="P65" t="s">
        <v>20</v>
      </c>
      <c r="Q65">
        <v>23542</v>
      </c>
      <c r="R65">
        <f t="shared" si="0"/>
        <v>2</v>
      </c>
      <c r="V65">
        <f t="shared" si="1"/>
        <v>23542</v>
      </c>
      <c r="Y65" s="18">
        <f t="shared" si="2"/>
        <v>13435.51</v>
      </c>
      <c r="Z65" s="18" t="str">
        <f t="shared" si="3"/>
        <v/>
      </c>
    </row>
    <row r="66" spans="2:26" x14ac:dyDescent="0.25">
      <c r="B66" t="s">
        <v>277</v>
      </c>
      <c r="C66" t="s">
        <v>16</v>
      </c>
      <c r="D66" t="s">
        <v>16</v>
      </c>
      <c r="E66" t="s">
        <v>16</v>
      </c>
      <c r="F66" t="s">
        <v>16</v>
      </c>
      <c r="G66" t="s">
        <v>333</v>
      </c>
      <c r="H66" s="18">
        <v>64390</v>
      </c>
      <c r="I66" t="s">
        <v>23</v>
      </c>
      <c r="J66" t="s">
        <v>19</v>
      </c>
      <c r="N66" t="s">
        <v>21</v>
      </c>
      <c r="O66" t="s">
        <v>22</v>
      </c>
      <c r="P66" t="s">
        <v>20</v>
      </c>
      <c r="Q66">
        <v>23667</v>
      </c>
      <c r="R66">
        <f t="shared" si="0"/>
        <v>2</v>
      </c>
      <c r="V66">
        <f t="shared" si="1"/>
        <v>23667</v>
      </c>
      <c r="Y66" s="18">
        <f t="shared" si="2"/>
        <v>64390</v>
      </c>
      <c r="Z66" s="18">
        <f t="shared" si="3"/>
        <v>0</v>
      </c>
    </row>
    <row r="67" spans="2:26" x14ac:dyDescent="0.25">
      <c r="B67" t="s">
        <v>277</v>
      </c>
      <c r="C67" t="s">
        <v>16</v>
      </c>
      <c r="D67" t="s">
        <v>16</v>
      </c>
      <c r="E67" t="s">
        <v>16</v>
      </c>
      <c r="F67" t="s">
        <v>16</v>
      </c>
      <c r="G67" t="s">
        <v>334</v>
      </c>
      <c r="H67" s="18">
        <v>312134.84999999998</v>
      </c>
      <c r="I67" t="s">
        <v>23</v>
      </c>
      <c r="J67" t="s">
        <v>19</v>
      </c>
      <c r="N67" t="s">
        <v>21</v>
      </c>
      <c r="O67" t="s">
        <v>22</v>
      </c>
      <c r="P67" t="s">
        <v>20</v>
      </c>
      <c r="Q67">
        <v>25698</v>
      </c>
      <c r="R67">
        <f t="shared" si="0"/>
        <v>2</v>
      </c>
      <c r="V67">
        <f t="shared" si="1"/>
        <v>25698</v>
      </c>
      <c r="Y67" s="18">
        <f t="shared" si="2"/>
        <v>312134.84999999998</v>
      </c>
      <c r="Z67" s="18">
        <f t="shared" si="3"/>
        <v>0</v>
      </c>
    </row>
    <row r="68" spans="2:26" x14ac:dyDescent="0.25">
      <c r="B68" t="s">
        <v>277</v>
      </c>
      <c r="C68" t="s">
        <v>16</v>
      </c>
      <c r="D68" t="s">
        <v>16</v>
      </c>
      <c r="E68" t="s">
        <v>16</v>
      </c>
      <c r="F68" t="s">
        <v>16</v>
      </c>
      <c r="G68" t="s">
        <v>335</v>
      </c>
      <c r="H68" s="18">
        <v>26301.360000000001</v>
      </c>
      <c r="I68" t="s">
        <v>23</v>
      </c>
      <c r="J68" t="s">
        <v>19</v>
      </c>
      <c r="N68" t="s">
        <v>21</v>
      </c>
      <c r="O68" t="s">
        <v>22</v>
      </c>
      <c r="P68" t="s">
        <v>20</v>
      </c>
      <c r="Q68">
        <v>23498</v>
      </c>
      <c r="R68">
        <f t="shared" si="0"/>
        <v>2</v>
      </c>
      <c r="V68">
        <f t="shared" si="1"/>
        <v>23498</v>
      </c>
      <c r="Y68" s="18">
        <f t="shared" si="2"/>
        <v>26301.360000000001</v>
      </c>
      <c r="Z68" s="18">
        <f t="shared" si="3"/>
        <v>0</v>
      </c>
    </row>
    <row r="69" spans="2:26" hidden="1" x14ac:dyDescent="0.25">
      <c r="B69" t="s">
        <v>15</v>
      </c>
      <c r="C69" t="s">
        <v>16</v>
      </c>
      <c r="D69" t="s">
        <v>16</v>
      </c>
      <c r="E69" t="s">
        <v>16</v>
      </c>
      <c r="F69" t="s">
        <v>16</v>
      </c>
      <c r="G69" t="s">
        <v>336</v>
      </c>
      <c r="H69" s="18">
        <v>-14038.13</v>
      </c>
      <c r="J69" t="s">
        <v>19</v>
      </c>
      <c r="N69" t="s">
        <v>21</v>
      </c>
      <c r="O69" t="s">
        <v>22</v>
      </c>
      <c r="P69" t="s">
        <v>20</v>
      </c>
      <c r="Q69">
        <v>15141</v>
      </c>
      <c r="R69">
        <f t="shared" si="0"/>
        <v>2</v>
      </c>
      <c r="V69">
        <f t="shared" si="1"/>
        <v>15141</v>
      </c>
      <c r="Y69" s="18">
        <f t="shared" si="2"/>
        <v>40097</v>
      </c>
      <c r="Z69" s="18" t="str">
        <f t="shared" si="3"/>
        <v/>
      </c>
    </row>
    <row r="70" spans="2:26" hidden="1" x14ac:dyDescent="0.25">
      <c r="B70" t="s">
        <v>277</v>
      </c>
      <c r="C70" t="s">
        <v>16</v>
      </c>
      <c r="D70" t="s">
        <v>16</v>
      </c>
      <c r="E70" t="s">
        <v>16</v>
      </c>
      <c r="F70" t="s">
        <v>16</v>
      </c>
      <c r="G70" t="s">
        <v>337</v>
      </c>
      <c r="H70" s="18">
        <v>68670</v>
      </c>
      <c r="I70" t="s">
        <v>23</v>
      </c>
      <c r="J70" t="s">
        <v>19</v>
      </c>
      <c r="N70" t="s">
        <v>21</v>
      </c>
      <c r="O70" t="s">
        <v>22</v>
      </c>
      <c r="P70" t="s">
        <v>20</v>
      </c>
      <c r="Q70">
        <v>27167</v>
      </c>
      <c r="R70">
        <f t="shared" si="0"/>
        <v>2</v>
      </c>
      <c r="V70" t="str">
        <f t="shared" si="1"/>
        <v/>
      </c>
      <c r="W70" s="26" t="s">
        <v>686</v>
      </c>
      <c r="X70" s="15" t="s">
        <v>129</v>
      </c>
      <c r="Y70" s="18" t="str">
        <f t="shared" si="2"/>
        <v/>
      </c>
      <c r="Z70" s="18" t="str">
        <f t="shared" si="3"/>
        <v/>
      </c>
    </row>
    <row r="71" spans="2:26" x14ac:dyDescent="0.25">
      <c r="B71" t="s">
        <v>277</v>
      </c>
      <c r="C71" t="s">
        <v>16</v>
      </c>
      <c r="D71" t="s">
        <v>16</v>
      </c>
      <c r="E71" t="s">
        <v>16</v>
      </c>
      <c r="F71" t="s">
        <v>16</v>
      </c>
      <c r="G71" t="s">
        <v>338</v>
      </c>
      <c r="H71" s="18">
        <v>10970.09</v>
      </c>
      <c r="I71" t="s">
        <v>23</v>
      </c>
      <c r="J71" t="s">
        <v>19</v>
      </c>
      <c r="N71" t="s">
        <v>21</v>
      </c>
      <c r="O71" t="s">
        <v>22</v>
      </c>
      <c r="P71" t="s">
        <v>20</v>
      </c>
      <c r="Q71">
        <v>3221</v>
      </c>
      <c r="R71">
        <f t="shared" si="0"/>
        <v>2</v>
      </c>
      <c r="V71">
        <f t="shared" si="1"/>
        <v>3221</v>
      </c>
      <c r="Y71" s="18">
        <f t="shared" si="2"/>
        <v>10970.09</v>
      </c>
      <c r="Z71" s="18">
        <f t="shared" si="3"/>
        <v>0</v>
      </c>
    </row>
    <row r="72" spans="2:26" hidden="1" x14ac:dyDescent="0.25">
      <c r="B72" t="s">
        <v>15</v>
      </c>
      <c r="C72" t="s">
        <v>16</v>
      </c>
      <c r="D72" t="s">
        <v>16</v>
      </c>
      <c r="E72" t="s">
        <v>16</v>
      </c>
      <c r="F72" t="s">
        <v>16</v>
      </c>
      <c r="G72" t="s">
        <v>339</v>
      </c>
      <c r="H72" s="18">
        <v>-71902.48</v>
      </c>
      <c r="J72" t="s">
        <v>19</v>
      </c>
      <c r="N72" t="s">
        <v>21</v>
      </c>
      <c r="O72" t="s">
        <v>22</v>
      </c>
      <c r="P72" t="s">
        <v>20</v>
      </c>
      <c r="Q72">
        <v>2611001226</v>
      </c>
      <c r="R72">
        <f t="shared" si="0"/>
        <v>2</v>
      </c>
      <c r="V72">
        <f t="shared" si="1"/>
        <v>2611001226</v>
      </c>
      <c r="Y72" s="18">
        <f t="shared" si="2"/>
        <v>138191.62</v>
      </c>
      <c r="Z72" s="18" t="str">
        <f t="shared" si="3"/>
        <v/>
      </c>
    </row>
    <row r="73" spans="2:26" hidden="1" x14ac:dyDescent="0.25">
      <c r="B73" t="s">
        <v>15</v>
      </c>
      <c r="C73" t="s">
        <v>16</v>
      </c>
      <c r="D73" t="s">
        <v>16</v>
      </c>
      <c r="E73" t="s">
        <v>16</v>
      </c>
      <c r="F73" t="s">
        <v>16</v>
      </c>
      <c r="G73" t="s">
        <v>340</v>
      </c>
      <c r="H73" s="18">
        <v>-11002.01</v>
      </c>
      <c r="J73" t="s">
        <v>19</v>
      </c>
      <c r="N73" t="s">
        <v>21</v>
      </c>
      <c r="O73" t="s">
        <v>22</v>
      </c>
      <c r="P73" t="s">
        <v>20</v>
      </c>
      <c r="Q73">
        <v>23568</v>
      </c>
      <c r="R73">
        <f t="shared" si="0"/>
        <v>2</v>
      </c>
      <c r="V73">
        <f t="shared" si="1"/>
        <v>23568</v>
      </c>
      <c r="Y73" s="18">
        <f t="shared" si="2"/>
        <v>13435.51</v>
      </c>
      <c r="Z73" s="18" t="str">
        <f t="shared" si="3"/>
        <v/>
      </c>
    </row>
    <row r="74" spans="2:26" x14ac:dyDescent="0.25">
      <c r="B74" t="s">
        <v>277</v>
      </c>
      <c r="C74" t="s">
        <v>16</v>
      </c>
      <c r="D74" t="s">
        <v>16</v>
      </c>
      <c r="E74" t="s">
        <v>16</v>
      </c>
      <c r="F74" t="s">
        <v>16</v>
      </c>
      <c r="G74" t="s">
        <v>341</v>
      </c>
      <c r="H74" s="18">
        <v>46361.68</v>
      </c>
      <c r="I74" t="s">
        <v>23</v>
      </c>
      <c r="J74" t="s">
        <v>19</v>
      </c>
      <c r="N74" t="s">
        <v>21</v>
      </c>
      <c r="O74" t="s">
        <v>22</v>
      </c>
      <c r="P74" t="s">
        <v>20</v>
      </c>
      <c r="Q74">
        <v>8030275314</v>
      </c>
      <c r="R74">
        <f t="shared" ref="R74:R137" si="4">COUNTIF($Q$9:$Q$816,Q74)</f>
        <v>2</v>
      </c>
      <c r="V74">
        <f t="shared" ref="V74:V137" si="5">IFERROR(VLOOKUP(Q74,$C$823:$C$1253,1,FALSE),"")</f>
        <v>8030275314</v>
      </c>
      <c r="Y74" s="18">
        <f t="shared" ref="Y74:Y137" si="6">IFERROR(VLOOKUP(Q74,$C$823:$D$1253,2,FALSE),"")</f>
        <v>46361.68</v>
      </c>
      <c r="Z74" s="18">
        <f t="shared" ref="Z74:Z137" si="7">IFERROR(IF(RIGHT(B74,6)="TYVA02","",H74-Y74),"")</f>
        <v>0</v>
      </c>
    </row>
    <row r="75" spans="2:26" x14ac:dyDescent="0.25">
      <c r="B75" t="s">
        <v>277</v>
      </c>
      <c r="C75" t="s">
        <v>16</v>
      </c>
      <c r="D75" t="s">
        <v>16</v>
      </c>
      <c r="E75" t="s">
        <v>16</v>
      </c>
      <c r="F75" t="s">
        <v>16</v>
      </c>
      <c r="G75" t="s">
        <v>342</v>
      </c>
      <c r="H75" s="18">
        <v>156026.29999999999</v>
      </c>
      <c r="I75" t="s">
        <v>23</v>
      </c>
      <c r="J75" t="s">
        <v>19</v>
      </c>
      <c r="N75" t="s">
        <v>21</v>
      </c>
      <c r="O75" t="s">
        <v>22</v>
      </c>
      <c r="P75" t="s">
        <v>20</v>
      </c>
      <c r="Q75">
        <v>7351</v>
      </c>
      <c r="R75">
        <f t="shared" si="4"/>
        <v>2</v>
      </c>
      <c r="V75">
        <f t="shared" si="5"/>
        <v>7351</v>
      </c>
      <c r="Y75" s="18">
        <f t="shared" si="6"/>
        <v>156026.29999999999</v>
      </c>
      <c r="Z75" s="18">
        <f t="shared" si="7"/>
        <v>0</v>
      </c>
    </row>
    <row r="76" spans="2:26" hidden="1" x14ac:dyDescent="0.25">
      <c r="B76" t="s">
        <v>277</v>
      </c>
      <c r="C76" t="s">
        <v>16</v>
      </c>
      <c r="D76" t="s">
        <v>16</v>
      </c>
      <c r="E76" t="s">
        <v>16</v>
      </c>
      <c r="F76" t="s">
        <v>16</v>
      </c>
      <c r="G76" t="s">
        <v>343</v>
      </c>
      <c r="H76" s="18">
        <v>87925.61</v>
      </c>
      <c r="I76" t="s">
        <v>23</v>
      </c>
      <c r="J76" t="s">
        <v>19</v>
      </c>
      <c r="N76" t="s">
        <v>21</v>
      </c>
      <c r="O76" t="s">
        <v>22</v>
      </c>
      <c r="P76" t="s">
        <v>20</v>
      </c>
      <c r="Q76">
        <v>27168</v>
      </c>
      <c r="R76">
        <f t="shared" si="4"/>
        <v>2</v>
      </c>
      <c r="V76" t="str">
        <f t="shared" si="5"/>
        <v/>
      </c>
      <c r="W76" s="26" t="s">
        <v>686</v>
      </c>
      <c r="X76" s="15" t="s">
        <v>129</v>
      </c>
      <c r="Y76" s="18" t="str">
        <f t="shared" si="6"/>
        <v/>
      </c>
      <c r="Z76" s="18" t="str">
        <f t="shared" si="7"/>
        <v/>
      </c>
    </row>
    <row r="77" spans="2:26" x14ac:dyDescent="0.25">
      <c r="B77" t="s">
        <v>277</v>
      </c>
      <c r="C77" t="s">
        <v>16</v>
      </c>
      <c r="D77" t="s">
        <v>16</v>
      </c>
      <c r="E77" t="s">
        <v>16</v>
      </c>
      <c r="F77" t="s">
        <v>16</v>
      </c>
      <c r="G77" t="s">
        <v>344</v>
      </c>
      <c r="H77" s="18">
        <v>21232.41</v>
      </c>
      <c r="I77" t="s">
        <v>23</v>
      </c>
      <c r="J77" t="s">
        <v>19</v>
      </c>
      <c r="N77" t="s">
        <v>21</v>
      </c>
      <c r="O77" t="s">
        <v>22</v>
      </c>
      <c r="P77" t="s">
        <v>20</v>
      </c>
      <c r="Q77">
        <v>23525</v>
      </c>
      <c r="R77">
        <f t="shared" si="4"/>
        <v>2</v>
      </c>
      <c r="V77">
        <f t="shared" si="5"/>
        <v>23525</v>
      </c>
      <c r="Y77" s="18">
        <f t="shared" si="6"/>
        <v>21232.41</v>
      </c>
      <c r="Z77" s="18">
        <f t="shared" si="7"/>
        <v>0</v>
      </c>
    </row>
    <row r="78" spans="2:26" hidden="1" x14ac:dyDescent="0.25">
      <c r="B78" t="s">
        <v>15</v>
      </c>
      <c r="C78" t="s">
        <v>16</v>
      </c>
      <c r="D78" t="s">
        <v>16</v>
      </c>
      <c r="E78" t="s">
        <v>16</v>
      </c>
      <c r="F78" t="s">
        <v>16</v>
      </c>
      <c r="G78" t="s">
        <v>285</v>
      </c>
      <c r="H78" s="18">
        <v>-52572.639999999999</v>
      </c>
      <c r="J78" t="s">
        <v>19</v>
      </c>
      <c r="N78" t="s">
        <v>21</v>
      </c>
      <c r="O78" t="s">
        <v>22</v>
      </c>
      <c r="P78" t="s">
        <v>20</v>
      </c>
      <c r="Q78">
        <v>25588</v>
      </c>
      <c r="R78">
        <f t="shared" si="4"/>
        <v>2</v>
      </c>
      <c r="V78">
        <f t="shared" si="5"/>
        <v>25588</v>
      </c>
      <c r="Y78" s="18">
        <f t="shared" si="6"/>
        <v>52572.639999999999</v>
      </c>
      <c r="Z78" s="18" t="str">
        <f t="shared" si="7"/>
        <v/>
      </c>
    </row>
    <row r="79" spans="2:26" hidden="1" x14ac:dyDescent="0.25">
      <c r="B79" t="s">
        <v>15</v>
      </c>
      <c r="C79" t="s">
        <v>16</v>
      </c>
      <c r="D79" t="s">
        <v>16</v>
      </c>
      <c r="E79" t="s">
        <v>16</v>
      </c>
      <c r="F79" t="s">
        <v>16</v>
      </c>
      <c r="G79" t="s">
        <v>345</v>
      </c>
      <c r="H79" s="18">
        <v>-10385.219999999999</v>
      </c>
      <c r="J79" t="s">
        <v>19</v>
      </c>
      <c r="N79" t="s">
        <v>21</v>
      </c>
      <c r="O79" t="s">
        <v>22</v>
      </c>
      <c r="P79" t="s">
        <v>20</v>
      </c>
      <c r="Q79">
        <v>7400196620</v>
      </c>
      <c r="R79">
        <f t="shared" si="4"/>
        <v>2</v>
      </c>
      <c r="V79">
        <f t="shared" si="5"/>
        <v>7400196620</v>
      </c>
      <c r="Y79" s="18">
        <f t="shared" si="6"/>
        <v>46907.19</v>
      </c>
      <c r="Z79" s="18" t="str">
        <f t="shared" si="7"/>
        <v/>
      </c>
    </row>
    <row r="80" spans="2:26" x14ac:dyDescent="0.25">
      <c r="B80" t="s">
        <v>277</v>
      </c>
      <c r="C80" t="s">
        <v>16</v>
      </c>
      <c r="D80" t="s">
        <v>16</v>
      </c>
      <c r="E80" t="s">
        <v>16</v>
      </c>
      <c r="F80" t="s">
        <v>16</v>
      </c>
      <c r="G80" t="s">
        <v>346</v>
      </c>
      <c r="H80" s="18">
        <v>38336.32</v>
      </c>
      <c r="I80" t="s">
        <v>23</v>
      </c>
      <c r="J80" t="s">
        <v>19</v>
      </c>
      <c r="N80" t="s">
        <v>21</v>
      </c>
      <c r="O80" t="s">
        <v>22</v>
      </c>
      <c r="P80" t="s">
        <v>20</v>
      </c>
      <c r="Q80">
        <v>27006</v>
      </c>
      <c r="R80">
        <f t="shared" si="4"/>
        <v>2</v>
      </c>
      <c r="V80">
        <f t="shared" si="5"/>
        <v>27006</v>
      </c>
      <c r="Y80" s="18">
        <f t="shared" si="6"/>
        <v>38336.32</v>
      </c>
      <c r="Z80" s="18">
        <f t="shared" si="7"/>
        <v>0</v>
      </c>
    </row>
    <row r="81" spans="2:26" hidden="1" x14ac:dyDescent="0.25">
      <c r="B81" t="s">
        <v>15</v>
      </c>
      <c r="C81" t="s">
        <v>16</v>
      </c>
      <c r="D81" t="s">
        <v>16</v>
      </c>
      <c r="E81" t="s">
        <v>16</v>
      </c>
      <c r="F81" t="s">
        <v>16</v>
      </c>
      <c r="G81" t="s">
        <v>347</v>
      </c>
      <c r="H81" s="18">
        <v>-9152.0300000000007</v>
      </c>
      <c r="J81" t="s">
        <v>19</v>
      </c>
      <c r="N81" t="s">
        <v>21</v>
      </c>
      <c r="O81" t="s">
        <v>22</v>
      </c>
      <c r="P81" t="s">
        <v>20</v>
      </c>
      <c r="Q81">
        <v>23602</v>
      </c>
      <c r="R81">
        <f t="shared" si="4"/>
        <v>2</v>
      </c>
      <c r="V81">
        <f t="shared" si="5"/>
        <v>23602</v>
      </c>
      <c r="Y81" s="18">
        <f t="shared" si="6"/>
        <v>10748.41</v>
      </c>
      <c r="Z81" s="18" t="str">
        <f t="shared" si="7"/>
        <v/>
      </c>
    </row>
    <row r="82" spans="2:26" hidden="1" x14ac:dyDescent="0.25">
      <c r="B82" t="s">
        <v>15</v>
      </c>
      <c r="C82" t="s">
        <v>16</v>
      </c>
      <c r="D82" t="s">
        <v>16</v>
      </c>
      <c r="E82" t="s">
        <v>16</v>
      </c>
      <c r="F82" t="s">
        <v>16</v>
      </c>
      <c r="G82" t="s">
        <v>348</v>
      </c>
      <c r="H82" s="18">
        <v>-192.92</v>
      </c>
      <c r="J82" t="s">
        <v>19</v>
      </c>
      <c r="N82" t="s">
        <v>21</v>
      </c>
      <c r="O82" t="s">
        <v>22</v>
      </c>
      <c r="P82" t="s">
        <v>20</v>
      </c>
      <c r="Q82">
        <v>23632</v>
      </c>
      <c r="R82">
        <f t="shared" si="4"/>
        <v>2</v>
      </c>
      <c r="V82">
        <f t="shared" si="5"/>
        <v>23632</v>
      </c>
      <c r="Y82" s="18">
        <f t="shared" si="6"/>
        <v>280.52999999999997</v>
      </c>
      <c r="Z82" s="18" t="str">
        <f t="shared" si="7"/>
        <v/>
      </c>
    </row>
    <row r="83" spans="2:26" hidden="1" x14ac:dyDescent="0.25">
      <c r="B83" t="s">
        <v>15</v>
      </c>
      <c r="C83" t="s">
        <v>16</v>
      </c>
      <c r="D83" t="s">
        <v>16</v>
      </c>
      <c r="E83" t="s">
        <v>16</v>
      </c>
      <c r="F83" t="s">
        <v>16</v>
      </c>
      <c r="G83" t="s">
        <v>349</v>
      </c>
      <c r="H83" s="18">
        <v>-356036.83</v>
      </c>
      <c r="J83" t="s">
        <v>19</v>
      </c>
      <c r="N83" t="s">
        <v>21</v>
      </c>
      <c r="O83" t="s">
        <v>22</v>
      </c>
      <c r="P83" t="s">
        <v>20</v>
      </c>
      <c r="Q83">
        <v>25679</v>
      </c>
      <c r="R83">
        <f t="shared" si="4"/>
        <v>2</v>
      </c>
      <c r="V83">
        <f t="shared" si="5"/>
        <v>25679</v>
      </c>
      <c r="Y83" s="18">
        <f t="shared" si="6"/>
        <v>564943.51</v>
      </c>
      <c r="Z83" s="18" t="str">
        <f t="shared" si="7"/>
        <v/>
      </c>
    </row>
    <row r="84" spans="2:26" hidden="1" x14ac:dyDescent="0.25">
      <c r="B84" t="s">
        <v>15</v>
      </c>
      <c r="C84" t="s">
        <v>16</v>
      </c>
      <c r="D84" t="s">
        <v>16</v>
      </c>
      <c r="E84" t="s">
        <v>16</v>
      </c>
      <c r="F84" t="s">
        <v>16</v>
      </c>
      <c r="G84" t="s">
        <v>350</v>
      </c>
      <c r="H84" s="18">
        <v>-1742.88</v>
      </c>
      <c r="J84" t="s">
        <v>19</v>
      </c>
      <c r="N84" t="s">
        <v>21</v>
      </c>
      <c r="O84" t="s">
        <v>22</v>
      </c>
      <c r="P84" t="s">
        <v>20</v>
      </c>
      <c r="Q84">
        <v>23583</v>
      </c>
      <c r="R84">
        <f t="shared" si="4"/>
        <v>2</v>
      </c>
      <c r="V84">
        <f t="shared" si="5"/>
        <v>23583</v>
      </c>
      <c r="Y84" s="18">
        <f t="shared" si="6"/>
        <v>2171.1799999999998</v>
      </c>
      <c r="Z84" s="18" t="str">
        <f t="shared" si="7"/>
        <v/>
      </c>
    </row>
    <row r="85" spans="2:26" hidden="1" x14ac:dyDescent="0.25">
      <c r="B85" t="s">
        <v>15</v>
      </c>
      <c r="C85" t="s">
        <v>16</v>
      </c>
      <c r="D85" t="s">
        <v>16</v>
      </c>
      <c r="E85" t="s">
        <v>16</v>
      </c>
      <c r="F85" t="s">
        <v>16</v>
      </c>
      <c r="G85" t="s">
        <v>351</v>
      </c>
      <c r="H85" s="18">
        <v>-32397.14</v>
      </c>
      <c r="J85" t="s">
        <v>19</v>
      </c>
      <c r="N85" t="s">
        <v>21</v>
      </c>
      <c r="O85" t="s">
        <v>22</v>
      </c>
      <c r="P85" t="s">
        <v>20</v>
      </c>
      <c r="Q85">
        <v>18760</v>
      </c>
      <c r="R85">
        <f t="shared" si="4"/>
        <v>2</v>
      </c>
      <c r="V85">
        <f t="shared" si="5"/>
        <v>18760</v>
      </c>
      <c r="Y85" s="18">
        <f t="shared" si="6"/>
        <v>139353.57</v>
      </c>
      <c r="Z85" s="18" t="str">
        <f t="shared" si="7"/>
        <v/>
      </c>
    </row>
    <row r="86" spans="2:26" x14ac:dyDescent="0.25">
      <c r="B86" t="s">
        <v>277</v>
      </c>
      <c r="C86" t="s">
        <v>16</v>
      </c>
      <c r="D86" t="s">
        <v>16</v>
      </c>
      <c r="E86" t="s">
        <v>16</v>
      </c>
      <c r="F86" t="s">
        <v>16</v>
      </c>
      <c r="G86" t="s">
        <v>275</v>
      </c>
      <c r="H86" s="18">
        <v>89561.46</v>
      </c>
      <c r="I86" t="s">
        <v>23</v>
      </c>
      <c r="J86" t="s">
        <v>19</v>
      </c>
      <c r="N86" t="s">
        <v>21</v>
      </c>
      <c r="O86" t="s">
        <v>22</v>
      </c>
      <c r="P86" t="s">
        <v>20</v>
      </c>
      <c r="Q86">
        <v>23730</v>
      </c>
      <c r="R86">
        <f t="shared" si="4"/>
        <v>2</v>
      </c>
      <c r="V86">
        <f t="shared" si="5"/>
        <v>23730</v>
      </c>
      <c r="Y86" s="18">
        <f t="shared" si="6"/>
        <v>89561.46</v>
      </c>
      <c r="Z86" s="18">
        <f t="shared" si="7"/>
        <v>0</v>
      </c>
    </row>
    <row r="87" spans="2:26" hidden="1" x14ac:dyDescent="0.25">
      <c r="B87" t="s">
        <v>15</v>
      </c>
      <c r="C87" t="s">
        <v>16</v>
      </c>
      <c r="D87" t="s">
        <v>16</v>
      </c>
      <c r="E87" t="s">
        <v>16</v>
      </c>
      <c r="F87" t="s">
        <v>16</v>
      </c>
      <c r="G87" t="s">
        <v>352</v>
      </c>
      <c r="H87" s="18">
        <v>-377328.41</v>
      </c>
      <c r="J87" t="s">
        <v>19</v>
      </c>
      <c r="N87" t="s">
        <v>21</v>
      </c>
      <c r="O87" t="s">
        <v>22</v>
      </c>
      <c r="P87" t="s">
        <v>20</v>
      </c>
      <c r="Q87">
        <v>25700</v>
      </c>
      <c r="R87">
        <f t="shared" si="4"/>
        <v>2</v>
      </c>
      <c r="V87">
        <f t="shared" si="5"/>
        <v>25700</v>
      </c>
      <c r="Y87" s="18">
        <f t="shared" si="6"/>
        <v>615569.17000000004</v>
      </c>
      <c r="Z87" s="18" t="str">
        <f t="shared" si="7"/>
        <v/>
      </c>
    </row>
    <row r="88" spans="2:26" hidden="1" x14ac:dyDescent="0.25">
      <c r="B88" t="s">
        <v>15</v>
      </c>
      <c r="C88" t="s">
        <v>16</v>
      </c>
      <c r="D88" t="s">
        <v>16</v>
      </c>
      <c r="E88" t="s">
        <v>16</v>
      </c>
      <c r="F88" t="s">
        <v>16</v>
      </c>
      <c r="G88" t="s">
        <v>353</v>
      </c>
      <c r="H88" s="18">
        <v>-9064.43</v>
      </c>
      <c r="J88" t="s">
        <v>19</v>
      </c>
      <c r="N88" t="s">
        <v>21</v>
      </c>
      <c r="O88" t="s">
        <v>22</v>
      </c>
      <c r="P88" t="s">
        <v>20</v>
      </c>
      <c r="Q88">
        <v>23571</v>
      </c>
      <c r="R88">
        <f t="shared" si="4"/>
        <v>2</v>
      </c>
      <c r="V88">
        <f t="shared" si="5"/>
        <v>23571</v>
      </c>
      <c r="Y88" s="18">
        <f t="shared" si="6"/>
        <v>10748.41</v>
      </c>
      <c r="Z88" s="18" t="str">
        <f t="shared" si="7"/>
        <v/>
      </c>
    </row>
    <row r="89" spans="2:26" x14ac:dyDescent="0.25">
      <c r="B89" t="s">
        <v>277</v>
      </c>
      <c r="C89" t="s">
        <v>16</v>
      </c>
      <c r="D89" t="s">
        <v>16</v>
      </c>
      <c r="E89" t="s">
        <v>16</v>
      </c>
      <c r="F89" t="s">
        <v>16</v>
      </c>
      <c r="G89" t="s">
        <v>354</v>
      </c>
      <c r="H89" s="18">
        <v>22229.86</v>
      </c>
      <c r="I89" t="s">
        <v>23</v>
      </c>
      <c r="J89" t="s">
        <v>19</v>
      </c>
      <c r="N89" t="s">
        <v>21</v>
      </c>
      <c r="O89" t="s">
        <v>22</v>
      </c>
      <c r="P89" t="s">
        <v>20</v>
      </c>
      <c r="Q89">
        <v>23488</v>
      </c>
      <c r="R89">
        <f t="shared" si="4"/>
        <v>2</v>
      </c>
      <c r="V89">
        <f t="shared" si="5"/>
        <v>23488</v>
      </c>
      <c r="Y89" s="18">
        <f t="shared" si="6"/>
        <v>22229.86</v>
      </c>
      <c r="Z89" s="18">
        <f t="shared" si="7"/>
        <v>0</v>
      </c>
    </row>
    <row r="90" spans="2:26" hidden="1" x14ac:dyDescent="0.25">
      <c r="B90" t="s">
        <v>15</v>
      </c>
      <c r="C90" t="s">
        <v>16</v>
      </c>
      <c r="D90" t="s">
        <v>16</v>
      </c>
      <c r="E90" t="s">
        <v>16</v>
      </c>
      <c r="F90" t="s">
        <v>16</v>
      </c>
      <c r="G90" t="s">
        <v>355</v>
      </c>
      <c r="H90" s="18">
        <v>-22535.51</v>
      </c>
      <c r="J90" t="s">
        <v>19</v>
      </c>
      <c r="N90" t="s">
        <v>21</v>
      </c>
      <c r="O90" t="s">
        <v>22</v>
      </c>
      <c r="P90" t="s">
        <v>20</v>
      </c>
      <c r="Q90">
        <v>23513</v>
      </c>
      <c r="R90">
        <f t="shared" si="4"/>
        <v>2</v>
      </c>
      <c r="V90">
        <f t="shared" si="5"/>
        <v>23513</v>
      </c>
      <c r="Y90" s="18">
        <f t="shared" si="6"/>
        <v>94109.61</v>
      </c>
      <c r="Z90" s="18" t="str">
        <f t="shared" si="7"/>
        <v/>
      </c>
    </row>
    <row r="91" spans="2:26" x14ac:dyDescent="0.25">
      <c r="B91" t="s">
        <v>277</v>
      </c>
      <c r="C91" t="s">
        <v>16</v>
      </c>
      <c r="D91" t="s">
        <v>16</v>
      </c>
      <c r="E91" t="s">
        <v>16</v>
      </c>
      <c r="F91" t="s">
        <v>16</v>
      </c>
      <c r="G91" t="s">
        <v>356</v>
      </c>
      <c r="H91" s="18">
        <v>1859.47</v>
      </c>
      <c r="I91" t="s">
        <v>23</v>
      </c>
      <c r="J91" t="s">
        <v>19</v>
      </c>
      <c r="N91" t="s">
        <v>21</v>
      </c>
      <c r="O91" t="s">
        <v>22</v>
      </c>
      <c r="P91" t="s">
        <v>20</v>
      </c>
      <c r="Q91">
        <v>23589</v>
      </c>
      <c r="R91">
        <f t="shared" si="4"/>
        <v>2</v>
      </c>
      <c r="V91">
        <f t="shared" si="5"/>
        <v>23589</v>
      </c>
      <c r="Y91" s="18">
        <f t="shared" si="6"/>
        <v>1859.47</v>
      </c>
      <c r="Z91" s="18">
        <f t="shared" si="7"/>
        <v>0</v>
      </c>
    </row>
    <row r="92" spans="2:26" hidden="1" x14ac:dyDescent="0.25">
      <c r="B92" t="s">
        <v>15</v>
      </c>
      <c r="C92" t="s">
        <v>16</v>
      </c>
      <c r="D92" t="s">
        <v>16</v>
      </c>
      <c r="E92" t="s">
        <v>16</v>
      </c>
      <c r="F92" t="s">
        <v>16</v>
      </c>
      <c r="G92" t="s">
        <v>357</v>
      </c>
      <c r="H92" s="18">
        <v>-10834.59</v>
      </c>
      <c r="J92" t="s">
        <v>19</v>
      </c>
      <c r="N92" t="s">
        <v>21</v>
      </c>
      <c r="O92" t="s">
        <v>22</v>
      </c>
      <c r="P92" t="s">
        <v>20</v>
      </c>
      <c r="Q92">
        <v>23792</v>
      </c>
      <c r="R92">
        <f t="shared" si="4"/>
        <v>2</v>
      </c>
      <c r="V92">
        <f t="shared" si="5"/>
        <v>23792</v>
      </c>
      <c r="Y92" s="18">
        <f t="shared" si="6"/>
        <v>44680.3</v>
      </c>
      <c r="Z92" s="18" t="str">
        <f t="shared" si="7"/>
        <v/>
      </c>
    </row>
    <row r="93" spans="2:26" hidden="1" x14ac:dyDescent="0.25">
      <c r="B93" t="s">
        <v>15</v>
      </c>
      <c r="C93" t="s">
        <v>16</v>
      </c>
      <c r="D93" t="s">
        <v>16</v>
      </c>
      <c r="E93" t="s">
        <v>16</v>
      </c>
      <c r="F93" t="s">
        <v>16</v>
      </c>
      <c r="G93" t="s">
        <v>358</v>
      </c>
      <c r="H93" s="18">
        <v>-18824.87</v>
      </c>
      <c r="J93" t="s">
        <v>19</v>
      </c>
      <c r="N93" t="s">
        <v>21</v>
      </c>
      <c r="O93" t="s">
        <v>22</v>
      </c>
      <c r="P93" t="s">
        <v>20</v>
      </c>
      <c r="Q93">
        <v>23524</v>
      </c>
      <c r="R93">
        <f t="shared" si="4"/>
        <v>2</v>
      </c>
      <c r="V93">
        <f t="shared" si="5"/>
        <v>23524</v>
      </c>
      <c r="Y93" s="18">
        <f t="shared" si="6"/>
        <v>25385.59</v>
      </c>
      <c r="Z93" s="18" t="str">
        <f t="shared" si="7"/>
        <v/>
      </c>
    </row>
    <row r="94" spans="2:26" hidden="1" x14ac:dyDescent="0.25">
      <c r="B94" t="s">
        <v>15</v>
      </c>
      <c r="C94" t="s">
        <v>16</v>
      </c>
      <c r="D94" t="s">
        <v>16</v>
      </c>
      <c r="E94" t="s">
        <v>16</v>
      </c>
      <c r="F94" t="s">
        <v>16</v>
      </c>
      <c r="G94" t="s">
        <v>359</v>
      </c>
      <c r="H94" s="18">
        <v>-14092.35</v>
      </c>
      <c r="J94" t="s">
        <v>19</v>
      </c>
      <c r="N94" t="s">
        <v>21</v>
      </c>
      <c r="O94" t="s">
        <v>22</v>
      </c>
      <c r="P94" t="s">
        <v>20</v>
      </c>
      <c r="Q94">
        <v>23532</v>
      </c>
      <c r="R94">
        <f t="shared" si="4"/>
        <v>2</v>
      </c>
      <c r="V94">
        <f t="shared" si="5"/>
        <v>23532</v>
      </c>
      <c r="Y94" s="18">
        <f t="shared" si="6"/>
        <v>20653.07</v>
      </c>
      <c r="Z94" s="18" t="str">
        <f t="shared" si="7"/>
        <v/>
      </c>
    </row>
    <row r="95" spans="2:26" x14ac:dyDescent="0.25">
      <c r="B95" t="s">
        <v>277</v>
      </c>
      <c r="C95" t="s">
        <v>16</v>
      </c>
      <c r="D95" t="s">
        <v>16</v>
      </c>
      <c r="E95" t="s">
        <v>16</v>
      </c>
      <c r="F95" t="s">
        <v>16</v>
      </c>
      <c r="G95" t="s">
        <v>360</v>
      </c>
      <c r="H95" s="18">
        <v>59761.15</v>
      </c>
      <c r="I95" t="s">
        <v>23</v>
      </c>
      <c r="J95" t="s">
        <v>19</v>
      </c>
      <c r="N95" t="s">
        <v>21</v>
      </c>
      <c r="O95" t="s">
        <v>22</v>
      </c>
      <c r="P95" t="s">
        <v>20</v>
      </c>
      <c r="Q95">
        <v>23656</v>
      </c>
      <c r="R95">
        <f t="shared" si="4"/>
        <v>2</v>
      </c>
      <c r="V95">
        <f t="shared" si="5"/>
        <v>23656</v>
      </c>
      <c r="Y95" s="18">
        <f t="shared" si="6"/>
        <v>59761.15</v>
      </c>
      <c r="Z95" s="18">
        <f t="shared" si="7"/>
        <v>0</v>
      </c>
    </row>
    <row r="96" spans="2:26" x14ac:dyDescent="0.25">
      <c r="B96" t="s">
        <v>277</v>
      </c>
      <c r="C96" t="s">
        <v>16</v>
      </c>
      <c r="D96" t="s">
        <v>16</v>
      </c>
      <c r="E96" t="s">
        <v>16</v>
      </c>
      <c r="F96" t="s">
        <v>16</v>
      </c>
      <c r="G96" t="s">
        <v>361</v>
      </c>
      <c r="H96" s="18">
        <v>580.41</v>
      </c>
      <c r="I96" t="s">
        <v>23</v>
      </c>
      <c r="J96" t="s">
        <v>19</v>
      </c>
      <c r="N96" t="s">
        <v>21</v>
      </c>
      <c r="O96" t="s">
        <v>22</v>
      </c>
      <c r="P96" t="s">
        <v>20</v>
      </c>
      <c r="Q96">
        <v>23618</v>
      </c>
      <c r="R96">
        <f t="shared" si="4"/>
        <v>2</v>
      </c>
      <c r="V96">
        <f t="shared" si="5"/>
        <v>23618</v>
      </c>
      <c r="Y96" s="18">
        <f t="shared" si="6"/>
        <v>580.41</v>
      </c>
      <c r="Z96" s="18">
        <f t="shared" si="7"/>
        <v>0</v>
      </c>
    </row>
    <row r="97" spans="2:26" hidden="1" x14ac:dyDescent="0.25">
      <c r="B97" t="s">
        <v>15</v>
      </c>
      <c r="C97" t="s">
        <v>16</v>
      </c>
      <c r="D97" t="s">
        <v>16</v>
      </c>
      <c r="E97" t="s">
        <v>16</v>
      </c>
      <c r="F97" t="s">
        <v>16</v>
      </c>
      <c r="G97" t="s">
        <v>362</v>
      </c>
      <c r="H97" s="18">
        <v>-9.1300000000000008</v>
      </c>
      <c r="J97" t="s">
        <v>19</v>
      </c>
      <c r="N97" t="s">
        <v>21</v>
      </c>
      <c r="O97" t="s">
        <v>22</v>
      </c>
      <c r="P97" t="s">
        <v>20</v>
      </c>
      <c r="Q97">
        <v>23635</v>
      </c>
      <c r="R97">
        <f t="shared" si="4"/>
        <v>2</v>
      </c>
      <c r="V97">
        <f t="shared" si="5"/>
        <v>23635</v>
      </c>
      <c r="Y97" s="18">
        <f t="shared" si="6"/>
        <v>96.74</v>
      </c>
      <c r="Z97" s="18" t="str">
        <f t="shared" si="7"/>
        <v/>
      </c>
    </row>
    <row r="98" spans="2:26" hidden="1" x14ac:dyDescent="0.25">
      <c r="B98" t="s">
        <v>15</v>
      </c>
      <c r="C98" t="s">
        <v>16</v>
      </c>
      <c r="D98" t="s">
        <v>16</v>
      </c>
      <c r="E98" t="s">
        <v>16</v>
      </c>
      <c r="F98" t="s">
        <v>16</v>
      </c>
      <c r="G98" t="s">
        <v>363</v>
      </c>
      <c r="H98" s="18">
        <v>-152.62</v>
      </c>
      <c r="J98" t="s">
        <v>19</v>
      </c>
      <c r="N98" t="s">
        <v>21</v>
      </c>
      <c r="O98" t="s">
        <v>22</v>
      </c>
      <c r="P98" t="s">
        <v>20</v>
      </c>
      <c r="Q98">
        <v>23639</v>
      </c>
      <c r="R98">
        <f t="shared" si="4"/>
        <v>2</v>
      </c>
      <c r="V98">
        <f t="shared" si="5"/>
        <v>23639</v>
      </c>
      <c r="Y98" s="18">
        <f t="shared" si="6"/>
        <v>327.83</v>
      </c>
      <c r="Z98" s="18" t="str">
        <f t="shared" si="7"/>
        <v/>
      </c>
    </row>
    <row r="99" spans="2:26" hidden="1" x14ac:dyDescent="0.25">
      <c r="B99" t="s">
        <v>15</v>
      </c>
      <c r="C99" t="s">
        <v>16</v>
      </c>
      <c r="D99" t="s">
        <v>16</v>
      </c>
      <c r="E99" t="s">
        <v>16</v>
      </c>
      <c r="F99" t="s">
        <v>16</v>
      </c>
      <c r="G99" t="s">
        <v>364</v>
      </c>
      <c r="H99" s="18">
        <v>-2307.7600000000002</v>
      </c>
      <c r="J99" t="s">
        <v>19</v>
      </c>
      <c r="N99" t="s">
        <v>21</v>
      </c>
      <c r="O99" t="s">
        <v>22</v>
      </c>
      <c r="P99" t="s">
        <v>20</v>
      </c>
      <c r="Q99">
        <v>27114</v>
      </c>
      <c r="R99">
        <f t="shared" si="4"/>
        <v>2</v>
      </c>
      <c r="V99">
        <f t="shared" si="5"/>
        <v>27114</v>
      </c>
      <c r="Y99" s="18">
        <f t="shared" si="6"/>
        <v>58806.05</v>
      </c>
      <c r="Z99" s="18" t="str">
        <f t="shared" si="7"/>
        <v/>
      </c>
    </row>
    <row r="100" spans="2:26" x14ac:dyDescent="0.25">
      <c r="B100" t="s">
        <v>277</v>
      </c>
      <c r="C100" t="s">
        <v>16</v>
      </c>
      <c r="D100" t="s">
        <v>16</v>
      </c>
      <c r="E100" t="s">
        <v>16</v>
      </c>
      <c r="F100" t="s">
        <v>16</v>
      </c>
      <c r="G100" t="s">
        <v>365</v>
      </c>
      <c r="H100" s="18">
        <v>77248.66</v>
      </c>
      <c r="I100" t="s">
        <v>23</v>
      </c>
      <c r="J100" t="s">
        <v>19</v>
      </c>
      <c r="N100" t="s">
        <v>21</v>
      </c>
      <c r="O100" t="s">
        <v>22</v>
      </c>
      <c r="P100" t="s">
        <v>20</v>
      </c>
      <c r="Q100">
        <v>19594</v>
      </c>
      <c r="R100">
        <f t="shared" si="4"/>
        <v>2</v>
      </c>
      <c r="V100">
        <f t="shared" si="5"/>
        <v>19594</v>
      </c>
      <c r="Y100" s="18">
        <f t="shared" si="6"/>
        <v>77248.66</v>
      </c>
      <c r="Z100" s="18">
        <f t="shared" si="7"/>
        <v>0</v>
      </c>
    </row>
    <row r="101" spans="2:26" x14ac:dyDescent="0.25">
      <c r="B101" t="s">
        <v>277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s="18">
        <v>1.21</v>
      </c>
      <c r="I101" t="s">
        <v>23</v>
      </c>
      <c r="J101" t="s">
        <v>19</v>
      </c>
      <c r="N101" t="s">
        <v>21</v>
      </c>
      <c r="O101" t="s">
        <v>22</v>
      </c>
      <c r="P101" t="s">
        <v>20</v>
      </c>
      <c r="Q101" t="s">
        <v>16</v>
      </c>
      <c r="R101">
        <f t="shared" si="4"/>
        <v>4</v>
      </c>
      <c r="V101" t="str">
        <f t="shared" si="5"/>
        <v>NULL</v>
      </c>
      <c r="Y101" s="18">
        <f t="shared" si="6"/>
        <v>2.63</v>
      </c>
      <c r="Z101" s="18">
        <f t="shared" si="7"/>
        <v>-1.42</v>
      </c>
    </row>
    <row r="102" spans="2:26" hidden="1" x14ac:dyDescent="0.25">
      <c r="B102" t="s">
        <v>15</v>
      </c>
      <c r="C102" t="s">
        <v>16</v>
      </c>
      <c r="D102" t="s">
        <v>16</v>
      </c>
      <c r="E102" t="s">
        <v>16</v>
      </c>
      <c r="F102" t="s">
        <v>16</v>
      </c>
      <c r="G102" t="s">
        <v>366</v>
      </c>
      <c r="H102" s="18">
        <v>-1856.83</v>
      </c>
      <c r="J102" t="s">
        <v>19</v>
      </c>
      <c r="N102" t="s">
        <v>21</v>
      </c>
      <c r="O102" t="s">
        <v>22</v>
      </c>
      <c r="P102" t="s">
        <v>20</v>
      </c>
      <c r="Q102">
        <v>23559</v>
      </c>
      <c r="R102">
        <f t="shared" si="4"/>
        <v>2</v>
      </c>
      <c r="V102">
        <f t="shared" si="5"/>
        <v>23559</v>
      </c>
      <c r="Y102" s="18">
        <f t="shared" si="6"/>
        <v>2109.91</v>
      </c>
      <c r="Z102" s="18" t="str">
        <f t="shared" si="7"/>
        <v/>
      </c>
    </row>
    <row r="103" spans="2:26" hidden="1" x14ac:dyDescent="0.25">
      <c r="B103" t="s">
        <v>15</v>
      </c>
      <c r="C103" t="s">
        <v>16</v>
      </c>
      <c r="D103" t="s">
        <v>16</v>
      </c>
      <c r="E103" t="s">
        <v>16</v>
      </c>
      <c r="F103" t="s">
        <v>16</v>
      </c>
      <c r="G103" t="s">
        <v>367</v>
      </c>
      <c r="H103" s="18">
        <v>-43290.879999999997</v>
      </c>
      <c r="J103" t="s">
        <v>19</v>
      </c>
      <c r="N103" t="s">
        <v>21</v>
      </c>
      <c r="O103" t="s">
        <v>22</v>
      </c>
      <c r="P103" t="s">
        <v>20</v>
      </c>
      <c r="Q103">
        <v>23485</v>
      </c>
      <c r="R103">
        <f t="shared" si="4"/>
        <v>2</v>
      </c>
      <c r="V103">
        <f t="shared" si="5"/>
        <v>23485</v>
      </c>
      <c r="Y103" s="18">
        <f t="shared" si="6"/>
        <v>87385.9</v>
      </c>
      <c r="Z103" s="18" t="str">
        <f t="shared" si="7"/>
        <v/>
      </c>
    </row>
    <row r="104" spans="2:26" x14ac:dyDescent="0.25">
      <c r="B104" t="s">
        <v>277</v>
      </c>
      <c r="C104" t="s">
        <v>16</v>
      </c>
      <c r="D104" t="s">
        <v>16</v>
      </c>
      <c r="E104" t="s">
        <v>16</v>
      </c>
      <c r="F104" t="s">
        <v>16</v>
      </c>
      <c r="G104" t="s">
        <v>368</v>
      </c>
      <c r="H104" s="18">
        <v>75495.63</v>
      </c>
      <c r="I104" t="s">
        <v>23</v>
      </c>
      <c r="J104" t="s">
        <v>19</v>
      </c>
      <c r="N104" t="s">
        <v>21</v>
      </c>
      <c r="O104" t="s">
        <v>22</v>
      </c>
      <c r="P104" t="s">
        <v>20</v>
      </c>
      <c r="Q104">
        <v>9001811986</v>
      </c>
      <c r="R104">
        <f t="shared" si="4"/>
        <v>2</v>
      </c>
      <c r="V104">
        <f t="shared" si="5"/>
        <v>9001811986</v>
      </c>
      <c r="Y104" s="18">
        <f t="shared" si="6"/>
        <v>75495.63</v>
      </c>
      <c r="Z104" s="18">
        <f t="shared" si="7"/>
        <v>0</v>
      </c>
    </row>
    <row r="105" spans="2:26" x14ac:dyDescent="0.25">
      <c r="B105" t="s">
        <v>277</v>
      </c>
      <c r="C105" t="s">
        <v>16</v>
      </c>
      <c r="D105" t="s">
        <v>16</v>
      </c>
      <c r="E105" t="s">
        <v>16</v>
      </c>
      <c r="F105" t="s">
        <v>16</v>
      </c>
      <c r="G105" t="s">
        <v>369</v>
      </c>
      <c r="H105" s="18">
        <v>22229.86</v>
      </c>
      <c r="I105" t="s">
        <v>23</v>
      </c>
      <c r="J105" t="s">
        <v>19</v>
      </c>
      <c r="N105" t="s">
        <v>21</v>
      </c>
      <c r="O105" t="s">
        <v>22</v>
      </c>
      <c r="P105" t="s">
        <v>20</v>
      </c>
      <c r="Q105">
        <v>23490</v>
      </c>
      <c r="R105">
        <f t="shared" si="4"/>
        <v>2</v>
      </c>
      <c r="V105">
        <f t="shared" si="5"/>
        <v>23490</v>
      </c>
      <c r="Y105" s="18">
        <f t="shared" si="6"/>
        <v>22229.86</v>
      </c>
      <c r="Z105" s="18">
        <f t="shared" si="7"/>
        <v>0</v>
      </c>
    </row>
    <row r="106" spans="2:26" hidden="1" x14ac:dyDescent="0.25">
      <c r="B106" t="s">
        <v>15</v>
      </c>
      <c r="C106" t="s">
        <v>16</v>
      </c>
      <c r="D106" t="s">
        <v>16</v>
      </c>
      <c r="E106" t="s">
        <v>16</v>
      </c>
      <c r="F106" t="s">
        <v>16</v>
      </c>
      <c r="G106" t="s">
        <v>370</v>
      </c>
      <c r="H106" s="18">
        <v>-15657.32</v>
      </c>
      <c r="J106" t="s">
        <v>19</v>
      </c>
      <c r="N106" t="s">
        <v>21</v>
      </c>
      <c r="O106" t="s">
        <v>22</v>
      </c>
      <c r="P106" t="s">
        <v>20</v>
      </c>
      <c r="Q106">
        <v>23493</v>
      </c>
      <c r="R106">
        <f t="shared" si="4"/>
        <v>2</v>
      </c>
      <c r="V106">
        <f t="shared" si="5"/>
        <v>23493</v>
      </c>
      <c r="Y106" s="18">
        <f t="shared" si="6"/>
        <v>22218.04</v>
      </c>
      <c r="Z106" s="18" t="str">
        <f t="shared" si="7"/>
        <v/>
      </c>
    </row>
    <row r="107" spans="2:26" hidden="1" x14ac:dyDescent="0.25">
      <c r="B107" t="s">
        <v>15</v>
      </c>
      <c r="C107" t="s">
        <v>16</v>
      </c>
      <c r="D107" t="s">
        <v>16</v>
      </c>
      <c r="E107" t="s">
        <v>16</v>
      </c>
      <c r="F107" t="s">
        <v>16</v>
      </c>
      <c r="G107" t="s">
        <v>371</v>
      </c>
      <c r="H107" s="18">
        <v>-93.02</v>
      </c>
      <c r="J107" t="s">
        <v>19</v>
      </c>
      <c r="N107" t="s">
        <v>21</v>
      </c>
      <c r="O107" t="s">
        <v>22</v>
      </c>
      <c r="P107" t="s">
        <v>20</v>
      </c>
      <c r="Q107">
        <v>23653</v>
      </c>
      <c r="R107">
        <f t="shared" si="4"/>
        <v>2</v>
      </c>
      <c r="V107">
        <f t="shared" si="5"/>
        <v>23653</v>
      </c>
      <c r="Y107" s="18">
        <f t="shared" si="6"/>
        <v>346.1</v>
      </c>
      <c r="Z107" s="18" t="str">
        <f t="shared" si="7"/>
        <v/>
      </c>
    </row>
    <row r="108" spans="2:26" hidden="1" x14ac:dyDescent="0.25">
      <c r="B108" t="s">
        <v>15</v>
      </c>
      <c r="C108" t="s">
        <v>16</v>
      </c>
      <c r="D108" t="s">
        <v>16</v>
      </c>
      <c r="E108" t="s">
        <v>16</v>
      </c>
      <c r="F108" t="s">
        <v>16</v>
      </c>
      <c r="G108" t="s">
        <v>372</v>
      </c>
      <c r="H108" s="18">
        <v>-327.33</v>
      </c>
      <c r="J108" t="s">
        <v>19</v>
      </c>
      <c r="N108" t="s">
        <v>21</v>
      </c>
      <c r="O108" t="s">
        <v>22</v>
      </c>
      <c r="P108" t="s">
        <v>20</v>
      </c>
      <c r="Q108">
        <v>23619</v>
      </c>
      <c r="R108">
        <f t="shared" si="4"/>
        <v>2</v>
      </c>
      <c r="V108">
        <f t="shared" si="5"/>
        <v>23619</v>
      </c>
      <c r="Y108" s="18">
        <f t="shared" si="6"/>
        <v>580.41</v>
      </c>
      <c r="Z108" s="18" t="str">
        <f t="shared" si="7"/>
        <v/>
      </c>
    </row>
    <row r="109" spans="2:26" x14ac:dyDescent="0.25">
      <c r="B109" t="s">
        <v>277</v>
      </c>
      <c r="C109" t="s">
        <v>16</v>
      </c>
      <c r="D109" t="s">
        <v>16</v>
      </c>
      <c r="E109" t="s">
        <v>16</v>
      </c>
      <c r="F109" t="s">
        <v>16</v>
      </c>
      <c r="G109" t="s">
        <v>373</v>
      </c>
      <c r="H109" s="18">
        <v>1451.04</v>
      </c>
      <c r="I109" t="s">
        <v>23</v>
      </c>
      <c r="J109" t="s">
        <v>19</v>
      </c>
      <c r="N109" t="s">
        <v>21</v>
      </c>
      <c r="O109" t="s">
        <v>22</v>
      </c>
      <c r="P109" t="s">
        <v>20</v>
      </c>
      <c r="Q109">
        <v>23620</v>
      </c>
      <c r="R109">
        <f t="shared" si="4"/>
        <v>2</v>
      </c>
      <c r="V109">
        <f t="shared" si="5"/>
        <v>23620</v>
      </c>
      <c r="Y109" s="18">
        <f t="shared" si="6"/>
        <v>1451.04</v>
      </c>
      <c r="Z109" s="18">
        <f t="shared" si="7"/>
        <v>0</v>
      </c>
    </row>
    <row r="110" spans="2:26" x14ac:dyDescent="0.25">
      <c r="B110" t="s">
        <v>277</v>
      </c>
      <c r="C110" t="s">
        <v>16</v>
      </c>
      <c r="D110" t="s">
        <v>16</v>
      </c>
      <c r="E110" t="s">
        <v>16</v>
      </c>
      <c r="F110" t="s">
        <v>16</v>
      </c>
      <c r="G110" t="s">
        <v>374</v>
      </c>
      <c r="H110" s="18">
        <v>1859.47</v>
      </c>
      <c r="I110" t="s">
        <v>23</v>
      </c>
      <c r="J110" t="s">
        <v>19</v>
      </c>
      <c r="N110" t="s">
        <v>21</v>
      </c>
      <c r="O110" t="s">
        <v>22</v>
      </c>
      <c r="P110" t="s">
        <v>20</v>
      </c>
      <c r="Q110">
        <v>23591</v>
      </c>
      <c r="R110">
        <f t="shared" si="4"/>
        <v>2</v>
      </c>
      <c r="V110">
        <f t="shared" si="5"/>
        <v>23591</v>
      </c>
      <c r="Y110" s="18">
        <f t="shared" si="6"/>
        <v>1859.47</v>
      </c>
      <c r="Z110" s="18">
        <f t="shared" si="7"/>
        <v>0</v>
      </c>
    </row>
    <row r="111" spans="2:26" x14ac:dyDescent="0.25">
      <c r="B111" t="s">
        <v>277</v>
      </c>
      <c r="C111" t="s">
        <v>16</v>
      </c>
      <c r="D111" t="s">
        <v>16</v>
      </c>
      <c r="E111" t="s">
        <v>16</v>
      </c>
      <c r="F111" t="s">
        <v>16</v>
      </c>
      <c r="G111" t="s">
        <v>375</v>
      </c>
      <c r="H111" s="18">
        <v>1023.57</v>
      </c>
      <c r="I111" t="s">
        <v>23</v>
      </c>
      <c r="J111" t="s">
        <v>19</v>
      </c>
      <c r="N111" t="s">
        <v>21</v>
      </c>
      <c r="O111" t="s">
        <v>22</v>
      </c>
      <c r="P111" t="s">
        <v>20</v>
      </c>
      <c r="Q111">
        <v>949</v>
      </c>
      <c r="R111">
        <f t="shared" si="4"/>
        <v>2</v>
      </c>
      <c r="V111">
        <f t="shared" si="5"/>
        <v>949</v>
      </c>
      <c r="Y111" s="18">
        <f t="shared" si="6"/>
        <v>1023.57</v>
      </c>
      <c r="Z111" s="18">
        <f t="shared" si="7"/>
        <v>0</v>
      </c>
    </row>
    <row r="112" spans="2:26" hidden="1" x14ac:dyDescent="0.25">
      <c r="B112" t="s">
        <v>277</v>
      </c>
      <c r="C112" t="s">
        <v>16</v>
      </c>
      <c r="D112" t="s">
        <v>16</v>
      </c>
      <c r="E112" t="s">
        <v>16</v>
      </c>
      <c r="F112" t="s">
        <v>16</v>
      </c>
      <c r="G112" t="s">
        <v>376</v>
      </c>
      <c r="H112" s="18">
        <v>526570.41</v>
      </c>
      <c r="I112" t="s">
        <v>23</v>
      </c>
      <c r="J112" t="s">
        <v>19</v>
      </c>
      <c r="N112" t="s">
        <v>21</v>
      </c>
      <c r="O112" t="s">
        <v>22</v>
      </c>
      <c r="P112" t="s">
        <v>20</v>
      </c>
      <c r="Q112">
        <v>27143</v>
      </c>
      <c r="R112">
        <f t="shared" si="4"/>
        <v>2</v>
      </c>
      <c r="V112" t="str">
        <f t="shared" si="5"/>
        <v/>
      </c>
      <c r="W112" s="26" t="s">
        <v>686</v>
      </c>
      <c r="X112" s="15" t="s">
        <v>129</v>
      </c>
      <c r="Y112" s="18" t="str">
        <f t="shared" si="6"/>
        <v/>
      </c>
      <c r="Z112" s="18" t="str">
        <f t="shared" si="7"/>
        <v/>
      </c>
    </row>
    <row r="113" spans="2:26" hidden="1" x14ac:dyDescent="0.25">
      <c r="B113" t="s">
        <v>15</v>
      </c>
      <c r="C113" t="s">
        <v>16</v>
      </c>
      <c r="D113" t="s">
        <v>16</v>
      </c>
      <c r="E113" t="s">
        <v>16</v>
      </c>
      <c r="F113" t="s">
        <v>16</v>
      </c>
      <c r="G113" t="s">
        <v>377</v>
      </c>
      <c r="H113" s="18">
        <v>-24.17</v>
      </c>
      <c r="J113" t="s">
        <v>19</v>
      </c>
      <c r="N113" t="s">
        <v>21</v>
      </c>
      <c r="O113" t="s">
        <v>22</v>
      </c>
      <c r="P113" t="s">
        <v>20</v>
      </c>
      <c r="Q113">
        <v>23630</v>
      </c>
      <c r="R113">
        <f t="shared" si="4"/>
        <v>2</v>
      </c>
      <c r="V113">
        <f t="shared" si="5"/>
        <v>23630</v>
      </c>
      <c r="Y113" s="18">
        <f t="shared" si="6"/>
        <v>111.78</v>
      </c>
      <c r="Z113" s="18" t="str">
        <f t="shared" si="7"/>
        <v/>
      </c>
    </row>
    <row r="114" spans="2:26" x14ac:dyDescent="0.25">
      <c r="B114" t="s">
        <v>277</v>
      </c>
      <c r="C114" t="s">
        <v>16</v>
      </c>
      <c r="D114" t="s">
        <v>16</v>
      </c>
      <c r="E114" t="s">
        <v>16</v>
      </c>
      <c r="F114" t="s">
        <v>16</v>
      </c>
      <c r="G114" t="s">
        <v>378</v>
      </c>
      <c r="H114" s="18">
        <v>2074.44</v>
      </c>
      <c r="I114" t="s">
        <v>23</v>
      </c>
      <c r="J114" t="s">
        <v>19</v>
      </c>
      <c r="N114" t="s">
        <v>21</v>
      </c>
      <c r="O114" t="s">
        <v>22</v>
      </c>
      <c r="P114" t="s">
        <v>20</v>
      </c>
      <c r="Q114">
        <v>23563</v>
      </c>
      <c r="R114">
        <f t="shared" si="4"/>
        <v>2</v>
      </c>
      <c r="V114">
        <f t="shared" si="5"/>
        <v>23563</v>
      </c>
      <c r="Y114" s="18">
        <f t="shared" si="6"/>
        <v>2074.44</v>
      </c>
      <c r="Z114" s="18">
        <f t="shared" si="7"/>
        <v>0</v>
      </c>
    </row>
    <row r="115" spans="2:26" hidden="1" x14ac:dyDescent="0.25">
      <c r="B115" t="s">
        <v>15</v>
      </c>
      <c r="C115" t="s">
        <v>16</v>
      </c>
      <c r="D115" t="s">
        <v>16</v>
      </c>
      <c r="E115" t="s">
        <v>16</v>
      </c>
      <c r="F115" t="s">
        <v>16</v>
      </c>
      <c r="G115" t="s">
        <v>379</v>
      </c>
      <c r="H115" s="18">
        <v>-16188.29</v>
      </c>
      <c r="J115" t="s">
        <v>19</v>
      </c>
      <c r="N115" t="s">
        <v>21</v>
      </c>
      <c r="O115" t="s">
        <v>22</v>
      </c>
      <c r="P115" t="s">
        <v>20</v>
      </c>
      <c r="Q115">
        <v>23504</v>
      </c>
      <c r="R115">
        <f t="shared" si="4"/>
        <v>2</v>
      </c>
      <c r="V115">
        <f t="shared" si="5"/>
        <v>23504</v>
      </c>
      <c r="Y115" s="18">
        <f t="shared" si="6"/>
        <v>22749.01</v>
      </c>
      <c r="Z115" s="18" t="str">
        <f t="shared" si="7"/>
        <v/>
      </c>
    </row>
    <row r="116" spans="2:26" hidden="1" x14ac:dyDescent="0.25">
      <c r="B116" t="s">
        <v>15</v>
      </c>
      <c r="C116" t="s">
        <v>16</v>
      </c>
      <c r="D116" t="s">
        <v>16</v>
      </c>
      <c r="E116" t="s">
        <v>16</v>
      </c>
      <c r="F116" t="s">
        <v>16</v>
      </c>
      <c r="G116" t="s">
        <v>380</v>
      </c>
      <c r="H116" s="18">
        <v>-1210.05</v>
      </c>
      <c r="J116" t="s">
        <v>19</v>
      </c>
      <c r="N116" t="s">
        <v>21</v>
      </c>
      <c r="O116" t="s">
        <v>22</v>
      </c>
      <c r="P116" t="s">
        <v>20</v>
      </c>
      <c r="Q116">
        <v>23609</v>
      </c>
      <c r="R116">
        <f t="shared" si="4"/>
        <v>2</v>
      </c>
      <c r="V116">
        <f t="shared" si="5"/>
        <v>23609</v>
      </c>
      <c r="Y116" s="18">
        <f t="shared" si="6"/>
        <v>2144.5100000000002</v>
      </c>
      <c r="Z116" s="18" t="str">
        <f t="shared" si="7"/>
        <v/>
      </c>
    </row>
    <row r="117" spans="2:26" hidden="1" x14ac:dyDescent="0.25">
      <c r="B117" t="s">
        <v>15</v>
      </c>
      <c r="C117" t="s">
        <v>16</v>
      </c>
      <c r="D117" t="s">
        <v>16</v>
      </c>
      <c r="E117" t="s">
        <v>16</v>
      </c>
      <c r="F117" t="s">
        <v>16</v>
      </c>
      <c r="G117" t="s">
        <v>381</v>
      </c>
      <c r="H117" s="18">
        <v>-45053.48</v>
      </c>
      <c r="J117" t="s">
        <v>19</v>
      </c>
      <c r="N117" t="s">
        <v>21</v>
      </c>
      <c r="O117" t="s">
        <v>22</v>
      </c>
      <c r="P117" t="s">
        <v>20</v>
      </c>
      <c r="Q117">
        <v>17261</v>
      </c>
      <c r="R117">
        <f t="shared" si="4"/>
        <v>2</v>
      </c>
      <c r="V117">
        <f t="shared" si="5"/>
        <v>17261</v>
      </c>
      <c r="Y117" s="18">
        <f t="shared" si="6"/>
        <v>68269.14</v>
      </c>
      <c r="Z117" s="18" t="str">
        <f t="shared" si="7"/>
        <v/>
      </c>
    </row>
    <row r="118" spans="2:26" x14ac:dyDescent="0.25">
      <c r="B118" t="s">
        <v>277</v>
      </c>
      <c r="C118" t="s">
        <v>16</v>
      </c>
      <c r="D118" t="s">
        <v>16</v>
      </c>
      <c r="E118" t="s">
        <v>16</v>
      </c>
      <c r="F118" t="s">
        <v>16</v>
      </c>
      <c r="G118" t="s">
        <v>382</v>
      </c>
      <c r="H118" s="18">
        <v>84160.04</v>
      </c>
      <c r="I118" t="s">
        <v>23</v>
      </c>
      <c r="J118" t="s">
        <v>19</v>
      </c>
      <c r="N118" t="s">
        <v>21</v>
      </c>
      <c r="O118" t="s">
        <v>22</v>
      </c>
      <c r="P118" t="s">
        <v>20</v>
      </c>
      <c r="Q118">
        <v>23509</v>
      </c>
      <c r="R118">
        <f t="shared" si="4"/>
        <v>2</v>
      </c>
      <c r="V118">
        <f t="shared" si="5"/>
        <v>23509</v>
      </c>
      <c r="Y118" s="18">
        <f t="shared" si="6"/>
        <v>84160.04</v>
      </c>
      <c r="Z118" s="18">
        <f t="shared" si="7"/>
        <v>0</v>
      </c>
    </row>
    <row r="119" spans="2:26" hidden="1" x14ac:dyDescent="0.25">
      <c r="B119" t="s">
        <v>15</v>
      </c>
      <c r="C119" t="s">
        <v>16</v>
      </c>
      <c r="D119" t="s">
        <v>16</v>
      </c>
      <c r="E119" t="s">
        <v>16</v>
      </c>
      <c r="F119" t="s">
        <v>16</v>
      </c>
      <c r="G119" t="s">
        <v>316</v>
      </c>
      <c r="H119" s="18">
        <v>-1284760.94</v>
      </c>
      <c r="J119" t="s">
        <v>19</v>
      </c>
      <c r="N119" t="s">
        <v>21</v>
      </c>
      <c r="O119" t="s">
        <v>22</v>
      </c>
      <c r="P119" t="s">
        <v>20</v>
      </c>
      <c r="Q119">
        <v>23720</v>
      </c>
      <c r="R119">
        <f t="shared" si="4"/>
        <v>2</v>
      </c>
      <c r="V119">
        <f t="shared" si="5"/>
        <v>23720</v>
      </c>
      <c r="Y119" s="18">
        <f t="shared" si="6"/>
        <v>1575835.52</v>
      </c>
      <c r="Z119" s="18" t="str">
        <f t="shared" si="7"/>
        <v/>
      </c>
    </row>
    <row r="120" spans="2:26" hidden="1" x14ac:dyDescent="0.25">
      <c r="B120" t="s">
        <v>15</v>
      </c>
      <c r="C120" t="s">
        <v>16</v>
      </c>
      <c r="D120" t="s">
        <v>16</v>
      </c>
      <c r="E120" t="s">
        <v>16</v>
      </c>
      <c r="F120" t="s">
        <v>16</v>
      </c>
      <c r="G120" t="s">
        <v>383</v>
      </c>
      <c r="H120" s="18">
        <v>-3.75</v>
      </c>
      <c r="J120" t="s">
        <v>19</v>
      </c>
      <c r="N120" t="s">
        <v>21</v>
      </c>
      <c r="O120" t="s">
        <v>22</v>
      </c>
      <c r="P120" t="s">
        <v>20</v>
      </c>
      <c r="Q120">
        <v>23636</v>
      </c>
      <c r="R120">
        <f t="shared" si="4"/>
        <v>2</v>
      </c>
      <c r="V120">
        <f t="shared" si="5"/>
        <v>23636</v>
      </c>
      <c r="Y120" s="18">
        <f t="shared" si="6"/>
        <v>91.36</v>
      </c>
      <c r="Z120" s="18" t="str">
        <f t="shared" si="7"/>
        <v/>
      </c>
    </row>
    <row r="121" spans="2:26" hidden="1" x14ac:dyDescent="0.25">
      <c r="B121" t="s">
        <v>15</v>
      </c>
      <c r="C121" t="s">
        <v>16</v>
      </c>
      <c r="D121" t="s">
        <v>16</v>
      </c>
      <c r="E121" t="s">
        <v>16</v>
      </c>
      <c r="F121" t="s">
        <v>16</v>
      </c>
      <c r="G121" t="s">
        <v>384</v>
      </c>
      <c r="H121" s="18">
        <v>-24.17</v>
      </c>
      <c r="J121" t="s">
        <v>19</v>
      </c>
      <c r="N121" t="s">
        <v>21</v>
      </c>
      <c r="O121" t="s">
        <v>22</v>
      </c>
      <c r="P121" t="s">
        <v>20</v>
      </c>
      <c r="Q121">
        <v>23631</v>
      </c>
      <c r="R121">
        <f t="shared" si="4"/>
        <v>2</v>
      </c>
      <c r="V121">
        <f t="shared" si="5"/>
        <v>23631</v>
      </c>
      <c r="Y121" s="18">
        <f t="shared" si="6"/>
        <v>111.78</v>
      </c>
      <c r="Z121" s="18" t="str">
        <f t="shared" si="7"/>
        <v/>
      </c>
    </row>
    <row r="122" spans="2:26" x14ac:dyDescent="0.25">
      <c r="B122" t="s">
        <v>277</v>
      </c>
      <c r="C122" t="s">
        <v>16</v>
      </c>
      <c r="D122" t="s">
        <v>16</v>
      </c>
      <c r="E122" t="s">
        <v>16</v>
      </c>
      <c r="F122" t="s">
        <v>16</v>
      </c>
      <c r="G122" t="s">
        <v>349</v>
      </c>
      <c r="H122" s="18">
        <v>564943.51</v>
      </c>
      <c r="I122" t="s">
        <v>23</v>
      </c>
      <c r="J122" t="s">
        <v>19</v>
      </c>
      <c r="N122" t="s">
        <v>21</v>
      </c>
      <c r="O122" t="s">
        <v>22</v>
      </c>
      <c r="P122" t="s">
        <v>20</v>
      </c>
      <c r="Q122">
        <v>25679</v>
      </c>
      <c r="R122">
        <f t="shared" si="4"/>
        <v>2</v>
      </c>
      <c r="V122">
        <f t="shared" si="5"/>
        <v>25679</v>
      </c>
      <c r="Y122" s="18">
        <f t="shared" si="6"/>
        <v>564943.51</v>
      </c>
      <c r="Z122" s="18">
        <f t="shared" si="7"/>
        <v>0</v>
      </c>
    </row>
    <row r="123" spans="2:26" hidden="1" x14ac:dyDescent="0.25">
      <c r="B123" t="s">
        <v>15</v>
      </c>
      <c r="C123" t="s">
        <v>16</v>
      </c>
      <c r="D123" t="s">
        <v>16</v>
      </c>
      <c r="E123" t="s">
        <v>16</v>
      </c>
      <c r="F123" t="s">
        <v>16</v>
      </c>
      <c r="G123" t="s">
        <v>385</v>
      </c>
      <c r="H123" s="18">
        <v>-86649.99</v>
      </c>
      <c r="J123" t="s">
        <v>19</v>
      </c>
      <c r="N123" t="s">
        <v>21</v>
      </c>
      <c r="O123" t="s">
        <v>22</v>
      </c>
      <c r="P123" t="s">
        <v>20</v>
      </c>
      <c r="Q123">
        <v>7346</v>
      </c>
      <c r="R123">
        <f t="shared" si="4"/>
        <v>2</v>
      </c>
      <c r="V123">
        <f t="shared" si="5"/>
        <v>7346</v>
      </c>
      <c r="Y123" s="18">
        <f t="shared" si="6"/>
        <v>124344.2</v>
      </c>
      <c r="Z123" s="18" t="str">
        <f t="shared" si="7"/>
        <v/>
      </c>
    </row>
    <row r="124" spans="2:26" hidden="1" x14ac:dyDescent="0.25">
      <c r="B124" t="s">
        <v>15</v>
      </c>
      <c r="C124" t="s">
        <v>16</v>
      </c>
      <c r="D124" t="s">
        <v>16</v>
      </c>
      <c r="E124" t="s">
        <v>16</v>
      </c>
      <c r="F124" t="s">
        <v>16</v>
      </c>
      <c r="G124" t="s">
        <v>386</v>
      </c>
      <c r="H124" s="18">
        <v>-21.96</v>
      </c>
      <c r="J124" t="s">
        <v>19</v>
      </c>
      <c r="N124" t="s">
        <v>21</v>
      </c>
      <c r="O124" t="s">
        <v>22</v>
      </c>
      <c r="P124" t="s">
        <v>20</v>
      </c>
      <c r="Q124">
        <v>23608</v>
      </c>
      <c r="R124">
        <f t="shared" si="4"/>
        <v>2</v>
      </c>
      <c r="V124">
        <f t="shared" si="5"/>
        <v>23608</v>
      </c>
      <c r="Y124" s="18">
        <f t="shared" si="6"/>
        <v>825.48</v>
      </c>
      <c r="Z124" s="18" t="str">
        <f t="shared" si="7"/>
        <v/>
      </c>
    </row>
    <row r="125" spans="2:26" x14ac:dyDescent="0.25">
      <c r="B125" t="s">
        <v>277</v>
      </c>
      <c r="C125" t="s">
        <v>16</v>
      </c>
      <c r="D125" t="s">
        <v>16</v>
      </c>
      <c r="E125" t="s">
        <v>16</v>
      </c>
      <c r="F125" t="s">
        <v>16</v>
      </c>
      <c r="G125" t="s">
        <v>387</v>
      </c>
      <c r="H125" s="18">
        <v>10748.41</v>
      </c>
      <c r="I125" t="s">
        <v>23</v>
      </c>
      <c r="J125" t="s">
        <v>19</v>
      </c>
      <c r="N125" t="s">
        <v>21</v>
      </c>
      <c r="O125" t="s">
        <v>22</v>
      </c>
      <c r="P125" t="s">
        <v>20</v>
      </c>
      <c r="Q125">
        <v>23573</v>
      </c>
      <c r="R125">
        <f t="shared" si="4"/>
        <v>2</v>
      </c>
      <c r="V125">
        <f t="shared" si="5"/>
        <v>23573</v>
      </c>
      <c r="Y125" s="18">
        <f t="shared" si="6"/>
        <v>10748.41</v>
      </c>
      <c r="Z125" s="18">
        <f t="shared" si="7"/>
        <v>0</v>
      </c>
    </row>
    <row r="126" spans="2:26" hidden="1" x14ac:dyDescent="0.25">
      <c r="B126" t="s">
        <v>15</v>
      </c>
      <c r="C126" t="s">
        <v>16</v>
      </c>
      <c r="D126" t="s">
        <v>16</v>
      </c>
      <c r="E126" t="s">
        <v>16</v>
      </c>
      <c r="F126" t="s">
        <v>16</v>
      </c>
      <c r="G126" t="s">
        <v>388</v>
      </c>
      <c r="H126" s="18">
        <v>-170381.47</v>
      </c>
      <c r="J126" t="s">
        <v>19</v>
      </c>
      <c r="N126" t="s">
        <v>21</v>
      </c>
      <c r="O126" t="s">
        <v>22</v>
      </c>
      <c r="P126" t="s">
        <v>20</v>
      </c>
      <c r="Q126">
        <v>25702</v>
      </c>
      <c r="R126">
        <f t="shared" si="4"/>
        <v>2</v>
      </c>
      <c r="V126">
        <f t="shared" si="5"/>
        <v>25702</v>
      </c>
      <c r="Y126" s="18">
        <f t="shared" si="6"/>
        <v>331271.03999999998</v>
      </c>
      <c r="Z126" s="18" t="str">
        <f t="shared" si="7"/>
        <v/>
      </c>
    </row>
    <row r="127" spans="2:26" x14ac:dyDescent="0.25">
      <c r="B127" t="s">
        <v>277</v>
      </c>
      <c r="C127" t="s">
        <v>16</v>
      </c>
      <c r="D127" t="s">
        <v>16</v>
      </c>
      <c r="E127" t="s">
        <v>16</v>
      </c>
      <c r="F127" t="s">
        <v>16</v>
      </c>
      <c r="G127" t="s">
        <v>389</v>
      </c>
      <c r="H127" s="18">
        <v>26315.33</v>
      </c>
      <c r="I127" t="s">
        <v>23</v>
      </c>
      <c r="J127" t="s">
        <v>19</v>
      </c>
      <c r="N127" t="s">
        <v>21</v>
      </c>
      <c r="O127" t="s">
        <v>22</v>
      </c>
      <c r="P127" t="s">
        <v>20</v>
      </c>
      <c r="Q127">
        <v>23491</v>
      </c>
      <c r="R127">
        <f t="shared" si="4"/>
        <v>2</v>
      </c>
      <c r="V127">
        <f t="shared" si="5"/>
        <v>23491</v>
      </c>
      <c r="Y127" s="18">
        <f t="shared" si="6"/>
        <v>26315.33</v>
      </c>
      <c r="Z127" s="18">
        <f t="shared" si="7"/>
        <v>0</v>
      </c>
    </row>
    <row r="128" spans="2:26" hidden="1" x14ac:dyDescent="0.25">
      <c r="B128" t="s">
        <v>15</v>
      </c>
      <c r="C128" t="s">
        <v>16</v>
      </c>
      <c r="D128" t="s">
        <v>16</v>
      </c>
      <c r="E128" t="s">
        <v>16</v>
      </c>
      <c r="F128" t="s">
        <v>16</v>
      </c>
      <c r="G128" t="s">
        <v>390</v>
      </c>
      <c r="H128" s="18">
        <v>-2680.41</v>
      </c>
      <c r="J128" t="s">
        <v>19</v>
      </c>
      <c r="N128" t="s">
        <v>21</v>
      </c>
      <c r="O128" t="s">
        <v>22</v>
      </c>
      <c r="P128" t="s">
        <v>20</v>
      </c>
      <c r="Q128">
        <v>23601</v>
      </c>
      <c r="R128">
        <f t="shared" si="4"/>
        <v>2</v>
      </c>
      <c r="V128">
        <f t="shared" si="5"/>
        <v>23601</v>
      </c>
      <c r="Y128" s="18">
        <f t="shared" si="6"/>
        <v>4276.79</v>
      </c>
      <c r="Z128" s="18" t="str">
        <f t="shared" si="7"/>
        <v/>
      </c>
    </row>
    <row r="129" spans="2:26" x14ac:dyDescent="0.25">
      <c r="B129" t="s">
        <v>277</v>
      </c>
      <c r="C129" t="s">
        <v>16</v>
      </c>
      <c r="D129" t="s">
        <v>16</v>
      </c>
      <c r="E129" t="s">
        <v>16</v>
      </c>
      <c r="F129" t="s">
        <v>16</v>
      </c>
      <c r="G129" t="s">
        <v>391</v>
      </c>
      <c r="H129" s="18">
        <v>124.68</v>
      </c>
      <c r="I129" t="s">
        <v>23</v>
      </c>
      <c r="J129" t="s">
        <v>19</v>
      </c>
      <c r="N129" t="s">
        <v>21</v>
      </c>
      <c r="O129" t="s">
        <v>22</v>
      </c>
      <c r="P129" t="s">
        <v>20</v>
      </c>
      <c r="Q129">
        <v>23648</v>
      </c>
      <c r="R129">
        <f t="shared" si="4"/>
        <v>2</v>
      </c>
      <c r="V129">
        <f t="shared" si="5"/>
        <v>23648</v>
      </c>
      <c r="Y129" s="18">
        <f t="shared" si="6"/>
        <v>124.68</v>
      </c>
      <c r="Z129" s="18">
        <f t="shared" si="7"/>
        <v>0</v>
      </c>
    </row>
    <row r="130" spans="2:26" x14ac:dyDescent="0.25">
      <c r="B130" t="s">
        <v>277</v>
      </c>
      <c r="C130" t="s">
        <v>16</v>
      </c>
      <c r="D130" t="s">
        <v>16</v>
      </c>
      <c r="E130" t="s">
        <v>16</v>
      </c>
      <c r="F130" t="s">
        <v>16</v>
      </c>
      <c r="G130" t="s">
        <v>392</v>
      </c>
      <c r="H130" s="18">
        <v>96900</v>
      </c>
      <c r="I130" t="s">
        <v>23</v>
      </c>
      <c r="J130" t="s">
        <v>19</v>
      </c>
      <c r="N130" t="s">
        <v>21</v>
      </c>
      <c r="O130" t="s">
        <v>22</v>
      </c>
      <c r="P130" t="s">
        <v>20</v>
      </c>
      <c r="Q130">
        <v>2100176174</v>
      </c>
      <c r="R130">
        <f t="shared" si="4"/>
        <v>2</v>
      </c>
      <c r="V130">
        <f t="shared" si="5"/>
        <v>2100176174</v>
      </c>
      <c r="Y130" s="18">
        <f t="shared" si="6"/>
        <v>96900</v>
      </c>
      <c r="Z130" s="18">
        <f t="shared" si="7"/>
        <v>0</v>
      </c>
    </row>
    <row r="131" spans="2:26" x14ac:dyDescent="0.25">
      <c r="B131" t="s">
        <v>277</v>
      </c>
      <c r="C131" t="s">
        <v>16</v>
      </c>
      <c r="D131" t="s">
        <v>16</v>
      </c>
      <c r="E131" t="s">
        <v>16</v>
      </c>
      <c r="F131" t="s">
        <v>16</v>
      </c>
      <c r="G131" t="s">
        <v>377</v>
      </c>
      <c r="H131" s="18">
        <v>111.78</v>
      </c>
      <c r="I131" t="s">
        <v>23</v>
      </c>
      <c r="J131" t="s">
        <v>19</v>
      </c>
      <c r="N131" t="s">
        <v>21</v>
      </c>
      <c r="O131" t="s">
        <v>22</v>
      </c>
      <c r="P131" t="s">
        <v>20</v>
      </c>
      <c r="Q131">
        <v>23630</v>
      </c>
      <c r="R131">
        <f t="shared" si="4"/>
        <v>2</v>
      </c>
      <c r="V131">
        <f t="shared" si="5"/>
        <v>23630</v>
      </c>
      <c r="Y131" s="18">
        <f t="shared" si="6"/>
        <v>111.78</v>
      </c>
      <c r="Z131" s="18">
        <f t="shared" si="7"/>
        <v>0</v>
      </c>
    </row>
    <row r="132" spans="2:26" x14ac:dyDescent="0.25">
      <c r="B132" t="s">
        <v>277</v>
      </c>
      <c r="C132" t="s">
        <v>16</v>
      </c>
      <c r="D132" t="s">
        <v>16</v>
      </c>
      <c r="E132" t="s">
        <v>16</v>
      </c>
      <c r="F132" t="s">
        <v>16</v>
      </c>
      <c r="G132" t="s">
        <v>393</v>
      </c>
      <c r="H132" s="18">
        <v>97846.99</v>
      </c>
      <c r="I132" t="s">
        <v>23</v>
      </c>
      <c r="J132" t="s">
        <v>19</v>
      </c>
      <c r="N132" t="s">
        <v>21</v>
      </c>
      <c r="O132" t="s">
        <v>22</v>
      </c>
      <c r="P132" t="s">
        <v>20</v>
      </c>
      <c r="Q132">
        <v>25701</v>
      </c>
      <c r="R132">
        <f t="shared" si="4"/>
        <v>2</v>
      </c>
      <c r="V132">
        <f t="shared" si="5"/>
        <v>25701</v>
      </c>
      <c r="Y132" s="18">
        <f t="shared" si="6"/>
        <v>97846.99</v>
      </c>
      <c r="Z132" s="18">
        <f t="shared" si="7"/>
        <v>0</v>
      </c>
    </row>
    <row r="133" spans="2:26" hidden="1" x14ac:dyDescent="0.25">
      <c r="B133" t="s">
        <v>15</v>
      </c>
      <c r="C133" t="s">
        <v>16</v>
      </c>
      <c r="D133" t="s">
        <v>16</v>
      </c>
      <c r="E133" t="s">
        <v>16</v>
      </c>
      <c r="F133" t="s">
        <v>16</v>
      </c>
      <c r="G133" t="s">
        <v>394</v>
      </c>
      <c r="H133" s="18">
        <v>-1259.2</v>
      </c>
      <c r="J133" t="s">
        <v>19</v>
      </c>
      <c r="N133" t="s">
        <v>21</v>
      </c>
      <c r="O133" t="s">
        <v>22</v>
      </c>
      <c r="P133" t="s">
        <v>20</v>
      </c>
      <c r="Q133">
        <v>23557</v>
      </c>
      <c r="R133">
        <f t="shared" si="4"/>
        <v>2</v>
      </c>
      <c r="V133">
        <f t="shared" si="5"/>
        <v>23557</v>
      </c>
      <c r="Y133" s="18">
        <f t="shared" si="6"/>
        <v>1687.5</v>
      </c>
      <c r="Z133" s="18" t="str">
        <f t="shared" si="7"/>
        <v/>
      </c>
    </row>
    <row r="134" spans="2:26" hidden="1" x14ac:dyDescent="0.25">
      <c r="B134" t="s">
        <v>277</v>
      </c>
      <c r="C134" t="s">
        <v>16</v>
      </c>
      <c r="D134" t="s">
        <v>16</v>
      </c>
      <c r="E134" t="s">
        <v>16</v>
      </c>
      <c r="F134" t="s">
        <v>16</v>
      </c>
      <c r="G134" t="s">
        <v>395</v>
      </c>
      <c r="H134" s="18">
        <v>87864.55</v>
      </c>
      <c r="I134" t="s">
        <v>23</v>
      </c>
      <c r="J134" t="s">
        <v>19</v>
      </c>
      <c r="N134" t="s">
        <v>21</v>
      </c>
      <c r="O134" t="s">
        <v>22</v>
      </c>
      <c r="P134" t="s">
        <v>20</v>
      </c>
      <c r="Q134">
        <v>27169</v>
      </c>
      <c r="R134">
        <f t="shared" si="4"/>
        <v>2</v>
      </c>
      <c r="V134" t="str">
        <f t="shared" si="5"/>
        <v/>
      </c>
      <c r="W134" s="26" t="s">
        <v>686</v>
      </c>
      <c r="X134" s="15" t="s">
        <v>129</v>
      </c>
      <c r="Y134" s="18" t="str">
        <f t="shared" si="6"/>
        <v/>
      </c>
      <c r="Z134" s="18" t="str">
        <f t="shared" si="7"/>
        <v/>
      </c>
    </row>
    <row r="135" spans="2:26" hidden="1" x14ac:dyDescent="0.25">
      <c r="B135" t="s">
        <v>15</v>
      </c>
      <c r="C135" t="s">
        <v>16</v>
      </c>
      <c r="D135" t="s">
        <v>16</v>
      </c>
      <c r="E135" t="s">
        <v>16</v>
      </c>
      <c r="F135" t="s">
        <v>16</v>
      </c>
      <c r="G135" t="s">
        <v>396</v>
      </c>
      <c r="H135" s="18">
        <v>-8217.57</v>
      </c>
      <c r="J135" t="s">
        <v>19</v>
      </c>
      <c r="N135" t="s">
        <v>21</v>
      </c>
      <c r="O135" t="s">
        <v>22</v>
      </c>
      <c r="P135" t="s">
        <v>20</v>
      </c>
      <c r="Q135">
        <v>23547</v>
      </c>
      <c r="R135">
        <f t="shared" si="4"/>
        <v>2</v>
      </c>
      <c r="V135">
        <f t="shared" si="5"/>
        <v>23547</v>
      </c>
      <c r="Y135" s="18">
        <f t="shared" si="6"/>
        <v>10748.41</v>
      </c>
      <c r="Z135" s="18" t="str">
        <f t="shared" si="7"/>
        <v/>
      </c>
    </row>
    <row r="136" spans="2:26" hidden="1" x14ac:dyDescent="0.25">
      <c r="B136" t="s">
        <v>15</v>
      </c>
      <c r="C136" t="s">
        <v>16</v>
      </c>
      <c r="D136" t="s">
        <v>16</v>
      </c>
      <c r="E136" t="s">
        <v>16</v>
      </c>
      <c r="F136" t="s">
        <v>16</v>
      </c>
      <c r="G136" t="s">
        <v>397</v>
      </c>
      <c r="H136" s="18">
        <v>-893.84</v>
      </c>
      <c r="J136" t="s">
        <v>19</v>
      </c>
      <c r="N136" t="s">
        <v>21</v>
      </c>
      <c r="O136" t="s">
        <v>22</v>
      </c>
      <c r="P136" t="s">
        <v>20</v>
      </c>
      <c r="Q136">
        <v>23606</v>
      </c>
      <c r="R136">
        <f t="shared" si="4"/>
        <v>2</v>
      </c>
      <c r="V136">
        <f t="shared" si="5"/>
        <v>23606</v>
      </c>
      <c r="Y136" s="18">
        <f t="shared" si="6"/>
        <v>1828.3</v>
      </c>
      <c r="Z136" s="18" t="str">
        <f t="shared" si="7"/>
        <v/>
      </c>
    </row>
    <row r="137" spans="2:26" x14ac:dyDescent="0.25">
      <c r="B137" t="s">
        <v>277</v>
      </c>
      <c r="C137" t="s">
        <v>16</v>
      </c>
      <c r="D137" t="s">
        <v>16</v>
      </c>
      <c r="E137" t="s">
        <v>16</v>
      </c>
      <c r="F137" t="s">
        <v>16</v>
      </c>
      <c r="G137" t="s">
        <v>398</v>
      </c>
      <c r="H137" s="18">
        <v>36700.5</v>
      </c>
      <c r="I137" t="s">
        <v>23</v>
      </c>
      <c r="J137" t="s">
        <v>19</v>
      </c>
      <c r="N137" t="s">
        <v>21</v>
      </c>
      <c r="O137" t="s">
        <v>22</v>
      </c>
      <c r="P137" t="s">
        <v>20</v>
      </c>
      <c r="Q137">
        <v>18102</v>
      </c>
      <c r="R137">
        <f t="shared" si="4"/>
        <v>2</v>
      </c>
      <c r="V137">
        <f t="shared" si="5"/>
        <v>18102</v>
      </c>
      <c r="Y137" s="18">
        <f t="shared" si="6"/>
        <v>36700.5</v>
      </c>
      <c r="Z137" s="18">
        <f t="shared" si="7"/>
        <v>0</v>
      </c>
    </row>
    <row r="138" spans="2:26" x14ac:dyDescent="0.25">
      <c r="B138" t="s">
        <v>277</v>
      </c>
      <c r="C138" t="s">
        <v>16</v>
      </c>
      <c r="D138" t="s">
        <v>16</v>
      </c>
      <c r="E138" t="s">
        <v>16</v>
      </c>
      <c r="F138" t="s">
        <v>16</v>
      </c>
      <c r="G138" t="s">
        <v>399</v>
      </c>
      <c r="H138" s="18">
        <v>91143.34</v>
      </c>
      <c r="I138" t="s">
        <v>23</v>
      </c>
      <c r="J138" t="s">
        <v>19</v>
      </c>
      <c r="N138" t="s">
        <v>21</v>
      </c>
      <c r="O138" t="s">
        <v>22</v>
      </c>
      <c r="P138" t="s">
        <v>20</v>
      </c>
      <c r="Q138">
        <v>23512</v>
      </c>
      <c r="R138">
        <f t="shared" ref="R138:R201" si="8">COUNTIF($Q$9:$Q$816,Q138)</f>
        <v>2</v>
      </c>
      <c r="V138">
        <f t="shared" ref="V138:V201" si="9">IFERROR(VLOOKUP(Q138,$C$823:$C$1253,1,FALSE),"")</f>
        <v>23512</v>
      </c>
      <c r="Y138" s="18">
        <f t="shared" ref="Y138:Y201" si="10">IFERROR(VLOOKUP(Q138,$C$823:$D$1253,2,FALSE),"")</f>
        <v>91143.34</v>
      </c>
      <c r="Z138" s="18">
        <f t="shared" ref="Z138:Z201" si="11">IFERROR(IF(RIGHT(B138,6)="TYVA02","",H138-Y138),"")</f>
        <v>0</v>
      </c>
    </row>
    <row r="139" spans="2:26" x14ac:dyDescent="0.25">
      <c r="B139" t="s">
        <v>277</v>
      </c>
      <c r="C139" t="s">
        <v>16</v>
      </c>
      <c r="D139" t="s">
        <v>16</v>
      </c>
      <c r="E139" t="s">
        <v>16</v>
      </c>
      <c r="F139" t="s">
        <v>16</v>
      </c>
      <c r="G139" t="s">
        <v>400</v>
      </c>
      <c r="H139" s="18">
        <v>92396.51</v>
      </c>
      <c r="I139" t="s">
        <v>23</v>
      </c>
      <c r="J139" t="s">
        <v>19</v>
      </c>
      <c r="N139" t="s">
        <v>21</v>
      </c>
      <c r="O139" t="s">
        <v>22</v>
      </c>
      <c r="P139" t="s">
        <v>20</v>
      </c>
      <c r="Q139">
        <v>25706</v>
      </c>
      <c r="R139">
        <f t="shared" si="8"/>
        <v>2</v>
      </c>
      <c r="V139">
        <f t="shared" si="9"/>
        <v>25706</v>
      </c>
      <c r="Y139" s="18">
        <f t="shared" si="10"/>
        <v>92396.51</v>
      </c>
      <c r="Z139" s="18">
        <f t="shared" si="11"/>
        <v>0</v>
      </c>
    </row>
    <row r="140" spans="2:26" x14ac:dyDescent="0.25">
      <c r="B140" t="s">
        <v>277</v>
      </c>
      <c r="C140" t="s">
        <v>16</v>
      </c>
      <c r="D140" t="s">
        <v>16</v>
      </c>
      <c r="E140" t="s">
        <v>16</v>
      </c>
      <c r="F140" t="s">
        <v>16</v>
      </c>
      <c r="G140" t="s">
        <v>401</v>
      </c>
      <c r="H140" s="18">
        <v>1334.65</v>
      </c>
      <c r="I140" t="s">
        <v>23</v>
      </c>
      <c r="J140" t="s">
        <v>19</v>
      </c>
      <c r="N140" t="s">
        <v>21</v>
      </c>
      <c r="O140" t="s">
        <v>22</v>
      </c>
      <c r="P140" t="s">
        <v>20</v>
      </c>
      <c r="Q140">
        <v>19156</v>
      </c>
      <c r="R140">
        <f t="shared" si="8"/>
        <v>2</v>
      </c>
      <c r="V140">
        <f t="shared" si="9"/>
        <v>19156</v>
      </c>
      <c r="Y140" s="18">
        <f t="shared" si="10"/>
        <v>1334.65</v>
      </c>
      <c r="Z140" s="18">
        <f t="shared" si="11"/>
        <v>0</v>
      </c>
    </row>
    <row r="141" spans="2:26" hidden="1" x14ac:dyDescent="0.25">
      <c r="B141" t="s">
        <v>15</v>
      </c>
      <c r="C141" t="s">
        <v>16</v>
      </c>
      <c r="D141" t="s">
        <v>16</v>
      </c>
      <c r="E141" t="s">
        <v>16</v>
      </c>
      <c r="F141" t="s">
        <v>16</v>
      </c>
      <c r="G141" t="s">
        <v>402</v>
      </c>
      <c r="H141" s="18">
        <v>-9866.2000000000007</v>
      </c>
      <c r="J141" t="s">
        <v>19</v>
      </c>
      <c r="N141" t="s">
        <v>21</v>
      </c>
      <c r="O141" t="s">
        <v>22</v>
      </c>
      <c r="P141" t="s">
        <v>20</v>
      </c>
      <c r="Q141">
        <v>23533</v>
      </c>
      <c r="R141">
        <f t="shared" si="8"/>
        <v>2</v>
      </c>
      <c r="V141">
        <f t="shared" si="9"/>
        <v>23533</v>
      </c>
      <c r="Y141" s="18">
        <f t="shared" si="10"/>
        <v>17273.77</v>
      </c>
      <c r="Z141" s="18" t="str">
        <f t="shared" si="11"/>
        <v/>
      </c>
    </row>
    <row r="142" spans="2:26" hidden="1" x14ac:dyDescent="0.25">
      <c r="B142" t="s">
        <v>15</v>
      </c>
      <c r="C142" t="s">
        <v>16</v>
      </c>
      <c r="D142" t="s">
        <v>16</v>
      </c>
      <c r="E142" t="s">
        <v>16</v>
      </c>
      <c r="F142" t="s">
        <v>16</v>
      </c>
      <c r="G142" t="s">
        <v>403</v>
      </c>
      <c r="H142" s="18">
        <v>-926.09</v>
      </c>
      <c r="J142" t="s">
        <v>19</v>
      </c>
      <c r="N142" t="s">
        <v>21</v>
      </c>
      <c r="O142" t="s">
        <v>22</v>
      </c>
      <c r="P142" t="s">
        <v>20</v>
      </c>
      <c r="Q142">
        <v>23610</v>
      </c>
      <c r="R142">
        <f t="shared" si="8"/>
        <v>2</v>
      </c>
      <c r="V142">
        <f t="shared" si="9"/>
        <v>23610</v>
      </c>
      <c r="Y142" s="18">
        <f t="shared" si="10"/>
        <v>1860.55</v>
      </c>
      <c r="Z142" s="18" t="str">
        <f t="shared" si="11"/>
        <v/>
      </c>
    </row>
    <row r="143" spans="2:26" x14ac:dyDescent="0.25">
      <c r="B143" t="s">
        <v>277</v>
      </c>
      <c r="C143" t="s">
        <v>16</v>
      </c>
      <c r="D143" t="s">
        <v>16</v>
      </c>
      <c r="E143" t="s">
        <v>16</v>
      </c>
      <c r="F143" t="s">
        <v>16</v>
      </c>
      <c r="G143" t="s">
        <v>404</v>
      </c>
      <c r="H143" s="18">
        <v>13718.19</v>
      </c>
      <c r="I143" t="s">
        <v>23</v>
      </c>
      <c r="J143" t="s">
        <v>19</v>
      </c>
      <c r="N143" t="s">
        <v>21</v>
      </c>
      <c r="O143" t="s">
        <v>22</v>
      </c>
      <c r="P143" t="s">
        <v>20</v>
      </c>
      <c r="Q143">
        <v>23565</v>
      </c>
      <c r="R143">
        <f t="shared" si="8"/>
        <v>2</v>
      </c>
      <c r="V143">
        <f t="shared" si="9"/>
        <v>23565</v>
      </c>
      <c r="Y143" s="18">
        <f t="shared" si="10"/>
        <v>13718.19</v>
      </c>
      <c r="Z143" s="18">
        <f t="shared" si="11"/>
        <v>0</v>
      </c>
    </row>
    <row r="144" spans="2:26" x14ac:dyDescent="0.25">
      <c r="B144" t="s">
        <v>277</v>
      </c>
      <c r="C144" t="s">
        <v>16</v>
      </c>
      <c r="D144" t="s">
        <v>16</v>
      </c>
      <c r="E144" t="s">
        <v>16</v>
      </c>
      <c r="F144" t="s">
        <v>16</v>
      </c>
      <c r="G144" t="s">
        <v>405</v>
      </c>
      <c r="H144" s="18">
        <v>62376.07</v>
      </c>
      <c r="I144" t="s">
        <v>23</v>
      </c>
      <c r="J144" t="s">
        <v>19</v>
      </c>
      <c r="N144" t="s">
        <v>21</v>
      </c>
      <c r="O144" t="s">
        <v>22</v>
      </c>
      <c r="P144" t="s">
        <v>20</v>
      </c>
      <c r="Q144">
        <v>1700007349</v>
      </c>
      <c r="R144">
        <f t="shared" si="8"/>
        <v>2</v>
      </c>
      <c r="V144">
        <f t="shared" si="9"/>
        <v>1700007349</v>
      </c>
      <c r="Y144" s="18">
        <f t="shared" si="10"/>
        <v>62376.07</v>
      </c>
      <c r="Z144" s="18">
        <f t="shared" si="11"/>
        <v>0</v>
      </c>
    </row>
    <row r="145" spans="2:26" hidden="1" x14ac:dyDescent="0.25">
      <c r="B145" t="s">
        <v>15</v>
      </c>
      <c r="C145" t="s">
        <v>16</v>
      </c>
      <c r="D145" t="s">
        <v>16</v>
      </c>
      <c r="E145" t="s">
        <v>16</v>
      </c>
      <c r="F145" t="s">
        <v>16</v>
      </c>
      <c r="G145" t="s">
        <v>406</v>
      </c>
      <c r="H145" s="18">
        <v>-130292.66</v>
      </c>
      <c r="J145" t="s">
        <v>19</v>
      </c>
      <c r="N145" t="s">
        <v>21</v>
      </c>
      <c r="O145" t="s">
        <v>22</v>
      </c>
      <c r="P145" t="s">
        <v>20</v>
      </c>
      <c r="Q145">
        <v>23484</v>
      </c>
      <c r="R145">
        <f t="shared" si="8"/>
        <v>2</v>
      </c>
      <c r="V145">
        <f t="shared" si="9"/>
        <v>23484</v>
      </c>
      <c r="Y145" s="18">
        <f t="shared" si="10"/>
        <v>130292.66</v>
      </c>
      <c r="Z145" s="18" t="str">
        <f t="shared" si="11"/>
        <v/>
      </c>
    </row>
    <row r="146" spans="2:26" hidden="1" x14ac:dyDescent="0.25">
      <c r="B146" t="s">
        <v>15</v>
      </c>
      <c r="C146" t="s">
        <v>16</v>
      </c>
      <c r="D146" t="s">
        <v>16</v>
      </c>
      <c r="E146" t="s">
        <v>16</v>
      </c>
      <c r="F146" t="s">
        <v>16</v>
      </c>
      <c r="G146" t="s">
        <v>407</v>
      </c>
      <c r="H146" s="18">
        <v>-80.069999999999993</v>
      </c>
      <c r="J146" t="s">
        <v>19</v>
      </c>
      <c r="N146" t="s">
        <v>21</v>
      </c>
      <c r="O146" t="s">
        <v>22</v>
      </c>
      <c r="P146" t="s">
        <v>20</v>
      </c>
      <c r="Q146">
        <v>23627</v>
      </c>
      <c r="R146">
        <f t="shared" si="8"/>
        <v>2</v>
      </c>
      <c r="V146">
        <f t="shared" si="9"/>
        <v>23627</v>
      </c>
      <c r="Y146" s="18">
        <f t="shared" si="10"/>
        <v>167.68</v>
      </c>
      <c r="Z146" s="18" t="str">
        <f t="shared" si="11"/>
        <v/>
      </c>
    </row>
    <row r="147" spans="2:26" x14ac:dyDescent="0.25">
      <c r="B147" t="s">
        <v>277</v>
      </c>
      <c r="C147" t="s">
        <v>16</v>
      </c>
      <c r="D147" t="s">
        <v>16</v>
      </c>
      <c r="E147" t="s">
        <v>16</v>
      </c>
      <c r="F147" t="s">
        <v>16</v>
      </c>
      <c r="G147" t="s">
        <v>408</v>
      </c>
      <c r="H147" s="18">
        <v>25385.59</v>
      </c>
      <c r="I147" t="s">
        <v>23</v>
      </c>
      <c r="J147" t="s">
        <v>19</v>
      </c>
      <c r="N147" t="s">
        <v>21</v>
      </c>
      <c r="O147" t="s">
        <v>22</v>
      </c>
      <c r="P147" t="s">
        <v>20</v>
      </c>
      <c r="Q147">
        <v>23522</v>
      </c>
      <c r="R147">
        <f t="shared" si="8"/>
        <v>2</v>
      </c>
      <c r="V147">
        <f t="shared" si="9"/>
        <v>23522</v>
      </c>
      <c r="Y147" s="18">
        <f t="shared" si="10"/>
        <v>25385.59</v>
      </c>
      <c r="Z147" s="18">
        <f t="shared" si="11"/>
        <v>0</v>
      </c>
    </row>
    <row r="148" spans="2:26" x14ac:dyDescent="0.25">
      <c r="B148" t="s">
        <v>277</v>
      </c>
      <c r="C148" t="s">
        <v>16</v>
      </c>
      <c r="D148" t="s">
        <v>16</v>
      </c>
      <c r="E148" t="s">
        <v>16</v>
      </c>
      <c r="F148" t="s">
        <v>16</v>
      </c>
      <c r="G148" t="s">
        <v>409</v>
      </c>
      <c r="H148" s="18">
        <v>12648.73</v>
      </c>
      <c r="I148" t="s">
        <v>23</v>
      </c>
      <c r="J148" t="s">
        <v>19</v>
      </c>
      <c r="N148" t="s">
        <v>21</v>
      </c>
      <c r="O148" t="s">
        <v>22</v>
      </c>
      <c r="P148" t="s">
        <v>20</v>
      </c>
      <c r="Q148">
        <v>23520</v>
      </c>
      <c r="R148">
        <f t="shared" si="8"/>
        <v>2</v>
      </c>
      <c r="V148">
        <f t="shared" si="9"/>
        <v>23520</v>
      </c>
      <c r="Y148" s="18">
        <f t="shared" si="10"/>
        <v>12648.73</v>
      </c>
      <c r="Z148" s="18">
        <f t="shared" si="11"/>
        <v>0</v>
      </c>
    </row>
    <row r="149" spans="2:26" hidden="1" x14ac:dyDescent="0.25">
      <c r="B149" t="s">
        <v>15</v>
      </c>
      <c r="C149" t="s">
        <v>16</v>
      </c>
      <c r="D149" t="s">
        <v>16</v>
      </c>
      <c r="E149" t="s">
        <v>16</v>
      </c>
      <c r="F149" t="s">
        <v>16</v>
      </c>
      <c r="G149" t="s">
        <v>410</v>
      </c>
      <c r="H149" s="18">
        <v>-209607.1</v>
      </c>
      <c r="J149" t="s">
        <v>19</v>
      </c>
      <c r="N149" t="s">
        <v>21</v>
      </c>
      <c r="O149" t="s">
        <v>22</v>
      </c>
      <c r="P149" t="s">
        <v>20</v>
      </c>
      <c r="Q149">
        <v>25684</v>
      </c>
      <c r="R149">
        <f t="shared" si="8"/>
        <v>2</v>
      </c>
      <c r="V149">
        <f t="shared" si="9"/>
        <v>25684</v>
      </c>
      <c r="Y149" s="18">
        <f t="shared" si="10"/>
        <v>393874.74</v>
      </c>
      <c r="Z149" s="18" t="str">
        <f t="shared" si="11"/>
        <v/>
      </c>
    </row>
    <row r="150" spans="2:26" x14ac:dyDescent="0.25">
      <c r="B150" t="s">
        <v>277</v>
      </c>
      <c r="C150" t="s">
        <v>16</v>
      </c>
      <c r="D150" t="s">
        <v>16</v>
      </c>
      <c r="E150" t="s">
        <v>16</v>
      </c>
      <c r="F150" t="s">
        <v>16</v>
      </c>
      <c r="G150" t="s">
        <v>411</v>
      </c>
      <c r="H150" s="18">
        <v>19026.830000000002</v>
      </c>
      <c r="I150" t="s">
        <v>23</v>
      </c>
      <c r="J150" t="s">
        <v>19</v>
      </c>
      <c r="N150" t="s">
        <v>21</v>
      </c>
      <c r="O150" t="s">
        <v>22</v>
      </c>
      <c r="P150" t="s">
        <v>20</v>
      </c>
      <c r="Q150">
        <v>23505</v>
      </c>
      <c r="R150">
        <f t="shared" si="8"/>
        <v>2</v>
      </c>
      <c r="V150">
        <f t="shared" si="9"/>
        <v>23505</v>
      </c>
      <c r="Y150" s="18">
        <f t="shared" si="10"/>
        <v>19026.830000000002</v>
      </c>
      <c r="Z150" s="18">
        <f t="shared" si="11"/>
        <v>0</v>
      </c>
    </row>
    <row r="151" spans="2:26" hidden="1" x14ac:dyDescent="0.25">
      <c r="B151" t="s">
        <v>15</v>
      </c>
      <c r="C151" t="s">
        <v>16</v>
      </c>
      <c r="D151" t="s">
        <v>16</v>
      </c>
      <c r="E151" t="s">
        <v>16</v>
      </c>
      <c r="F151" t="s">
        <v>16</v>
      </c>
      <c r="G151" t="s">
        <v>412</v>
      </c>
      <c r="H151" s="18">
        <v>-11167.49</v>
      </c>
      <c r="J151" t="s">
        <v>19</v>
      </c>
      <c r="N151" t="s">
        <v>21</v>
      </c>
      <c r="O151" t="s">
        <v>22</v>
      </c>
      <c r="P151" t="s">
        <v>20</v>
      </c>
      <c r="Q151">
        <v>23544</v>
      </c>
      <c r="R151">
        <f t="shared" si="8"/>
        <v>2</v>
      </c>
      <c r="V151">
        <f t="shared" si="9"/>
        <v>23544</v>
      </c>
      <c r="Y151" s="18">
        <f t="shared" si="10"/>
        <v>13435.51</v>
      </c>
      <c r="Z151" s="18" t="str">
        <f t="shared" si="11"/>
        <v/>
      </c>
    </row>
    <row r="152" spans="2:26" x14ac:dyDescent="0.25">
      <c r="B152" t="s">
        <v>277</v>
      </c>
      <c r="C152" t="s">
        <v>16</v>
      </c>
      <c r="D152" t="s">
        <v>16</v>
      </c>
      <c r="E152" t="s">
        <v>16</v>
      </c>
      <c r="F152" t="s">
        <v>16</v>
      </c>
      <c r="G152" t="s">
        <v>312</v>
      </c>
      <c r="H152" s="18">
        <v>161631.99</v>
      </c>
      <c r="I152" t="s">
        <v>23</v>
      </c>
      <c r="J152" t="s">
        <v>19</v>
      </c>
      <c r="N152" t="s">
        <v>21</v>
      </c>
      <c r="O152" t="s">
        <v>22</v>
      </c>
      <c r="P152" t="s">
        <v>20</v>
      </c>
      <c r="Q152">
        <v>25696</v>
      </c>
      <c r="R152">
        <f t="shared" si="8"/>
        <v>2</v>
      </c>
      <c r="V152">
        <f t="shared" si="9"/>
        <v>25696</v>
      </c>
      <c r="Y152" s="18">
        <f t="shared" si="10"/>
        <v>161631.99</v>
      </c>
      <c r="Z152" s="18">
        <f t="shared" si="11"/>
        <v>0</v>
      </c>
    </row>
    <row r="153" spans="2:26" hidden="1" x14ac:dyDescent="0.25">
      <c r="B153" t="s">
        <v>15</v>
      </c>
      <c r="C153" t="s">
        <v>16</v>
      </c>
      <c r="D153" t="s">
        <v>16</v>
      </c>
      <c r="E153" t="s">
        <v>16</v>
      </c>
      <c r="F153" t="s">
        <v>16</v>
      </c>
      <c r="G153" t="s">
        <v>413</v>
      </c>
      <c r="H153" s="18">
        <v>-1977.31</v>
      </c>
      <c r="J153" t="s">
        <v>19</v>
      </c>
      <c r="N153" t="s">
        <v>21</v>
      </c>
      <c r="O153" t="s">
        <v>22</v>
      </c>
      <c r="P153" t="s">
        <v>20</v>
      </c>
      <c r="Q153">
        <v>27136</v>
      </c>
      <c r="R153">
        <f t="shared" si="8"/>
        <v>2</v>
      </c>
      <c r="V153">
        <f t="shared" si="9"/>
        <v>27136</v>
      </c>
      <c r="Y153" s="18">
        <f t="shared" si="10"/>
        <v>50150</v>
      </c>
      <c r="Z153" s="18" t="str">
        <f t="shared" si="11"/>
        <v/>
      </c>
    </row>
    <row r="154" spans="2:26" x14ac:dyDescent="0.25">
      <c r="B154" t="s">
        <v>277</v>
      </c>
      <c r="C154" t="s">
        <v>16</v>
      </c>
      <c r="D154" t="s">
        <v>16</v>
      </c>
      <c r="E154" t="s">
        <v>16</v>
      </c>
      <c r="F154" t="s">
        <v>16</v>
      </c>
      <c r="G154" t="s">
        <v>414</v>
      </c>
      <c r="H154" s="18">
        <v>150412.07999999999</v>
      </c>
      <c r="I154" t="s">
        <v>23</v>
      </c>
      <c r="J154" t="s">
        <v>19</v>
      </c>
      <c r="N154" t="s">
        <v>21</v>
      </c>
      <c r="O154" t="s">
        <v>22</v>
      </c>
      <c r="P154" t="s">
        <v>20</v>
      </c>
      <c r="Q154">
        <v>8027577467</v>
      </c>
      <c r="R154">
        <f t="shared" si="8"/>
        <v>2</v>
      </c>
      <c r="V154">
        <f t="shared" si="9"/>
        <v>8027577467</v>
      </c>
      <c r="Y154" s="18">
        <f t="shared" si="10"/>
        <v>150412.07999999999</v>
      </c>
      <c r="Z154" s="18">
        <f t="shared" si="11"/>
        <v>0</v>
      </c>
    </row>
    <row r="155" spans="2:26" hidden="1" x14ac:dyDescent="0.25">
      <c r="B155" t="s">
        <v>15</v>
      </c>
      <c r="C155" t="s">
        <v>16</v>
      </c>
      <c r="D155" t="s">
        <v>16</v>
      </c>
      <c r="E155" t="s">
        <v>16</v>
      </c>
      <c r="F155" t="s">
        <v>16</v>
      </c>
      <c r="G155" t="s">
        <v>415</v>
      </c>
      <c r="H155" s="18">
        <v>-61036.94</v>
      </c>
      <c r="J155" t="s">
        <v>19</v>
      </c>
      <c r="N155" t="s">
        <v>21</v>
      </c>
      <c r="O155" t="s">
        <v>22</v>
      </c>
      <c r="P155" t="s">
        <v>20</v>
      </c>
      <c r="Q155">
        <v>25680</v>
      </c>
      <c r="R155">
        <f t="shared" si="8"/>
        <v>2</v>
      </c>
      <c r="V155">
        <f t="shared" si="9"/>
        <v>25680</v>
      </c>
      <c r="Y155" s="18">
        <f t="shared" si="10"/>
        <v>93094</v>
      </c>
      <c r="Z155" s="18" t="str">
        <f t="shared" si="11"/>
        <v/>
      </c>
    </row>
    <row r="156" spans="2:26" hidden="1" x14ac:dyDescent="0.25">
      <c r="B156" t="s">
        <v>15</v>
      </c>
      <c r="C156" t="s">
        <v>16</v>
      </c>
      <c r="D156" t="s">
        <v>16</v>
      </c>
      <c r="E156" t="s">
        <v>16</v>
      </c>
      <c r="F156" t="s">
        <v>16</v>
      </c>
      <c r="G156" t="s">
        <v>416</v>
      </c>
      <c r="H156" s="18">
        <v>-11751.53</v>
      </c>
      <c r="J156" t="s">
        <v>19</v>
      </c>
      <c r="N156" t="s">
        <v>21</v>
      </c>
      <c r="O156" t="s">
        <v>22</v>
      </c>
      <c r="P156" t="s">
        <v>20</v>
      </c>
      <c r="Q156">
        <v>23569</v>
      </c>
      <c r="R156">
        <f t="shared" si="8"/>
        <v>2</v>
      </c>
      <c r="V156">
        <f t="shared" si="9"/>
        <v>23569</v>
      </c>
      <c r="Y156" s="18">
        <f t="shared" si="10"/>
        <v>13435.51</v>
      </c>
      <c r="Z156" s="18" t="str">
        <f t="shared" si="11"/>
        <v/>
      </c>
    </row>
    <row r="157" spans="2:26" hidden="1" x14ac:dyDescent="0.25">
      <c r="B157" t="s">
        <v>15</v>
      </c>
      <c r="C157" t="s">
        <v>16</v>
      </c>
      <c r="D157" t="s">
        <v>16</v>
      </c>
      <c r="E157" t="s">
        <v>16</v>
      </c>
      <c r="F157" t="s">
        <v>16</v>
      </c>
      <c r="G157" t="s">
        <v>417</v>
      </c>
      <c r="H157" s="18">
        <v>-930.06</v>
      </c>
      <c r="J157" t="s">
        <v>19</v>
      </c>
      <c r="N157" t="s">
        <v>21</v>
      </c>
      <c r="O157" t="s">
        <v>22</v>
      </c>
      <c r="P157" t="s">
        <v>20</v>
      </c>
      <c r="Q157">
        <v>7400403925</v>
      </c>
      <c r="R157">
        <f t="shared" si="8"/>
        <v>2</v>
      </c>
      <c r="V157">
        <f t="shared" si="9"/>
        <v>7400403925</v>
      </c>
      <c r="Y157" s="18">
        <f t="shared" si="10"/>
        <v>23699.82</v>
      </c>
      <c r="Z157" s="18" t="str">
        <f t="shared" si="11"/>
        <v/>
      </c>
    </row>
    <row r="158" spans="2:26" x14ac:dyDescent="0.25">
      <c r="B158" t="s">
        <v>277</v>
      </c>
      <c r="C158" t="s">
        <v>16</v>
      </c>
      <c r="D158" t="s">
        <v>16</v>
      </c>
      <c r="E158" t="s">
        <v>16</v>
      </c>
      <c r="F158" t="s">
        <v>16</v>
      </c>
      <c r="G158" t="s">
        <v>418</v>
      </c>
      <c r="H158" s="18">
        <v>67539.990000000005</v>
      </c>
      <c r="I158" t="s">
        <v>23</v>
      </c>
      <c r="J158" t="s">
        <v>19</v>
      </c>
      <c r="N158" t="s">
        <v>21</v>
      </c>
      <c r="O158" t="s">
        <v>22</v>
      </c>
      <c r="P158" t="s">
        <v>20</v>
      </c>
      <c r="Q158">
        <v>26051</v>
      </c>
      <c r="R158">
        <f t="shared" si="8"/>
        <v>2</v>
      </c>
      <c r="V158">
        <f t="shared" si="9"/>
        <v>26051</v>
      </c>
      <c r="Y158" s="18">
        <f t="shared" si="10"/>
        <v>67539.990000000005</v>
      </c>
      <c r="Z158" s="18">
        <f t="shared" si="11"/>
        <v>0</v>
      </c>
    </row>
    <row r="159" spans="2:26" hidden="1" x14ac:dyDescent="0.25">
      <c r="B159" t="s">
        <v>15</v>
      </c>
      <c r="C159" t="s">
        <v>16</v>
      </c>
      <c r="D159" t="s">
        <v>16</v>
      </c>
      <c r="E159" t="s">
        <v>16</v>
      </c>
      <c r="F159" t="s">
        <v>16</v>
      </c>
      <c r="G159" t="s">
        <v>341</v>
      </c>
      <c r="H159" s="18">
        <v>-25950.37</v>
      </c>
      <c r="J159" t="s">
        <v>19</v>
      </c>
      <c r="N159" t="s">
        <v>21</v>
      </c>
      <c r="O159" t="s">
        <v>22</v>
      </c>
      <c r="P159" t="s">
        <v>20</v>
      </c>
      <c r="Q159">
        <v>8030275314</v>
      </c>
      <c r="R159">
        <f t="shared" si="8"/>
        <v>2</v>
      </c>
      <c r="V159">
        <f t="shared" si="9"/>
        <v>8030275314</v>
      </c>
      <c r="Y159" s="18">
        <f t="shared" si="10"/>
        <v>46361.68</v>
      </c>
      <c r="Z159" s="18" t="str">
        <f t="shared" si="11"/>
        <v/>
      </c>
    </row>
    <row r="160" spans="2:26" x14ac:dyDescent="0.25">
      <c r="B160" t="s">
        <v>277</v>
      </c>
      <c r="C160" t="s">
        <v>16</v>
      </c>
      <c r="D160" t="s">
        <v>16</v>
      </c>
      <c r="E160" t="s">
        <v>16</v>
      </c>
      <c r="F160" t="s">
        <v>16</v>
      </c>
      <c r="G160" t="s">
        <v>416</v>
      </c>
      <c r="H160" s="18">
        <v>13435.51</v>
      </c>
      <c r="I160" t="s">
        <v>23</v>
      </c>
      <c r="J160" t="s">
        <v>19</v>
      </c>
      <c r="N160" t="s">
        <v>21</v>
      </c>
      <c r="O160" t="s">
        <v>22</v>
      </c>
      <c r="P160" t="s">
        <v>20</v>
      </c>
      <c r="Q160">
        <v>23569</v>
      </c>
      <c r="R160">
        <f t="shared" si="8"/>
        <v>2</v>
      </c>
      <c r="V160">
        <f t="shared" si="9"/>
        <v>23569</v>
      </c>
      <c r="Y160" s="18">
        <f t="shared" si="10"/>
        <v>13435.51</v>
      </c>
      <c r="Z160" s="18">
        <f t="shared" si="11"/>
        <v>0</v>
      </c>
    </row>
    <row r="161" spans="2:26" hidden="1" x14ac:dyDescent="0.25">
      <c r="B161" t="s">
        <v>15</v>
      </c>
      <c r="C161" t="s">
        <v>16</v>
      </c>
      <c r="D161" t="s">
        <v>16</v>
      </c>
      <c r="E161" t="s">
        <v>16</v>
      </c>
      <c r="F161" t="s">
        <v>16</v>
      </c>
      <c r="G161" t="s">
        <v>419</v>
      </c>
      <c r="H161" s="18">
        <v>-15657.32</v>
      </c>
      <c r="J161" t="s">
        <v>19</v>
      </c>
      <c r="N161" t="s">
        <v>21</v>
      </c>
      <c r="O161" t="s">
        <v>22</v>
      </c>
      <c r="P161" t="s">
        <v>20</v>
      </c>
      <c r="Q161">
        <v>23497</v>
      </c>
      <c r="R161">
        <f t="shared" si="8"/>
        <v>2</v>
      </c>
      <c r="V161">
        <f t="shared" si="9"/>
        <v>23497</v>
      </c>
      <c r="Y161" s="18">
        <f t="shared" si="10"/>
        <v>22218.04</v>
      </c>
      <c r="Z161" s="18" t="str">
        <f t="shared" si="11"/>
        <v/>
      </c>
    </row>
    <row r="162" spans="2:26" hidden="1" x14ac:dyDescent="0.25">
      <c r="B162" t="s">
        <v>277</v>
      </c>
      <c r="C162" t="s">
        <v>16</v>
      </c>
      <c r="D162" t="s">
        <v>16</v>
      </c>
      <c r="E162" t="s">
        <v>16</v>
      </c>
      <c r="F162" t="s">
        <v>16</v>
      </c>
      <c r="G162" t="s">
        <v>420</v>
      </c>
      <c r="H162" s="18">
        <v>100529</v>
      </c>
      <c r="I162" t="s">
        <v>23</v>
      </c>
      <c r="J162" t="s">
        <v>19</v>
      </c>
      <c r="N162" t="s">
        <v>21</v>
      </c>
      <c r="O162" t="s">
        <v>22</v>
      </c>
      <c r="P162" t="s">
        <v>20</v>
      </c>
      <c r="Q162">
        <v>27150</v>
      </c>
      <c r="R162">
        <f t="shared" si="8"/>
        <v>2</v>
      </c>
      <c r="V162" t="str">
        <f t="shared" si="9"/>
        <v/>
      </c>
      <c r="W162" s="26" t="s">
        <v>686</v>
      </c>
      <c r="X162" s="15" t="s">
        <v>129</v>
      </c>
      <c r="Y162" s="18" t="str">
        <f t="shared" si="10"/>
        <v/>
      </c>
      <c r="Z162" s="18" t="str">
        <f t="shared" si="11"/>
        <v/>
      </c>
    </row>
    <row r="163" spans="2:26" hidden="1" x14ac:dyDescent="0.25">
      <c r="B163" t="s">
        <v>277</v>
      </c>
      <c r="C163" t="s">
        <v>16</v>
      </c>
      <c r="D163" t="s">
        <v>16</v>
      </c>
      <c r="E163" t="s">
        <v>16</v>
      </c>
      <c r="F163" t="s">
        <v>16</v>
      </c>
      <c r="G163" t="s">
        <v>421</v>
      </c>
      <c r="H163" s="18">
        <v>216750</v>
      </c>
      <c r="I163" t="s">
        <v>23</v>
      </c>
      <c r="J163" t="s">
        <v>19</v>
      </c>
      <c r="N163" t="s">
        <v>21</v>
      </c>
      <c r="O163" t="s">
        <v>22</v>
      </c>
      <c r="P163" t="s">
        <v>20</v>
      </c>
      <c r="Q163">
        <v>8010495801</v>
      </c>
      <c r="R163">
        <f t="shared" si="8"/>
        <v>2</v>
      </c>
      <c r="V163" t="str">
        <f t="shared" si="9"/>
        <v/>
      </c>
      <c r="W163" s="26" t="s">
        <v>686</v>
      </c>
      <c r="X163" s="15" t="s">
        <v>129</v>
      </c>
      <c r="Y163" s="18" t="str">
        <f t="shared" si="10"/>
        <v/>
      </c>
      <c r="Z163" s="18" t="str">
        <f t="shared" si="11"/>
        <v/>
      </c>
    </row>
    <row r="164" spans="2:26" hidden="1" x14ac:dyDescent="0.25">
      <c r="B164" t="s">
        <v>15</v>
      </c>
      <c r="C164" t="s">
        <v>16</v>
      </c>
      <c r="D164" t="s">
        <v>16</v>
      </c>
      <c r="E164" t="s">
        <v>16</v>
      </c>
      <c r="F164" t="s">
        <v>16</v>
      </c>
      <c r="G164" t="s">
        <v>422</v>
      </c>
      <c r="H164" s="18">
        <v>-187580.29</v>
      </c>
      <c r="J164" t="s">
        <v>19</v>
      </c>
      <c r="N164" t="s">
        <v>21</v>
      </c>
      <c r="O164" t="s">
        <v>22</v>
      </c>
      <c r="P164" t="s">
        <v>20</v>
      </c>
      <c r="Q164">
        <v>24738</v>
      </c>
      <c r="R164">
        <f t="shared" si="8"/>
        <v>2</v>
      </c>
      <c r="V164">
        <f t="shared" si="9"/>
        <v>24738</v>
      </c>
      <c r="Y164" s="18">
        <f t="shared" si="10"/>
        <v>620743.29</v>
      </c>
      <c r="Z164" s="18" t="str">
        <f t="shared" si="11"/>
        <v/>
      </c>
    </row>
    <row r="165" spans="2:26" x14ac:dyDescent="0.25">
      <c r="B165" t="s">
        <v>277</v>
      </c>
      <c r="C165" t="s">
        <v>16</v>
      </c>
      <c r="D165" t="s">
        <v>16</v>
      </c>
      <c r="E165" t="s">
        <v>16</v>
      </c>
      <c r="F165" t="s">
        <v>16</v>
      </c>
      <c r="G165" t="s">
        <v>423</v>
      </c>
      <c r="H165" s="18">
        <v>84441.23</v>
      </c>
      <c r="I165" t="s">
        <v>23</v>
      </c>
      <c r="J165" t="s">
        <v>19</v>
      </c>
      <c r="N165" t="s">
        <v>21</v>
      </c>
      <c r="O165" t="s">
        <v>22</v>
      </c>
      <c r="P165" t="s">
        <v>20</v>
      </c>
      <c r="Q165">
        <v>23791</v>
      </c>
      <c r="R165">
        <f t="shared" si="8"/>
        <v>2</v>
      </c>
      <c r="V165">
        <f t="shared" si="9"/>
        <v>23791</v>
      </c>
      <c r="Y165" s="18">
        <f t="shared" si="10"/>
        <v>84441.23</v>
      </c>
      <c r="Z165" s="18">
        <f t="shared" si="11"/>
        <v>0</v>
      </c>
    </row>
    <row r="166" spans="2:26" hidden="1" x14ac:dyDescent="0.25">
      <c r="B166" t="s">
        <v>15</v>
      </c>
      <c r="C166" t="s">
        <v>16</v>
      </c>
      <c r="D166" t="s">
        <v>16</v>
      </c>
      <c r="E166" t="s">
        <v>16</v>
      </c>
      <c r="F166" t="s">
        <v>16</v>
      </c>
      <c r="G166" t="s">
        <v>424</v>
      </c>
      <c r="H166" s="18">
        <v>-2412.6799999999998</v>
      </c>
      <c r="J166" t="s">
        <v>19</v>
      </c>
      <c r="N166" t="s">
        <v>21</v>
      </c>
      <c r="O166" t="s">
        <v>22</v>
      </c>
      <c r="P166" t="s">
        <v>20</v>
      </c>
      <c r="Q166">
        <v>26399</v>
      </c>
      <c r="R166">
        <f t="shared" si="8"/>
        <v>2</v>
      </c>
      <c r="V166">
        <f t="shared" si="9"/>
        <v>26399</v>
      </c>
      <c r="Y166" s="18">
        <f t="shared" si="10"/>
        <v>61479.72</v>
      </c>
      <c r="Z166" s="18" t="str">
        <f t="shared" si="11"/>
        <v/>
      </c>
    </row>
    <row r="167" spans="2:26" hidden="1" x14ac:dyDescent="0.25">
      <c r="B167" t="s">
        <v>15</v>
      </c>
      <c r="C167" t="s">
        <v>16</v>
      </c>
      <c r="D167" t="s">
        <v>16</v>
      </c>
      <c r="E167" t="s">
        <v>16</v>
      </c>
      <c r="F167" t="s">
        <v>16</v>
      </c>
      <c r="G167" t="s">
        <v>425</v>
      </c>
      <c r="H167" s="18">
        <v>-13888.13</v>
      </c>
      <c r="J167" t="s">
        <v>19</v>
      </c>
      <c r="N167" t="s">
        <v>21</v>
      </c>
      <c r="O167" t="s">
        <v>22</v>
      </c>
      <c r="P167" t="s">
        <v>20</v>
      </c>
      <c r="Q167">
        <v>23534</v>
      </c>
      <c r="R167">
        <f t="shared" si="8"/>
        <v>2</v>
      </c>
      <c r="V167">
        <f t="shared" si="9"/>
        <v>23534</v>
      </c>
      <c r="Y167" s="18">
        <f t="shared" si="10"/>
        <v>20448.849999999999</v>
      </c>
      <c r="Z167" s="18" t="str">
        <f t="shared" si="11"/>
        <v/>
      </c>
    </row>
    <row r="168" spans="2:26" hidden="1" x14ac:dyDescent="0.25">
      <c r="B168" t="s">
        <v>15</v>
      </c>
      <c r="C168" t="s">
        <v>16</v>
      </c>
      <c r="D168" t="s">
        <v>16</v>
      </c>
      <c r="E168" t="s">
        <v>16</v>
      </c>
      <c r="F168" t="s">
        <v>16</v>
      </c>
      <c r="G168" t="s">
        <v>418</v>
      </c>
      <c r="H168" s="18">
        <v>-2650.51</v>
      </c>
      <c r="J168" t="s">
        <v>19</v>
      </c>
      <c r="N168" t="s">
        <v>21</v>
      </c>
      <c r="O168" t="s">
        <v>22</v>
      </c>
      <c r="P168" t="s">
        <v>20</v>
      </c>
      <c r="Q168">
        <v>26051</v>
      </c>
      <c r="R168">
        <f t="shared" si="8"/>
        <v>2</v>
      </c>
      <c r="V168">
        <f t="shared" si="9"/>
        <v>26051</v>
      </c>
      <c r="Y168" s="18">
        <f t="shared" si="10"/>
        <v>67539.990000000005</v>
      </c>
      <c r="Z168" s="18" t="str">
        <f t="shared" si="11"/>
        <v/>
      </c>
    </row>
    <row r="169" spans="2:26" x14ac:dyDescent="0.25">
      <c r="B169" t="s">
        <v>277</v>
      </c>
      <c r="C169" t="s">
        <v>16</v>
      </c>
      <c r="D169" t="s">
        <v>16</v>
      </c>
      <c r="E169" t="s">
        <v>16</v>
      </c>
      <c r="F169" t="s">
        <v>16</v>
      </c>
      <c r="G169" t="s">
        <v>426</v>
      </c>
      <c r="H169" s="18">
        <v>1687.5</v>
      </c>
      <c r="I169" t="s">
        <v>23</v>
      </c>
      <c r="J169" t="s">
        <v>19</v>
      </c>
      <c r="N169" t="s">
        <v>21</v>
      </c>
      <c r="O169" t="s">
        <v>22</v>
      </c>
      <c r="P169" t="s">
        <v>20</v>
      </c>
      <c r="Q169">
        <v>23560</v>
      </c>
      <c r="R169">
        <f t="shared" si="8"/>
        <v>2</v>
      </c>
      <c r="V169">
        <f t="shared" si="9"/>
        <v>23560</v>
      </c>
      <c r="Y169" s="18">
        <f t="shared" si="10"/>
        <v>1687.5</v>
      </c>
      <c r="Z169" s="18">
        <f t="shared" si="11"/>
        <v>0</v>
      </c>
    </row>
    <row r="170" spans="2:26" x14ac:dyDescent="0.25">
      <c r="B170" t="s">
        <v>277</v>
      </c>
      <c r="C170" t="s">
        <v>16</v>
      </c>
      <c r="D170" t="s">
        <v>16</v>
      </c>
      <c r="E170" t="s">
        <v>16</v>
      </c>
      <c r="F170" t="s">
        <v>16</v>
      </c>
      <c r="G170" t="s">
        <v>427</v>
      </c>
      <c r="H170" s="18">
        <v>111417.18</v>
      </c>
      <c r="I170" t="s">
        <v>23</v>
      </c>
      <c r="J170" t="s">
        <v>19</v>
      </c>
      <c r="N170" t="s">
        <v>21</v>
      </c>
      <c r="O170" t="s">
        <v>22</v>
      </c>
      <c r="P170" t="s">
        <v>20</v>
      </c>
      <c r="Q170">
        <v>25692</v>
      </c>
      <c r="R170">
        <f t="shared" si="8"/>
        <v>2</v>
      </c>
      <c r="V170">
        <f t="shared" si="9"/>
        <v>25692</v>
      </c>
      <c r="Y170" s="18">
        <f t="shared" si="10"/>
        <v>111417.18</v>
      </c>
      <c r="Z170" s="18">
        <f t="shared" si="11"/>
        <v>0</v>
      </c>
    </row>
    <row r="171" spans="2:26" x14ac:dyDescent="0.25">
      <c r="B171" t="s">
        <v>277</v>
      </c>
      <c r="C171" t="s">
        <v>16</v>
      </c>
      <c r="D171" t="s">
        <v>16</v>
      </c>
      <c r="E171" t="s">
        <v>16</v>
      </c>
      <c r="F171" t="s">
        <v>16</v>
      </c>
      <c r="G171" t="s">
        <v>428</v>
      </c>
      <c r="H171" s="18">
        <v>19026.830000000002</v>
      </c>
      <c r="I171" t="s">
        <v>23</v>
      </c>
      <c r="J171" t="s">
        <v>19</v>
      </c>
      <c r="N171" t="s">
        <v>21</v>
      </c>
      <c r="O171" t="s">
        <v>22</v>
      </c>
      <c r="P171" t="s">
        <v>20</v>
      </c>
      <c r="Q171">
        <v>23503</v>
      </c>
      <c r="R171">
        <f t="shared" si="8"/>
        <v>2</v>
      </c>
      <c r="V171">
        <f t="shared" si="9"/>
        <v>23503</v>
      </c>
      <c r="Y171" s="18">
        <f t="shared" si="10"/>
        <v>19026.830000000002</v>
      </c>
      <c r="Z171" s="18">
        <f t="shared" si="11"/>
        <v>0</v>
      </c>
    </row>
    <row r="172" spans="2:26" x14ac:dyDescent="0.25">
      <c r="B172" t="s">
        <v>277</v>
      </c>
      <c r="C172" t="s">
        <v>16</v>
      </c>
      <c r="D172" t="s">
        <v>16</v>
      </c>
      <c r="E172" t="s">
        <v>16</v>
      </c>
      <c r="F172" t="s">
        <v>16</v>
      </c>
      <c r="G172" t="s">
        <v>429</v>
      </c>
      <c r="H172" s="18">
        <v>9145.82</v>
      </c>
      <c r="I172" t="s">
        <v>23</v>
      </c>
      <c r="J172" t="s">
        <v>19</v>
      </c>
      <c r="N172" t="s">
        <v>21</v>
      </c>
      <c r="O172" t="s">
        <v>22</v>
      </c>
      <c r="P172" t="s">
        <v>20</v>
      </c>
      <c r="Q172">
        <v>23566</v>
      </c>
      <c r="R172">
        <f t="shared" si="8"/>
        <v>2</v>
      </c>
      <c r="V172">
        <f t="shared" si="9"/>
        <v>23566</v>
      </c>
      <c r="Y172" s="18">
        <f t="shared" si="10"/>
        <v>9145.82</v>
      </c>
      <c r="Z172" s="18">
        <f t="shared" si="11"/>
        <v>0</v>
      </c>
    </row>
    <row r="173" spans="2:26" hidden="1" x14ac:dyDescent="0.25">
      <c r="B173" t="s">
        <v>15</v>
      </c>
      <c r="C173" t="s">
        <v>16</v>
      </c>
      <c r="D173" t="s">
        <v>16</v>
      </c>
      <c r="E173" t="s">
        <v>16</v>
      </c>
      <c r="F173" t="s">
        <v>16</v>
      </c>
      <c r="G173" t="s">
        <v>302</v>
      </c>
      <c r="H173" s="18">
        <v>-9064.43</v>
      </c>
      <c r="J173" t="s">
        <v>19</v>
      </c>
      <c r="N173" t="s">
        <v>21</v>
      </c>
      <c r="O173" t="s">
        <v>22</v>
      </c>
      <c r="P173" t="s">
        <v>20</v>
      </c>
      <c r="Q173">
        <v>23540</v>
      </c>
      <c r="R173">
        <f t="shared" si="8"/>
        <v>2</v>
      </c>
      <c r="V173">
        <f t="shared" si="9"/>
        <v>23540</v>
      </c>
      <c r="Y173" s="18">
        <f t="shared" si="10"/>
        <v>10748.41</v>
      </c>
      <c r="Z173" s="18" t="str">
        <f t="shared" si="11"/>
        <v/>
      </c>
    </row>
    <row r="174" spans="2:26" x14ac:dyDescent="0.25">
      <c r="B174" t="s">
        <v>277</v>
      </c>
      <c r="C174" t="s">
        <v>16</v>
      </c>
      <c r="D174" t="s">
        <v>16</v>
      </c>
      <c r="E174" t="s">
        <v>16</v>
      </c>
      <c r="F174" t="s">
        <v>16</v>
      </c>
      <c r="G174" t="s">
        <v>430</v>
      </c>
      <c r="H174" s="18">
        <v>274353.82</v>
      </c>
      <c r="I174" t="s">
        <v>23</v>
      </c>
      <c r="J174" t="s">
        <v>19</v>
      </c>
      <c r="N174" t="s">
        <v>21</v>
      </c>
      <c r="O174" t="s">
        <v>22</v>
      </c>
      <c r="P174" t="s">
        <v>20</v>
      </c>
      <c r="Q174">
        <v>6961494</v>
      </c>
      <c r="R174">
        <f t="shared" si="8"/>
        <v>2</v>
      </c>
      <c r="V174">
        <f t="shared" si="9"/>
        <v>6961494</v>
      </c>
      <c r="Y174" s="18">
        <f t="shared" si="10"/>
        <v>274353.82</v>
      </c>
      <c r="Z174" s="18">
        <f t="shared" si="11"/>
        <v>0</v>
      </c>
    </row>
    <row r="175" spans="2:26" x14ac:dyDescent="0.25">
      <c r="B175" t="s">
        <v>277</v>
      </c>
      <c r="C175" t="s">
        <v>16</v>
      </c>
      <c r="D175" t="s">
        <v>16</v>
      </c>
      <c r="E175" t="s">
        <v>16</v>
      </c>
      <c r="F175" t="s">
        <v>16</v>
      </c>
      <c r="G175" t="s">
        <v>358</v>
      </c>
      <c r="H175" s="18">
        <v>25385.59</v>
      </c>
      <c r="I175" t="s">
        <v>23</v>
      </c>
      <c r="J175" t="s">
        <v>19</v>
      </c>
      <c r="N175" t="s">
        <v>21</v>
      </c>
      <c r="O175" t="s">
        <v>22</v>
      </c>
      <c r="P175" t="s">
        <v>20</v>
      </c>
      <c r="Q175">
        <v>23524</v>
      </c>
      <c r="R175">
        <f t="shared" si="8"/>
        <v>2</v>
      </c>
      <c r="V175">
        <f t="shared" si="9"/>
        <v>23524</v>
      </c>
      <c r="Y175" s="18">
        <f t="shared" si="10"/>
        <v>25385.59</v>
      </c>
      <c r="Z175" s="18">
        <f t="shared" si="11"/>
        <v>0</v>
      </c>
    </row>
    <row r="176" spans="2:26" hidden="1" x14ac:dyDescent="0.25">
      <c r="B176" t="s">
        <v>15</v>
      </c>
      <c r="C176" t="s">
        <v>16</v>
      </c>
      <c r="D176" t="s">
        <v>16</v>
      </c>
      <c r="E176" t="s">
        <v>16</v>
      </c>
      <c r="F176" t="s">
        <v>16</v>
      </c>
      <c r="G176" t="s">
        <v>431</v>
      </c>
      <c r="H176" s="18">
        <v>-1518.78</v>
      </c>
      <c r="J176" t="s">
        <v>19</v>
      </c>
      <c r="N176" t="s">
        <v>21</v>
      </c>
      <c r="O176" t="s">
        <v>22</v>
      </c>
      <c r="P176" t="s">
        <v>20</v>
      </c>
      <c r="Q176">
        <v>23588</v>
      </c>
      <c r="R176">
        <f t="shared" si="8"/>
        <v>2</v>
      </c>
      <c r="V176">
        <f t="shared" si="9"/>
        <v>23588</v>
      </c>
      <c r="Y176" s="18">
        <f t="shared" si="10"/>
        <v>1859.47</v>
      </c>
      <c r="Z176" s="18" t="str">
        <f t="shared" si="11"/>
        <v/>
      </c>
    </row>
    <row r="177" spans="2:26" hidden="1" x14ac:dyDescent="0.25">
      <c r="B177" t="s">
        <v>15</v>
      </c>
      <c r="C177" t="s">
        <v>16</v>
      </c>
      <c r="D177" t="s">
        <v>16</v>
      </c>
      <c r="E177" t="s">
        <v>16</v>
      </c>
      <c r="F177" t="s">
        <v>16</v>
      </c>
      <c r="G177" t="s">
        <v>432</v>
      </c>
      <c r="H177" s="18">
        <v>-19535.79</v>
      </c>
      <c r="J177" t="s">
        <v>19</v>
      </c>
      <c r="N177" t="s">
        <v>21</v>
      </c>
      <c r="O177" t="s">
        <v>22</v>
      </c>
      <c r="P177" t="s">
        <v>20</v>
      </c>
      <c r="Q177">
        <v>26045</v>
      </c>
      <c r="R177">
        <f t="shared" si="8"/>
        <v>2</v>
      </c>
      <c r="V177">
        <f t="shared" si="9"/>
        <v>26045</v>
      </c>
      <c r="Y177" s="18">
        <f t="shared" si="10"/>
        <v>49333.66</v>
      </c>
      <c r="Z177" s="18" t="str">
        <f t="shared" si="11"/>
        <v/>
      </c>
    </row>
    <row r="178" spans="2:26" hidden="1" x14ac:dyDescent="0.25">
      <c r="B178" t="s">
        <v>15</v>
      </c>
      <c r="C178" t="s">
        <v>16</v>
      </c>
      <c r="D178" t="s">
        <v>16</v>
      </c>
      <c r="E178" t="s">
        <v>16</v>
      </c>
      <c r="F178" t="s">
        <v>16</v>
      </c>
      <c r="G178" t="s">
        <v>310</v>
      </c>
      <c r="H178" s="18">
        <v>-29.55</v>
      </c>
      <c r="J178" t="s">
        <v>19</v>
      </c>
      <c r="N178" t="s">
        <v>21</v>
      </c>
      <c r="O178" t="s">
        <v>22</v>
      </c>
      <c r="P178" t="s">
        <v>20</v>
      </c>
      <c r="Q178">
        <v>23651</v>
      </c>
      <c r="R178">
        <f t="shared" si="8"/>
        <v>2</v>
      </c>
      <c r="V178">
        <f t="shared" si="9"/>
        <v>23651</v>
      </c>
      <c r="Y178" s="18">
        <f t="shared" si="10"/>
        <v>117.16</v>
      </c>
      <c r="Z178" s="18" t="str">
        <f t="shared" si="11"/>
        <v/>
      </c>
    </row>
    <row r="179" spans="2:26" hidden="1" x14ac:dyDescent="0.25">
      <c r="B179" t="s">
        <v>277</v>
      </c>
      <c r="C179" t="s">
        <v>16</v>
      </c>
      <c r="D179" t="s">
        <v>16</v>
      </c>
      <c r="E179" t="s">
        <v>16</v>
      </c>
      <c r="F179" t="s">
        <v>16</v>
      </c>
      <c r="G179" t="s">
        <v>433</v>
      </c>
      <c r="H179" s="18">
        <v>54014.43</v>
      </c>
      <c r="I179" t="s">
        <v>23</v>
      </c>
      <c r="J179" t="s">
        <v>19</v>
      </c>
      <c r="N179" t="s">
        <v>21</v>
      </c>
      <c r="O179" t="s">
        <v>22</v>
      </c>
      <c r="P179" t="s">
        <v>20</v>
      </c>
      <c r="Q179">
        <v>27147</v>
      </c>
      <c r="R179">
        <f t="shared" si="8"/>
        <v>2</v>
      </c>
      <c r="V179" t="str">
        <f t="shared" si="9"/>
        <v/>
      </c>
      <c r="W179" s="26" t="s">
        <v>686</v>
      </c>
      <c r="X179" s="15" t="s">
        <v>129</v>
      </c>
      <c r="Y179" s="18" t="str">
        <f t="shared" si="10"/>
        <v/>
      </c>
      <c r="Z179" s="18" t="str">
        <f t="shared" si="11"/>
        <v/>
      </c>
    </row>
    <row r="180" spans="2:26" hidden="1" x14ac:dyDescent="0.25">
      <c r="B180" t="s">
        <v>15</v>
      </c>
      <c r="C180" t="s">
        <v>16</v>
      </c>
      <c r="D180" t="s">
        <v>16</v>
      </c>
      <c r="E180" t="s">
        <v>16</v>
      </c>
      <c r="F180" t="s">
        <v>16</v>
      </c>
      <c r="G180" t="s">
        <v>434</v>
      </c>
      <c r="H180" s="18">
        <v>-20120.55</v>
      </c>
      <c r="J180" t="s">
        <v>19</v>
      </c>
      <c r="N180" t="s">
        <v>21</v>
      </c>
      <c r="O180" t="s">
        <v>22</v>
      </c>
      <c r="P180" t="s">
        <v>20</v>
      </c>
      <c r="Q180">
        <v>23507</v>
      </c>
      <c r="R180">
        <f t="shared" si="8"/>
        <v>2</v>
      </c>
      <c r="V180">
        <f t="shared" si="9"/>
        <v>23507</v>
      </c>
      <c r="Y180" s="18">
        <f t="shared" si="10"/>
        <v>76636.149999999994</v>
      </c>
      <c r="Z180" s="18" t="str">
        <f t="shared" si="11"/>
        <v/>
      </c>
    </row>
    <row r="181" spans="2:26" hidden="1" x14ac:dyDescent="0.25">
      <c r="B181" t="s">
        <v>15</v>
      </c>
      <c r="C181" t="s">
        <v>16</v>
      </c>
      <c r="D181" t="s">
        <v>16</v>
      </c>
      <c r="E181" t="s">
        <v>16</v>
      </c>
      <c r="F181" t="s">
        <v>16</v>
      </c>
      <c r="G181" t="s">
        <v>435</v>
      </c>
      <c r="H181" s="18">
        <v>-39908.839999999997</v>
      </c>
      <c r="J181" t="s">
        <v>19</v>
      </c>
      <c r="N181" t="s">
        <v>21</v>
      </c>
      <c r="O181" t="s">
        <v>22</v>
      </c>
      <c r="P181" t="s">
        <v>20</v>
      </c>
      <c r="Q181">
        <v>9000817157</v>
      </c>
      <c r="R181">
        <f t="shared" si="8"/>
        <v>2</v>
      </c>
      <c r="V181">
        <f t="shared" si="9"/>
        <v>9000817157</v>
      </c>
      <c r="Y181" s="18">
        <f t="shared" si="10"/>
        <v>70937</v>
      </c>
      <c r="Z181" s="18" t="str">
        <f t="shared" si="11"/>
        <v/>
      </c>
    </row>
    <row r="182" spans="2:26" hidden="1" x14ac:dyDescent="0.25">
      <c r="B182" t="s">
        <v>15</v>
      </c>
      <c r="C182" t="s">
        <v>16</v>
      </c>
      <c r="D182" t="s">
        <v>16</v>
      </c>
      <c r="E182" t="s">
        <v>16</v>
      </c>
      <c r="F182" t="s">
        <v>16</v>
      </c>
      <c r="G182" t="s">
        <v>436</v>
      </c>
      <c r="H182" s="18">
        <v>-3475.1</v>
      </c>
      <c r="J182" t="s">
        <v>19</v>
      </c>
      <c r="N182" t="s">
        <v>21</v>
      </c>
      <c r="O182" t="s">
        <v>22</v>
      </c>
      <c r="P182" t="s">
        <v>20</v>
      </c>
      <c r="Q182">
        <v>2100789953</v>
      </c>
      <c r="R182">
        <f t="shared" si="8"/>
        <v>2</v>
      </c>
      <c r="V182">
        <f t="shared" si="9"/>
        <v>2100789953</v>
      </c>
      <c r="Y182" s="18">
        <f t="shared" si="10"/>
        <v>88552.35</v>
      </c>
      <c r="Z182" s="18" t="str">
        <f t="shared" si="11"/>
        <v/>
      </c>
    </row>
    <row r="183" spans="2:26" hidden="1" x14ac:dyDescent="0.25">
      <c r="B183" t="s">
        <v>15</v>
      </c>
      <c r="C183" t="s">
        <v>16</v>
      </c>
      <c r="D183" t="s">
        <v>16</v>
      </c>
      <c r="E183" t="s">
        <v>16</v>
      </c>
      <c r="F183" t="s">
        <v>16</v>
      </c>
      <c r="G183" t="s">
        <v>437</v>
      </c>
      <c r="H183" s="18">
        <v>-5579.19</v>
      </c>
      <c r="J183" t="s">
        <v>19</v>
      </c>
      <c r="N183" t="s">
        <v>21</v>
      </c>
      <c r="O183" t="s">
        <v>22</v>
      </c>
      <c r="P183" t="s">
        <v>20</v>
      </c>
      <c r="Q183">
        <v>23528</v>
      </c>
      <c r="R183">
        <f t="shared" si="8"/>
        <v>2</v>
      </c>
      <c r="V183">
        <f t="shared" si="9"/>
        <v>23528</v>
      </c>
      <c r="Y183" s="18">
        <f t="shared" si="10"/>
        <v>9784.2800000000007</v>
      </c>
      <c r="Z183" s="18" t="str">
        <f t="shared" si="11"/>
        <v/>
      </c>
    </row>
    <row r="184" spans="2:26" x14ac:dyDescent="0.25">
      <c r="B184" t="s">
        <v>277</v>
      </c>
      <c r="C184" t="s">
        <v>16</v>
      </c>
      <c r="D184" t="s">
        <v>16</v>
      </c>
      <c r="E184" t="s">
        <v>16</v>
      </c>
      <c r="F184" t="s">
        <v>16</v>
      </c>
      <c r="G184" t="s">
        <v>394</v>
      </c>
      <c r="H184" s="18">
        <v>1687.5</v>
      </c>
      <c r="I184" t="s">
        <v>23</v>
      </c>
      <c r="J184" t="s">
        <v>19</v>
      </c>
      <c r="N184" t="s">
        <v>21</v>
      </c>
      <c r="O184" t="s">
        <v>22</v>
      </c>
      <c r="P184" t="s">
        <v>20</v>
      </c>
      <c r="Q184">
        <v>23557</v>
      </c>
      <c r="R184">
        <f t="shared" si="8"/>
        <v>2</v>
      </c>
      <c r="V184">
        <f t="shared" si="9"/>
        <v>23557</v>
      </c>
      <c r="Y184" s="18">
        <f t="shared" si="10"/>
        <v>1687.5</v>
      </c>
      <c r="Z184" s="18">
        <f t="shared" si="11"/>
        <v>0</v>
      </c>
    </row>
    <row r="185" spans="2:26" x14ac:dyDescent="0.25">
      <c r="B185" t="s">
        <v>277</v>
      </c>
      <c r="C185" t="s">
        <v>16</v>
      </c>
      <c r="D185" t="s">
        <v>16</v>
      </c>
      <c r="E185" t="s">
        <v>16</v>
      </c>
      <c r="F185" t="s">
        <v>16</v>
      </c>
      <c r="G185" t="s">
        <v>438</v>
      </c>
      <c r="H185" s="18">
        <v>1860.55</v>
      </c>
      <c r="I185" t="s">
        <v>23</v>
      </c>
      <c r="J185" t="s">
        <v>19</v>
      </c>
      <c r="N185" t="s">
        <v>21</v>
      </c>
      <c r="O185" t="s">
        <v>22</v>
      </c>
      <c r="P185" t="s">
        <v>20</v>
      </c>
      <c r="Q185">
        <v>23613</v>
      </c>
      <c r="R185">
        <f t="shared" si="8"/>
        <v>2</v>
      </c>
      <c r="V185">
        <f t="shared" si="9"/>
        <v>23613</v>
      </c>
      <c r="Y185" s="18">
        <f t="shared" si="10"/>
        <v>1860.55</v>
      </c>
      <c r="Z185" s="18">
        <f t="shared" si="11"/>
        <v>0</v>
      </c>
    </row>
    <row r="186" spans="2:26" x14ac:dyDescent="0.25">
      <c r="B186" t="s">
        <v>277</v>
      </c>
      <c r="C186" t="s">
        <v>16</v>
      </c>
      <c r="D186" t="s">
        <v>16</v>
      </c>
      <c r="E186" t="s">
        <v>16</v>
      </c>
      <c r="F186" t="s">
        <v>16</v>
      </c>
      <c r="G186" t="s">
        <v>439</v>
      </c>
      <c r="H186" s="18">
        <v>2172.25</v>
      </c>
      <c r="I186" t="s">
        <v>23</v>
      </c>
      <c r="J186" t="s">
        <v>19</v>
      </c>
      <c r="N186" t="s">
        <v>21</v>
      </c>
      <c r="O186" t="s">
        <v>22</v>
      </c>
      <c r="P186" t="s">
        <v>20</v>
      </c>
      <c r="Q186">
        <v>23580</v>
      </c>
      <c r="R186">
        <f t="shared" si="8"/>
        <v>2</v>
      </c>
      <c r="V186">
        <f t="shared" si="9"/>
        <v>23580</v>
      </c>
      <c r="Y186" s="18">
        <f t="shared" si="10"/>
        <v>2172.25</v>
      </c>
      <c r="Z186" s="18">
        <f t="shared" si="11"/>
        <v>0</v>
      </c>
    </row>
    <row r="187" spans="2:26" hidden="1" x14ac:dyDescent="0.25">
      <c r="B187" t="s">
        <v>15</v>
      </c>
      <c r="C187" t="s">
        <v>16</v>
      </c>
      <c r="D187" t="s">
        <v>16</v>
      </c>
      <c r="E187" t="s">
        <v>16</v>
      </c>
      <c r="F187" t="s">
        <v>16</v>
      </c>
      <c r="G187" t="s">
        <v>440</v>
      </c>
      <c r="H187" s="18">
        <v>-229128.43</v>
      </c>
      <c r="J187" t="s">
        <v>19</v>
      </c>
      <c r="N187" t="s">
        <v>21</v>
      </c>
      <c r="O187" t="s">
        <v>22</v>
      </c>
      <c r="P187" t="s">
        <v>20</v>
      </c>
      <c r="Q187">
        <v>25685</v>
      </c>
      <c r="R187">
        <f t="shared" si="8"/>
        <v>2</v>
      </c>
      <c r="V187">
        <f t="shared" si="9"/>
        <v>25685</v>
      </c>
      <c r="Y187" s="18">
        <f t="shared" si="10"/>
        <v>428214.09</v>
      </c>
      <c r="Z187" s="18" t="str">
        <f t="shared" si="11"/>
        <v/>
      </c>
    </row>
    <row r="188" spans="2:26" x14ac:dyDescent="0.25">
      <c r="B188" t="s">
        <v>277</v>
      </c>
      <c r="C188" t="s">
        <v>16</v>
      </c>
      <c r="D188" t="s">
        <v>16</v>
      </c>
      <c r="E188" t="s">
        <v>16</v>
      </c>
      <c r="F188" t="s">
        <v>16</v>
      </c>
      <c r="G188" t="s">
        <v>441</v>
      </c>
      <c r="H188" s="18">
        <v>21232.41</v>
      </c>
      <c r="I188" t="s">
        <v>23</v>
      </c>
      <c r="J188" t="s">
        <v>19</v>
      </c>
      <c r="N188" t="s">
        <v>21</v>
      </c>
      <c r="O188" t="s">
        <v>22</v>
      </c>
      <c r="P188" t="s">
        <v>20</v>
      </c>
      <c r="Q188">
        <v>23521</v>
      </c>
      <c r="R188">
        <f t="shared" si="8"/>
        <v>2</v>
      </c>
      <c r="V188">
        <f t="shared" si="9"/>
        <v>23521</v>
      </c>
      <c r="Y188" s="18">
        <f t="shared" si="10"/>
        <v>21232.41</v>
      </c>
      <c r="Z188" s="18">
        <f t="shared" si="11"/>
        <v>0</v>
      </c>
    </row>
    <row r="189" spans="2:26" x14ac:dyDescent="0.25">
      <c r="B189" t="s">
        <v>277</v>
      </c>
      <c r="C189" t="s">
        <v>16</v>
      </c>
      <c r="D189" t="s">
        <v>16</v>
      </c>
      <c r="E189" t="s">
        <v>16</v>
      </c>
      <c r="F189" t="s">
        <v>16</v>
      </c>
      <c r="G189" t="s">
        <v>442</v>
      </c>
      <c r="H189" s="18">
        <v>111038.49</v>
      </c>
      <c r="I189" t="s">
        <v>23</v>
      </c>
      <c r="J189" t="s">
        <v>19</v>
      </c>
      <c r="N189" t="s">
        <v>21</v>
      </c>
      <c r="O189" t="s">
        <v>22</v>
      </c>
      <c r="P189" t="s">
        <v>20</v>
      </c>
      <c r="Q189">
        <v>20789</v>
      </c>
      <c r="R189">
        <f t="shared" si="8"/>
        <v>2</v>
      </c>
      <c r="V189">
        <f t="shared" si="9"/>
        <v>20789</v>
      </c>
      <c r="Y189" s="18">
        <f t="shared" si="10"/>
        <v>111038.49</v>
      </c>
      <c r="Z189" s="18">
        <f t="shared" si="11"/>
        <v>0</v>
      </c>
    </row>
    <row r="190" spans="2:26" x14ac:dyDescent="0.25">
      <c r="B190" t="s">
        <v>277</v>
      </c>
      <c r="C190" t="s">
        <v>16</v>
      </c>
      <c r="D190" t="s">
        <v>16</v>
      </c>
      <c r="E190" t="s">
        <v>16</v>
      </c>
      <c r="F190" t="s">
        <v>16</v>
      </c>
      <c r="G190" t="s">
        <v>443</v>
      </c>
      <c r="H190" s="18">
        <v>13435.51</v>
      </c>
      <c r="I190" t="s">
        <v>23</v>
      </c>
      <c r="J190" t="s">
        <v>19</v>
      </c>
      <c r="N190" t="s">
        <v>21</v>
      </c>
      <c r="O190" t="s">
        <v>22</v>
      </c>
      <c r="P190" t="s">
        <v>20</v>
      </c>
      <c r="Q190">
        <v>23537</v>
      </c>
      <c r="R190">
        <f t="shared" si="8"/>
        <v>2</v>
      </c>
      <c r="V190">
        <f t="shared" si="9"/>
        <v>23537</v>
      </c>
      <c r="Y190" s="18">
        <f t="shared" si="10"/>
        <v>13435.51</v>
      </c>
      <c r="Z190" s="18">
        <f t="shared" si="11"/>
        <v>0</v>
      </c>
    </row>
    <row r="191" spans="2:26" x14ac:dyDescent="0.25">
      <c r="B191" t="s">
        <v>277</v>
      </c>
      <c r="C191" t="s">
        <v>16</v>
      </c>
      <c r="D191" t="s">
        <v>16</v>
      </c>
      <c r="E191" t="s">
        <v>16</v>
      </c>
      <c r="F191" t="s">
        <v>16</v>
      </c>
      <c r="G191" t="s">
        <v>444</v>
      </c>
      <c r="H191" s="18">
        <v>63196.58</v>
      </c>
      <c r="I191" t="s">
        <v>23</v>
      </c>
      <c r="J191" t="s">
        <v>19</v>
      </c>
      <c r="N191" t="s">
        <v>21</v>
      </c>
      <c r="O191" t="s">
        <v>22</v>
      </c>
      <c r="P191" t="s">
        <v>20</v>
      </c>
      <c r="Q191">
        <v>23788</v>
      </c>
      <c r="R191">
        <f t="shared" si="8"/>
        <v>2</v>
      </c>
      <c r="V191">
        <f t="shared" si="9"/>
        <v>23788</v>
      </c>
      <c r="Y191" s="18">
        <f t="shared" si="10"/>
        <v>63196.58</v>
      </c>
      <c r="Z191" s="18">
        <f t="shared" si="11"/>
        <v>0</v>
      </c>
    </row>
    <row r="192" spans="2:26" x14ac:dyDescent="0.25">
      <c r="B192" t="s">
        <v>277</v>
      </c>
      <c r="C192" t="s">
        <v>16</v>
      </c>
      <c r="D192" t="s">
        <v>16</v>
      </c>
      <c r="E192" t="s">
        <v>16</v>
      </c>
      <c r="F192" t="s">
        <v>16</v>
      </c>
      <c r="G192" t="s">
        <v>445</v>
      </c>
      <c r="H192" s="18">
        <v>91399.360000000001</v>
      </c>
      <c r="I192" t="s">
        <v>23</v>
      </c>
      <c r="J192" t="s">
        <v>19</v>
      </c>
      <c r="N192" t="s">
        <v>21</v>
      </c>
      <c r="O192" t="s">
        <v>22</v>
      </c>
      <c r="P192" t="s">
        <v>20</v>
      </c>
      <c r="Q192">
        <v>8038196907</v>
      </c>
      <c r="R192">
        <f t="shared" si="8"/>
        <v>2</v>
      </c>
      <c r="V192">
        <f t="shared" si="9"/>
        <v>8038196907</v>
      </c>
      <c r="Y192" s="18">
        <f t="shared" si="10"/>
        <v>91399.360000000001</v>
      </c>
      <c r="Z192" s="18">
        <f t="shared" si="11"/>
        <v>0</v>
      </c>
    </row>
    <row r="193" spans="2:26" x14ac:dyDescent="0.25">
      <c r="B193" t="s">
        <v>277</v>
      </c>
      <c r="C193" t="s">
        <v>16</v>
      </c>
      <c r="D193" t="s">
        <v>16</v>
      </c>
      <c r="E193" t="s">
        <v>16</v>
      </c>
      <c r="F193" t="s">
        <v>16</v>
      </c>
      <c r="G193" t="s">
        <v>330</v>
      </c>
      <c r="H193" s="18">
        <v>80000</v>
      </c>
      <c r="I193" t="s">
        <v>23</v>
      </c>
      <c r="J193" t="s">
        <v>19</v>
      </c>
      <c r="N193" t="s">
        <v>21</v>
      </c>
      <c r="O193" t="s">
        <v>22</v>
      </c>
      <c r="P193" t="s">
        <v>20</v>
      </c>
      <c r="Q193">
        <v>8009161420</v>
      </c>
      <c r="R193">
        <f t="shared" si="8"/>
        <v>2</v>
      </c>
      <c r="V193">
        <f t="shared" si="9"/>
        <v>8009161420</v>
      </c>
      <c r="Y193" s="18">
        <f t="shared" si="10"/>
        <v>80000</v>
      </c>
      <c r="Z193" s="18">
        <f t="shared" si="11"/>
        <v>0</v>
      </c>
    </row>
    <row r="194" spans="2:26" x14ac:dyDescent="0.25">
      <c r="B194" t="s">
        <v>277</v>
      </c>
      <c r="C194" t="s">
        <v>16</v>
      </c>
      <c r="D194" t="s">
        <v>16</v>
      </c>
      <c r="E194" t="s">
        <v>16</v>
      </c>
      <c r="F194" t="s">
        <v>16</v>
      </c>
      <c r="G194" t="s">
        <v>446</v>
      </c>
      <c r="H194" s="18">
        <v>72118.84</v>
      </c>
      <c r="I194" t="s">
        <v>23</v>
      </c>
      <c r="J194" t="s">
        <v>19</v>
      </c>
      <c r="N194" t="s">
        <v>21</v>
      </c>
      <c r="O194" t="s">
        <v>22</v>
      </c>
      <c r="P194" t="s">
        <v>20</v>
      </c>
      <c r="Q194">
        <v>27026</v>
      </c>
      <c r="R194">
        <f t="shared" si="8"/>
        <v>2</v>
      </c>
      <c r="V194">
        <f t="shared" si="9"/>
        <v>27026</v>
      </c>
      <c r="Y194" s="18">
        <f t="shared" si="10"/>
        <v>72118.84</v>
      </c>
      <c r="Z194" s="18">
        <f t="shared" si="11"/>
        <v>0</v>
      </c>
    </row>
    <row r="195" spans="2:26" x14ac:dyDescent="0.25">
      <c r="B195" t="s">
        <v>277</v>
      </c>
      <c r="C195" t="s">
        <v>16</v>
      </c>
      <c r="D195" t="s">
        <v>16</v>
      </c>
      <c r="E195" t="s">
        <v>16</v>
      </c>
      <c r="F195" t="s">
        <v>16</v>
      </c>
      <c r="G195" t="s">
        <v>447</v>
      </c>
      <c r="H195" s="18">
        <v>312516.42</v>
      </c>
      <c r="I195" t="s">
        <v>23</v>
      </c>
      <c r="J195" t="s">
        <v>19</v>
      </c>
      <c r="N195" t="s">
        <v>21</v>
      </c>
      <c r="O195" t="s">
        <v>22</v>
      </c>
      <c r="P195" t="s">
        <v>20</v>
      </c>
      <c r="Q195">
        <v>26784</v>
      </c>
      <c r="R195">
        <f t="shared" si="8"/>
        <v>2</v>
      </c>
      <c r="V195">
        <f t="shared" si="9"/>
        <v>26784</v>
      </c>
      <c r="Y195" s="18">
        <f t="shared" si="10"/>
        <v>312516.42</v>
      </c>
      <c r="Z195" s="18">
        <f t="shared" si="11"/>
        <v>0</v>
      </c>
    </row>
    <row r="196" spans="2:26" x14ac:dyDescent="0.25">
      <c r="B196" t="s">
        <v>277</v>
      </c>
      <c r="C196" t="s">
        <v>16</v>
      </c>
      <c r="D196" t="s">
        <v>16</v>
      </c>
      <c r="E196" t="s">
        <v>16</v>
      </c>
      <c r="F196" t="s">
        <v>16</v>
      </c>
      <c r="G196" t="s">
        <v>448</v>
      </c>
      <c r="H196" s="18">
        <v>57711.58</v>
      </c>
      <c r="I196" t="s">
        <v>23</v>
      </c>
      <c r="J196" t="s">
        <v>19</v>
      </c>
      <c r="N196" t="s">
        <v>21</v>
      </c>
      <c r="O196" t="s">
        <v>22</v>
      </c>
      <c r="P196" t="s">
        <v>20</v>
      </c>
      <c r="Q196">
        <v>2100094299</v>
      </c>
      <c r="R196">
        <f t="shared" si="8"/>
        <v>2</v>
      </c>
      <c r="V196">
        <f t="shared" si="9"/>
        <v>2100094299</v>
      </c>
      <c r="Y196" s="18">
        <f t="shared" si="10"/>
        <v>57711.58</v>
      </c>
      <c r="Z196" s="18">
        <f t="shared" si="11"/>
        <v>0</v>
      </c>
    </row>
    <row r="197" spans="2:26" hidden="1" x14ac:dyDescent="0.25">
      <c r="B197" t="s">
        <v>15</v>
      </c>
      <c r="C197" t="s">
        <v>16</v>
      </c>
      <c r="D197" t="s">
        <v>16</v>
      </c>
      <c r="E197" t="s">
        <v>16</v>
      </c>
      <c r="F197" t="s">
        <v>16</v>
      </c>
      <c r="G197" t="s">
        <v>449</v>
      </c>
      <c r="H197" s="18">
        <v>-3134.94</v>
      </c>
      <c r="J197" t="s">
        <v>19</v>
      </c>
      <c r="N197" t="s">
        <v>21</v>
      </c>
      <c r="O197" t="s">
        <v>22</v>
      </c>
      <c r="P197" t="s">
        <v>20</v>
      </c>
      <c r="Q197">
        <v>27096</v>
      </c>
      <c r="R197">
        <f t="shared" si="8"/>
        <v>2</v>
      </c>
      <c r="V197" t="str">
        <f t="shared" si="9"/>
        <v/>
      </c>
      <c r="W197" s="26" t="s">
        <v>686</v>
      </c>
      <c r="X197" s="15" t="s">
        <v>129</v>
      </c>
      <c r="Y197" s="18" t="str">
        <f t="shared" si="10"/>
        <v/>
      </c>
      <c r="Z197" s="18" t="str">
        <f t="shared" si="11"/>
        <v/>
      </c>
    </row>
    <row r="198" spans="2:26" hidden="1" x14ac:dyDescent="0.25">
      <c r="B198" t="s">
        <v>15</v>
      </c>
      <c r="C198" t="s">
        <v>16</v>
      </c>
      <c r="D198" t="s">
        <v>16</v>
      </c>
      <c r="E198" t="s">
        <v>16</v>
      </c>
      <c r="F198" t="s">
        <v>16</v>
      </c>
      <c r="G198" t="s">
        <v>335</v>
      </c>
      <c r="H198" s="18">
        <v>-18562.830000000002</v>
      </c>
      <c r="J198" t="s">
        <v>19</v>
      </c>
      <c r="N198" t="s">
        <v>21</v>
      </c>
      <c r="O198" t="s">
        <v>22</v>
      </c>
      <c r="P198" t="s">
        <v>20</v>
      </c>
      <c r="Q198">
        <v>23498</v>
      </c>
      <c r="R198">
        <f t="shared" si="8"/>
        <v>2</v>
      </c>
      <c r="V198">
        <f t="shared" si="9"/>
        <v>23498</v>
      </c>
      <c r="Y198" s="18">
        <f t="shared" si="10"/>
        <v>26301.360000000001</v>
      </c>
      <c r="Z198" s="18" t="str">
        <f t="shared" si="11"/>
        <v/>
      </c>
    </row>
    <row r="199" spans="2:26" x14ac:dyDescent="0.25">
      <c r="B199" t="s">
        <v>277</v>
      </c>
      <c r="C199" t="s">
        <v>16</v>
      </c>
      <c r="D199" t="s">
        <v>16</v>
      </c>
      <c r="E199" t="s">
        <v>16</v>
      </c>
      <c r="F199" t="s">
        <v>16</v>
      </c>
      <c r="G199" t="s">
        <v>385</v>
      </c>
      <c r="H199" s="18">
        <v>124344.2</v>
      </c>
      <c r="I199" t="s">
        <v>23</v>
      </c>
      <c r="J199" t="s">
        <v>19</v>
      </c>
      <c r="N199" t="s">
        <v>21</v>
      </c>
      <c r="O199" t="s">
        <v>22</v>
      </c>
      <c r="P199" t="s">
        <v>20</v>
      </c>
      <c r="Q199">
        <v>7346</v>
      </c>
      <c r="R199">
        <f t="shared" si="8"/>
        <v>2</v>
      </c>
      <c r="V199">
        <f t="shared" si="9"/>
        <v>7346</v>
      </c>
      <c r="Y199" s="18">
        <f t="shared" si="10"/>
        <v>124344.2</v>
      </c>
      <c r="Z199" s="18">
        <f t="shared" si="11"/>
        <v>0</v>
      </c>
    </row>
    <row r="200" spans="2:26" x14ac:dyDescent="0.25">
      <c r="B200" t="s">
        <v>277</v>
      </c>
      <c r="C200" t="s">
        <v>16</v>
      </c>
      <c r="D200" t="s">
        <v>16</v>
      </c>
      <c r="E200" t="s">
        <v>16</v>
      </c>
      <c r="F200" t="s">
        <v>16</v>
      </c>
      <c r="G200" t="s">
        <v>450</v>
      </c>
      <c r="H200" s="18">
        <v>96922.8</v>
      </c>
      <c r="I200" t="s">
        <v>23</v>
      </c>
      <c r="J200" t="s">
        <v>19</v>
      </c>
      <c r="N200" t="s">
        <v>21</v>
      </c>
      <c r="O200" t="s">
        <v>22</v>
      </c>
      <c r="P200" t="s">
        <v>20</v>
      </c>
      <c r="Q200">
        <v>25690</v>
      </c>
      <c r="R200">
        <f t="shared" si="8"/>
        <v>2</v>
      </c>
      <c r="V200">
        <f t="shared" si="9"/>
        <v>25690</v>
      </c>
      <c r="Y200" s="18">
        <f t="shared" si="10"/>
        <v>96922.8</v>
      </c>
      <c r="Z200" s="18">
        <f t="shared" si="11"/>
        <v>0</v>
      </c>
    </row>
    <row r="201" spans="2:26" x14ac:dyDescent="0.25">
      <c r="B201" t="s">
        <v>277</v>
      </c>
      <c r="C201" t="s">
        <v>16</v>
      </c>
      <c r="D201" t="s">
        <v>16</v>
      </c>
      <c r="E201" t="s">
        <v>16</v>
      </c>
      <c r="F201" t="s">
        <v>16</v>
      </c>
      <c r="G201" t="s">
        <v>451</v>
      </c>
      <c r="H201" s="18">
        <v>1934.71</v>
      </c>
      <c r="I201" t="s">
        <v>23</v>
      </c>
      <c r="J201" t="s">
        <v>19</v>
      </c>
      <c r="N201" t="s">
        <v>21</v>
      </c>
      <c r="O201" t="s">
        <v>22</v>
      </c>
      <c r="P201" t="s">
        <v>20</v>
      </c>
      <c r="Q201">
        <v>23616</v>
      </c>
      <c r="R201">
        <f t="shared" si="8"/>
        <v>2</v>
      </c>
      <c r="V201">
        <f t="shared" si="9"/>
        <v>23616</v>
      </c>
      <c r="Y201" s="18">
        <f t="shared" si="10"/>
        <v>1934.71</v>
      </c>
      <c r="Z201" s="18">
        <f t="shared" si="11"/>
        <v>0</v>
      </c>
    </row>
    <row r="202" spans="2:26" x14ac:dyDescent="0.25">
      <c r="B202" t="s">
        <v>277</v>
      </c>
      <c r="C202" t="s">
        <v>16</v>
      </c>
      <c r="D202" t="s">
        <v>16</v>
      </c>
      <c r="E202" t="s">
        <v>16</v>
      </c>
      <c r="F202" t="s">
        <v>16</v>
      </c>
      <c r="G202" t="s">
        <v>452</v>
      </c>
      <c r="H202" s="18">
        <v>4276.79</v>
      </c>
      <c r="I202" t="s">
        <v>23</v>
      </c>
      <c r="J202" t="s">
        <v>19</v>
      </c>
      <c r="N202" t="s">
        <v>21</v>
      </c>
      <c r="O202" t="s">
        <v>22</v>
      </c>
      <c r="P202" t="s">
        <v>20</v>
      </c>
      <c r="Q202">
        <v>23577</v>
      </c>
      <c r="R202">
        <f t="shared" ref="R202:R265" si="12">COUNTIF($Q$9:$Q$816,Q202)</f>
        <v>2</v>
      </c>
      <c r="V202">
        <f t="shared" ref="V202:V265" si="13">IFERROR(VLOOKUP(Q202,$C$823:$C$1253,1,FALSE),"")</f>
        <v>23577</v>
      </c>
      <c r="Y202" s="18">
        <f t="shared" ref="Y202:Y265" si="14">IFERROR(VLOOKUP(Q202,$C$823:$D$1253,2,FALSE),"")</f>
        <v>4276.79</v>
      </c>
      <c r="Z202" s="18">
        <f t="shared" ref="Z202:Z265" si="15">IFERROR(IF(RIGHT(B202,6)="TYVA02","",H202-Y202),"")</f>
        <v>0</v>
      </c>
    </row>
    <row r="203" spans="2:26" hidden="1" x14ac:dyDescent="0.25">
      <c r="B203" t="s">
        <v>15</v>
      </c>
      <c r="C203" t="s">
        <v>16</v>
      </c>
      <c r="D203" t="s">
        <v>16</v>
      </c>
      <c r="E203" t="s">
        <v>16</v>
      </c>
      <c r="F203" t="s">
        <v>16</v>
      </c>
      <c r="G203" t="s">
        <v>453</v>
      </c>
      <c r="H203" s="18">
        <v>-10350.549999999999</v>
      </c>
      <c r="J203" t="s">
        <v>19</v>
      </c>
      <c r="N203" t="s">
        <v>21</v>
      </c>
      <c r="O203" t="s">
        <v>22</v>
      </c>
      <c r="P203" t="s">
        <v>20</v>
      </c>
      <c r="Q203">
        <v>23499</v>
      </c>
      <c r="R203">
        <f t="shared" si="12"/>
        <v>2</v>
      </c>
      <c r="V203">
        <f t="shared" si="13"/>
        <v>23499</v>
      </c>
      <c r="Y203" s="18">
        <f t="shared" si="14"/>
        <v>12628.31</v>
      </c>
      <c r="Z203" s="18" t="str">
        <f t="shared" si="15"/>
        <v/>
      </c>
    </row>
    <row r="204" spans="2:26" hidden="1" x14ac:dyDescent="0.25">
      <c r="B204" t="s">
        <v>15</v>
      </c>
      <c r="C204" t="s">
        <v>16</v>
      </c>
      <c r="D204" t="s">
        <v>16</v>
      </c>
      <c r="E204" t="s">
        <v>16</v>
      </c>
      <c r="F204" t="s">
        <v>16</v>
      </c>
      <c r="G204" t="s">
        <v>454</v>
      </c>
      <c r="H204" s="18">
        <v>-224580.68</v>
      </c>
      <c r="J204" t="s">
        <v>19</v>
      </c>
      <c r="N204" t="s">
        <v>21</v>
      </c>
      <c r="O204" t="s">
        <v>22</v>
      </c>
      <c r="P204" t="s">
        <v>20</v>
      </c>
      <c r="Q204">
        <v>3301</v>
      </c>
      <c r="R204">
        <f t="shared" si="12"/>
        <v>2</v>
      </c>
      <c r="V204">
        <f t="shared" si="13"/>
        <v>3301</v>
      </c>
      <c r="Y204" s="18">
        <f t="shared" si="14"/>
        <v>320234.38</v>
      </c>
      <c r="Z204" s="18" t="str">
        <f t="shared" si="15"/>
        <v/>
      </c>
    </row>
    <row r="205" spans="2:26" hidden="1" x14ac:dyDescent="0.25">
      <c r="B205" t="s">
        <v>277</v>
      </c>
      <c r="C205" t="s">
        <v>16</v>
      </c>
      <c r="D205" t="s">
        <v>16</v>
      </c>
      <c r="E205" t="s">
        <v>16</v>
      </c>
      <c r="F205" t="s">
        <v>16</v>
      </c>
      <c r="G205" t="s">
        <v>297</v>
      </c>
      <c r="H205" s="18">
        <v>41500</v>
      </c>
      <c r="I205" t="s">
        <v>23</v>
      </c>
      <c r="J205" t="s">
        <v>19</v>
      </c>
      <c r="N205" t="s">
        <v>21</v>
      </c>
      <c r="O205" t="s">
        <v>22</v>
      </c>
      <c r="P205" t="s">
        <v>20</v>
      </c>
      <c r="Q205">
        <v>27117</v>
      </c>
      <c r="R205">
        <f t="shared" si="12"/>
        <v>2</v>
      </c>
      <c r="V205" t="str">
        <f t="shared" si="13"/>
        <v/>
      </c>
      <c r="W205" s="26" t="s">
        <v>686</v>
      </c>
      <c r="X205" s="15" t="s">
        <v>129</v>
      </c>
      <c r="Y205" s="18" t="str">
        <f t="shared" si="14"/>
        <v/>
      </c>
      <c r="Z205" s="18" t="str">
        <f t="shared" si="15"/>
        <v/>
      </c>
    </row>
    <row r="206" spans="2:26" hidden="1" x14ac:dyDescent="0.25">
      <c r="B206" t="s">
        <v>15</v>
      </c>
      <c r="C206" t="s">
        <v>16</v>
      </c>
      <c r="D206" t="s">
        <v>16</v>
      </c>
      <c r="E206" t="s">
        <v>16</v>
      </c>
      <c r="F206" t="s">
        <v>16</v>
      </c>
      <c r="G206" t="s">
        <v>455</v>
      </c>
      <c r="H206" s="18">
        <v>-82.31</v>
      </c>
      <c r="J206" t="s">
        <v>19</v>
      </c>
      <c r="N206" t="s">
        <v>21</v>
      </c>
      <c r="O206" t="s">
        <v>22</v>
      </c>
      <c r="P206" t="s">
        <v>20</v>
      </c>
      <c r="Q206">
        <v>19503</v>
      </c>
      <c r="R206">
        <f t="shared" si="12"/>
        <v>2</v>
      </c>
      <c r="V206">
        <f t="shared" si="13"/>
        <v>19503</v>
      </c>
      <c r="Y206" s="18">
        <f t="shared" si="14"/>
        <v>2097.34</v>
      </c>
      <c r="Z206" s="18" t="str">
        <f t="shared" si="15"/>
        <v/>
      </c>
    </row>
    <row r="207" spans="2:26" x14ac:dyDescent="0.25">
      <c r="B207" t="s">
        <v>277</v>
      </c>
      <c r="C207" t="s">
        <v>16</v>
      </c>
      <c r="D207" t="s">
        <v>16</v>
      </c>
      <c r="E207" t="s">
        <v>16</v>
      </c>
      <c r="F207" t="s">
        <v>16</v>
      </c>
      <c r="G207" t="s">
        <v>456</v>
      </c>
      <c r="H207" s="18">
        <v>95874.62</v>
      </c>
      <c r="I207" t="s">
        <v>23</v>
      </c>
      <c r="J207" t="s">
        <v>19</v>
      </c>
      <c r="N207" t="s">
        <v>21</v>
      </c>
      <c r="O207" t="s">
        <v>22</v>
      </c>
      <c r="P207" t="s">
        <v>20</v>
      </c>
      <c r="Q207">
        <v>27115</v>
      </c>
      <c r="R207">
        <f t="shared" si="12"/>
        <v>2</v>
      </c>
      <c r="V207">
        <f t="shared" si="13"/>
        <v>27115</v>
      </c>
      <c r="Y207" s="18">
        <f t="shared" si="14"/>
        <v>95874.62</v>
      </c>
      <c r="Z207" s="18">
        <f t="shared" si="15"/>
        <v>0</v>
      </c>
    </row>
    <row r="208" spans="2:26" x14ac:dyDescent="0.25">
      <c r="B208" t="s">
        <v>277</v>
      </c>
      <c r="C208" t="s">
        <v>16</v>
      </c>
      <c r="D208" t="s">
        <v>16</v>
      </c>
      <c r="E208" t="s">
        <v>16</v>
      </c>
      <c r="F208" t="s">
        <v>16</v>
      </c>
      <c r="G208" t="s">
        <v>457</v>
      </c>
      <c r="H208" s="18">
        <v>113375.76</v>
      </c>
      <c r="I208" t="s">
        <v>23</v>
      </c>
      <c r="J208" t="s">
        <v>19</v>
      </c>
      <c r="N208" t="s">
        <v>21</v>
      </c>
      <c r="O208" t="s">
        <v>22</v>
      </c>
      <c r="P208" t="s">
        <v>20</v>
      </c>
      <c r="Q208">
        <v>7383</v>
      </c>
      <c r="R208">
        <f t="shared" si="12"/>
        <v>2</v>
      </c>
      <c r="V208">
        <f t="shared" si="13"/>
        <v>7383</v>
      </c>
      <c r="Y208" s="18">
        <f t="shared" si="14"/>
        <v>113375.76</v>
      </c>
      <c r="Z208" s="18">
        <f t="shared" si="15"/>
        <v>0</v>
      </c>
    </row>
    <row r="209" spans="2:26" hidden="1" x14ac:dyDescent="0.25">
      <c r="B209" t="s">
        <v>15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s="18">
        <v>0.32</v>
      </c>
      <c r="J209" t="s">
        <v>19</v>
      </c>
      <c r="N209" t="s">
        <v>21</v>
      </c>
      <c r="O209" t="s">
        <v>22</v>
      </c>
      <c r="P209" t="s">
        <v>20</v>
      </c>
      <c r="Q209" t="s">
        <v>16</v>
      </c>
      <c r="R209">
        <f t="shared" si="12"/>
        <v>4</v>
      </c>
      <c r="V209" t="str">
        <f t="shared" si="13"/>
        <v>NULL</v>
      </c>
      <c r="Y209" s="18">
        <f t="shared" si="14"/>
        <v>2.63</v>
      </c>
      <c r="Z209" s="18" t="str">
        <f t="shared" si="15"/>
        <v/>
      </c>
    </row>
    <row r="210" spans="2:26" hidden="1" x14ac:dyDescent="0.25">
      <c r="B210" t="s">
        <v>15</v>
      </c>
      <c r="C210" t="s">
        <v>16</v>
      </c>
      <c r="D210" t="s">
        <v>16</v>
      </c>
      <c r="E210" t="s">
        <v>16</v>
      </c>
      <c r="F210" t="s">
        <v>16</v>
      </c>
      <c r="G210" t="s">
        <v>458</v>
      </c>
      <c r="H210" s="18">
        <v>-28121.7</v>
      </c>
      <c r="J210" t="s">
        <v>19</v>
      </c>
      <c r="N210" t="s">
        <v>21</v>
      </c>
      <c r="O210" t="s">
        <v>22</v>
      </c>
      <c r="P210" t="s">
        <v>20</v>
      </c>
      <c r="Q210">
        <v>27172</v>
      </c>
      <c r="R210">
        <f t="shared" si="12"/>
        <v>2</v>
      </c>
      <c r="V210" t="str">
        <f t="shared" si="13"/>
        <v/>
      </c>
      <c r="W210" s="26" t="s">
        <v>686</v>
      </c>
      <c r="X210" s="15" t="s">
        <v>129</v>
      </c>
      <c r="Y210" s="18" t="str">
        <f t="shared" si="14"/>
        <v/>
      </c>
      <c r="Z210" s="18" t="str">
        <f t="shared" si="15"/>
        <v/>
      </c>
    </row>
    <row r="211" spans="2:26" x14ac:dyDescent="0.25">
      <c r="B211" t="s">
        <v>277</v>
      </c>
      <c r="C211" t="s">
        <v>16</v>
      </c>
      <c r="D211" t="s">
        <v>16</v>
      </c>
      <c r="E211" t="s">
        <v>16</v>
      </c>
      <c r="F211" t="s">
        <v>16</v>
      </c>
      <c r="G211" t="s">
        <v>459</v>
      </c>
      <c r="H211" s="18">
        <v>10748.41</v>
      </c>
      <c r="I211" t="s">
        <v>23</v>
      </c>
      <c r="J211" t="s">
        <v>19</v>
      </c>
      <c r="N211" t="s">
        <v>21</v>
      </c>
      <c r="O211" t="s">
        <v>22</v>
      </c>
      <c r="P211" t="s">
        <v>20</v>
      </c>
      <c r="Q211">
        <v>23539</v>
      </c>
      <c r="R211">
        <f t="shared" si="12"/>
        <v>2</v>
      </c>
      <c r="V211">
        <f t="shared" si="13"/>
        <v>23539</v>
      </c>
      <c r="Y211" s="18">
        <f t="shared" si="14"/>
        <v>10748.41</v>
      </c>
      <c r="Z211" s="18">
        <f t="shared" si="15"/>
        <v>0</v>
      </c>
    </row>
    <row r="212" spans="2:26" x14ac:dyDescent="0.25">
      <c r="B212" t="s">
        <v>277</v>
      </c>
      <c r="C212" t="s">
        <v>16</v>
      </c>
      <c r="D212" t="s">
        <v>16</v>
      </c>
      <c r="E212" t="s">
        <v>16</v>
      </c>
      <c r="F212" t="s">
        <v>16</v>
      </c>
      <c r="G212" t="s">
        <v>460</v>
      </c>
      <c r="H212" s="18">
        <v>99248.05</v>
      </c>
      <c r="I212" t="s">
        <v>23</v>
      </c>
      <c r="J212" t="s">
        <v>19</v>
      </c>
      <c r="N212" t="s">
        <v>21</v>
      </c>
      <c r="O212" t="s">
        <v>22</v>
      </c>
      <c r="P212" t="s">
        <v>20</v>
      </c>
      <c r="Q212">
        <v>25688</v>
      </c>
      <c r="R212">
        <f t="shared" si="12"/>
        <v>2</v>
      </c>
      <c r="V212">
        <f t="shared" si="13"/>
        <v>25688</v>
      </c>
      <c r="Y212" s="18">
        <f t="shared" si="14"/>
        <v>99248.05</v>
      </c>
      <c r="Z212" s="18">
        <f t="shared" si="15"/>
        <v>0</v>
      </c>
    </row>
    <row r="213" spans="2:26" x14ac:dyDescent="0.25">
      <c r="B213" t="s">
        <v>277</v>
      </c>
      <c r="C213" t="s">
        <v>16</v>
      </c>
      <c r="D213" t="s">
        <v>16</v>
      </c>
      <c r="E213" t="s">
        <v>16</v>
      </c>
      <c r="F213" t="s">
        <v>16</v>
      </c>
      <c r="G213" t="s">
        <v>461</v>
      </c>
      <c r="H213" s="18">
        <v>52622.67</v>
      </c>
      <c r="I213" t="s">
        <v>23</v>
      </c>
      <c r="J213" t="s">
        <v>19</v>
      </c>
      <c r="N213" t="s">
        <v>21</v>
      </c>
      <c r="O213" t="s">
        <v>22</v>
      </c>
      <c r="P213" t="s">
        <v>20</v>
      </c>
      <c r="Q213">
        <v>23661</v>
      </c>
      <c r="R213">
        <f t="shared" si="12"/>
        <v>2</v>
      </c>
      <c r="V213">
        <f t="shared" si="13"/>
        <v>23661</v>
      </c>
      <c r="Y213" s="18">
        <f t="shared" si="14"/>
        <v>52622.67</v>
      </c>
      <c r="Z213" s="18">
        <f t="shared" si="15"/>
        <v>0</v>
      </c>
    </row>
    <row r="214" spans="2:26" hidden="1" x14ac:dyDescent="0.25">
      <c r="B214" t="s">
        <v>15</v>
      </c>
      <c r="C214" t="s">
        <v>16</v>
      </c>
      <c r="D214" t="s">
        <v>16</v>
      </c>
      <c r="E214" t="s">
        <v>16</v>
      </c>
      <c r="F214" t="s">
        <v>16</v>
      </c>
      <c r="G214" t="s">
        <v>462</v>
      </c>
      <c r="H214" s="18">
        <v>-16105.48</v>
      </c>
      <c r="J214" t="s">
        <v>19</v>
      </c>
      <c r="N214" t="s">
        <v>21</v>
      </c>
      <c r="O214" t="s">
        <v>22</v>
      </c>
      <c r="P214" t="s">
        <v>20</v>
      </c>
      <c r="Q214">
        <v>23663</v>
      </c>
      <c r="R214">
        <f t="shared" si="12"/>
        <v>2</v>
      </c>
      <c r="V214">
        <f t="shared" si="13"/>
        <v>23663</v>
      </c>
      <c r="Y214" s="18">
        <f t="shared" si="14"/>
        <v>52101.81</v>
      </c>
      <c r="Z214" s="18" t="str">
        <f t="shared" si="15"/>
        <v/>
      </c>
    </row>
    <row r="215" spans="2:26" x14ac:dyDescent="0.25">
      <c r="B215" t="s">
        <v>277</v>
      </c>
      <c r="C215" t="s">
        <v>16</v>
      </c>
      <c r="D215" t="s">
        <v>16</v>
      </c>
      <c r="E215" t="s">
        <v>16</v>
      </c>
      <c r="F215" t="s">
        <v>16</v>
      </c>
      <c r="G215" t="s">
        <v>463</v>
      </c>
      <c r="H215" s="18">
        <v>10748.41</v>
      </c>
      <c r="I215" t="s">
        <v>23</v>
      </c>
      <c r="J215" t="s">
        <v>19</v>
      </c>
      <c r="N215" t="s">
        <v>21</v>
      </c>
      <c r="O215" t="s">
        <v>22</v>
      </c>
      <c r="P215" t="s">
        <v>20</v>
      </c>
      <c r="Q215">
        <v>23603</v>
      </c>
      <c r="R215">
        <f t="shared" si="12"/>
        <v>2</v>
      </c>
      <c r="V215">
        <f t="shared" si="13"/>
        <v>23603</v>
      </c>
      <c r="Y215" s="18">
        <f t="shared" si="14"/>
        <v>10748.41</v>
      </c>
      <c r="Z215" s="18">
        <f t="shared" si="15"/>
        <v>0</v>
      </c>
    </row>
    <row r="216" spans="2:26" x14ac:dyDescent="0.25">
      <c r="B216" t="s">
        <v>277</v>
      </c>
      <c r="C216" t="s">
        <v>16</v>
      </c>
      <c r="D216" t="s">
        <v>16</v>
      </c>
      <c r="E216" t="s">
        <v>16</v>
      </c>
      <c r="F216" t="s">
        <v>16</v>
      </c>
      <c r="G216" t="s">
        <v>464</v>
      </c>
      <c r="H216" s="18">
        <v>338.57</v>
      </c>
      <c r="I216" t="s">
        <v>23</v>
      </c>
      <c r="J216" t="s">
        <v>19</v>
      </c>
      <c r="N216" t="s">
        <v>21</v>
      </c>
      <c r="O216" t="s">
        <v>22</v>
      </c>
      <c r="P216" t="s">
        <v>20</v>
      </c>
      <c r="Q216">
        <v>23646</v>
      </c>
      <c r="R216">
        <f t="shared" si="12"/>
        <v>2</v>
      </c>
      <c r="V216">
        <f t="shared" si="13"/>
        <v>23646</v>
      </c>
      <c r="Y216" s="18">
        <f t="shared" si="14"/>
        <v>338.57</v>
      </c>
      <c r="Z216" s="18">
        <f t="shared" si="15"/>
        <v>0</v>
      </c>
    </row>
    <row r="217" spans="2:26" x14ac:dyDescent="0.25">
      <c r="B217" t="s">
        <v>277</v>
      </c>
      <c r="C217" t="s">
        <v>16</v>
      </c>
      <c r="D217" t="s">
        <v>16</v>
      </c>
      <c r="E217" t="s">
        <v>16</v>
      </c>
      <c r="F217" t="s">
        <v>16</v>
      </c>
      <c r="G217" t="s">
        <v>319</v>
      </c>
      <c r="H217" s="18">
        <v>99497.34</v>
      </c>
      <c r="I217" t="s">
        <v>23</v>
      </c>
      <c r="J217" t="s">
        <v>19</v>
      </c>
      <c r="N217" t="s">
        <v>21</v>
      </c>
      <c r="O217" t="s">
        <v>22</v>
      </c>
      <c r="P217" t="s">
        <v>20</v>
      </c>
      <c r="Q217">
        <v>25695</v>
      </c>
      <c r="R217">
        <f t="shared" si="12"/>
        <v>2</v>
      </c>
      <c r="V217">
        <f t="shared" si="13"/>
        <v>25695</v>
      </c>
      <c r="Y217" s="18">
        <f t="shared" si="14"/>
        <v>99497.34</v>
      </c>
      <c r="Z217" s="18">
        <f t="shared" si="15"/>
        <v>0</v>
      </c>
    </row>
    <row r="218" spans="2:26" hidden="1" x14ac:dyDescent="0.25">
      <c r="B218" t="s">
        <v>15</v>
      </c>
      <c r="C218" t="s">
        <v>16</v>
      </c>
      <c r="D218" t="s">
        <v>16</v>
      </c>
      <c r="E218" t="s">
        <v>16</v>
      </c>
      <c r="F218" t="s">
        <v>16</v>
      </c>
      <c r="G218" t="s">
        <v>465</v>
      </c>
      <c r="H218" s="18">
        <v>-9064.43</v>
      </c>
      <c r="J218" t="s">
        <v>19</v>
      </c>
      <c r="N218" t="s">
        <v>21</v>
      </c>
      <c r="O218" t="s">
        <v>22</v>
      </c>
      <c r="P218" t="s">
        <v>20</v>
      </c>
      <c r="Q218">
        <v>23570</v>
      </c>
      <c r="R218">
        <f t="shared" si="12"/>
        <v>2</v>
      </c>
      <c r="V218">
        <f t="shared" si="13"/>
        <v>23570</v>
      </c>
      <c r="Y218" s="18">
        <f t="shared" si="14"/>
        <v>10748.41</v>
      </c>
      <c r="Z218" s="18" t="str">
        <f t="shared" si="15"/>
        <v/>
      </c>
    </row>
    <row r="219" spans="2:26" x14ac:dyDescent="0.25">
      <c r="B219" t="s">
        <v>277</v>
      </c>
      <c r="C219" t="s">
        <v>16</v>
      </c>
      <c r="D219" t="s">
        <v>16</v>
      </c>
      <c r="E219" t="s">
        <v>16</v>
      </c>
      <c r="F219" t="s">
        <v>16</v>
      </c>
      <c r="G219" t="s">
        <v>466</v>
      </c>
      <c r="H219" s="18">
        <v>112516.79</v>
      </c>
      <c r="I219" t="s">
        <v>23</v>
      </c>
      <c r="J219" t="s">
        <v>19</v>
      </c>
      <c r="N219" t="s">
        <v>21</v>
      </c>
      <c r="O219" t="s">
        <v>22</v>
      </c>
      <c r="P219" t="s">
        <v>20</v>
      </c>
      <c r="Q219">
        <v>23514</v>
      </c>
      <c r="R219">
        <f t="shared" si="12"/>
        <v>2</v>
      </c>
      <c r="V219">
        <f t="shared" si="13"/>
        <v>23514</v>
      </c>
      <c r="Y219" s="18">
        <f t="shared" si="14"/>
        <v>112516.79</v>
      </c>
      <c r="Z219" s="18">
        <f t="shared" si="15"/>
        <v>0</v>
      </c>
    </row>
    <row r="220" spans="2:26" x14ac:dyDescent="0.25">
      <c r="B220" t="s">
        <v>277</v>
      </c>
      <c r="C220" t="s">
        <v>16</v>
      </c>
      <c r="D220" t="s">
        <v>16</v>
      </c>
      <c r="E220" t="s">
        <v>16</v>
      </c>
      <c r="F220" t="s">
        <v>16</v>
      </c>
      <c r="G220" t="s">
        <v>467</v>
      </c>
      <c r="H220" s="18">
        <v>2323.81</v>
      </c>
      <c r="I220" t="s">
        <v>23</v>
      </c>
      <c r="J220" t="s">
        <v>19</v>
      </c>
      <c r="N220" t="s">
        <v>21</v>
      </c>
      <c r="O220" t="s">
        <v>22</v>
      </c>
      <c r="P220" t="s">
        <v>20</v>
      </c>
      <c r="Q220">
        <v>23592</v>
      </c>
      <c r="R220">
        <f t="shared" si="12"/>
        <v>2</v>
      </c>
      <c r="V220">
        <f t="shared" si="13"/>
        <v>23592</v>
      </c>
      <c r="Y220" s="18">
        <f t="shared" si="14"/>
        <v>2323.81</v>
      </c>
      <c r="Z220" s="18">
        <f t="shared" si="15"/>
        <v>0</v>
      </c>
    </row>
    <row r="221" spans="2:26" hidden="1" x14ac:dyDescent="0.25">
      <c r="B221" t="s">
        <v>15</v>
      </c>
      <c r="C221" t="s">
        <v>16</v>
      </c>
      <c r="D221" t="s">
        <v>16</v>
      </c>
      <c r="E221" t="s">
        <v>16</v>
      </c>
      <c r="F221" t="s">
        <v>16</v>
      </c>
      <c r="G221" t="s">
        <v>468</v>
      </c>
      <c r="H221" s="18">
        <v>-179.49</v>
      </c>
      <c r="J221" t="s">
        <v>19</v>
      </c>
      <c r="N221" t="s">
        <v>21</v>
      </c>
      <c r="O221" t="s">
        <v>22</v>
      </c>
      <c r="P221" t="s">
        <v>20</v>
      </c>
      <c r="Q221">
        <v>23641</v>
      </c>
      <c r="R221">
        <f t="shared" si="12"/>
        <v>2</v>
      </c>
      <c r="V221">
        <f t="shared" si="13"/>
        <v>23641</v>
      </c>
      <c r="Y221" s="18">
        <f t="shared" si="14"/>
        <v>354.7</v>
      </c>
      <c r="Z221" s="18" t="str">
        <f t="shared" si="15"/>
        <v/>
      </c>
    </row>
    <row r="222" spans="2:26" x14ac:dyDescent="0.25">
      <c r="B222" t="s">
        <v>277</v>
      </c>
      <c r="C222" t="s">
        <v>16</v>
      </c>
      <c r="D222" t="s">
        <v>16</v>
      </c>
      <c r="E222" t="s">
        <v>16</v>
      </c>
      <c r="F222" t="s">
        <v>16</v>
      </c>
      <c r="G222" t="s">
        <v>469</v>
      </c>
      <c r="H222" s="18">
        <v>93614.29</v>
      </c>
      <c r="I222" t="s">
        <v>23</v>
      </c>
      <c r="J222" t="s">
        <v>19</v>
      </c>
      <c r="N222" t="s">
        <v>21</v>
      </c>
      <c r="O222" t="s">
        <v>22</v>
      </c>
      <c r="P222" t="s">
        <v>20</v>
      </c>
      <c r="Q222">
        <v>25707</v>
      </c>
      <c r="R222">
        <f t="shared" si="12"/>
        <v>2</v>
      </c>
      <c r="V222">
        <f t="shared" si="13"/>
        <v>25707</v>
      </c>
      <c r="Y222" s="18">
        <f t="shared" si="14"/>
        <v>93614.29</v>
      </c>
      <c r="Z222" s="18">
        <f t="shared" si="15"/>
        <v>0</v>
      </c>
    </row>
    <row r="223" spans="2:26" x14ac:dyDescent="0.25">
      <c r="B223" t="s">
        <v>277</v>
      </c>
      <c r="C223" t="s">
        <v>16</v>
      </c>
      <c r="D223" t="s">
        <v>16</v>
      </c>
      <c r="E223" t="s">
        <v>16</v>
      </c>
      <c r="F223" t="s">
        <v>16</v>
      </c>
      <c r="G223" t="s">
        <v>424</v>
      </c>
      <c r="H223" s="18">
        <v>61479.72</v>
      </c>
      <c r="I223" t="s">
        <v>23</v>
      </c>
      <c r="J223" t="s">
        <v>19</v>
      </c>
      <c r="N223" t="s">
        <v>21</v>
      </c>
      <c r="O223" t="s">
        <v>22</v>
      </c>
      <c r="P223" t="s">
        <v>20</v>
      </c>
      <c r="Q223">
        <v>26399</v>
      </c>
      <c r="R223">
        <f t="shared" si="12"/>
        <v>2</v>
      </c>
      <c r="V223">
        <f t="shared" si="13"/>
        <v>26399</v>
      </c>
      <c r="Y223" s="18">
        <f t="shared" si="14"/>
        <v>61479.72</v>
      </c>
      <c r="Z223" s="18">
        <f t="shared" si="15"/>
        <v>0</v>
      </c>
    </row>
    <row r="224" spans="2:26" hidden="1" x14ac:dyDescent="0.25">
      <c r="B224" t="s">
        <v>15</v>
      </c>
      <c r="C224" t="s">
        <v>16</v>
      </c>
      <c r="D224" t="s">
        <v>16</v>
      </c>
      <c r="E224" t="s">
        <v>16</v>
      </c>
      <c r="F224" t="s">
        <v>16</v>
      </c>
      <c r="G224" t="s">
        <v>470</v>
      </c>
      <c r="H224" s="18">
        <v>-94791.12</v>
      </c>
      <c r="J224" t="s">
        <v>19</v>
      </c>
      <c r="N224" t="s">
        <v>21</v>
      </c>
      <c r="O224" t="s">
        <v>22</v>
      </c>
      <c r="P224" t="s">
        <v>20</v>
      </c>
      <c r="Q224">
        <v>7378</v>
      </c>
      <c r="R224">
        <f t="shared" si="12"/>
        <v>2</v>
      </c>
      <c r="V224">
        <f t="shared" si="13"/>
        <v>7378</v>
      </c>
      <c r="Y224" s="18">
        <f t="shared" si="14"/>
        <v>118189.87</v>
      </c>
      <c r="Z224" s="18" t="str">
        <f t="shared" si="15"/>
        <v/>
      </c>
    </row>
    <row r="225" spans="2:26" x14ac:dyDescent="0.25">
      <c r="B225" t="s">
        <v>277</v>
      </c>
      <c r="C225" t="s">
        <v>16</v>
      </c>
      <c r="D225" t="s">
        <v>16</v>
      </c>
      <c r="E225" t="s">
        <v>16</v>
      </c>
      <c r="F225" t="s">
        <v>16</v>
      </c>
      <c r="G225" t="s">
        <v>468</v>
      </c>
      <c r="H225" s="18">
        <v>354.7</v>
      </c>
      <c r="I225" t="s">
        <v>23</v>
      </c>
      <c r="J225" t="s">
        <v>19</v>
      </c>
      <c r="N225" t="s">
        <v>21</v>
      </c>
      <c r="O225" t="s">
        <v>22</v>
      </c>
      <c r="P225" t="s">
        <v>20</v>
      </c>
      <c r="Q225">
        <v>23641</v>
      </c>
      <c r="R225">
        <f t="shared" si="12"/>
        <v>2</v>
      </c>
      <c r="V225">
        <f t="shared" si="13"/>
        <v>23641</v>
      </c>
      <c r="Y225" s="18">
        <f t="shared" si="14"/>
        <v>354.7</v>
      </c>
      <c r="Z225" s="18">
        <f t="shared" si="15"/>
        <v>0</v>
      </c>
    </row>
    <row r="226" spans="2:26" x14ac:dyDescent="0.25">
      <c r="B226" t="s">
        <v>277</v>
      </c>
      <c r="C226" t="s">
        <v>16</v>
      </c>
      <c r="D226" t="s">
        <v>16</v>
      </c>
      <c r="E226" t="s">
        <v>16</v>
      </c>
      <c r="F226" t="s">
        <v>16</v>
      </c>
      <c r="G226" t="s">
        <v>432</v>
      </c>
      <c r="H226" s="18">
        <v>49333.66</v>
      </c>
      <c r="I226" t="s">
        <v>23</v>
      </c>
      <c r="J226" t="s">
        <v>19</v>
      </c>
      <c r="N226" t="s">
        <v>21</v>
      </c>
      <c r="O226" t="s">
        <v>22</v>
      </c>
      <c r="P226" t="s">
        <v>20</v>
      </c>
      <c r="Q226">
        <v>26045</v>
      </c>
      <c r="R226">
        <f t="shared" si="12"/>
        <v>2</v>
      </c>
      <c r="V226">
        <f t="shared" si="13"/>
        <v>26045</v>
      </c>
      <c r="Y226" s="18">
        <f t="shared" si="14"/>
        <v>49333.66</v>
      </c>
      <c r="Z226" s="18">
        <f t="shared" si="15"/>
        <v>0</v>
      </c>
    </row>
    <row r="227" spans="2:26" hidden="1" x14ac:dyDescent="0.25">
      <c r="B227" t="s">
        <v>15</v>
      </c>
      <c r="C227" t="s">
        <v>16</v>
      </c>
      <c r="D227" t="s">
        <v>16</v>
      </c>
      <c r="E227" t="s">
        <v>16</v>
      </c>
      <c r="F227" t="s">
        <v>16</v>
      </c>
      <c r="G227" t="s">
        <v>471</v>
      </c>
      <c r="H227" s="18">
        <v>-11829.4</v>
      </c>
      <c r="J227" t="s">
        <v>19</v>
      </c>
      <c r="N227" t="s">
        <v>21</v>
      </c>
      <c r="O227" t="s">
        <v>22</v>
      </c>
      <c r="P227" t="s">
        <v>20</v>
      </c>
      <c r="Q227">
        <v>23545</v>
      </c>
      <c r="R227">
        <f t="shared" si="12"/>
        <v>2</v>
      </c>
      <c r="V227">
        <f t="shared" si="13"/>
        <v>23545</v>
      </c>
      <c r="Y227" s="18">
        <f t="shared" si="14"/>
        <v>13435.51</v>
      </c>
      <c r="Z227" s="18" t="str">
        <f t="shared" si="15"/>
        <v/>
      </c>
    </row>
    <row r="228" spans="2:26" x14ac:dyDescent="0.25">
      <c r="B228" t="s">
        <v>277</v>
      </c>
      <c r="C228" t="s">
        <v>16</v>
      </c>
      <c r="D228" t="s">
        <v>16</v>
      </c>
      <c r="E228" t="s">
        <v>16</v>
      </c>
      <c r="F228" t="s">
        <v>16</v>
      </c>
      <c r="G228" t="s">
        <v>472</v>
      </c>
      <c r="H228" s="18">
        <v>137253.96</v>
      </c>
      <c r="I228" t="s">
        <v>23</v>
      </c>
      <c r="J228" t="s">
        <v>19</v>
      </c>
      <c r="N228" t="s">
        <v>21</v>
      </c>
      <c r="O228" t="s">
        <v>22</v>
      </c>
      <c r="P228" t="s">
        <v>20</v>
      </c>
      <c r="Q228">
        <v>26381</v>
      </c>
      <c r="R228">
        <f t="shared" si="12"/>
        <v>2</v>
      </c>
      <c r="V228">
        <f t="shared" si="13"/>
        <v>26381</v>
      </c>
      <c r="Y228" s="18">
        <f t="shared" si="14"/>
        <v>136285.5</v>
      </c>
      <c r="Z228" s="18">
        <f t="shared" si="15"/>
        <v>968.45999999999185</v>
      </c>
    </row>
    <row r="229" spans="2:26" x14ac:dyDescent="0.25">
      <c r="B229" t="s">
        <v>277</v>
      </c>
      <c r="C229" t="s">
        <v>16</v>
      </c>
      <c r="D229" t="s">
        <v>16</v>
      </c>
      <c r="E229" t="s">
        <v>16</v>
      </c>
      <c r="F229" t="s">
        <v>16</v>
      </c>
      <c r="G229" t="s">
        <v>473</v>
      </c>
      <c r="H229" s="18">
        <v>2109.91</v>
      </c>
      <c r="I229" t="s">
        <v>23</v>
      </c>
      <c r="J229" t="s">
        <v>19</v>
      </c>
      <c r="N229" t="s">
        <v>21</v>
      </c>
      <c r="O229" t="s">
        <v>22</v>
      </c>
      <c r="P229" t="s">
        <v>20</v>
      </c>
      <c r="Q229">
        <v>23558</v>
      </c>
      <c r="R229">
        <f t="shared" si="12"/>
        <v>2</v>
      </c>
      <c r="V229">
        <f t="shared" si="13"/>
        <v>23558</v>
      </c>
      <c r="Y229" s="18">
        <f t="shared" si="14"/>
        <v>2109.91</v>
      </c>
      <c r="Z229" s="18">
        <f t="shared" si="15"/>
        <v>0</v>
      </c>
    </row>
    <row r="230" spans="2:26" hidden="1" x14ac:dyDescent="0.25">
      <c r="B230" t="s">
        <v>15</v>
      </c>
      <c r="C230" t="s">
        <v>16</v>
      </c>
      <c r="D230" t="s">
        <v>16</v>
      </c>
      <c r="E230" t="s">
        <v>16</v>
      </c>
      <c r="F230" t="s">
        <v>16</v>
      </c>
      <c r="G230" t="s">
        <v>474</v>
      </c>
      <c r="H230" s="18">
        <v>-583.83000000000004</v>
      </c>
      <c r="J230" t="s">
        <v>19</v>
      </c>
      <c r="N230" t="s">
        <v>21</v>
      </c>
      <c r="O230" t="s">
        <v>22</v>
      </c>
      <c r="P230" t="s">
        <v>20</v>
      </c>
      <c r="Q230">
        <v>23657</v>
      </c>
      <c r="R230">
        <f t="shared" si="12"/>
        <v>2</v>
      </c>
      <c r="V230">
        <f t="shared" si="13"/>
        <v>23657</v>
      </c>
      <c r="Y230" s="18">
        <f t="shared" si="14"/>
        <v>21948.35</v>
      </c>
      <c r="Z230" s="18" t="str">
        <f t="shared" si="15"/>
        <v/>
      </c>
    </row>
    <row r="231" spans="2:26" x14ac:dyDescent="0.25">
      <c r="B231" t="s">
        <v>277</v>
      </c>
      <c r="C231" t="s">
        <v>16</v>
      </c>
      <c r="D231" t="s">
        <v>16</v>
      </c>
      <c r="E231" t="s">
        <v>16</v>
      </c>
      <c r="F231" t="s">
        <v>16</v>
      </c>
      <c r="G231" t="s">
        <v>475</v>
      </c>
      <c r="H231" s="18">
        <v>9145.82</v>
      </c>
      <c r="I231" t="s">
        <v>23</v>
      </c>
      <c r="J231" t="s">
        <v>19</v>
      </c>
      <c r="N231" t="s">
        <v>21</v>
      </c>
      <c r="O231" t="s">
        <v>22</v>
      </c>
      <c r="P231" t="s">
        <v>20</v>
      </c>
      <c r="Q231">
        <v>23564</v>
      </c>
      <c r="R231">
        <f t="shared" si="12"/>
        <v>2</v>
      </c>
      <c r="V231">
        <f t="shared" si="13"/>
        <v>23564</v>
      </c>
      <c r="Y231" s="18">
        <f t="shared" si="14"/>
        <v>9145.82</v>
      </c>
      <c r="Z231" s="18">
        <f t="shared" si="15"/>
        <v>0</v>
      </c>
    </row>
    <row r="232" spans="2:26" hidden="1" x14ac:dyDescent="0.25">
      <c r="B232" t="s">
        <v>15</v>
      </c>
      <c r="C232" t="s">
        <v>16</v>
      </c>
      <c r="D232" t="s">
        <v>16</v>
      </c>
      <c r="E232" t="s">
        <v>16</v>
      </c>
      <c r="F232" t="s">
        <v>16</v>
      </c>
      <c r="G232" t="s">
        <v>476</v>
      </c>
      <c r="H232" s="18">
        <v>0</v>
      </c>
      <c r="J232" t="s">
        <v>19</v>
      </c>
      <c r="N232" t="s">
        <v>21</v>
      </c>
      <c r="O232" t="s">
        <v>22</v>
      </c>
      <c r="P232" t="s">
        <v>20</v>
      </c>
      <c r="Q232">
        <v>2101488396</v>
      </c>
      <c r="R232">
        <f t="shared" si="12"/>
        <v>2</v>
      </c>
      <c r="V232" t="str">
        <f t="shared" si="13"/>
        <v/>
      </c>
      <c r="W232" s="26" t="s">
        <v>686</v>
      </c>
      <c r="X232" s="15" t="s">
        <v>129</v>
      </c>
      <c r="Y232" s="18" t="str">
        <f t="shared" si="14"/>
        <v/>
      </c>
      <c r="Z232" s="18" t="str">
        <f t="shared" si="15"/>
        <v/>
      </c>
    </row>
    <row r="233" spans="2:26" hidden="1" x14ac:dyDescent="0.25">
      <c r="B233" t="s">
        <v>15</v>
      </c>
      <c r="C233" t="s">
        <v>16</v>
      </c>
      <c r="D233" t="s">
        <v>16</v>
      </c>
      <c r="E233" t="s">
        <v>16</v>
      </c>
      <c r="F233" t="s">
        <v>16</v>
      </c>
      <c r="G233" t="s">
        <v>477</v>
      </c>
      <c r="H233" s="18">
        <v>-22.13</v>
      </c>
      <c r="J233" t="s">
        <v>19</v>
      </c>
      <c r="N233" t="s">
        <v>21</v>
      </c>
      <c r="O233" t="s">
        <v>22</v>
      </c>
      <c r="P233" t="s">
        <v>20</v>
      </c>
      <c r="Q233">
        <v>23617</v>
      </c>
      <c r="R233">
        <f t="shared" si="12"/>
        <v>2</v>
      </c>
      <c r="V233">
        <f t="shared" si="13"/>
        <v>23617</v>
      </c>
      <c r="Y233" s="18">
        <f t="shared" si="14"/>
        <v>831.93</v>
      </c>
      <c r="Z233" s="18" t="str">
        <f t="shared" si="15"/>
        <v/>
      </c>
    </row>
    <row r="234" spans="2:26" hidden="1" x14ac:dyDescent="0.25">
      <c r="B234" t="s">
        <v>15</v>
      </c>
      <c r="C234" t="s">
        <v>16</v>
      </c>
      <c r="D234" t="s">
        <v>16</v>
      </c>
      <c r="E234" t="s">
        <v>16</v>
      </c>
      <c r="F234" t="s">
        <v>16</v>
      </c>
      <c r="G234" t="s">
        <v>478</v>
      </c>
      <c r="H234" s="18">
        <v>-90001.41</v>
      </c>
      <c r="J234" t="s">
        <v>19</v>
      </c>
      <c r="N234" t="s">
        <v>21</v>
      </c>
      <c r="O234" t="s">
        <v>22</v>
      </c>
      <c r="P234" t="s">
        <v>20</v>
      </c>
      <c r="Q234">
        <v>24279</v>
      </c>
      <c r="R234">
        <f t="shared" si="12"/>
        <v>2</v>
      </c>
      <c r="V234">
        <f t="shared" si="13"/>
        <v>24279</v>
      </c>
      <c r="Y234" s="18">
        <f t="shared" si="14"/>
        <v>381890.11</v>
      </c>
      <c r="Z234" s="18" t="str">
        <f t="shared" si="15"/>
        <v/>
      </c>
    </row>
    <row r="235" spans="2:26" x14ac:dyDescent="0.25">
      <c r="B235" t="s">
        <v>277</v>
      </c>
      <c r="C235" t="s">
        <v>16</v>
      </c>
      <c r="D235" t="s">
        <v>16</v>
      </c>
      <c r="E235" t="s">
        <v>16</v>
      </c>
      <c r="F235" t="s">
        <v>16</v>
      </c>
      <c r="G235" t="s">
        <v>336</v>
      </c>
      <c r="H235" s="18">
        <v>40097</v>
      </c>
      <c r="I235" t="s">
        <v>23</v>
      </c>
      <c r="J235" t="s">
        <v>19</v>
      </c>
      <c r="N235" t="s">
        <v>21</v>
      </c>
      <c r="O235" t="s">
        <v>22</v>
      </c>
      <c r="P235" t="s">
        <v>20</v>
      </c>
      <c r="Q235">
        <v>15141</v>
      </c>
      <c r="R235">
        <f t="shared" si="12"/>
        <v>2</v>
      </c>
      <c r="V235">
        <f t="shared" si="13"/>
        <v>15141</v>
      </c>
      <c r="Y235" s="18">
        <f t="shared" si="14"/>
        <v>40097</v>
      </c>
      <c r="Z235" s="18">
        <f t="shared" si="15"/>
        <v>0</v>
      </c>
    </row>
    <row r="236" spans="2:26" x14ac:dyDescent="0.25">
      <c r="B236" t="s">
        <v>277</v>
      </c>
      <c r="C236" t="s">
        <v>16</v>
      </c>
      <c r="D236" t="s">
        <v>16</v>
      </c>
      <c r="E236" t="s">
        <v>16</v>
      </c>
      <c r="F236" t="s">
        <v>16</v>
      </c>
      <c r="G236" t="s">
        <v>479</v>
      </c>
      <c r="H236" s="18">
        <v>76636.149999999994</v>
      </c>
      <c r="I236" t="s">
        <v>23</v>
      </c>
      <c r="J236" t="s">
        <v>19</v>
      </c>
      <c r="N236" t="s">
        <v>21</v>
      </c>
      <c r="O236" t="s">
        <v>22</v>
      </c>
      <c r="P236" t="s">
        <v>20</v>
      </c>
      <c r="Q236">
        <v>23508</v>
      </c>
      <c r="R236">
        <f t="shared" si="12"/>
        <v>2</v>
      </c>
      <c r="V236">
        <f t="shared" si="13"/>
        <v>23508</v>
      </c>
      <c r="Y236" s="18">
        <f t="shared" si="14"/>
        <v>76636.149999999994</v>
      </c>
      <c r="Z236" s="18">
        <f t="shared" si="15"/>
        <v>0</v>
      </c>
    </row>
    <row r="237" spans="2:26" hidden="1" x14ac:dyDescent="0.25">
      <c r="B237" t="s">
        <v>15</v>
      </c>
      <c r="C237" t="s">
        <v>16</v>
      </c>
      <c r="D237" t="s">
        <v>16</v>
      </c>
      <c r="E237" t="s">
        <v>16</v>
      </c>
      <c r="F237" t="s">
        <v>16</v>
      </c>
      <c r="G237" t="s">
        <v>480</v>
      </c>
      <c r="H237" s="18">
        <v>-620.45000000000005</v>
      </c>
      <c r="J237" t="s">
        <v>19</v>
      </c>
      <c r="N237" t="s">
        <v>21</v>
      </c>
      <c r="O237" t="s">
        <v>22</v>
      </c>
      <c r="P237" t="s">
        <v>20</v>
      </c>
      <c r="Q237">
        <v>23658</v>
      </c>
      <c r="R237">
        <f t="shared" si="12"/>
        <v>2</v>
      </c>
      <c r="V237">
        <f t="shared" si="13"/>
        <v>23658</v>
      </c>
      <c r="Y237" s="18">
        <f t="shared" si="14"/>
        <v>23325.06</v>
      </c>
      <c r="Z237" s="18" t="str">
        <f t="shared" si="15"/>
        <v/>
      </c>
    </row>
    <row r="238" spans="2:26" hidden="1" x14ac:dyDescent="0.25">
      <c r="B238" t="s">
        <v>15</v>
      </c>
      <c r="C238" t="s">
        <v>16</v>
      </c>
      <c r="D238" t="s">
        <v>16</v>
      </c>
      <c r="E238" t="s">
        <v>16</v>
      </c>
      <c r="F238" t="s">
        <v>16</v>
      </c>
      <c r="G238" t="s">
        <v>481</v>
      </c>
      <c r="H238" s="18">
        <v>-14499.16</v>
      </c>
      <c r="J238" t="s">
        <v>19</v>
      </c>
      <c r="N238" t="s">
        <v>21</v>
      </c>
      <c r="O238" t="s">
        <v>22</v>
      </c>
      <c r="P238" t="s">
        <v>20</v>
      </c>
      <c r="Q238">
        <v>27125</v>
      </c>
      <c r="R238">
        <f t="shared" si="12"/>
        <v>2</v>
      </c>
      <c r="V238">
        <f t="shared" si="13"/>
        <v>27125</v>
      </c>
      <c r="Y238" s="18">
        <f t="shared" si="14"/>
        <v>72500</v>
      </c>
      <c r="Z238" s="18" t="str">
        <f t="shared" si="15"/>
        <v/>
      </c>
    </row>
    <row r="239" spans="2:26" x14ac:dyDescent="0.25">
      <c r="B239" t="s">
        <v>277</v>
      </c>
      <c r="C239" t="s">
        <v>16</v>
      </c>
      <c r="D239" t="s">
        <v>16</v>
      </c>
      <c r="E239" t="s">
        <v>16</v>
      </c>
      <c r="F239" t="s">
        <v>16</v>
      </c>
      <c r="G239" t="s">
        <v>482</v>
      </c>
      <c r="H239" s="18">
        <v>2074.44</v>
      </c>
      <c r="I239" t="s">
        <v>23</v>
      </c>
      <c r="J239" t="s">
        <v>19</v>
      </c>
      <c r="N239" t="s">
        <v>21</v>
      </c>
      <c r="O239" t="s">
        <v>22</v>
      </c>
      <c r="P239" t="s">
        <v>20</v>
      </c>
      <c r="Q239">
        <v>23551</v>
      </c>
      <c r="R239">
        <f t="shared" si="12"/>
        <v>2</v>
      </c>
      <c r="V239">
        <f t="shared" si="13"/>
        <v>23551</v>
      </c>
      <c r="Y239" s="18">
        <f t="shared" si="14"/>
        <v>2074.44</v>
      </c>
      <c r="Z239" s="18">
        <f t="shared" si="15"/>
        <v>0</v>
      </c>
    </row>
    <row r="240" spans="2:26" x14ac:dyDescent="0.25">
      <c r="B240" t="s">
        <v>277</v>
      </c>
      <c r="C240" t="s">
        <v>16</v>
      </c>
      <c r="D240" t="s">
        <v>16</v>
      </c>
      <c r="E240" t="s">
        <v>16</v>
      </c>
      <c r="F240" t="s">
        <v>16</v>
      </c>
      <c r="G240" t="s">
        <v>483</v>
      </c>
      <c r="H240" s="18">
        <v>22229.86</v>
      </c>
      <c r="I240" t="s">
        <v>23</v>
      </c>
      <c r="J240" t="s">
        <v>19</v>
      </c>
      <c r="N240" t="s">
        <v>21</v>
      </c>
      <c r="O240" t="s">
        <v>22</v>
      </c>
      <c r="P240" t="s">
        <v>20</v>
      </c>
      <c r="Q240">
        <v>23486</v>
      </c>
      <c r="R240">
        <f t="shared" si="12"/>
        <v>2</v>
      </c>
      <c r="V240">
        <f t="shared" si="13"/>
        <v>23486</v>
      </c>
      <c r="Y240" s="18">
        <f t="shared" si="14"/>
        <v>22229.86</v>
      </c>
      <c r="Z240" s="18">
        <f t="shared" si="15"/>
        <v>0</v>
      </c>
    </row>
    <row r="241" spans="2:26" x14ac:dyDescent="0.25">
      <c r="B241" t="s">
        <v>277</v>
      </c>
      <c r="C241" t="s">
        <v>16</v>
      </c>
      <c r="D241" t="s">
        <v>16</v>
      </c>
      <c r="E241" t="s">
        <v>16</v>
      </c>
      <c r="F241" t="s">
        <v>16</v>
      </c>
      <c r="G241" t="s">
        <v>300</v>
      </c>
      <c r="H241" s="18">
        <v>45239.56</v>
      </c>
      <c r="I241" t="s">
        <v>23</v>
      </c>
      <c r="J241" t="s">
        <v>19</v>
      </c>
      <c r="N241" t="s">
        <v>21</v>
      </c>
      <c r="O241" t="s">
        <v>22</v>
      </c>
      <c r="P241" t="s">
        <v>20</v>
      </c>
      <c r="Q241">
        <v>9000507854</v>
      </c>
      <c r="R241">
        <f t="shared" si="12"/>
        <v>2</v>
      </c>
      <c r="V241">
        <f t="shared" si="13"/>
        <v>9000507854</v>
      </c>
      <c r="Y241" s="18">
        <f t="shared" si="14"/>
        <v>45239.56</v>
      </c>
      <c r="Z241" s="18">
        <f t="shared" si="15"/>
        <v>0</v>
      </c>
    </row>
    <row r="242" spans="2:26" x14ac:dyDescent="0.25">
      <c r="B242" t="s">
        <v>277</v>
      </c>
      <c r="C242" t="s">
        <v>16</v>
      </c>
      <c r="D242" t="s">
        <v>16</v>
      </c>
      <c r="E242" t="s">
        <v>16</v>
      </c>
      <c r="F242" t="s">
        <v>16</v>
      </c>
      <c r="G242" t="s">
        <v>484</v>
      </c>
      <c r="H242" s="18">
        <v>615.88</v>
      </c>
      <c r="I242" t="s">
        <v>23</v>
      </c>
      <c r="J242" t="s">
        <v>19</v>
      </c>
      <c r="N242" t="s">
        <v>21</v>
      </c>
      <c r="O242" t="s">
        <v>22</v>
      </c>
      <c r="P242" t="s">
        <v>20</v>
      </c>
      <c r="Q242">
        <v>23622</v>
      </c>
      <c r="R242">
        <f t="shared" si="12"/>
        <v>2</v>
      </c>
      <c r="V242">
        <f t="shared" si="13"/>
        <v>23622</v>
      </c>
      <c r="Y242" s="18">
        <f t="shared" si="14"/>
        <v>615.88</v>
      </c>
      <c r="Z242" s="18">
        <f t="shared" si="15"/>
        <v>0</v>
      </c>
    </row>
    <row r="243" spans="2:26" x14ac:dyDescent="0.25">
      <c r="B243" t="s">
        <v>277</v>
      </c>
      <c r="C243" t="s">
        <v>16</v>
      </c>
      <c r="D243" t="s">
        <v>16</v>
      </c>
      <c r="E243" t="s">
        <v>16</v>
      </c>
      <c r="F243" t="s">
        <v>16</v>
      </c>
      <c r="G243" t="s">
        <v>485</v>
      </c>
      <c r="H243" s="18">
        <v>15623.49</v>
      </c>
      <c r="I243" t="s">
        <v>23</v>
      </c>
      <c r="J243" t="s">
        <v>19</v>
      </c>
      <c r="N243" t="s">
        <v>21</v>
      </c>
      <c r="O243" t="s">
        <v>22</v>
      </c>
      <c r="P243" t="s">
        <v>20</v>
      </c>
      <c r="Q243">
        <v>27145</v>
      </c>
      <c r="R243">
        <f t="shared" si="12"/>
        <v>2</v>
      </c>
      <c r="V243">
        <f t="shared" si="13"/>
        <v>27145</v>
      </c>
      <c r="Y243" s="18">
        <f t="shared" si="14"/>
        <v>15623.49</v>
      </c>
      <c r="Z243" s="18">
        <f t="shared" si="15"/>
        <v>0</v>
      </c>
    </row>
    <row r="244" spans="2:26" x14ac:dyDescent="0.25">
      <c r="B244" t="s">
        <v>277</v>
      </c>
      <c r="C244" t="s">
        <v>16</v>
      </c>
      <c r="D244" t="s">
        <v>16</v>
      </c>
      <c r="E244" t="s">
        <v>16</v>
      </c>
      <c r="F244" t="s">
        <v>16</v>
      </c>
      <c r="G244" t="s">
        <v>486</v>
      </c>
      <c r="H244" s="18">
        <v>67568.399999999994</v>
      </c>
      <c r="I244" t="s">
        <v>23</v>
      </c>
      <c r="J244" t="s">
        <v>19</v>
      </c>
      <c r="N244" t="s">
        <v>21</v>
      </c>
      <c r="O244" t="s">
        <v>22</v>
      </c>
      <c r="P244" t="s">
        <v>20</v>
      </c>
      <c r="Q244">
        <v>23670</v>
      </c>
      <c r="R244">
        <f t="shared" si="12"/>
        <v>2</v>
      </c>
      <c r="V244">
        <f t="shared" si="13"/>
        <v>23670</v>
      </c>
      <c r="Y244" s="18">
        <f t="shared" si="14"/>
        <v>67568.399999999994</v>
      </c>
      <c r="Z244" s="18">
        <f t="shared" si="15"/>
        <v>0</v>
      </c>
    </row>
    <row r="245" spans="2:26" hidden="1" x14ac:dyDescent="0.25">
      <c r="B245" t="s">
        <v>15</v>
      </c>
      <c r="C245" t="s">
        <v>16</v>
      </c>
      <c r="D245" t="s">
        <v>16</v>
      </c>
      <c r="E245" t="s">
        <v>16</v>
      </c>
      <c r="F245" t="s">
        <v>16</v>
      </c>
      <c r="G245" t="s">
        <v>487</v>
      </c>
      <c r="H245" s="18">
        <v>-1757.94</v>
      </c>
      <c r="J245" t="s">
        <v>19</v>
      </c>
      <c r="N245" t="s">
        <v>21</v>
      </c>
      <c r="O245" t="s">
        <v>22</v>
      </c>
      <c r="P245" t="s">
        <v>20</v>
      </c>
      <c r="Q245">
        <v>27045</v>
      </c>
      <c r="R245">
        <f t="shared" si="12"/>
        <v>2</v>
      </c>
      <c r="V245">
        <f t="shared" si="13"/>
        <v>27045</v>
      </c>
      <c r="Y245" s="18">
        <f t="shared" si="14"/>
        <v>44795.76</v>
      </c>
      <c r="Z245" s="18" t="str">
        <f t="shared" si="15"/>
        <v/>
      </c>
    </row>
    <row r="246" spans="2:26" x14ac:dyDescent="0.25">
      <c r="B246" t="s">
        <v>277</v>
      </c>
      <c r="C246" t="s">
        <v>16</v>
      </c>
      <c r="D246" t="s">
        <v>16</v>
      </c>
      <c r="E246" t="s">
        <v>16</v>
      </c>
      <c r="F246" t="s">
        <v>16</v>
      </c>
      <c r="G246" t="s">
        <v>311</v>
      </c>
      <c r="H246" s="18">
        <v>559555.30000000005</v>
      </c>
      <c r="I246" t="s">
        <v>23</v>
      </c>
      <c r="J246" t="s">
        <v>19</v>
      </c>
      <c r="N246" t="s">
        <v>21</v>
      </c>
      <c r="O246" t="s">
        <v>22</v>
      </c>
      <c r="P246" t="s">
        <v>20</v>
      </c>
      <c r="Q246">
        <v>24175</v>
      </c>
      <c r="R246">
        <f t="shared" si="12"/>
        <v>2</v>
      </c>
      <c r="V246">
        <f t="shared" si="13"/>
        <v>24175</v>
      </c>
      <c r="Y246" s="18">
        <f t="shared" si="14"/>
        <v>559555.30000000005</v>
      </c>
      <c r="Z246" s="18">
        <f t="shared" si="15"/>
        <v>0</v>
      </c>
    </row>
    <row r="247" spans="2:26" hidden="1" x14ac:dyDescent="0.25">
      <c r="B247" t="s">
        <v>15</v>
      </c>
      <c r="C247" t="s">
        <v>16</v>
      </c>
      <c r="D247" t="s">
        <v>16</v>
      </c>
      <c r="E247" t="s">
        <v>16</v>
      </c>
      <c r="F247" t="s">
        <v>16</v>
      </c>
      <c r="G247" t="s">
        <v>486</v>
      </c>
      <c r="H247" s="18">
        <v>-67568.399999999994</v>
      </c>
      <c r="J247" t="s">
        <v>19</v>
      </c>
      <c r="N247" t="s">
        <v>21</v>
      </c>
      <c r="O247" t="s">
        <v>22</v>
      </c>
      <c r="P247" t="s">
        <v>20</v>
      </c>
      <c r="Q247">
        <v>23670</v>
      </c>
      <c r="R247">
        <f t="shared" si="12"/>
        <v>2</v>
      </c>
      <c r="V247">
        <f t="shared" si="13"/>
        <v>23670</v>
      </c>
      <c r="Y247" s="18">
        <f t="shared" si="14"/>
        <v>67568.399999999994</v>
      </c>
      <c r="Z247" s="18" t="str">
        <f t="shared" si="15"/>
        <v/>
      </c>
    </row>
    <row r="248" spans="2:26" hidden="1" x14ac:dyDescent="0.25">
      <c r="B248" t="s">
        <v>15</v>
      </c>
      <c r="C248" t="s">
        <v>16</v>
      </c>
      <c r="D248" t="s">
        <v>16</v>
      </c>
      <c r="E248" t="s">
        <v>16</v>
      </c>
      <c r="F248" t="s">
        <v>16</v>
      </c>
      <c r="G248" t="s">
        <v>457</v>
      </c>
      <c r="H248" s="18">
        <v>-113375.76</v>
      </c>
      <c r="J248" t="s">
        <v>19</v>
      </c>
      <c r="N248" t="s">
        <v>21</v>
      </c>
      <c r="O248" t="s">
        <v>22</v>
      </c>
      <c r="P248" t="s">
        <v>20</v>
      </c>
      <c r="Q248">
        <v>7383</v>
      </c>
      <c r="R248">
        <f t="shared" si="12"/>
        <v>2</v>
      </c>
      <c r="V248">
        <f t="shared" si="13"/>
        <v>7383</v>
      </c>
      <c r="Y248" s="18">
        <f t="shared" si="14"/>
        <v>113375.76</v>
      </c>
      <c r="Z248" s="18" t="str">
        <f t="shared" si="15"/>
        <v/>
      </c>
    </row>
    <row r="249" spans="2:26" hidden="1" x14ac:dyDescent="0.25">
      <c r="B249" t="s">
        <v>15</v>
      </c>
      <c r="C249" t="s">
        <v>16</v>
      </c>
      <c r="D249" t="s">
        <v>16</v>
      </c>
      <c r="E249" t="s">
        <v>16</v>
      </c>
      <c r="F249" t="s">
        <v>16</v>
      </c>
      <c r="G249" t="s">
        <v>488</v>
      </c>
      <c r="H249" s="18">
        <v>-58784.06</v>
      </c>
      <c r="J249" t="s">
        <v>19</v>
      </c>
      <c r="N249" t="s">
        <v>21</v>
      </c>
      <c r="O249" t="s">
        <v>22</v>
      </c>
      <c r="P249" t="s">
        <v>20</v>
      </c>
      <c r="Q249">
        <v>25705</v>
      </c>
      <c r="R249">
        <f t="shared" si="12"/>
        <v>2</v>
      </c>
      <c r="V249">
        <f t="shared" si="13"/>
        <v>25705</v>
      </c>
      <c r="Y249" s="18">
        <f t="shared" si="14"/>
        <v>90375.27</v>
      </c>
      <c r="Z249" s="18" t="str">
        <f t="shared" si="15"/>
        <v/>
      </c>
    </row>
    <row r="250" spans="2:26" x14ac:dyDescent="0.25">
      <c r="B250" t="s">
        <v>277</v>
      </c>
      <c r="C250" t="s">
        <v>16</v>
      </c>
      <c r="D250" t="s">
        <v>16</v>
      </c>
      <c r="E250" t="s">
        <v>16</v>
      </c>
      <c r="F250" t="s">
        <v>16</v>
      </c>
      <c r="G250" t="s">
        <v>489</v>
      </c>
      <c r="H250" s="18">
        <v>12026.39</v>
      </c>
      <c r="I250" t="s">
        <v>23</v>
      </c>
      <c r="J250" t="s">
        <v>19</v>
      </c>
      <c r="N250" t="s">
        <v>21</v>
      </c>
      <c r="O250" t="s">
        <v>22</v>
      </c>
      <c r="P250" t="s">
        <v>20</v>
      </c>
      <c r="Q250">
        <v>23519</v>
      </c>
      <c r="R250">
        <f t="shared" si="12"/>
        <v>2</v>
      </c>
      <c r="V250">
        <f t="shared" si="13"/>
        <v>23519</v>
      </c>
      <c r="Y250" s="18">
        <f t="shared" si="14"/>
        <v>12026.39</v>
      </c>
      <c r="Z250" s="18">
        <f t="shared" si="15"/>
        <v>0</v>
      </c>
    </row>
    <row r="251" spans="2:26" x14ac:dyDescent="0.25">
      <c r="B251" t="s">
        <v>277</v>
      </c>
      <c r="C251" t="s">
        <v>16</v>
      </c>
      <c r="D251" t="s">
        <v>16</v>
      </c>
      <c r="E251" t="s">
        <v>16</v>
      </c>
      <c r="F251" t="s">
        <v>16</v>
      </c>
      <c r="G251" t="s">
        <v>490</v>
      </c>
      <c r="H251" s="18">
        <v>53685.7</v>
      </c>
      <c r="I251" t="s">
        <v>23</v>
      </c>
      <c r="J251" t="s">
        <v>19</v>
      </c>
      <c r="N251" t="s">
        <v>21</v>
      </c>
      <c r="O251" t="s">
        <v>22</v>
      </c>
      <c r="P251" t="s">
        <v>20</v>
      </c>
      <c r="Q251">
        <v>7400258484</v>
      </c>
      <c r="R251">
        <f t="shared" si="12"/>
        <v>2</v>
      </c>
      <c r="V251">
        <f t="shared" si="13"/>
        <v>7400258484</v>
      </c>
      <c r="Y251" s="18">
        <f t="shared" si="14"/>
        <v>53685.7</v>
      </c>
      <c r="Z251" s="18">
        <f t="shared" si="15"/>
        <v>0</v>
      </c>
    </row>
    <row r="252" spans="2:26" hidden="1" x14ac:dyDescent="0.25">
      <c r="B252" t="s">
        <v>15</v>
      </c>
      <c r="C252" t="s">
        <v>16</v>
      </c>
      <c r="D252" t="s">
        <v>16</v>
      </c>
      <c r="E252" t="s">
        <v>16</v>
      </c>
      <c r="F252" t="s">
        <v>16</v>
      </c>
      <c r="G252" t="s">
        <v>491</v>
      </c>
      <c r="H252" s="18">
        <v>-1810.91</v>
      </c>
      <c r="J252" t="s">
        <v>19</v>
      </c>
      <c r="N252" t="s">
        <v>21</v>
      </c>
      <c r="O252" t="s">
        <v>22</v>
      </c>
      <c r="P252" t="s">
        <v>20</v>
      </c>
      <c r="Q252">
        <v>27149</v>
      </c>
      <c r="R252">
        <f t="shared" si="12"/>
        <v>2</v>
      </c>
      <c r="V252" t="str">
        <f t="shared" si="13"/>
        <v/>
      </c>
      <c r="W252" s="26" t="s">
        <v>686</v>
      </c>
      <c r="X252" s="15" t="s">
        <v>129</v>
      </c>
      <c r="Y252" s="18" t="str">
        <f t="shared" si="14"/>
        <v/>
      </c>
      <c r="Z252" s="18" t="str">
        <f t="shared" si="15"/>
        <v/>
      </c>
    </row>
    <row r="253" spans="2:26" hidden="1" x14ac:dyDescent="0.25">
      <c r="B253" t="s">
        <v>15</v>
      </c>
      <c r="C253" t="s">
        <v>16</v>
      </c>
      <c r="D253" t="s">
        <v>16</v>
      </c>
      <c r="E253" t="s">
        <v>16</v>
      </c>
      <c r="F253" t="s">
        <v>16</v>
      </c>
      <c r="G253" t="s">
        <v>484</v>
      </c>
      <c r="H253" s="18">
        <v>-362.8</v>
      </c>
      <c r="J253" t="s">
        <v>19</v>
      </c>
      <c r="N253" t="s">
        <v>21</v>
      </c>
      <c r="O253" t="s">
        <v>22</v>
      </c>
      <c r="P253" t="s">
        <v>20</v>
      </c>
      <c r="Q253">
        <v>23622</v>
      </c>
      <c r="R253">
        <f t="shared" si="12"/>
        <v>2</v>
      </c>
      <c r="V253">
        <f t="shared" si="13"/>
        <v>23622</v>
      </c>
      <c r="Y253" s="18">
        <f t="shared" si="14"/>
        <v>615.88</v>
      </c>
      <c r="Z253" s="18" t="str">
        <f t="shared" si="15"/>
        <v/>
      </c>
    </row>
    <row r="254" spans="2:26" hidden="1" x14ac:dyDescent="0.25">
      <c r="B254" t="s">
        <v>15</v>
      </c>
      <c r="C254" t="s">
        <v>16</v>
      </c>
      <c r="D254" t="s">
        <v>16</v>
      </c>
      <c r="E254" t="s">
        <v>16</v>
      </c>
      <c r="F254" t="s">
        <v>16</v>
      </c>
      <c r="G254" t="s">
        <v>444</v>
      </c>
      <c r="H254" s="18">
        <v>-39757.11</v>
      </c>
      <c r="J254" t="s">
        <v>19</v>
      </c>
      <c r="N254" t="s">
        <v>21</v>
      </c>
      <c r="O254" t="s">
        <v>22</v>
      </c>
      <c r="P254" t="s">
        <v>20</v>
      </c>
      <c r="Q254">
        <v>23788</v>
      </c>
      <c r="R254">
        <f t="shared" si="12"/>
        <v>2</v>
      </c>
      <c r="V254">
        <f t="shared" si="13"/>
        <v>23788</v>
      </c>
      <c r="Y254" s="18">
        <f t="shared" si="14"/>
        <v>63196.58</v>
      </c>
      <c r="Z254" s="18" t="str">
        <f t="shared" si="15"/>
        <v/>
      </c>
    </row>
    <row r="255" spans="2:26" x14ac:dyDescent="0.25">
      <c r="B255" t="s">
        <v>277</v>
      </c>
      <c r="C255" t="s">
        <v>16</v>
      </c>
      <c r="D255" t="s">
        <v>16</v>
      </c>
      <c r="E255" t="s">
        <v>16</v>
      </c>
      <c r="F255" t="s">
        <v>16</v>
      </c>
      <c r="G255" t="s">
        <v>492</v>
      </c>
      <c r="H255" s="18">
        <v>243.99</v>
      </c>
      <c r="I255" t="s">
        <v>23</v>
      </c>
      <c r="J255" t="s">
        <v>19</v>
      </c>
      <c r="N255" t="s">
        <v>21</v>
      </c>
      <c r="O255" t="s">
        <v>22</v>
      </c>
      <c r="P255" t="s">
        <v>20</v>
      </c>
      <c r="Q255">
        <v>23655</v>
      </c>
      <c r="R255">
        <f t="shared" si="12"/>
        <v>2</v>
      </c>
      <c r="V255">
        <f t="shared" si="13"/>
        <v>23655</v>
      </c>
      <c r="Y255" s="18">
        <f t="shared" si="14"/>
        <v>243.99</v>
      </c>
      <c r="Z255" s="18">
        <f t="shared" si="15"/>
        <v>0</v>
      </c>
    </row>
    <row r="256" spans="2:26" x14ac:dyDescent="0.25">
      <c r="B256" t="s">
        <v>277</v>
      </c>
      <c r="C256" t="s">
        <v>16</v>
      </c>
      <c r="D256" t="s">
        <v>16</v>
      </c>
      <c r="E256" t="s">
        <v>16</v>
      </c>
      <c r="F256" t="s">
        <v>16</v>
      </c>
      <c r="G256" t="s">
        <v>493</v>
      </c>
      <c r="H256" s="18">
        <v>13021.7</v>
      </c>
      <c r="I256" t="s">
        <v>23</v>
      </c>
      <c r="J256" t="s">
        <v>19</v>
      </c>
      <c r="N256" t="s">
        <v>21</v>
      </c>
      <c r="O256" t="s">
        <v>22</v>
      </c>
      <c r="P256" t="s">
        <v>20</v>
      </c>
      <c r="Q256">
        <v>23492</v>
      </c>
      <c r="R256">
        <f t="shared" si="12"/>
        <v>2</v>
      </c>
      <c r="V256">
        <f t="shared" si="13"/>
        <v>23492</v>
      </c>
      <c r="Y256" s="18">
        <f t="shared" si="14"/>
        <v>13021.7</v>
      </c>
      <c r="Z256" s="18">
        <f t="shared" si="15"/>
        <v>0</v>
      </c>
    </row>
    <row r="257" spans="2:26" hidden="1" x14ac:dyDescent="0.25">
      <c r="B257" t="s">
        <v>15</v>
      </c>
      <c r="C257" t="s">
        <v>16</v>
      </c>
      <c r="D257" t="s">
        <v>16</v>
      </c>
      <c r="E257" t="s">
        <v>16</v>
      </c>
      <c r="F257" t="s">
        <v>16</v>
      </c>
      <c r="G257" t="s">
        <v>401</v>
      </c>
      <c r="H257" s="18">
        <v>-1334.65</v>
      </c>
      <c r="J257" t="s">
        <v>19</v>
      </c>
      <c r="N257" t="s">
        <v>21</v>
      </c>
      <c r="O257" t="s">
        <v>22</v>
      </c>
      <c r="P257" t="s">
        <v>20</v>
      </c>
      <c r="Q257">
        <v>19156</v>
      </c>
      <c r="R257">
        <f t="shared" si="12"/>
        <v>2</v>
      </c>
      <c r="V257">
        <f t="shared" si="13"/>
        <v>19156</v>
      </c>
      <c r="Y257" s="18">
        <f t="shared" si="14"/>
        <v>1334.65</v>
      </c>
      <c r="Z257" s="18" t="str">
        <f t="shared" si="15"/>
        <v/>
      </c>
    </row>
    <row r="258" spans="2:26" hidden="1" x14ac:dyDescent="0.25">
      <c r="B258" t="s">
        <v>15</v>
      </c>
      <c r="C258" t="s">
        <v>16</v>
      </c>
      <c r="D258" t="s">
        <v>16</v>
      </c>
      <c r="E258" t="s">
        <v>16</v>
      </c>
      <c r="F258" t="s">
        <v>16</v>
      </c>
      <c r="G258" t="s">
        <v>286</v>
      </c>
      <c r="H258" s="18">
        <v>-59859.66</v>
      </c>
      <c r="J258" t="s">
        <v>19</v>
      </c>
      <c r="N258" t="s">
        <v>21</v>
      </c>
      <c r="O258" t="s">
        <v>22</v>
      </c>
      <c r="P258" t="s">
        <v>20</v>
      </c>
      <c r="Q258">
        <v>19061</v>
      </c>
      <c r="R258">
        <f t="shared" si="12"/>
        <v>2</v>
      </c>
      <c r="V258">
        <f t="shared" si="13"/>
        <v>19061</v>
      </c>
      <c r="Y258" s="18">
        <f t="shared" si="14"/>
        <v>82013.759999999995</v>
      </c>
      <c r="Z258" s="18" t="str">
        <f t="shared" si="15"/>
        <v/>
      </c>
    </row>
    <row r="259" spans="2:26" x14ac:dyDescent="0.25">
      <c r="B259" t="s">
        <v>277</v>
      </c>
      <c r="C259" t="s">
        <v>16</v>
      </c>
      <c r="D259" t="s">
        <v>16</v>
      </c>
      <c r="E259" t="s">
        <v>16</v>
      </c>
      <c r="F259" t="s">
        <v>16</v>
      </c>
      <c r="G259" t="s">
        <v>384</v>
      </c>
      <c r="H259" s="18">
        <v>111.78</v>
      </c>
      <c r="I259" t="s">
        <v>23</v>
      </c>
      <c r="J259" t="s">
        <v>19</v>
      </c>
      <c r="N259" t="s">
        <v>21</v>
      </c>
      <c r="O259" t="s">
        <v>22</v>
      </c>
      <c r="P259" t="s">
        <v>20</v>
      </c>
      <c r="Q259">
        <v>23631</v>
      </c>
      <c r="R259">
        <f t="shared" si="12"/>
        <v>2</v>
      </c>
      <c r="V259">
        <f t="shared" si="13"/>
        <v>23631</v>
      </c>
      <c r="Y259" s="18">
        <f t="shared" si="14"/>
        <v>111.78</v>
      </c>
      <c r="Z259" s="18">
        <f t="shared" si="15"/>
        <v>0</v>
      </c>
    </row>
    <row r="260" spans="2:26" hidden="1" x14ac:dyDescent="0.25">
      <c r="B260" t="s">
        <v>15</v>
      </c>
      <c r="C260" t="s">
        <v>16</v>
      </c>
      <c r="D260" t="s">
        <v>16</v>
      </c>
      <c r="E260" t="s">
        <v>16</v>
      </c>
      <c r="F260" t="s">
        <v>16</v>
      </c>
      <c r="G260" t="s">
        <v>327</v>
      </c>
      <c r="H260" s="18">
        <v>-59600</v>
      </c>
      <c r="J260" t="s">
        <v>19</v>
      </c>
      <c r="N260" t="s">
        <v>21</v>
      </c>
      <c r="O260" t="s">
        <v>22</v>
      </c>
      <c r="P260" t="s">
        <v>20</v>
      </c>
      <c r="Q260">
        <v>18477</v>
      </c>
      <c r="R260">
        <f t="shared" si="12"/>
        <v>2</v>
      </c>
      <c r="V260">
        <f t="shared" si="13"/>
        <v>18477</v>
      </c>
      <c r="Y260" s="18">
        <f t="shared" si="14"/>
        <v>59600</v>
      </c>
      <c r="Z260" s="18" t="str">
        <f t="shared" si="15"/>
        <v/>
      </c>
    </row>
    <row r="261" spans="2:26" x14ac:dyDescent="0.25">
      <c r="B261" t="s">
        <v>277</v>
      </c>
      <c r="C261" t="s">
        <v>16</v>
      </c>
      <c r="D261" t="s">
        <v>16</v>
      </c>
      <c r="E261" t="s">
        <v>16</v>
      </c>
      <c r="F261" t="s">
        <v>16</v>
      </c>
      <c r="G261" t="s">
        <v>494</v>
      </c>
      <c r="H261" s="18">
        <v>30109.25</v>
      </c>
      <c r="I261" t="s">
        <v>23</v>
      </c>
      <c r="J261" t="s">
        <v>19</v>
      </c>
      <c r="N261" t="s">
        <v>21</v>
      </c>
      <c r="O261" t="s">
        <v>22</v>
      </c>
      <c r="P261" t="s">
        <v>20</v>
      </c>
      <c r="Q261">
        <v>12230</v>
      </c>
      <c r="R261">
        <f t="shared" si="12"/>
        <v>2</v>
      </c>
      <c r="V261">
        <f t="shared" si="13"/>
        <v>12230</v>
      </c>
      <c r="Y261" s="18">
        <f t="shared" si="14"/>
        <v>30109.25</v>
      </c>
      <c r="Z261" s="18">
        <f t="shared" si="15"/>
        <v>0</v>
      </c>
    </row>
    <row r="262" spans="2:26" hidden="1" x14ac:dyDescent="0.25">
      <c r="B262" t="s">
        <v>15</v>
      </c>
      <c r="C262" t="s">
        <v>16</v>
      </c>
      <c r="D262" t="s">
        <v>16</v>
      </c>
      <c r="E262" t="s">
        <v>16</v>
      </c>
      <c r="F262" t="s">
        <v>16</v>
      </c>
      <c r="G262" t="s">
        <v>495</v>
      </c>
      <c r="H262" s="18">
        <v>-2858.58</v>
      </c>
      <c r="J262" t="s">
        <v>19</v>
      </c>
      <c r="N262" t="s">
        <v>21</v>
      </c>
      <c r="O262" t="s">
        <v>22</v>
      </c>
      <c r="P262" t="s">
        <v>20</v>
      </c>
      <c r="Q262">
        <v>23562</v>
      </c>
      <c r="R262">
        <f t="shared" si="12"/>
        <v>2</v>
      </c>
      <c r="V262">
        <f t="shared" si="13"/>
        <v>23562</v>
      </c>
      <c r="Y262" s="18">
        <f t="shared" si="14"/>
        <v>3111.66</v>
      </c>
      <c r="Z262" s="18" t="str">
        <f t="shared" si="15"/>
        <v/>
      </c>
    </row>
    <row r="263" spans="2:26" hidden="1" x14ac:dyDescent="0.25">
      <c r="B263" t="s">
        <v>15</v>
      </c>
      <c r="C263" t="s">
        <v>16</v>
      </c>
      <c r="D263" t="s">
        <v>16</v>
      </c>
      <c r="E263" t="s">
        <v>16</v>
      </c>
      <c r="F263" t="s">
        <v>16</v>
      </c>
      <c r="G263" t="s">
        <v>420</v>
      </c>
      <c r="H263" s="18">
        <v>-3945.11</v>
      </c>
      <c r="J263" t="s">
        <v>19</v>
      </c>
      <c r="N263" t="s">
        <v>21</v>
      </c>
      <c r="O263" t="s">
        <v>22</v>
      </c>
      <c r="P263" t="s">
        <v>20</v>
      </c>
      <c r="Q263">
        <v>27150</v>
      </c>
      <c r="R263">
        <f t="shared" si="12"/>
        <v>2</v>
      </c>
      <c r="V263" t="str">
        <f t="shared" si="13"/>
        <v/>
      </c>
      <c r="W263" s="26" t="s">
        <v>686</v>
      </c>
      <c r="X263" s="15" t="s">
        <v>129</v>
      </c>
      <c r="Y263" s="18" t="str">
        <f t="shared" si="14"/>
        <v/>
      </c>
      <c r="Z263" s="18" t="str">
        <f t="shared" si="15"/>
        <v/>
      </c>
    </row>
    <row r="264" spans="2:26" hidden="1" x14ac:dyDescent="0.25">
      <c r="B264" t="s">
        <v>15</v>
      </c>
      <c r="C264" t="s">
        <v>16</v>
      </c>
      <c r="D264" t="s">
        <v>16</v>
      </c>
      <c r="E264" t="s">
        <v>16</v>
      </c>
      <c r="F264" t="s">
        <v>16</v>
      </c>
      <c r="G264" t="s">
        <v>496</v>
      </c>
      <c r="H264" s="18">
        <v>-49087.77</v>
      </c>
      <c r="J264" t="s">
        <v>19</v>
      </c>
      <c r="N264" t="s">
        <v>21</v>
      </c>
      <c r="O264" t="s">
        <v>22</v>
      </c>
      <c r="P264" t="s">
        <v>20</v>
      </c>
      <c r="Q264">
        <v>23518</v>
      </c>
      <c r="R264">
        <f t="shared" si="12"/>
        <v>2</v>
      </c>
      <c r="V264">
        <f t="shared" si="13"/>
        <v>23518</v>
      </c>
      <c r="Y264" s="18">
        <f t="shared" si="14"/>
        <v>111404.84</v>
      </c>
      <c r="Z264" s="18" t="str">
        <f t="shared" si="15"/>
        <v/>
      </c>
    </row>
    <row r="265" spans="2:26" x14ac:dyDescent="0.25">
      <c r="B265" t="s">
        <v>277</v>
      </c>
      <c r="C265" t="s">
        <v>16</v>
      </c>
      <c r="D265" t="s">
        <v>16</v>
      </c>
      <c r="E265" t="s">
        <v>16</v>
      </c>
      <c r="F265" t="s">
        <v>16</v>
      </c>
      <c r="G265" t="s">
        <v>497</v>
      </c>
      <c r="H265" s="18">
        <v>141372.85999999999</v>
      </c>
      <c r="I265" t="s">
        <v>23</v>
      </c>
      <c r="J265" t="s">
        <v>19</v>
      </c>
      <c r="N265" t="s">
        <v>21</v>
      </c>
      <c r="O265" t="s">
        <v>22</v>
      </c>
      <c r="P265" t="s">
        <v>20</v>
      </c>
      <c r="Q265">
        <v>26511</v>
      </c>
      <c r="R265">
        <f t="shared" si="12"/>
        <v>2</v>
      </c>
      <c r="V265">
        <f t="shared" si="13"/>
        <v>26511</v>
      </c>
      <c r="Y265" s="18">
        <f t="shared" si="14"/>
        <v>141372.85999999999</v>
      </c>
      <c r="Z265" s="18">
        <f t="shared" si="15"/>
        <v>0</v>
      </c>
    </row>
    <row r="266" spans="2:26" x14ac:dyDescent="0.25">
      <c r="B266" t="s">
        <v>277</v>
      </c>
      <c r="C266" t="s">
        <v>16</v>
      </c>
      <c r="D266" t="s">
        <v>16</v>
      </c>
      <c r="E266" t="s">
        <v>16</v>
      </c>
      <c r="F266" t="s">
        <v>16</v>
      </c>
      <c r="G266" t="s">
        <v>498</v>
      </c>
      <c r="H266" s="18">
        <v>48875</v>
      </c>
      <c r="I266" t="s">
        <v>23</v>
      </c>
      <c r="J266" t="s">
        <v>19</v>
      </c>
      <c r="N266" t="s">
        <v>21</v>
      </c>
      <c r="O266" t="s">
        <v>22</v>
      </c>
      <c r="P266" t="s">
        <v>20</v>
      </c>
      <c r="Q266">
        <v>27082</v>
      </c>
      <c r="R266">
        <f t="shared" ref="R266:R329" si="16">COUNTIF($Q$9:$Q$816,Q266)</f>
        <v>2</v>
      </c>
      <c r="V266">
        <f t="shared" ref="V266:V329" si="17">IFERROR(VLOOKUP(Q266,$C$823:$C$1253,1,FALSE),"")</f>
        <v>27082</v>
      </c>
      <c r="Y266" s="18">
        <f t="shared" ref="Y266:Y329" si="18">IFERROR(VLOOKUP(Q266,$C$823:$D$1253,2,FALSE),"")</f>
        <v>48875</v>
      </c>
      <c r="Z266" s="18">
        <f t="shared" ref="Z266:Z329" si="19">IFERROR(IF(RIGHT(B266,6)="TYVA02","",H266-Y266),"")</f>
        <v>0</v>
      </c>
    </row>
    <row r="267" spans="2:26" x14ac:dyDescent="0.25">
      <c r="B267" t="s">
        <v>277</v>
      </c>
      <c r="C267" t="s">
        <v>16</v>
      </c>
      <c r="D267" t="s">
        <v>16</v>
      </c>
      <c r="E267" t="s">
        <v>16</v>
      </c>
      <c r="F267" t="s">
        <v>16</v>
      </c>
      <c r="G267" t="s">
        <v>499</v>
      </c>
      <c r="H267" s="18">
        <v>9145.82</v>
      </c>
      <c r="I267" t="s">
        <v>23</v>
      </c>
      <c r="J267" t="s">
        <v>19</v>
      </c>
      <c r="N267" t="s">
        <v>21</v>
      </c>
      <c r="O267" t="s">
        <v>22</v>
      </c>
      <c r="P267" t="s">
        <v>20</v>
      </c>
      <c r="Q267">
        <v>23550</v>
      </c>
      <c r="R267">
        <f t="shared" si="16"/>
        <v>2</v>
      </c>
      <c r="V267">
        <f t="shared" si="17"/>
        <v>23550</v>
      </c>
      <c r="Y267" s="18">
        <f t="shared" si="18"/>
        <v>9145.82</v>
      </c>
      <c r="Z267" s="18">
        <f t="shared" si="19"/>
        <v>0</v>
      </c>
    </row>
    <row r="268" spans="2:26" hidden="1" x14ac:dyDescent="0.25">
      <c r="B268" t="s">
        <v>15</v>
      </c>
      <c r="C268" t="s">
        <v>16</v>
      </c>
      <c r="D268" t="s">
        <v>16</v>
      </c>
      <c r="E268" t="s">
        <v>16</v>
      </c>
      <c r="F268" t="s">
        <v>16</v>
      </c>
      <c r="G268" t="s">
        <v>500</v>
      </c>
      <c r="H268" s="18">
        <v>-19000.3</v>
      </c>
      <c r="J268" t="s">
        <v>19</v>
      </c>
      <c r="N268" t="s">
        <v>21</v>
      </c>
      <c r="O268" t="s">
        <v>22</v>
      </c>
      <c r="P268" t="s">
        <v>20</v>
      </c>
      <c r="Q268">
        <v>23494</v>
      </c>
      <c r="R268">
        <f t="shared" si="16"/>
        <v>2</v>
      </c>
      <c r="V268">
        <f t="shared" si="17"/>
        <v>23494</v>
      </c>
      <c r="Y268" s="18">
        <f t="shared" si="18"/>
        <v>26563.62</v>
      </c>
      <c r="Z268" s="18" t="str">
        <f t="shared" si="19"/>
        <v/>
      </c>
    </row>
    <row r="269" spans="2:26" hidden="1" x14ac:dyDescent="0.25">
      <c r="B269" t="s">
        <v>15</v>
      </c>
      <c r="C269" t="s">
        <v>16</v>
      </c>
      <c r="D269" t="s">
        <v>16</v>
      </c>
      <c r="E269" t="s">
        <v>16</v>
      </c>
      <c r="F269" t="s">
        <v>16</v>
      </c>
      <c r="G269" t="s">
        <v>501</v>
      </c>
      <c r="H269" s="18">
        <v>-1050.23</v>
      </c>
      <c r="J269" t="s">
        <v>19</v>
      </c>
      <c r="N269" t="s">
        <v>21</v>
      </c>
      <c r="O269" t="s">
        <v>22</v>
      </c>
      <c r="P269" t="s">
        <v>20</v>
      </c>
      <c r="Q269">
        <v>27103</v>
      </c>
      <c r="R269">
        <f t="shared" si="16"/>
        <v>2</v>
      </c>
      <c r="V269">
        <f t="shared" si="17"/>
        <v>27103</v>
      </c>
      <c r="Y269" s="18">
        <f t="shared" si="18"/>
        <v>26761.919999999998</v>
      </c>
      <c r="Z269" s="18" t="str">
        <f t="shared" si="19"/>
        <v/>
      </c>
    </row>
    <row r="270" spans="2:26" hidden="1" x14ac:dyDescent="0.25">
      <c r="B270" t="s">
        <v>15</v>
      </c>
      <c r="C270" t="s">
        <v>16</v>
      </c>
      <c r="D270" t="s">
        <v>16</v>
      </c>
      <c r="E270" t="s">
        <v>16</v>
      </c>
      <c r="F270" t="s">
        <v>16</v>
      </c>
      <c r="G270" t="s">
        <v>502</v>
      </c>
      <c r="H270" s="18">
        <v>-9.1300000000000008</v>
      </c>
      <c r="J270" t="s">
        <v>19</v>
      </c>
      <c r="N270" t="s">
        <v>21</v>
      </c>
      <c r="O270" t="s">
        <v>22</v>
      </c>
      <c r="P270" t="s">
        <v>20</v>
      </c>
      <c r="Q270">
        <v>23634</v>
      </c>
      <c r="R270">
        <f t="shared" si="16"/>
        <v>2</v>
      </c>
      <c r="V270">
        <f t="shared" si="17"/>
        <v>23634</v>
      </c>
      <c r="Y270" s="18">
        <f t="shared" si="18"/>
        <v>96.74</v>
      </c>
      <c r="Z270" s="18" t="str">
        <f t="shared" si="19"/>
        <v/>
      </c>
    </row>
    <row r="271" spans="2:26" hidden="1" x14ac:dyDescent="0.25">
      <c r="B271" t="s">
        <v>15</v>
      </c>
      <c r="C271" t="s">
        <v>16</v>
      </c>
      <c r="D271" t="s">
        <v>16</v>
      </c>
      <c r="E271" t="s">
        <v>16</v>
      </c>
      <c r="F271" t="s">
        <v>16</v>
      </c>
      <c r="G271" t="s">
        <v>342</v>
      </c>
      <c r="H271" s="18">
        <v>-107332.31</v>
      </c>
      <c r="J271" t="s">
        <v>19</v>
      </c>
      <c r="N271" t="s">
        <v>21</v>
      </c>
      <c r="O271" t="s">
        <v>22</v>
      </c>
      <c r="P271" t="s">
        <v>20</v>
      </c>
      <c r="Q271">
        <v>7351</v>
      </c>
      <c r="R271">
        <f t="shared" si="16"/>
        <v>2</v>
      </c>
      <c r="V271">
        <f t="shared" si="17"/>
        <v>7351</v>
      </c>
      <c r="Y271" s="18">
        <f t="shared" si="18"/>
        <v>156026.29999999999</v>
      </c>
      <c r="Z271" s="18" t="str">
        <f t="shared" si="19"/>
        <v/>
      </c>
    </row>
    <row r="272" spans="2:26" x14ac:dyDescent="0.25">
      <c r="B272" t="s">
        <v>277</v>
      </c>
      <c r="C272" t="s">
        <v>16</v>
      </c>
      <c r="D272" t="s">
        <v>16</v>
      </c>
      <c r="E272" t="s">
        <v>16</v>
      </c>
      <c r="F272" t="s">
        <v>16</v>
      </c>
      <c r="G272" t="s">
        <v>503</v>
      </c>
      <c r="H272" s="18">
        <v>14495.74</v>
      </c>
      <c r="I272" t="s">
        <v>23</v>
      </c>
      <c r="J272" t="s">
        <v>19</v>
      </c>
      <c r="N272" t="s">
        <v>21</v>
      </c>
      <c r="O272" t="s">
        <v>22</v>
      </c>
      <c r="P272" t="s">
        <v>20</v>
      </c>
      <c r="Q272">
        <v>24378</v>
      </c>
      <c r="R272">
        <f t="shared" si="16"/>
        <v>2</v>
      </c>
      <c r="V272">
        <f t="shared" si="17"/>
        <v>24378</v>
      </c>
      <c r="Y272" s="18">
        <f t="shared" si="18"/>
        <v>14495.74</v>
      </c>
      <c r="Z272" s="18">
        <f t="shared" si="19"/>
        <v>0</v>
      </c>
    </row>
    <row r="273" spans="2:26" hidden="1" x14ac:dyDescent="0.25">
      <c r="B273" t="s">
        <v>15</v>
      </c>
      <c r="C273" t="s">
        <v>16</v>
      </c>
      <c r="D273" t="s">
        <v>16</v>
      </c>
      <c r="E273" t="s">
        <v>16</v>
      </c>
      <c r="F273" t="s">
        <v>16</v>
      </c>
      <c r="G273" t="s">
        <v>504</v>
      </c>
      <c r="H273" s="18">
        <v>-205.82</v>
      </c>
      <c r="J273" t="s">
        <v>19</v>
      </c>
      <c r="N273" t="s">
        <v>21</v>
      </c>
      <c r="O273" t="s">
        <v>22</v>
      </c>
      <c r="P273" t="s">
        <v>20</v>
      </c>
      <c r="Q273">
        <v>23652</v>
      </c>
      <c r="R273">
        <f t="shared" si="16"/>
        <v>2</v>
      </c>
      <c r="V273">
        <f t="shared" si="17"/>
        <v>23652</v>
      </c>
      <c r="Y273" s="18">
        <f t="shared" si="18"/>
        <v>293.43</v>
      </c>
      <c r="Z273" s="18" t="str">
        <f t="shared" si="19"/>
        <v/>
      </c>
    </row>
    <row r="274" spans="2:26" x14ac:dyDescent="0.25">
      <c r="B274" t="s">
        <v>277</v>
      </c>
      <c r="C274" t="s">
        <v>16</v>
      </c>
      <c r="D274" t="s">
        <v>16</v>
      </c>
      <c r="E274" t="s">
        <v>16</v>
      </c>
      <c r="F274" t="s">
        <v>16</v>
      </c>
      <c r="G274" t="s">
        <v>505</v>
      </c>
      <c r="H274" s="18">
        <v>10748.41</v>
      </c>
      <c r="I274" t="s">
        <v>23</v>
      </c>
      <c r="J274" t="s">
        <v>19</v>
      </c>
      <c r="N274" t="s">
        <v>21</v>
      </c>
      <c r="O274" t="s">
        <v>22</v>
      </c>
      <c r="P274" t="s">
        <v>20</v>
      </c>
      <c r="Q274">
        <v>23538</v>
      </c>
      <c r="R274">
        <f t="shared" si="16"/>
        <v>2</v>
      </c>
      <c r="V274">
        <f t="shared" si="17"/>
        <v>23538</v>
      </c>
      <c r="Y274" s="18">
        <f t="shared" si="18"/>
        <v>10748.41</v>
      </c>
      <c r="Z274" s="18">
        <f t="shared" si="19"/>
        <v>0</v>
      </c>
    </row>
    <row r="275" spans="2:26" hidden="1" x14ac:dyDescent="0.25">
      <c r="B275" t="s">
        <v>15</v>
      </c>
      <c r="C275" t="s">
        <v>16</v>
      </c>
      <c r="D275" t="s">
        <v>16</v>
      </c>
      <c r="E275" t="s">
        <v>16</v>
      </c>
      <c r="F275" t="s">
        <v>16</v>
      </c>
      <c r="G275" t="s">
        <v>506</v>
      </c>
      <c r="H275" s="18">
        <v>-5418.89</v>
      </c>
      <c r="J275" t="s">
        <v>19</v>
      </c>
      <c r="N275" t="s">
        <v>21</v>
      </c>
      <c r="O275" t="s">
        <v>22</v>
      </c>
      <c r="P275" t="s">
        <v>20</v>
      </c>
      <c r="Q275">
        <v>26050</v>
      </c>
      <c r="R275">
        <f t="shared" si="16"/>
        <v>2</v>
      </c>
      <c r="V275">
        <f t="shared" si="17"/>
        <v>26050</v>
      </c>
      <c r="Y275" s="18">
        <f t="shared" si="18"/>
        <v>138083.78</v>
      </c>
      <c r="Z275" s="18" t="str">
        <f t="shared" si="19"/>
        <v/>
      </c>
    </row>
    <row r="276" spans="2:26" x14ac:dyDescent="0.25">
      <c r="B276" t="s">
        <v>277</v>
      </c>
      <c r="C276" t="s">
        <v>16</v>
      </c>
      <c r="D276" t="s">
        <v>16</v>
      </c>
      <c r="E276" t="s">
        <v>16</v>
      </c>
      <c r="F276" t="s">
        <v>16</v>
      </c>
      <c r="G276" t="s">
        <v>507</v>
      </c>
      <c r="H276" s="18">
        <v>71091.39</v>
      </c>
      <c r="I276" t="s">
        <v>23</v>
      </c>
      <c r="J276" t="s">
        <v>19</v>
      </c>
      <c r="N276" t="s">
        <v>21</v>
      </c>
      <c r="O276" t="s">
        <v>22</v>
      </c>
      <c r="P276" t="s">
        <v>20</v>
      </c>
      <c r="Q276">
        <v>15975</v>
      </c>
      <c r="R276">
        <f t="shared" si="16"/>
        <v>2</v>
      </c>
      <c r="V276">
        <f t="shared" si="17"/>
        <v>15975</v>
      </c>
      <c r="Y276" s="18">
        <f t="shared" si="18"/>
        <v>71091.39</v>
      </c>
      <c r="Z276" s="18">
        <f t="shared" si="19"/>
        <v>0</v>
      </c>
    </row>
    <row r="277" spans="2:26" hidden="1" x14ac:dyDescent="0.25">
      <c r="B277" t="s">
        <v>277</v>
      </c>
      <c r="C277" t="s">
        <v>16</v>
      </c>
      <c r="D277" t="s">
        <v>16</v>
      </c>
      <c r="E277" t="s">
        <v>16</v>
      </c>
      <c r="F277" t="s">
        <v>16</v>
      </c>
      <c r="G277" t="s">
        <v>508</v>
      </c>
      <c r="H277" s="18">
        <v>10369.59</v>
      </c>
      <c r="I277" t="s">
        <v>23</v>
      </c>
      <c r="J277" t="s">
        <v>19</v>
      </c>
      <c r="N277" t="s">
        <v>21</v>
      </c>
      <c r="O277" t="s">
        <v>22</v>
      </c>
      <c r="P277" t="s">
        <v>20</v>
      </c>
      <c r="Q277">
        <v>27130</v>
      </c>
      <c r="R277">
        <f t="shared" si="16"/>
        <v>2</v>
      </c>
      <c r="V277" t="str">
        <f t="shared" si="17"/>
        <v/>
      </c>
      <c r="W277" s="26" t="s">
        <v>686</v>
      </c>
      <c r="X277" s="15" t="s">
        <v>129</v>
      </c>
      <c r="Y277" s="18" t="str">
        <f t="shared" si="18"/>
        <v/>
      </c>
      <c r="Z277" s="18" t="str">
        <f t="shared" si="19"/>
        <v/>
      </c>
    </row>
    <row r="278" spans="2:26" x14ac:dyDescent="0.25">
      <c r="B278" t="s">
        <v>277</v>
      </c>
      <c r="C278" t="s">
        <v>16</v>
      </c>
      <c r="D278" t="s">
        <v>16</v>
      </c>
      <c r="E278" t="s">
        <v>16</v>
      </c>
      <c r="F278" t="s">
        <v>16</v>
      </c>
      <c r="G278" t="s">
        <v>509</v>
      </c>
      <c r="H278" s="18">
        <v>21250</v>
      </c>
      <c r="I278" t="s">
        <v>23</v>
      </c>
      <c r="J278" t="s">
        <v>19</v>
      </c>
      <c r="N278" t="s">
        <v>21</v>
      </c>
      <c r="O278" t="s">
        <v>22</v>
      </c>
      <c r="P278" t="s">
        <v>20</v>
      </c>
      <c r="Q278">
        <v>27078</v>
      </c>
      <c r="R278">
        <f t="shared" si="16"/>
        <v>2</v>
      </c>
      <c r="V278">
        <f t="shared" si="17"/>
        <v>27078</v>
      </c>
      <c r="Y278" s="18">
        <f t="shared" si="18"/>
        <v>21250</v>
      </c>
      <c r="Z278" s="18">
        <f t="shared" si="19"/>
        <v>0</v>
      </c>
    </row>
    <row r="279" spans="2:26" x14ac:dyDescent="0.25">
      <c r="B279" t="s">
        <v>277</v>
      </c>
      <c r="C279" t="s">
        <v>16</v>
      </c>
      <c r="D279" t="s">
        <v>16</v>
      </c>
      <c r="E279" t="s">
        <v>16</v>
      </c>
      <c r="F279" t="s">
        <v>16</v>
      </c>
      <c r="G279" t="s">
        <v>510</v>
      </c>
      <c r="H279" s="18">
        <v>381743.16</v>
      </c>
      <c r="I279" t="s">
        <v>23</v>
      </c>
      <c r="J279" t="s">
        <v>19</v>
      </c>
      <c r="N279" t="s">
        <v>21</v>
      </c>
      <c r="O279" t="s">
        <v>22</v>
      </c>
      <c r="P279" t="s">
        <v>20</v>
      </c>
      <c r="Q279">
        <v>24280</v>
      </c>
      <c r="R279">
        <f t="shared" si="16"/>
        <v>2</v>
      </c>
      <c r="V279">
        <f t="shared" si="17"/>
        <v>24280</v>
      </c>
      <c r="Y279" s="18">
        <f t="shared" si="18"/>
        <v>381743.16</v>
      </c>
      <c r="Z279" s="18">
        <f t="shared" si="19"/>
        <v>0</v>
      </c>
    </row>
    <row r="280" spans="2:26" hidden="1" x14ac:dyDescent="0.25">
      <c r="B280" t="s">
        <v>15</v>
      </c>
      <c r="C280" t="s">
        <v>16</v>
      </c>
      <c r="D280" t="s">
        <v>16</v>
      </c>
      <c r="E280" t="s">
        <v>16</v>
      </c>
      <c r="F280" t="s">
        <v>16</v>
      </c>
      <c r="G280" t="s">
        <v>511</v>
      </c>
      <c r="H280" s="18">
        <v>-1257544.72</v>
      </c>
      <c r="J280" t="s">
        <v>19</v>
      </c>
      <c r="N280" t="s">
        <v>21</v>
      </c>
      <c r="O280" t="s">
        <v>22</v>
      </c>
      <c r="P280" t="s">
        <v>20</v>
      </c>
      <c r="Q280">
        <v>25699</v>
      </c>
      <c r="R280">
        <f t="shared" si="16"/>
        <v>2</v>
      </c>
      <c r="V280">
        <f t="shared" si="17"/>
        <v>25699</v>
      </c>
      <c r="Y280" s="18">
        <f t="shared" si="18"/>
        <v>1825950.18</v>
      </c>
      <c r="Z280" s="18" t="str">
        <f t="shared" si="19"/>
        <v/>
      </c>
    </row>
    <row r="281" spans="2:26" x14ac:dyDescent="0.25">
      <c r="B281" t="s">
        <v>277</v>
      </c>
      <c r="C281" t="s">
        <v>16</v>
      </c>
      <c r="D281" t="s">
        <v>16</v>
      </c>
      <c r="E281" t="s">
        <v>16</v>
      </c>
      <c r="F281" t="s">
        <v>16</v>
      </c>
      <c r="G281" t="s">
        <v>512</v>
      </c>
      <c r="H281" s="18">
        <v>11780.26</v>
      </c>
      <c r="I281" t="s">
        <v>23</v>
      </c>
      <c r="J281" t="s">
        <v>19</v>
      </c>
      <c r="N281" t="s">
        <v>21</v>
      </c>
      <c r="O281" t="s">
        <v>22</v>
      </c>
      <c r="P281" t="s">
        <v>20</v>
      </c>
      <c r="Q281">
        <v>23666</v>
      </c>
      <c r="R281">
        <f t="shared" si="16"/>
        <v>2</v>
      </c>
      <c r="V281">
        <f t="shared" si="17"/>
        <v>23666</v>
      </c>
      <c r="Y281" s="18">
        <f t="shared" si="18"/>
        <v>11780.26</v>
      </c>
      <c r="Z281" s="18">
        <f t="shared" si="19"/>
        <v>0</v>
      </c>
    </row>
    <row r="282" spans="2:26" x14ac:dyDescent="0.25">
      <c r="B282" t="s">
        <v>277</v>
      </c>
      <c r="C282" t="s">
        <v>16</v>
      </c>
      <c r="D282" t="s">
        <v>16</v>
      </c>
      <c r="E282" t="s">
        <v>16</v>
      </c>
      <c r="F282" t="s">
        <v>16</v>
      </c>
      <c r="G282" t="s">
        <v>397</v>
      </c>
      <c r="H282" s="18">
        <v>1828.3</v>
      </c>
      <c r="I282" t="s">
        <v>23</v>
      </c>
      <c r="J282" t="s">
        <v>19</v>
      </c>
      <c r="N282" t="s">
        <v>21</v>
      </c>
      <c r="O282" t="s">
        <v>22</v>
      </c>
      <c r="P282" t="s">
        <v>20</v>
      </c>
      <c r="Q282">
        <v>23606</v>
      </c>
      <c r="R282">
        <f t="shared" si="16"/>
        <v>2</v>
      </c>
      <c r="V282">
        <f t="shared" si="17"/>
        <v>23606</v>
      </c>
      <c r="Y282" s="18">
        <f t="shared" si="18"/>
        <v>1828.3</v>
      </c>
      <c r="Z282" s="18">
        <f t="shared" si="19"/>
        <v>0</v>
      </c>
    </row>
    <row r="283" spans="2:26" x14ac:dyDescent="0.25">
      <c r="B283" t="s">
        <v>277</v>
      </c>
      <c r="C283" t="s">
        <v>16</v>
      </c>
      <c r="D283" t="s">
        <v>16</v>
      </c>
      <c r="E283" t="s">
        <v>16</v>
      </c>
      <c r="F283" t="s">
        <v>16</v>
      </c>
      <c r="G283" t="s">
        <v>388</v>
      </c>
      <c r="H283" s="18">
        <v>331271.03999999998</v>
      </c>
      <c r="I283" t="s">
        <v>23</v>
      </c>
      <c r="J283" t="s">
        <v>19</v>
      </c>
      <c r="N283" t="s">
        <v>21</v>
      </c>
      <c r="O283" t="s">
        <v>22</v>
      </c>
      <c r="P283" t="s">
        <v>20</v>
      </c>
      <c r="Q283">
        <v>25702</v>
      </c>
      <c r="R283">
        <f t="shared" si="16"/>
        <v>2</v>
      </c>
      <c r="V283">
        <f t="shared" si="17"/>
        <v>25702</v>
      </c>
      <c r="Y283" s="18">
        <f t="shared" si="18"/>
        <v>331271.03999999998</v>
      </c>
      <c r="Z283" s="18">
        <f t="shared" si="19"/>
        <v>0</v>
      </c>
    </row>
    <row r="284" spans="2:26" x14ac:dyDescent="0.25">
      <c r="B284" t="s">
        <v>277</v>
      </c>
      <c r="C284" t="s">
        <v>16</v>
      </c>
      <c r="D284" t="s">
        <v>16</v>
      </c>
      <c r="E284" t="s">
        <v>16</v>
      </c>
      <c r="F284" t="s">
        <v>16</v>
      </c>
      <c r="G284" t="s">
        <v>321</v>
      </c>
      <c r="H284" s="18">
        <v>188172.93</v>
      </c>
      <c r="I284" t="s">
        <v>23</v>
      </c>
      <c r="J284" t="s">
        <v>19</v>
      </c>
      <c r="N284" t="s">
        <v>21</v>
      </c>
      <c r="O284" t="s">
        <v>22</v>
      </c>
      <c r="P284" t="s">
        <v>20</v>
      </c>
      <c r="Q284">
        <v>26977</v>
      </c>
      <c r="R284">
        <f t="shared" si="16"/>
        <v>2</v>
      </c>
      <c r="V284">
        <f t="shared" si="17"/>
        <v>26977</v>
      </c>
      <c r="Y284" s="18">
        <f t="shared" si="18"/>
        <v>188172.93</v>
      </c>
      <c r="Z284" s="18">
        <f t="shared" si="19"/>
        <v>0</v>
      </c>
    </row>
    <row r="285" spans="2:26" hidden="1" x14ac:dyDescent="0.25">
      <c r="B285" t="s">
        <v>15</v>
      </c>
      <c r="C285" t="s">
        <v>16</v>
      </c>
      <c r="D285" t="s">
        <v>16</v>
      </c>
      <c r="E285" t="s">
        <v>16</v>
      </c>
      <c r="F285" t="s">
        <v>16</v>
      </c>
      <c r="G285" t="s">
        <v>438</v>
      </c>
      <c r="H285" s="18">
        <v>-926.09</v>
      </c>
      <c r="J285" t="s">
        <v>19</v>
      </c>
      <c r="N285" t="s">
        <v>21</v>
      </c>
      <c r="O285" t="s">
        <v>22</v>
      </c>
      <c r="P285" t="s">
        <v>20</v>
      </c>
      <c r="Q285">
        <v>23613</v>
      </c>
      <c r="R285">
        <f t="shared" si="16"/>
        <v>2</v>
      </c>
      <c r="V285">
        <f t="shared" si="17"/>
        <v>23613</v>
      </c>
      <c r="Y285" s="18">
        <f t="shared" si="18"/>
        <v>1860.55</v>
      </c>
      <c r="Z285" s="18" t="str">
        <f t="shared" si="19"/>
        <v/>
      </c>
    </row>
    <row r="286" spans="2:26" hidden="1" x14ac:dyDescent="0.25">
      <c r="B286" t="s">
        <v>15</v>
      </c>
      <c r="C286" t="s">
        <v>16</v>
      </c>
      <c r="D286" t="s">
        <v>16</v>
      </c>
      <c r="E286" t="s">
        <v>16</v>
      </c>
      <c r="F286" t="s">
        <v>16</v>
      </c>
      <c r="G286" t="s">
        <v>513</v>
      </c>
      <c r="H286" s="18">
        <v>-18495.490000000002</v>
      </c>
      <c r="J286" t="s">
        <v>19</v>
      </c>
      <c r="N286" t="s">
        <v>21</v>
      </c>
      <c r="O286" t="s">
        <v>22</v>
      </c>
      <c r="P286" t="s">
        <v>20</v>
      </c>
      <c r="Q286">
        <v>23526</v>
      </c>
      <c r="R286">
        <f t="shared" si="16"/>
        <v>2</v>
      </c>
      <c r="V286">
        <f t="shared" si="17"/>
        <v>23526</v>
      </c>
      <c r="Y286" s="18">
        <f t="shared" si="18"/>
        <v>25134.080000000002</v>
      </c>
      <c r="Z286" s="18" t="str">
        <f t="shared" si="19"/>
        <v/>
      </c>
    </row>
    <row r="287" spans="2:26" x14ac:dyDescent="0.25">
      <c r="B287" t="s">
        <v>277</v>
      </c>
      <c r="C287" t="s">
        <v>16</v>
      </c>
      <c r="D287" t="s">
        <v>16</v>
      </c>
      <c r="E287" t="s">
        <v>16</v>
      </c>
      <c r="F287" t="s">
        <v>16</v>
      </c>
      <c r="G287" t="s">
        <v>514</v>
      </c>
      <c r="H287" s="18">
        <v>524.52</v>
      </c>
      <c r="I287" t="s">
        <v>23</v>
      </c>
      <c r="J287" t="s">
        <v>19</v>
      </c>
      <c r="N287" t="s">
        <v>21</v>
      </c>
      <c r="O287" t="s">
        <v>22</v>
      </c>
      <c r="P287" t="s">
        <v>20</v>
      </c>
      <c r="Q287">
        <v>23625</v>
      </c>
      <c r="R287">
        <f t="shared" si="16"/>
        <v>2</v>
      </c>
      <c r="V287">
        <f t="shared" si="17"/>
        <v>23625</v>
      </c>
      <c r="Y287" s="18">
        <f t="shared" si="18"/>
        <v>524.52</v>
      </c>
      <c r="Z287" s="18">
        <f t="shared" si="19"/>
        <v>0</v>
      </c>
    </row>
    <row r="288" spans="2:26" hidden="1" x14ac:dyDescent="0.25">
      <c r="B288" t="s">
        <v>15</v>
      </c>
      <c r="C288" t="s">
        <v>16</v>
      </c>
      <c r="D288" t="s">
        <v>16</v>
      </c>
      <c r="E288" t="s">
        <v>16</v>
      </c>
      <c r="F288" t="s">
        <v>16</v>
      </c>
      <c r="G288" t="s">
        <v>515</v>
      </c>
      <c r="H288" s="18">
        <v>-9064.43</v>
      </c>
      <c r="J288" t="s">
        <v>19</v>
      </c>
      <c r="N288" t="s">
        <v>21</v>
      </c>
      <c r="O288" t="s">
        <v>22</v>
      </c>
      <c r="P288" t="s">
        <v>20</v>
      </c>
      <c r="Q288">
        <v>23572</v>
      </c>
      <c r="R288">
        <f t="shared" si="16"/>
        <v>2</v>
      </c>
      <c r="V288">
        <f t="shared" si="17"/>
        <v>23572</v>
      </c>
      <c r="Y288" s="18">
        <f t="shared" si="18"/>
        <v>10748.41</v>
      </c>
      <c r="Z288" s="18" t="str">
        <f t="shared" si="19"/>
        <v/>
      </c>
    </row>
    <row r="289" spans="2:26" x14ac:dyDescent="0.25">
      <c r="B289" t="s">
        <v>277</v>
      </c>
      <c r="C289" t="s">
        <v>16</v>
      </c>
      <c r="D289" t="s">
        <v>16</v>
      </c>
      <c r="E289" t="s">
        <v>16</v>
      </c>
      <c r="F289" t="s">
        <v>16</v>
      </c>
      <c r="G289" t="s">
        <v>359</v>
      </c>
      <c r="H289" s="18">
        <v>20653.07</v>
      </c>
      <c r="I289" t="s">
        <v>23</v>
      </c>
      <c r="J289" t="s">
        <v>19</v>
      </c>
      <c r="N289" t="s">
        <v>21</v>
      </c>
      <c r="O289" t="s">
        <v>22</v>
      </c>
      <c r="P289" t="s">
        <v>20</v>
      </c>
      <c r="Q289">
        <v>23532</v>
      </c>
      <c r="R289">
        <f t="shared" si="16"/>
        <v>2</v>
      </c>
      <c r="V289">
        <f t="shared" si="17"/>
        <v>23532</v>
      </c>
      <c r="Y289" s="18">
        <f t="shared" si="18"/>
        <v>20653.07</v>
      </c>
      <c r="Z289" s="18">
        <f t="shared" si="19"/>
        <v>0</v>
      </c>
    </row>
    <row r="290" spans="2:26" hidden="1" x14ac:dyDescent="0.25">
      <c r="B290" t="s">
        <v>15</v>
      </c>
      <c r="C290" t="s">
        <v>16</v>
      </c>
      <c r="D290" t="s">
        <v>16</v>
      </c>
      <c r="E290" t="s">
        <v>16</v>
      </c>
      <c r="F290" t="s">
        <v>16</v>
      </c>
      <c r="G290" t="s">
        <v>315</v>
      </c>
      <c r="H290" s="18">
        <v>-1923.47</v>
      </c>
      <c r="J290" t="s">
        <v>19</v>
      </c>
      <c r="N290" t="s">
        <v>21</v>
      </c>
      <c r="O290" t="s">
        <v>22</v>
      </c>
      <c r="P290" t="s">
        <v>20</v>
      </c>
      <c r="Q290">
        <v>23593</v>
      </c>
      <c r="R290">
        <f t="shared" si="16"/>
        <v>2</v>
      </c>
      <c r="V290">
        <f t="shared" si="17"/>
        <v>23593</v>
      </c>
      <c r="Y290" s="18">
        <f t="shared" si="18"/>
        <v>2176.5500000000002</v>
      </c>
      <c r="Z290" s="18" t="str">
        <f t="shared" si="19"/>
        <v/>
      </c>
    </row>
    <row r="291" spans="2:26" hidden="1" x14ac:dyDescent="0.25">
      <c r="B291" t="s">
        <v>15</v>
      </c>
      <c r="C291" t="s">
        <v>16</v>
      </c>
      <c r="D291" t="s">
        <v>16</v>
      </c>
      <c r="E291" t="s">
        <v>16</v>
      </c>
      <c r="F291" t="s">
        <v>16</v>
      </c>
      <c r="G291" t="s">
        <v>516</v>
      </c>
      <c r="H291" s="18">
        <v>-410.68</v>
      </c>
      <c r="J291" t="s">
        <v>19</v>
      </c>
      <c r="N291" t="s">
        <v>21</v>
      </c>
      <c r="O291" t="s">
        <v>22</v>
      </c>
      <c r="P291" t="s">
        <v>20</v>
      </c>
      <c r="Q291">
        <v>26902</v>
      </c>
      <c r="R291">
        <f t="shared" si="16"/>
        <v>2</v>
      </c>
      <c r="V291">
        <f t="shared" si="17"/>
        <v>26902</v>
      </c>
      <c r="Y291" s="18">
        <f t="shared" si="18"/>
        <v>10464.879999999999</v>
      </c>
      <c r="Z291" s="18" t="str">
        <f t="shared" si="19"/>
        <v/>
      </c>
    </row>
    <row r="292" spans="2:26" hidden="1" x14ac:dyDescent="0.25">
      <c r="B292" t="s">
        <v>15</v>
      </c>
      <c r="C292" t="s">
        <v>16</v>
      </c>
      <c r="D292" t="s">
        <v>16</v>
      </c>
      <c r="E292" t="s">
        <v>16</v>
      </c>
      <c r="F292" t="s">
        <v>16</v>
      </c>
      <c r="G292" t="s">
        <v>517</v>
      </c>
      <c r="H292" s="18">
        <v>-37865.919999999998</v>
      </c>
      <c r="J292" t="s">
        <v>19</v>
      </c>
      <c r="N292" t="s">
        <v>21</v>
      </c>
      <c r="O292" t="s">
        <v>22</v>
      </c>
      <c r="P292" t="s">
        <v>20</v>
      </c>
      <c r="Q292">
        <v>23997</v>
      </c>
      <c r="R292">
        <f t="shared" si="16"/>
        <v>2</v>
      </c>
      <c r="V292">
        <f t="shared" si="17"/>
        <v>23997</v>
      </c>
      <c r="Y292" s="18">
        <f t="shared" si="18"/>
        <v>107786.11</v>
      </c>
      <c r="Z292" s="18" t="str">
        <f t="shared" si="19"/>
        <v/>
      </c>
    </row>
    <row r="293" spans="2:26" hidden="1" x14ac:dyDescent="0.25">
      <c r="B293" t="s">
        <v>15</v>
      </c>
      <c r="C293" t="s">
        <v>16</v>
      </c>
      <c r="D293" t="s">
        <v>16</v>
      </c>
      <c r="E293" t="s">
        <v>16</v>
      </c>
      <c r="F293" t="s">
        <v>16</v>
      </c>
      <c r="G293" t="s">
        <v>361</v>
      </c>
      <c r="H293" s="18">
        <v>-327.33</v>
      </c>
      <c r="J293" t="s">
        <v>19</v>
      </c>
      <c r="N293" t="s">
        <v>21</v>
      </c>
      <c r="O293" t="s">
        <v>22</v>
      </c>
      <c r="P293" t="s">
        <v>20</v>
      </c>
      <c r="Q293">
        <v>23618</v>
      </c>
      <c r="R293">
        <f t="shared" si="16"/>
        <v>2</v>
      </c>
      <c r="V293">
        <f t="shared" si="17"/>
        <v>23618</v>
      </c>
      <c r="Y293" s="18">
        <f t="shared" si="18"/>
        <v>580.41</v>
      </c>
      <c r="Z293" s="18" t="str">
        <f t="shared" si="19"/>
        <v/>
      </c>
    </row>
    <row r="294" spans="2:26" x14ac:dyDescent="0.25">
      <c r="B294" t="s">
        <v>277</v>
      </c>
      <c r="C294" t="s">
        <v>16</v>
      </c>
      <c r="D294" t="s">
        <v>16</v>
      </c>
      <c r="E294" t="s">
        <v>16</v>
      </c>
      <c r="F294" t="s">
        <v>16</v>
      </c>
      <c r="G294" t="s">
        <v>518</v>
      </c>
      <c r="H294" s="18">
        <v>227.87</v>
      </c>
      <c r="I294" t="s">
        <v>23</v>
      </c>
      <c r="J294" t="s">
        <v>19</v>
      </c>
      <c r="N294" t="s">
        <v>21</v>
      </c>
      <c r="O294" t="s">
        <v>22</v>
      </c>
      <c r="P294" t="s">
        <v>20</v>
      </c>
      <c r="Q294">
        <v>23638</v>
      </c>
      <c r="R294">
        <f t="shared" si="16"/>
        <v>2</v>
      </c>
      <c r="V294">
        <f t="shared" si="17"/>
        <v>23638</v>
      </c>
      <c r="Y294" s="18">
        <f t="shared" si="18"/>
        <v>227.87</v>
      </c>
      <c r="Z294" s="18">
        <f t="shared" si="19"/>
        <v>0</v>
      </c>
    </row>
    <row r="295" spans="2:26" hidden="1" x14ac:dyDescent="0.25">
      <c r="B295" t="s">
        <v>15</v>
      </c>
      <c r="C295" t="s">
        <v>16</v>
      </c>
      <c r="D295" t="s">
        <v>16</v>
      </c>
      <c r="E295" t="s">
        <v>16</v>
      </c>
      <c r="F295" t="s">
        <v>16</v>
      </c>
      <c r="G295" t="s">
        <v>519</v>
      </c>
      <c r="H295" s="18">
        <v>-80046.45</v>
      </c>
      <c r="J295" t="s">
        <v>19</v>
      </c>
      <c r="N295" t="s">
        <v>21</v>
      </c>
      <c r="O295" t="s">
        <v>22</v>
      </c>
      <c r="P295" t="s">
        <v>20</v>
      </c>
      <c r="Q295">
        <v>16870</v>
      </c>
      <c r="R295">
        <f t="shared" si="16"/>
        <v>2</v>
      </c>
      <c r="V295">
        <f t="shared" si="17"/>
        <v>16870</v>
      </c>
      <c r="Y295" s="18">
        <f t="shared" si="18"/>
        <v>129819.38</v>
      </c>
      <c r="Z295" s="18" t="str">
        <f t="shared" si="19"/>
        <v/>
      </c>
    </row>
    <row r="296" spans="2:26" hidden="1" x14ac:dyDescent="0.25">
      <c r="B296" t="s">
        <v>15</v>
      </c>
      <c r="C296" t="s">
        <v>16</v>
      </c>
      <c r="D296" t="s">
        <v>16</v>
      </c>
      <c r="E296" t="s">
        <v>16</v>
      </c>
      <c r="F296" t="s">
        <v>16</v>
      </c>
      <c r="G296" t="s">
        <v>520</v>
      </c>
      <c r="H296" s="18">
        <v>-13669.09</v>
      </c>
      <c r="J296" t="s">
        <v>19</v>
      </c>
      <c r="N296" t="s">
        <v>21</v>
      </c>
      <c r="O296" t="s">
        <v>22</v>
      </c>
      <c r="P296" t="s">
        <v>20</v>
      </c>
      <c r="Q296">
        <v>23523</v>
      </c>
      <c r="R296">
        <f t="shared" si="16"/>
        <v>2</v>
      </c>
      <c r="V296">
        <f t="shared" si="17"/>
        <v>23523</v>
      </c>
      <c r="Y296" s="18">
        <f t="shared" si="18"/>
        <v>21232.41</v>
      </c>
      <c r="Z296" s="18" t="str">
        <f t="shared" si="19"/>
        <v/>
      </c>
    </row>
    <row r="297" spans="2:26" hidden="1" x14ac:dyDescent="0.25">
      <c r="B297" t="s">
        <v>15</v>
      </c>
      <c r="C297" t="s">
        <v>16</v>
      </c>
      <c r="D297" t="s">
        <v>16</v>
      </c>
      <c r="E297" t="s">
        <v>16</v>
      </c>
      <c r="F297" t="s">
        <v>16</v>
      </c>
      <c r="G297" t="s">
        <v>521</v>
      </c>
      <c r="H297" s="18">
        <v>-354.3</v>
      </c>
      <c r="J297" t="s">
        <v>19</v>
      </c>
      <c r="N297" t="s">
        <v>21</v>
      </c>
      <c r="O297" t="s">
        <v>22</v>
      </c>
      <c r="P297" t="s">
        <v>20</v>
      </c>
      <c r="Q297">
        <v>27043</v>
      </c>
      <c r="R297">
        <f t="shared" si="16"/>
        <v>2</v>
      </c>
      <c r="V297">
        <f t="shared" si="17"/>
        <v>27043</v>
      </c>
      <c r="Y297" s="18">
        <f t="shared" si="18"/>
        <v>9028.2999999999993</v>
      </c>
      <c r="Z297" s="18" t="str">
        <f t="shared" si="19"/>
        <v/>
      </c>
    </row>
    <row r="298" spans="2:26" hidden="1" x14ac:dyDescent="0.25">
      <c r="B298" t="s">
        <v>15</v>
      </c>
      <c r="C298" t="s">
        <v>16</v>
      </c>
      <c r="D298" t="s">
        <v>16</v>
      </c>
      <c r="E298" t="s">
        <v>16</v>
      </c>
      <c r="F298" t="s">
        <v>16</v>
      </c>
      <c r="G298" t="s">
        <v>443</v>
      </c>
      <c r="H298" s="18">
        <v>-11751.53</v>
      </c>
      <c r="J298" t="s">
        <v>19</v>
      </c>
      <c r="N298" t="s">
        <v>21</v>
      </c>
      <c r="O298" t="s">
        <v>22</v>
      </c>
      <c r="P298" t="s">
        <v>20</v>
      </c>
      <c r="Q298">
        <v>23537</v>
      </c>
      <c r="R298">
        <f t="shared" si="16"/>
        <v>2</v>
      </c>
      <c r="V298">
        <f t="shared" si="17"/>
        <v>23537</v>
      </c>
      <c r="Y298" s="18">
        <f t="shared" si="18"/>
        <v>13435.51</v>
      </c>
      <c r="Z298" s="18" t="str">
        <f t="shared" si="19"/>
        <v/>
      </c>
    </row>
    <row r="299" spans="2:26" hidden="1" x14ac:dyDescent="0.25">
      <c r="B299" t="s">
        <v>15</v>
      </c>
      <c r="C299" t="s">
        <v>16</v>
      </c>
      <c r="D299" t="s">
        <v>16</v>
      </c>
      <c r="E299" t="s">
        <v>16</v>
      </c>
      <c r="F299" t="s">
        <v>16</v>
      </c>
      <c r="G299" t="s">
        <v>522</v>
      </c>
      <c r="H299" s="18">
        <v>-66264.53</v>
      </c>
      <c r="J299" t="s">
        <v>19</v>
      </c>
      <c r="N299" t="s">
        <v>21</v>
      </c>
      <c r="O299" t="s">
        <v>22</v>
      </c>
      <c r="P299" t="s">
        <v>20</v>
      </c>
      <c r="Q299">
        <v>16976</v>
      </c>
      <c r="R299">
        <f t="shared" si="16"/>
        <v>2</v>
      </c>
      <c r="V299">
        <f t="shared" si="17"/>
        <v>16976</v>
      </c>
      <c r="Y299" s="18">
        <f t="shared" si="18"/>
        <v>117420.65</v>
      </c>
      <c r="Z299" s="18" t="str">
        <f t="shared" si="19"/>
        <v/>
      </c>
    </row>
    <row r="300" spans="2:26" hidden="1" x14ac:dyDescent="0.25">
      <c r="B300" t="s">
        <v>15</v>
      </c>
      <c r="C300" t="s">
        <v>16</v>
      </c>
      <c r="D300" t="s">
        <v>16</v>
      </c>
      <c r="E300" t="s">
        <v>16</v>
      </c>
      <c r="F300" t="s">
        <v>16</v>
      </c>
      <c r="G300" t="s">
        <v>523</v>
      </c>
      <c r="H300" s="18">
        <v>-19000.3</v>
      </c>
      <c r="J300" t="s">
        <v>19</v>
      </c>
      <c r="N300" t="s">
        <v>21</v>
      </c>
      <c r="O300" t="s">
        <v>22</v>
      </c>
      <c r="P300" t="s">
        <v>20</v>
      </c>
      <c r="Q300">
        <v>23496</v>
      </c>
      <c r="R300">
        <f t="shared" si="16"/>
        <v>2</v>
      </c>
      <c r="V300">
        <f t="shared" si="17"/>
        <v>23496</v>
      </c>
      <c r="Y300" s="18">
        <f t="shared" si="18"/>
        <v>26563.62</v>
      </c>
      <c r="Z300" s="18" t="str">
        <f t="shared" si="19"/>
        <v/>
      </c>
    </row>
    <row r="301" spans="2:26" x14ac:dyDescent="0.25">
      <c r="B301" t="s">
        <v>277</v>
      </c>
      <c r="C301" t="s">
        <v>16</v>
      </c>
      <c r="D301" t="s">
        <v>16</v>
      </c>
      <c r="E301" t="s">
        <v>16</v>
      </c>
      <c r="F301" t="s">
        <v>16</v>
      </c>
      <c r="G301" t="s">
        <v>520</v>
      </c>
      <c r="H301" s="18">
        <v>21232.41</v>
      </c>
      <c r="I301" t="s">
        <v>23</v>
      </c>
      <c r="J301" t="s">
        <v>19</v>
      </c>
      <c r="N301" t="s">
        <v>21</v>
      </c>
      <c r="O301" t="s">
        <v>22</v>
      </c>
      <c r="P301" t="s">
        <v>20</v>
      </c>
      <c r="Q301">
        <v>23523</v>
      </c>
      <c r="R301">
        <f t="shared" si="16"/>
        <v>2</v>
      </c>
      <c r="V301">
        <f t="shared" si="17"/>
        <v>23523</v>
      </c>
      <c r="Y301" s="18">
        <f t="shared" si="18"/>
        <v>21232.41</v>
      </c>
      <c r="Z301" s="18">
        <f t="shared" si="19"/>
        <v>0</v>
      </c>
    </row>
    <row r="302" spans="2:26" hidden="1" x14ac:dyDescent="0.25">
      <c r="B302" t="s">
        <v>15</v>
      </c>
      <c r="C302" t="s">
        <v>16</v>
      </c>
      <c r="D302" t="s">
        <v>16</v>
      </c>
      <c r="E302" t="s">
        <v>16</v>
      </c>
      <c r="F302" t="s">
        <v>16</v>
      </c>
      <c r="G302" t="s">
        <v>451</v>
      </c>
      <c r="H302" s="18">
        <v>-1000.25</v>
      </c>
      <c r="J302" t="s">
        <v>19</v>
      </c>
      <c r="N302" t="s">
        <v>21</v>
      </c>
      <c r="O302" t="s">
        <v>22</v>
      </c>
      <c r="P302" t="s">
        <v>20</v>
      </c>
      <c r="Q302">
        <v>23616</v>
      </c>
      <c r="R302">
        <f t="shared" si="16"/>
        <v>2</v>
      </c>
      <c r="V302">
        <f t="shared" si="17"/>
        <v>23616</v>
      </c>
      <c r="Y302" s="18">
        <f t="shared" si="18"/>
        <v>1934.71</v>
      </c>
      <c r="Z302" s="18" t="str">
        <f t="shared" si="19"/>
        <v/>
      </c>
    </row>
    <row r="303" spans="2:26" x14ac:dyDescent="0.25">
      <c r="B303" t="s">
        <v>277</v>
      </c>
      <c r="C303" t="s">
        <v>16</v>
      </c>
      <c r="D303" t="s">
        <v>16</v>
      </c>
      <c r="E303" t="s">
        <v>16</v>
      </c>
      <c r="F303" t="s">
        <v>16</v>
      </c>
      <c r="G303" t="s">
        <v>524</v>
      </c>
      <c r="H303" s="18">
        <v>2171.1799999999998</v>
      </c>
      <c r="I303" t="s">
        <v>23</v>
      </c>
      <c r="J303" t="s">
        <v>19</v>
      </c>
      <c r="N303" t="s">
        <v>21</v>
      </c>
      <c r="O303" t="s">
        <v>22</v>
      </c>
      <c r="P303" t="s">
        <v>20</v>
      </c>
      <c r="Q303">
        <v>23594</v>
      </c>
      <c r="R303">
        <f t="shared" si="16"/>
        <v>2</v>
      </c>
      <c r="V303">
        <f t="shared" si="17"/>
        <v>23594</v>
      </c>
      <c r="Y303" s="18">
        <f t="shared" si="18"/>
        <v>2171.1799999999998</v>
      </c>
      <c r="Z303" s="18">
        <f t="shared" si="19"/>
        <v>0</v>
      </c>
    </row>
    <row r="304" spans="2:26" x14ac:dyDescent="0.25">
      <c r="B304" t="s">
        <v>277</v>
      </c>
      <c r="C304" t="s">
        <v>16</v>
      </c>
      <c r="D304" t="s">
        <v>16</v>
      </c>
      <c r="E304" t="s">
        <v>16</v>
      </c>
      <c r="F304" t="s">
        <v>16</v>
      </c>
      <c r="G304" t="s">
        <v>525</v>
      </c>
      <c r="H304" s="18">
        <v>58363.86</v>
      </c>
      <c r="I304" t="s">
        <v>23</v>
      </c>
      <c r="J304" t="s">
        <v>19</v>
      </c>
      <c r="N304" t="s">
        <v>21</v>
      </c>
      <c r="O304" t="s">
        <v>22</v>
      </c>
      <c r="P304" t="s">
        <v>20</v>
      </c>
      <c r="Q304">
        <v>23511</v>
      </c>
      <c r="R304">
        <f t="shared" si="16"/>
        <v>2</v>
      </c>
      <c r="V304">
        <f t="shared" si="17"/>
        <v>23511</v>
      </c>
      <c r="Y304" s="18">
        <f t="shared" si="18"/>
        <v>58363.86</v>
      </c>
      <c r="Z304" s="18">
        <f t="shared" si="19"/>
        <v>0</v>
      </c>
    </row>
    <row r="305" spans="2:26" hidden="1" x14ac:dyDescent="0.25">
      <c r="B305" t="s">
        <v>15</v>
      </c>
      <c r="C305" t="s">
        <v>16</v>
      </c>
      <c r="D305" t="s">
        <v>16</v>
      </c>
      <c r="E305" t="s">
        <v>16</v>
      </c>
      <c r="F305" t="s">
        <v>16</v>
      </c>
      <c r="G305" t="s">
        <v>526</v>
      </c>
      <c r="H305" s="18">
        <v>-14707.91</v>
      </c>
      <c r="J305" t="s">
        <v>19</v>
      </c>
      <c r="N305" t="s">
        <v>21</v>
      </c>
      <c r="O305" t="s">
        <v>22</v>
      </c>
      <c r="P305" t="s">
        <v>20</v>
      </c>
      <c r="Q305">
        <v>24019</v>
      </c>
      <c r="R305">
        <f t="shared" si="16"/>
        <v>2</v>
      </c>
      <c r="V305">
        <f t="shared" si="17"/>
        <v>24019</v>
      </c>
      <c r="Y305" s="18">
        <f t="shared" si="18"/>
        <v>55379.199999999997</v>
      </c>
      <c r="Z305" s="18" t="str">
        <f t="shared" si="19"/>
        <v/>
      </c>
    </row>
    <row r="306" spans="2:26" hidden="1" x14ac:dyDescent="0.25">
      <c r="B306" t="s">
        <v>15</v>
      </c>
      <c r="C306" t="s">
        <v>16</v>
      </c>
      <c r="D306" t="s">
        <v>16</v>
      </c>
      <c r="E306" t="s">
        <v>16</v>
      </c>
      <c r="F306" t="s">
        <v>16</v>
      </c>
      <c r="G306" t="s">
        <v>527</v>
      </c>
      <c r="H306" s="18">
        <v>-93156.45</v>
      </c>
      <c r="J306" t="s">
        <v>19</v>
      </c>
      <c r="N306" t="s">
        <v>21</v>
      </c>
      <c r="O306" t="s">
        <v>22</v>
      </c>
      <c r="P306" t="s">
        <v>20</v>
      </c>
      <c r="Q306">
        <v>7353</v>
      </c>
      <c r="R306">
        <f t="shared" si="16"/>
        <v>2</v>
      </c>
      <c r="V306">
        <f t="shared" si="17"/>
        <v>7353</v>
      </c>
      <c r="Y306" s="18">
        <f t="shared" si="18"/>
        <v>115786.62</v>
      </c>
      <c r="Z306" s="18" t="str">
        <f t="shared" si="19"/>
        <v/>
      </c>
    </row>
    <row r="307" spans="2:26" hidden="1" x14ac:dyDescent="0.25">
      <c r="B307" t="s">
        <v>15</v>
      </c>
      <c r="C307" t="s">
        <v>16</v>
      </c>
      <c r="D307" t="s">
        <v>16</v>
      </c>
      <c r="E307" t="s">
        <v>16</v>
      </c>
      <c r="F307" t="s">
        <v>16</v>
      </c>
      <c r="G307" t="s">
        <v>528</v>
      </c>
      <c r="H307" s="18">
        <v>-9868.32</v>
      </c>
      <c r="J307" t="s">
        <v>19</v>
      </c>
      <c r="N307" t="s">
        <v>21</v>
      </c>
      <c r="O307" t="s">
        <v>22</v>
      </c>
      <c r="P307" t="s">
        <v>20</v>
      </c>
      <c r="Q307">
        <v>22432</v>
      </c>
      <c r="R307">
        <f t="shared" si="16"/>
        <v>2</v>
      </c>
      <c r="V307">
        <f t="shared" si="17"/>
        <v>22432</v>
      </c>
      <c r="Y307" s="18">
        <f t="shared" si="18"/>
        <v>79621.740000000005</v>
      </c>
      <c r="Z307" s="18" t="str">
        <f t="shared" si="19"/>
        <v/>
      </c>
    </row>
    <row r="308" spans="2:26" hidden="1" x14ac:dyDescent="0.25">
      <c r="B308" t="s">
        <v>15</v>
      </c>
      <c r="C308" t="s">
        <v>16</v>
      </c>
      <c r="D308" t="s">
        <v>16</v>
      </c>
      <c r="E308" t="s">
        <v>16</v>
      </c>
      <c r="F308" t="s">
        <v>16</v>
      </c>
      <c r="G308" t="s">
        <v>529</v>
      </c>
      <c r="H308" s="18">
        <v>-1733.75</v>
      </c>
      <c r="J308" t="s">
        <v>19</v>
      </c>
      <c r="N308" t="s">
        <v>21</v>
      </c>
      <c r="O308" t="s">
        <v>22</v>
      </c>
      <c r="P308" t="s">
        <v>20</v>
      </c>
      <c r="Q308">
        <v>23552</v>
      </c>
      <c r="R308">
        <f t="shared" si="16"/>
        <v>2</v>
      </c>
      <c r="V308">
        <f t="shared" si="17"/>
        <v>23552</v>
      </c>
      <c r="Y308" s="18">
        <f t="shared" si="18"/>
        <v>2074.44</v>
      </c>
      <c r="Z308" s="18" t="str">
        <f t="shared" si="19"/>
        <v/>
      </c>
    </row>
    <row r="309" spans="2:26" hidden="1" x14ac:dyDescent="0.25">
      <c r="B309" t="s">
        <v>277</v>
      </c>
      <c r="C309" t="s">
        <v>16</v>
      </c>
      <c r="D309" t="s">
        <v>16</v>
      </c>
      <c r="E309" t="s">
        <v>16</v>
      </c>
      <c r="F309" t="s">
        <v>16</v>
      </c>
      <c r="G309" t="s">
        <v>530</v>
      </c>
      <c r="H309" s="18">
        <v>157250</v>
      </c>
      <c r="I309" t="s">
        <v>23</v>
      </c>
      <c r="J309" t="s">
        <v>19</v>
      </c>
      <c r="N309" t="s">
        <v>21</v>
      </c>
      <c r="O309" t="s">
        <v>22</v>
      </c>
      <c r="P309" t="s">
        <v>20</v>
      </c>
      <c r="Q309">
        <v>27153</v>
      </c>
      <c r="R309">
        <f t="shared" si="16"/>
        <v>2</v>
      </c>
      <c r="V309" t="str">
        <f t="shared" si="17"/>
        <v/>
      </c>
      <c r="W309" s="26" t="s">
        <v>686</v>
      </c>
      <c r="X309" s="15" t="s">
        <v>129</v>
      </c>
      <c r="Y309" s="18" t="str">
        <f t="shared" si="18"/>
        <v/>
      </c>
      <c r="Z309" s="18" t="str">
        <f t="shared" si="19"/>
        <v/>
      </c>
    </row>
    <row r="310" spans="2:26" x14ac:dyDescent="0.25">
      <c r="B310" t="s">
        <v>277</v>
      </c>
      <c r="C310" t="s">
        <v>16</v>
      </c>
      <c r="D310" t="s">
        <v>16</v>
      </c>
      <c r="E310" t="s">
        <v>16</v>
      </c>
      <c r="F310" t="s">
        <v>16</v>
      </c>
      <c r="G310" t="s">
        <v>328</v>
      </c>
      <c r="H310" s="18">
        <v>10748.41</v>
      </c>
      <c r="I310" t="s">
        <v>23</v>
      </c>
      <c r="J310" t="s">
        <v>19</v>
      </c>
      <c r="N310" t="s">
        <v>21</v>
      </c>
      <c r="O310" t="s">
        <v>22</v>
      </c>
      <c r="P310" t="s">
        <v>20</v>
      </c>
      <c r="Q310">
        <v>23541</v>
      </c>
      <c r="R310">
        <f t="shared" si="16"/>
        <v>2</v>
      </c>
      <c r="V310">
        <f t="shared" si="17"/>
        <v>23541</v>
      </c>
      <c r="Y310" s="18">
        <f t="shared" si="18"/>
        <v>10748.41</v>
      </c>
      <c r="Z310" s="18">
        <f t="shared" si="19"/>
        <v>0</v>
      </c>
    </row>
    <row r="311" spans="2:26" x14ac:dyDescent="0.25">
      <c r="B311" t="s">
        <v>277</v>
      </c>
      <c r="C311" t="s">
        <v>16</v>
      </c>
      <c r="D311" t="s">
        <v>16</v>
      </c>
      <c r="E311" t="s">
        <v>16</v>
      </c>
      <c r="F311" t="s">
        <v>16</v>
      </c>
      <c r="G311" t="s">
        <v>531</v>
      </c>
      <c r="H311" s="18">
        <v>37434.51</v>
      </c>
      <c r="I311" t="s">
        <v>23</v>
      </c>
      <c r="J311" t="s">
        <v>19</v>
      </c>
      <c r="N311" t="s">
        <v>21</v>
      </c>
      <c r="O311" t="s">
        <v>22</v>
      </c>
      <c r="P311" t="s">
        <v>20</v>
      </c>
      <c r="Q311">
        <v>18101</v>
      </c>
      <c r="R311">
        <f t="shared" si="16"/>
        <v>2</v>
      </c>
      <c r="V311">
        <f t="shared" si="17"/>
        <v>18101</v>
      </c>
      <c r="Y311" s="18">
        <f t="shared" si="18"/>
        <v>37434.51</v>
      </c>
      <c r="Z311" s="18">
        <f t="shared" si="19"/>
        <v>0</v>
      </c>
    </row>
    <row r="312" spans="2:26" hidden="1" x14ac:dyDescent="0.25">
      <c r="B312" t="s">
        <v>15</v>
      </c>
      <c r="C312" t="s">
        <v>16</v>
      </c>
      <c r="D312" t="s">
        <v>16</v>
      </c>
      <c r="E312" t="s">
        <v>16</v>
      </c>
      <c r="F312" t="s">
        <v>16</v>
      </c>
      <c r="G312" t="s">
        <v>473</v>
      </c>
      <c r="H312" s="18">
        <v>-1681.61</v>
      </c>
      <c r="J312" t="s">
        <v>19</v>
      </c>
      <c r="N312" t="s">
        <v>21</v>
      </c>
      <c r="O312" t="s">
        <v>22</v>
      </c>
      <c r="P312" t="s">
        <v>20</v>
      </c>
      <c r="Q312">
        <v>23558</v>
      </c>
      <c r="R312">
        <f t="shared" si="16"/>
        <v>2</v>
      </c>
      <c r="V312">
        <f t="shared" si="17"/>
        <v>23558</v>
      </c>
      <c r="Y312" s="18">
        <f t="shared" si="18"/>
        <v>2109.91</v>
      </c>
      <c r="Z312" s="18" t="str">
        <f t="shared" si="19"/>
        <v/>
      </c>
    </row>
    <row r="313" spans="2:26" hidden="1" x14ac:dyDescent="0.25">
      <c r="B313" t="s">
        <v>15</v>
      </c>
      <c r="C313" t="s">
        <v>16</v>
      </c>
      <c r="D313" t="s">
        <v>16</v>
      </c>
      <c r="E313" t="s">
        <v>16</v>
      </c>
      <c r="F313" t="s">
        <v>16</v>
      </c>
      <c r="G313" t="s">
        <v>532</v>
      </c>
      <c r="H313" s="18">
        <v>-533155.37</v>
      </c>
      <c r="J313" t="s">
        <v>19</v>
      </c>
      <c r="N313" t="s">
        <v>21</v>
      </c>
      <c r="O313" t="s">
        <v>22</v>
      </c>
      <c r="P313" t="s">
        <v>20</v>
      </c>
      <c r="Q313">
        <v>23976</v>
      </c>
      <c r="R313">
        <f t="shared" si="16"/>
        <v>2</v>
      </c>
      <c r="V313">
        <f t="shared" si="17"/>
        <v>23976</v>
      </c>
      <c r="Y313" s="18">
        <f t="shared" si="18"/>
        <v>635122.44999999995</v>
      </c>
      <c r="Z313" s="18" t="str">
        <f t="shared" si="19"/>
        <v/>
      </c>
    </row>
    <row r="314" spans="2:26" x14ac:dyDescent="0.25">
      <c r="B314" t="s">
        <v>277</v>
      </c>
      <c r="C314" t="s">
        <v>16</v>
      </c>
      <c r="D314" t="s">
        <v>16</v>
      </c>
      <c r="E314" t="s">
        <v>16</v>
      </c>
      <c r="F314" t="s">
        <v>16</v>
      </c>
      <c r="G314" t="s">
        <v>437</v>
      </c>
      <c r="H314" s="18">
        <v>9784.2800000000007</v>
      </c>
      <c r="I314" t="s">
        <v>23</v>
      </c>
      <c r="J314" t="s">
        <v>19</v>
      </c>
      <c r="N314" t="s">
        <v>21</v>
      </c>
      <c r="O314" t="s">
        <v>22</v>
      </c>
      <c r="P314" t="s">
        <v>20</v>
      </c>
      <c r="Q314">
        <v>23528</v>
      </c>
      <c r="R314">
        <f t="shared" si="16"/>
        <v>2</v>
      </c>
      <c r="V314">
        <f t="shared" si="17"/>
        <v>23528</v>
      </c>
      <c r="Y314" s="18">
        <f t="shared" si="18"/>
        <v>9784.2800000000007</v>
      </c>
      <c r="Z314" s="18">
        <f t="shared" si="19"/>
        <v>0</v>
      </c>
    </row>
    <row r="315" spans="2:26" x14ac:dyDescent="0.25">
      <c r="B315" t="s">
        <v>277</v>
      </c>
      <c r="C315" t="s">
        <v>16</v>
      </c>
      <c r="D315" t="s">
        <v>16</v>
      </c>
      <c r="E315" t="s">
        <v>16</v>
      </c>
      <c r="F315" t="s">
        <v>16</v>
      </c>
      <c r="G315" t="s">
        <v>533</v>
      </c>
      <c r="H315" s="18">
        <v>96280.9</v>
      </c>
      <c r="I315" t="s">
        <v>23</v>
      </c>
      <c r="J315" t="s">
        <v>19</v>
      </c>
      <c r="N315" t="s">
        <v>21</v>
      </c>
      <c r="O315" t="s">
        <v>22</v>
      </c>
      <c r="P315" t="s">
        <v>20</v>
      </c>
      <c r="Q315">
        <v>25689</v>
      </c>
      <c r="R315">
        <f t="shared" si="16"/>
        <v>2</v>
      </c>
      <c r="V315">
        <f t="shared" si="17"/>
        <v>25689</v>
      </c>
      <c r="Y315" s="18">
        <f t="shared" si="18"/>
        <v>96280.9</v>
      </c>
      <c r="Z315" s="18">
        <f t="shared" si="19"/>
        <v>0</v>
      </c>
    </row>
    <row r="316" spans="2:26" hidden="1" x14ac:dyDescent="0.25">
      <c r="B316" t="s">
        <v>15</v>
      </c>
      <c r="C316" t="s">
        <v>16</v>
      </c>
      <c r="D316" t="s">
        <v>16</v>
      </c>
      <c r="E316" t="s">
        <v>16</v>
      </c>
      <c r="F316" t="s">
        <v>16</v>
      </c>
      <c r="G316" t="s">
        <v>524</v>
      </c>
      <c r="H316" s="18">
        <v>-1918.1</v>
      </c>
      <c r="J316" t="s">
        <v>19</v>
      </c>
      <c r="N316" t="s">
        <v>21</v>
      </c>
      <c r="O316" t="s">
        <v>22</v>
      </c>
      <c r="P316" t="s">
        <v>20</v>
      </c>
      <c r="Q316">
        <v>23594</v>
      </c>
      <c r="R316">
        <f t="shared" si="16"/>
        <v>2</v>
      </c>
      <c r="V316">
        <f t="shared" si="17"/>
        <v>23594</v>
      </c>
      <c r="Y316" s="18">
        <f t="shared" si="18"/>
        <v>2171.1799999999998</v>
      </c>
      <c r="Z316" s="18" t="str">
        <f t="shared" si="19"/>
        <v/>
      </c>
    </row>
    <row r="317" spans="2:26" x14ac:dyDescent="0.25">
      <c r="B317" t="s">
        <v>277</v>
      </c>
      <c r="C317" t="s">
        <v>16</v>
      </c>
      <c r="D317" t="s">
        <v>16</v>
      </c>
      <c r="E317" t="s">
        <v>16</v>
      </c>
      <c r="F317" t="s">
        <v>16</v>
      </c>
      <c r="G317" t="s">
        <v>534</v>
      </c>
      <c r="H317" s="18">
        <v>22749.01</v>
      </c>
      <c r="I317" t="s">
        <v>23</v>
      </c>
      <c r="J317" t="s">
        <v>19</v>
      </c>
      <c r="N317" t="s">
        <v>21</v>
      </c>
      <c r="O317" t="s">
        <v>22</v>
      </c>
      <c r="P317" t="s">
        <v>20</v>
      </c>
      <c r="Q317">
        <v>23502</v>
      </c>
      <c r="R317">
        <f t="shared" si="16"/>
        <v>2</v>
      </c>
      <c r="V317">
        <f t="shared" si="17"/>
        <v>23502</v>
      </c>
      <c r="Y317" s="18">
        <f t="shared" si="18"/>
        <v>22749.01</v>
      </c>
      <c r="Z317" s="18">
        <f t="shared" si="19"/>
        <v>0</v>
      </c>
    </row>
    <row r="318" spans="2:26" hidden="1" x14ac:dyDescent="0.25">
      <c r="B318" t="s">
        <v>15</v>
      </c>
      <c r="C318" t="s">
        <v>16</v>
      </c>
      <c r="D318" t="s">
        <v>16</v>
      </c>
      <c r="E318" t="s">
        <v>16</v>
      </c>
      <c r="F318" t="s">
        <v>16</v>
      </c>
      <c r="G318" t="s">
        <v>535</v>
      </c>
      <c r="H318" s="18">
        <v>-442.32</v>
      </c>
      <c r="J318" t="s">
        <v>19</v>
      </c>
      <c r="N318" t="s">
        <v>21</v>
      </c>
      <c r="O318" t="s">
        <v>22</v>
      </c>
      <c r="P318" t="s">
        <v>20</v>
      </c>
      <c r="Q318">
        <v>23621</v>
      </c>
      <c r="R318">
        <f t="shared" si="16"/>
        <v>2</v>
      </c>
      <c r="V318">
        <f t="shared" si="17"/>
        <v>23621</v>
      </c>
      <c r="Y318" s="18">
        <f t="shared" si="18"/>
        <v>870.62</v>
      </c>
      <c r="Z318" s="18" t="str">
        <f t="shared" si="19"/>
        <v/>
      </c>
    </row>
    <row r="319" spans="2:26" x14ac:dyDescent="0.25">
      <c r="B319" t="s">
        <v>277</v>
      </c>
      <c r="C319" t="s">
        <v>16</v>
      </c>
      <c r="D319" t="s">
        <v>16</v>
      </c>
      <c r="E319" t="s">
        <v>16</v>
      </c>
      <c r="F319" t="s">
        <v>16</v>
      </c>
      <c r="G319" t="s">
        <v>536</v>
      </c>
      <c r="H319" s="18">
        <v>71700</v>
      </c>
      <c r="I319" t="s">
        <v>23</v>
      </c>
      <c r="J319" t="s">
        <v>19</v>
      </c>
      <c r="N319" t="s">
        <v>21</v>
      </c>
      <c r="O319" t="s">
        <v>22</v>
      </c>
      <c r="P319" t="s">
        <v>20</v>
      </c>
      <c r="Q319">
        <v>27141</v>
      </c>
      <c r="R319">
        <f t="shared" si="16"/>
        <v>2</v>
      </c>
      <c r="V319">
        <f t="shared" si="17"/>
        <v>27141</v>
      </c>
      <c r="Y319" s="18">
        <f t="shared" si="18"/>
        <v>71700</v>
      </c>
      <c r="Z319" s="18">
        <f t="shared" si="19"/>
        <v>0</v>
      </c>
    </row>
    <row r="320" spans="2:26" hidden="1" x14ac:dyDescent="0.25">
      <c r="B320" t="s">
        <v>15</v>
      </c>
      <c r="C320" t="s">
        <v>16</v>
      </c>
      <c r="D320" t="s">
        <v>16</v>
      </c>
      <c r="E320" t="s">
        <v>16</v>
      </c>
      <c r="F320" t="s">
        <v>16</v>
      </c>
      <c r="G320" t="s">
        <v>537</v>
      </c>
      <c r="H320" s="18">
        <v>-19453.12</v>
      </c>
      <c r="J320" t="s">
        <v>19</v>
      </c>
      <c r="N320" t="s">
        <v>21</v>
      </c>
      <c r="O320" t="s">
        <v>22</v>
      </c>
      <c r="P320" t="s">
        <v>20</v>
      </c>
      <c r="Q320">
        <v>2435</v>
      </c>
      <c r="R320">
        <f t="shared" si="16"/>
        <v>2</v>
      </c>
      <c r="V320">
        <f t="shared" si="17"/>
        <v>2435</v>
      </c>
      <c r="Y320" s="18">
        <f t="shared" si="18"/>
        <v>19453.12</v>
      </c>
      <c r="Z320" s="18" t="str">
        <f t="shared" si="19"/>
        <v/>
      </c>
    </row>
    <row r="321" spans="2:26" x14ac:dyDescent="0.25">
      <c r="B321" t="s">
        <v>277</v>
      </c>
      <c r="C321" t="s">
        <v>16</v>
      </c>
      <c r="D321" t="s">
        <v>16</v>
      </c>
      <c r="E321" t="s">
        <v>16</v>
      </c>
      <c r="F321" t="s">
        <v>16</v>
      </c>
      <c r="G321" t="s">
        <v>538</v>
      </c>
      <c r="H321" s="18">
        <v>77638.94</v>
      </c>
      <c r="I321" t="s">
        <v>23</v>
      </c>
      <c r="J321" t="s">
        <v>19</v>
      </c>
      <c r="N321" t="s">
        <v>21</v>
      </c>
      <c r="O321" t="s">
        <v>22</v>
      </c>
      <c r="P321" t="s">
        <v>20</v>
      </c>
      <c r="Q321">
        <v>7400325342</v>
      </c>
      <c r="R321">
        <f t="shared" si="16"/>
        <v>2</v>
      </c>
      <c r="V321">
        <f t="shared" si="17"/>
        <v>7400325342</v>
      </c>
      <c r="Y321" s="18">
        <f t="shared" si="18"/>
        <v>77638.94</v>
      </c>
      <c r="Z321" s="18">
        <f t="shared" si="19"/>
        <v>0</v>
      </c>
    </row>
    <row r="322" spans="2:26" x14ac:dyDescent="0.25">
      <c r="B322" t="s">
        <v>277</v>
      </c>
      <c r="C322" t="s">
        <v>16</v>
      </c>
      <c r="D322" t="s">
        <v>16</v>
      </c>
      <c r="E322" t="s">
        <v>16</v>
      </c>
      <c r="F322" t="s">
        <v>16</v>
      </c>
      <c r="G322" t="s">
        <v>539</v>
      </c>
      <c r="H322" s="18">
        <v>2172.25</v>
      </c>
      <c r="I322" t="s">
        <v>23</v>
      </c>
      <c r="J322" t="s">
        <v>19</v>
      </c>
      <c r="N322" t="s">
        <v>21</v>
      </c>
      <c r="O322" t="s">
        <v>22</v>
      </c>
      <c r="P322" t="s">
        <v>20</v>
      </c>
      <c r="Q322">
        <v>23598</v>
      </c>
      <c r="R322">
        <f t="shared" si="16"/>
        <v>2</v>
      </c>
      <c r="V322">
        <f t="shared" si="17"/>
        <v>23598</v>
      </c>
      <c r="Y322" s="18">
        <f t="shared" si="18"/>
        <v>2172.25</v>
      </c>
      <c r="Z322" s="18">
        <f t="shared" si="19"/>
        <v>0</v>
      </c>
    </row>
    <row r="323" spans="2:26" x14ac:dyDescent="0.25">
      <c r="B323" t="s">
        <v>277</v>
      </c>
      <c r="C323" t="s">
        <v>16</v>
      </c>
      <c r="D323" t="s">
        <v>16</v>
      </c>
      <c r="E323" t="s">
        <v>16</v>
      </c>
      <c r="F323" t="s">
        <v>16</v>
      </c>
      <c r="G323" t="s">
        <v>379</v>
      </c>
      <c r="H323" s="18">
        <v>22749.01</v>
      </c>
      <c r="I323" t="s">
        <v>23</v>
      </c>
      <c r="J323" t="s">
        <v>19</v>
      </c>
      <c r="N323" t="s">
        <v>21</v>
      </c>
      <c r="O323" t="s">
        <v>22</v>
      </c>
      <c r="P323" t="s">
        <v>20</v>
      </c>
      <c r="Q323">
        <v>23504</v>
      </c>
      <c r="R323">
        <f t="shared" si="16"/>
        <v>2</v>
      </c>
      <c r="V323">
        <f t="shared" si="17"/>
        <v>23504</v>
      </c>
      <c r="Y323" s="18">
        <f t="shared" si="18"/>
        <v>22749.01</v>
      </c>
      <c r="Z323" s="18">
        <f t="shared" si="19"/>
        <v>0</v>
      </c>
    </row>
    <row r="324" spans="2:26" hidden="1" x14ac:dyDescent="0.25">
      <c r="B324" t="s">
        <v>15</v>
      </c>
      <c r="C324" t="s">
        <v>16</v>
      </c>
      <c r="D324" t="s">
        <v>16</v>
      </c>
      <c r="E324" t="s">
        <v>16</v>
      </c>
      <c r="F324" t="s">
        <v>16</v>
      </c>
      <c r="G324" t="s">
        <v>534</v>
      </c>
      <c r="H324" s="18">
        <v>-16188.29</v>
      </c>
      <c r="J324" t="s">
        <v>19</v>
      </c>
      <c r="N324" t="s">
        <v>21</v>
      </c>
      <c r="O324" t="s">
        <v>22</v>
      </c>
      <c r="P324" t="s">
        <v>20</v>
      </c>
      <c r="Q324">
        <v>23502</v>
      </c>
      <c r="R324">
        <f t="shared" si="16"/>
        <v>2</v>
      </c>
      <c r="V324">
        <f t="shared" si="17"/>
        <v>23502</v>
      </c>
      <c r="Y324" s="18">
        <f t="shared" si="18"/>
        <v>22749.01</v>
      </c>
      <c r="Z324" s="18" t="str">
        <f t="shared" si="19"/>
        <v/>
      </c>
    </row>
    <row r="325" spans="2:26" hidden="1" x14ac:dyDescent="0.25">
      <c r="B325" t="s">
        <v>15</v>
      </c>
      <c r="C325" t="s">
        <v>16</v>
      </c>
      <c r="D325" t="s">
        <v>16</v>
      </c>
      <c r="E325" t="s">
        <v>16</v>
      </c>
      <c r="F325" t="s">
        <v>16</v>
      </c>
      <c r="G325" t="s">
        <v>540</v>
      </c>
      <c r="H325" s="18">
        <v>-958.33</v>
      </c>
      <c r="J325" t="s">
        <v>19</v>
      </c>
      <c r="N325" t="s">
        <v>21</v>
      </c>
      <c r="O325" t="s">
        <v>22</v>
      </c>
      <c r="P325" t="s">
        <v>20</v>
      </c>
      <c r="Q325">
        <v>23612</v>
      </c>
      <c r="R325">
        <f t="shared" si="16"/>
        <v>2</v>
      </c>
      <c r="V325">
        <f t="shared" si="17"/>
        <v>23612</v>
      </c>
      <c r="Y325" s="18">
        <f t="shared" si="18"/>
        <v>1892.79</v>
      </c>
      <c r="Z325" s="18" t="str">
        <f t="shared" si="19"/>
        <v/>
      </c>
    </row>
    <row r="326" spans="2:26" hidden="1" x14ac:dyDescent="0.25">
      <c r="B326" t="s">
        <v>15</v>
      </c>
      <c r="C326" t="s">
        <v>16</v>
      </c>
      <c r="D326" t="s">
        <v>16</v>
      </c>
      <c r="E326" t="s">
        <v>16</v>
      </c>
      <c r="F326" t="s">
        <v>16</v>
      </c>
      <c r="G326" t="s">
        <v>541</v>
      </c>
      <c r="H326" s="18">
        <v>-61009.17</v>
      </c>
      <c r="J326" t="s">
        <v>19</v>
      </c>
      <c r="N326" t="s">
        <v>21</v>
      </c>
      <c r="O326" t="s">
        <v>22</v>
      </c>
      <c r="P326" t="s">
        <v>20</v>
      </c>
      <c r="Q326">
        <v>19283</v>
      </c>
      <c r="R326">
        <f t="shared" si="16"/>
        <v>2</v>
      </c>
      <c r="V326">
        <f t="shared" si="17"/>
        <v>19283</v>
      </c>
      <c r="Y326" s="18">
        <f t="shared" si="18"/>
        <v>279975.7</v>
      </c>
      <c r="Z326" s="18" t="str">
        <f t="shared" si="19"/>
        <v/>
      </c>
    </row>
    <row r="327" spans="2:26" hidden="1" x14ac:dyDescent="0.25">
      <c r="B327" t="s">
        <v>277</v>
      </c>
      <c r="C327" t="s">
        <v>16</v>
      </c>
      <c r="D327" t="s">
        <v>16</v>
      </c>
      <c r="E327" t="s">
        <v>16</v>
      </c>
      <c r="F327" t="s">
        <v>16</v>
      </c>
      <c r="G327" t="s">
        <v>491</v>
      </c>
      <c r="H327" s="18">
        <v>46145.37</v>
      </c>
      <c r="I327" t="s">
        <v>23</v>
      </c>
      <c r="J327" t="s">
        <v>19</v>
      </c>
      <c r="N327" t="s">
        <v>21</v>
      </c>
      <c r="O327" t="s">
        <v>22</v>
      </c>
      <c r="P327" t="s">
        <v>20</v>
      </c>
      <c r="Q327">
        <v>27149</v>
      </c>
      <c r="R327">
        <f t="shared" si="16"/>
        <v>2</v>
      </c>
      <c r="V327" t="str">
        <f t="shared" si="17"/>
        <v/>
      </c>
      <c r="W327" s="26" t="s">
        <v>686</v>
      </c>
      <c r="X327" s="15" t="s">
        <v>129</v>
      </c>
      <c r="Y327" s="18" t="str">
        <f t="shared" si="18"/>
        <v/>
      </c>
      <c r="Z327" s="18" t="str">
        <f t="shared" si="19"/>
        <v/>
      </c>
    </row>
    <row r="328" spans="2:26" x14ac:dyDescent="0.25">
      <c r="B328" t="s">
        <v>277</v>
      </c>
      <c r="C328" t="s">
        <v>16</v>
      </c>
      <c r="D328" t="s">
        <v>16</v>
      </c>
      <c r="E328" t="s">
        <v>16</v>
      </c>
      <c r="F328" t="s">
        <v>16</v>
      </c>
      <c r="G328" t="s">
        <v>542</v>
      </c>
      <c r="H328" s="18">
        <v>2818.7</v>
      </c>
      <c r="I328" t="s">
        <v>23</v>
      </c>
      <c r="J328" t="s">
        <v>19</v>
      </c>
      <c r="N328" t="s">
        <v>21</v>
      </c>
      <c r="O328" t="s">
        <v>22</v>
      </c>
      <c r="P328" t="s">
        <v>20</v>
      </c>
      <c r="Q328">
        <v>19370</v>
      </c>
      <c r="R328">
        <f t="shared" si="16"/>
        <v>2</v>
      </c>
      <c r="V328">
        <f t="shared" si="17"/>
        <v>19370</v>
      </c>
      <c r="Y328" s="18">
        <f t="shared" si="18"/>
        <v>2818.7</v>
      </c>
      <c r="Z328" s="18">
        <f t="shared" si="19"/>
        <v>0</v>
      </c>
    </row>
    <row r="329" spans="2:26" x14ac:dyDescent="0.25">
      <c r="B329" t="s">
        <v>277</v>
      </c>
      <c r="C329" t="s">
        <v>16</v>
      </c>
      <c r="D329" t="s">
        <v>16</v>
      </c>
      <c r="E329" t="s">
        <v>16</v>
      </c>
      <c r="F329" t="s">
        <v>16</v>
      </c>
      <c r="G329" t="s">
        <v>339</v>
      </c>
      <c r="H329" s="18">
        <v>138191.62</v>
      </c>
      <c r="I329" t="s">
        <v>23</v>
      </c>
      <c r="J329" t="s">
        <v>19</v>
      </c>
      <c r="N329" t="s">
        <v>21</v>
      </c>
      <c r="O329" t="s">
        <v>22</v>
      </c>
      <c r="P329" t="s">
        <v>20</v>
      </c>
      <c r="Q329">
        <v>2611001226</v>
      </c>
      <c r="R329">
        <f t="shared" si="16"/>
        <v>2</v>
      </c>
      <c r="V329">
        <f t="shared" si="17"/>
        <v>2611001226</v>
      </c>
      <c r="Y329" s="18">
        <f t="shared" si="18"/>
        <v>138191.62</v>
      </c>
      <c r="Z329" s="18">
        <f t="shared" si="19"/>
        <v>0</v>
      </c>
    </row>
    <row r="330" spans="2:26" x14ac:dyDescent="0.25">
      <c r="B330" t="s">
        <v>277</v>
      </c>
      <c r="C330" t="s">
        <v>16</v>
      </c>
      <c r="D330" t="s">
        <v>16</v>
      </c>
      <c r="E330" t="s">
        <v>16</v>
      </c>
      <c r="F330" t="s">
        <v>16</v>
      </c>
      <c r="G330" t="s">
        <v>543</v>
      </c>
      <c r="H330" s="18">
        <v>389003.7</v>
      </c>
      <c r="I330" t="s">
        <v>23</v>
      </c>
      <c r="J330" t="s">
        <v>19</v>
      </c>
      <c r="N330" t="s">
        <v>21</v>
      </c>
      <c r="O330" t="s">
        <v>22</v>
      </c>
      <c r="P330" t="s">
        <v>20</v>
      </c>
      <c r="Q330">
        <v>24166</v>
      </c>
      <c r="R330">
        <f t="shared" ref="R330:R393" si="20">COUNTIF($Q$9:$Q$816,Q330)</f>
        <v>2</v>
      </c>
      <c r="V330">
        <f t="shared" ref="V330:V393" si="21">IFERROR(VLOOKUP(Q330,$C$823:$C$1253,1,FALSE),"")</f>
        <v>24166</v>
      </c>
      <c r="Y330" s="18">
        <f t="shared" ref="Y330:Y393" si="22">IFERROR(VLOOKUP(Q330,$C$823:$D$1253,2,FALSE),"")</f>
        <v>389003.7</v>
      </c>
      <c r="Z330" s="18">
        <f t="shared" ref="Z330:Z393" si="23">IFERROR(IF(RIGHT(B330,6)="TYVA02","",H330-Y330),"")</f>
        <v>0</v>
      </c>
    </row>
    <row r="331" spans="2:26" hidden="1" x14ac:dyDescent="0.25">
      <c r="B331" t="s">
        <v>15</v>
      </c>
      <c r="C331" t="s">
        <v>16</v>
      </c>
      <c r="D331" t="s">
        <v>16</v>
      </c>
      <c r="E331" t="s">
        <v>16</v>
      </c>
      <c r="F331" t="s">
        <v>16</v>
      </c>
      <c r="G331" t="s">
        <v>544</v>
      </c>
      <c r="H331" s="18">
        <v>-46666.02</v>
      </c>
      <c r="J331" t="s">
        <v>19</v>
      </c>
      <c r="N331" t="s">
        <v>21</v>
      </c>
      <c r="O331" t="s">
        <v>22</v>
      </c>
      <c r="P331" t="s">
        <v>20</v>
      </c>
      <c r="Q331">
        <v>9002101516</v>
      </c>
      <c r="R331">
        <f t="shared" si="20"/>
        <v>2</v>
      </c>
      <c r="V331">
        <f t="shared" si="21"/>
        <v>9002101516</v>
      </c>
      <c r="Y331" s="18">
        <f t="shared" si="22"/>
        <v>87884</v>
      </c>
      <c r="Z331" s="18" t="str">
        <f t="shared" si="23"/>
        <v/>
      </c>
    </row>
    <row r="332" spans="2:26" x14ac:dyDescent="0.25">
      <c r="B332" t="s">
        <v>277</v>
      </c>
      <c r="C332" t="s">
        <v>16</v>
      </c>
      <c r="D332" t="s">
        <v>16</v>
      </c>
      <c r="E332" t="s">
        <v>16</v>
      </c>
      <c r="F332" t="s">
        <v>16</v>
      </c>
      <c r="G332" t="s">
        <v>545</v>
      </c>
      <c r="H332" s="18">
        <v>40789.5</v>
      </c>
      <c r="I332" t="s">
        <v>23</v>
      </c>
      <c r="J332" t="s">
        <v>19</v>
      </c>
      <c r="N332" t="s">
        <v>21</v>
      </c>
      <c r="O332" t="s">
        <v>22</v>
      </c>
      <c r="P332" t="s">
        <v>20</v>
      </c>
      <c r="Q332">
        <v>26679</v>
      </c>
      <c r="R332">
        <f t="shared" si="20"/>
        <v>2</v>
      </c>
      <c r="V332">
        <f t="shared" si="21"/>
        <v>26679</v>
      </c>
      <c r="Y332" s="18">
        <f t="shared" si="22"/>
        <v>40789.5</v>
      </c>
      <c r="Z332" s="18">
        <f t="shared" si="23"/>
        <v>0</v>
      </c>
    </row>
    <row r="333" spans="2:26" x14ac:dyDescent="0.25">
      <c r="B333" t="s">
        <v>277</v>
      </c>
      <c r="C333" t="s">
        <v>16</v>
      </c>
      <c r="D333" t="s">
        <v>16</v>
      </c>
      <c r="E333" t="s">
        <v>16</v>
      </c>
      <c r="F333" t="s">
        <v>16</v>
      </c>
      <c r="G333" t="s">
        <v>527</v>
      </c>
      <c r="H333" s="18">
        <v>115786.62</v>
      </c>
      <c r="I333" t="s">
        <v>23</v>
      </c>
      <c r="J333" t="s">
        <v>19</v>
      </c>
      <c r="N333" t="s">
        <v>21</v>
      </c>
      <c r="O333" t="s">
        <v>22</v>
      </c>
      <c r="P333" t="s">
        <v>20</v>
      </c>
      <c r="Q333">
        <v>7353</v>
      </c>
      <c r="R333">
        <f t="shared" si="20"/>
        <v>2</v>
      </c>
      <c r="V333">
        <f t="shared" si="21"/>
        <v>7353</v>
      </c>
      <c r="Y333" s="18">
        <f t="shared" si="22"/>
        <v>115786.62</v>
      </c>
      <c r="Z333" s="18">
        <f t="shared" si="23"/>
        <v>0</v>
      </c>
    </row>
    <row r="334" spans="2:26" hidden="1" x14ac:dyDescent="0.25">
      <c r="B334" t="s">
        <v>15</v>
      </c>
      <c r="C334" t="s">
        <v>16</v>
      </c>
      <c r="D334" t="s">
        <v>16</v>
      </c>
      <c r="E334" t="s">
        <v>16</v>
      </c>
      <c r="F334" t="s">
        <v>16</v>
      </c>
      <c r="G334" t="s">
        <v>338</v>
      </c>
      <c r="H334" s="18">
        <v>-10970.09</v>
      </c>
      <c r="J334" t="s">
        <v>19</v>
      </c>
      <c r="N334" t="s">
        <v>21</v>
      </c>
      <c r="O334" t="s">
        <v>22</v>
      </c>
      <c r="P334" t="s">
        <v>20</v>
      </c>
      <c r="Q334">
        <v>3221</v>
      </c>
      <c r="R334">
        <f t="shared" si="20"/>
        <v>2</v>
      </c>
      <c r="V334">
        <f t="shared" si="21"/>
        <v>3221</v>
      </c>
      <c r="Y334" s="18">
        <f t="shared" si="22"/>
        <v>10970.09</v>
      </c>
      <c r="Z334" s="18" t="str">
        <f t="shared" si="23"/>
        <v/>
      </c>
    </row>
    <row r="335" spans="2:26" x14ac:dyDescent="0.25">
      <c r="B335" t="s">
        <v>277</v>
      </c>
      <c r="C335" t="s">
        <v>16</v>
      </c>
      <c r="D335" t="s">
        <v>16</v>
      </c>
      <c r="E335" t="s">
        <v>16</v>
      </c>
      <c r="F335" t="s">
        <v>16</v>
      </c>
      <c r="G335" t="s">
        <v>546</v>
      </c>
      <c r="H335" s="18">
        <v>33150</v>
      </c>
      <c r="I335" t="s">
        <v>23</v>
      </c>
      <c r="J335" t="s">
        <v>19</v>
      </c>
      <c r="N335" t="s">
        <v>21</v>
      </c>
      <c r="O335" t="s">
        <v>22</v>
      </c>
      <c r="P335" t="s">
        <v>20</v>
      </c>
      <c r="Q335">
        <v>27146</v>
      </c>
      <c r="R335">
        <f t="shared" si="20"/>
        <v>2</v>
      </c>
      <c r="V335">
        <f t="shared" si="21"/>
        <v>27146</v>
      </c>
      <c r="Y335" s="18">
        <f t="shared" si="22"/>
        <v>33150</v>
      </c>
      <c r="Z335" s="18">
        <f t="shared" si="23"/>
        <v>0</v>
      </c>
    </row>
    <row r="336" spans="2:26" hidden="1" x14ac:dyDescent="0.25">
      <c r="B336" t="s">
        <v>15</v>
      </c>
      <c r="C336" t="s">
        <v>16</v>
      </c>
      <c r="D336" t="s">
        <v>16</v>
      </c>
      <c r="E336" t="s">
        <v>16</v>
      </c>
      <c r="F336" t="s">
        <v>16</v>
      </c>
      <c r="G336" t="s">
        <v>547</v>
      </c>
      <c r="H336" s="18">
        <v>-51892.76</v>
      </c>
      <c r="J336" t="s">
        <v>19</v>
      </c>
      <c r="N336" t="s">
        <v>21</v>
      </c>
      <c r="O336" t="s">
        <v>22</v>
      </c>
      <c r="P336" t="s">
        <v>20</v>
      </c>
      <c r="Q336">
        <v>8010464178</v>
      </c>
      <c r="R336">
        <f t="shared" si="20"/>
        <v>2</v>
      </c>
      <c r="V336">
        <f t="shared" si="21"/>
        <v>8010464178</v>
      </c>
      <c r="Y336" s="18">
        <f t="shared" si="22"/>
        <v>101096.36</v>
      </c>
      <c r="Z336" s="18" t="str">
        <f t="shared" si="23"/>
        <v/>
      </c>
    </row>
    <row r="337" spans="2:26" x14ac:dyDescent="0.25">
      <c r="B337" t="s">
        <v>277</v>
      </c>
      <c r="C337" t="s">
        <v>16</v>
      </c>
      <c r="D337" t="s">
        <v>16</v>
      </c>
      <c r="E337" t="s">
        <v>16</v>
      </c>
      <c r="F337" t="s">
        <v>16</v>
      </c>
      <c r="G337" t="s">
        <v>548</v>
      </c>
      <c r="H337" s="18">
        <v>94109.61</v>
      </c>
      <c r="I337" t="s">
        <v>23</v>
      </c>
      <c r="J337" t="s">
        <v>19</v>
      </c>
      <c r="N337" t="s">
        <v>21</v>
      </c>
      <c r="O337" t="s">
        <v>22</v>
      </c>
      <c r="P337" t="s">
        <v>20</v>
      </c>
      <c r="Q337">
        <v>23515</v>
      </c>
      <c r="R337">
        <f t="shared" si="20"/>
        <v>2</v>
      </c>
      <c r="V337">
        <f t="shared" si="21"/>
        <v>23515</v>
      </c>
      <c r="Y337" s="18">
        <f t="shared" si="22"/>
        <v>94109.61</v>
      </c>
      <c r="Z337" s="18">
        <f t="shared" si="23"/>
        <v>0</v>
      </c>
    </row>
    <row r="338" spans="2:26" hidden="1" x14ac:dyDescent="0.25">
      <c r="B338" t="s">
        <v>15</v>
      </c>
      <c r="C338" t="s">
        <v>16</v>
      </c>
      <c r="D338" t="s">
        <v>16</v>
      </c>
      <c r="E338" t="s">
        <v>16</v>
      </c>
      <c r="F338" t="s">
        <v>16</v>
      </c>
      <c r="G338" t="s">
        <v>288</v>
      </c>
      <c r="H338" s="18">
        <v>-159.07</v>
      </c>
      <c r="J338" t="s">
        <v>19</v>
      </c>
      <c r="N338" t="s">
        <v>21</v>
      </c>
      <c r="O338" t="s">
        <v>22</v>
      </c>
      <c r="P338" t="s">
        <v>20</v>
      </c>
      <c r="Q338">
        <v>23643</v>
      </c>
      <c r="R338">
        <f t="shared" si="20"/>
        <v>2</v>
      </c>
      <c r="V338">
        <f t="shared" si="21"/>
        <v>23643</v>
      </c>
      <c r="Y338" s="18">
        <f t="shared" si="22"/>
        <v>334.28</v>
      </c>
      <c r="Z338" s="18" t="str">
        <f t="shared" si="23"/>
        <v/>
      </c>
    </row>
    <row r="339" spans="2:26" x14ac:dyDescent="0.25">
      <c r="B339" t="s">
        <v>277</v>
      </c>
      <c r="C339" t="s">
        <v>16</v>
      </c>
      <c r="D339" t="s">
        <v>16</v>
      </c>
      <c r="E339" t="s">
        <v>16</v>
      </c>
      <c r="F339" t="s">
        <v>16</v>
      </c>
      <c r="G339" t="s">
        <v>549</v>
      </c>
      <c r="H339" s="18">
        <v>187286.39999999999</v>
      </c>
      <c r="I339" t="s">
        <v>23</v>
      </c>
      <c r="J339" t="s">
        <v>19</v>
      </c>
      <c r="N339" t="s">
        <v>21</v>
      </c>
      <c r="O339" t="s">
        <v>22</v>
      </c>
      <c r="P339" t="s">
        <v>20</v>
      </c>
      <c r="Q339">
        <v>23778</v>
      </c>
      <c r="R339">
        <f t="shared" si="20"/>
        <v>2</v>
      </c>
      <c r="V339">
        <f t="shared" si="21"/>
        <v>23778</v>
      </c>
      <c r="Y339" s="18">
        <f t="shared" si="22"/>
        <v>187286.39999999999</v>
      </c>
      <c r="Z339" s="18">
        <f t="shared" si="23"/>
        <v>0</v>
      </c>
    </row>
    <row r="340" spans="2:26" x14ac:dyDescent="0.25">
      <c r="B340" t="s">
        <v>277</v>
      </c>
      <c r="C340" t="s">
        <v>16</v>
      </c>
      <c r="D340" t="s">
        <v>16</v>
      </c>
      <c r="E340" t="s">
        <v>16</v>
      </c>
      <c r="F340" t="s">
        <v>16</v>
      </c>
      <c r="G340" t="s">
        <v>294</v>
      </c>
      <c r="H340" s="18">
        <v>9145.82</v>
      </c>
      <c r="I340" t="s">
        <v>23</v>
      </c>
      <c r="J340" t="s">
        <v>19</v>
      </c>
      <c r="N340" t="s">
        <v>21</v>
      </c>
      <c r="O340" t="s">
        <v>22</v>
      </c>
      <c r="P340" t="s">
        <v>20</v>
      </c>
      <c r="Q340">
        <v>23549</v>
      </c>
      <c r="R340">
        <f t="shared" si="20"/>
        <v>2</v>
      </c>
      <c r="V340">
        <f t="shared" si="21"/>
        <v>23549</v>
      </c>
      <c r="Y340" s="18">
        <f t="shared" si="22"/>
        <v>9145.82</v>
      </c>
      <c r="Z340" s="18">
        <f t="shared" si="23"/>
        <v>0</v>
      </c>
    </row>
    <row r="341" spans="2:26" hidden="1" x14ac:dyDescent="0.25">
      <c r="B341" t="s">
        <v>15</v>
      </c>
      <c r="C341" t="s">
        <v>16</v>
      </c>
      <c r="D341" t="s">
        <v>16</v>
      </c>
      <c r="E341" t="s">
        <v>16</v>
      </c>
      <c r="F341" t="s">
        <v>16</v>
      </c>
      <c r="G341" t="s">
        <v>550</v>
      </c>
      <c r="H341" s="18">
        <v>-11002.01</v>
      </c>
      <c r="J341" t="s">
        <v>19</v>
      </c>
      <c r="N341" t="s">
        <v>21</v>
      </c>
      <c r="O341" t="s">
        <v>22</v>
      </c>
      <c r="P341" t="s">
        <v>20</v>
      </c>
      <c r="Q341">
        <v>23574</v>
      </c>
      <c r="R341">
        <f t="shared" si="20"/>
        <v>2</v>
      </c>
      <c r="V341">
        <f t="shared" si="21"/>
        <v>23574</v>
      </c>
      <c r="Y341" s="18">
        <f t="shared" si="22"/>
        <v>13435.51</v>
      </c>
      <c r="Z341" s="18" t="str">
        <f t="shared" si="23"/>
        <v/>
      </c>
    </row>
    <row r="342" spans="2:26" hidden="1" x14ac:dyDescent="0.25">
      <c r="B342" t="s">
        <v>15</v>
      </c>
      <c r="C342" t="s">
        <v>16</v>
      </c>
      <c r="D342" t="s">
        <v>16</v>
      </c>
      <c r="E342" t="s">
        <v>16</v>
      </c>
      <c r="F342" t="s">
        <v>16</v>
      </c>
      <c r="G342" t="s">
        <v>356</v>
      </c>
      <c r="H342" s="18">
        <v>-1518.78</v>
      </c>
      <c r="J342" t="s">
        <v>19</v>
      </c>
      <c r="N342" t="s">
        <v>21</v>
      </c>
      <c r="O342" t="s">
        <v>22</v>
      </c>
      <c r="P342" t="s">
        <v>20</v>
      </c>
      <c r="Q342">
        <v>23589</v>
      </c>
      <c r="R342">
        <f t="shared" si="20"/>
        <v>2</v>
      </c>
      <c r="V342">
        <f t="shared" si="21"/>
        <v>23589</v>
      </c>
      <c r="Y342" s="18">
        <f t="shared" si="22"/>
        <v>1859.47</v>
      </c>
      <c r="Z342" s="18" t="str">
        <f t="shared" si="23"/>
        <v/>
      </c>
    </row>
    <row r="343" spans="2:26" x14ac:dyDescent="0.25">
      <c r="B343" t="s">
        <v>277</v>
      </c>
      <c r="C343" t="s">
        <v>16</v>
      </c>
      <c r="D343" t="s">
        <v>16</v>
      </c>
      <c r="E343" t="s">
        <v>16</v>
      </c>
      <c r="F343" t="s">
        <v>16</v>
      </c>
      <c r="G343" t="s">
        <v>551</v>
      </c>
      <c r="H343" s="18">
        <v>62914.92</v>
      </c>
      <c r="I343" t="s">
        <v>23</v>
      </c>
      <c r="J343" t="s">
        <v>19</v>
      </c>
      <c r="N343" t="s">
        <v>21</v>
      </c>
      <c r="O343" t="s">
        <v>22</v>
      </c>
      <c r="P343" t="s">
        <v>20</v>
      </c>
      <c r="Q343">
        <v>27061</v>
      </c>
      <c r="R343">
        <f t="shared" si="20"/>
        <v>2</v>
      </c>
      <c r="V343">
        <f t="shared" si="21"/>
        <v>27061</v>
      </c>
      <c r="Y343" s="18">
        <f t="shared" si="22"/>
        <v>62914.92</v>
      </c>
      <c r="Z343" s="18">
        <f t="shared" si="23"/>
        <v>0</v>
      </c>
    </row>
    <row r="344" spans="2:26" hidden="1" x14ac:dyDescent="0.25">
      <c r="B344" t="s">
        <v>277</v>
      </c>
      <c r="C344" t="s">
        <v>16</v>
      </c>
      <c r="D344" t="s">
        <v>16</v>
      </c>
      <c r="E344" t="s">
        <v>16</v>
      </c>
      <c r="F344" t="s">
        <v>16</v>
      </c>
      <c r="G344" t="s">
        <v>458</v>
      </c>
      <c r="H344" s="18">
        <v>88569.84</v>
      </c>
      <c r="I344" t="s">
        <v>23</v>
      </c>
      <c r="J344" t="s">
        <v>19</v>
      </c>
      <c r="N344" t="s">
        <v>21</v>
      </c>
      <c r="O344" t="s">
        <v>22</v>
      </c>
      <c r="P344" t="s">
        <v>20</v>
      </c>
      <c r="Q344">
        <v>27172</v>
      </c>
      <c r="R344">
        <f t="shared" si="20"/>
        <v>2</v>
      </c>
      <c r="V344" t="str">
        <f t="shared" si="21"/>
        <v/>
      </c>
      <c r="W344" s="26" t="s">
        <v>686</v>
      </c>
      <c r="X344" s="15" t="s">
        <v>129</v>
      </c>
      <c r="Y344" s="18" t="str">
        <f t="shared" si="22"/>
        <v/>
      </c>
      <c r="Z344" s="18" t="str">
        <f t="shared" si="23"/>
        <v/>
      </c>
    </row>
    <row r="345" spans="2:26" x14ac:dyDescent="0.25">
      <c r="B345" t="s">
        <v>277</v>
      </c>
      <c r="C345" t="s">
        <v>16</v>
      </c>
      <c r="D345" t="s">
        <v>16</v>
      </c>
      <c r="E345" t="s">
        <v>16</v>
      </c>
      <c r="F345" t="s">
        <v>16</v>
      </c>
      <c r="G345" t="s">
        <v>552</v>
      </c>
      <c r="H345" s="18">
        <v>10748.41</v>
      </c>
      <c r="I345" t="s">
        <v>23</v>
      </c>
      <c r="J345" t="s">
        <v>19</v>
      </c>
      <c r="N345" t="s">
        <v>21</v>
      </c>
      <c r="O345" t="s">
        <v>22</v>
      </c>
      <c r="P345" t="s">
        <v>20</v>
      </c>
      <c r="Q345">
        <v>23546</v>
      </c>
      <c r="R345">
        <f t="shared" si="20"/>
        <v>2</v>
      </c>
      <c r="V345">
        <f t="shared" si="21"/>
        <v>23546</v>
      </c>
      <c r="Y345" s="18">
        <f t="shared" si="22"/>
        <v>10748.41</v>
      </c>
      <c r="Z345" s="18">
        <f t="shared" si="23"/>
        <v>0</v>
      </c>
    </row>
    <row r="346" spans="2:26" x14ac:dyDescent="0.25">
      <c r="B346" t="s">
        <v>277</v>
      </c>
      <c r="C346" t="s">
        <v>16</v>
      </c>
      <c r="D346" t="s">
        <v>16</v>
      </c>
      <c r="E346" t="s">
        <v>16</v>
      </c>
      <c r="F346" t="s">
        <v>16</v>
      </c>
      <c r="G346" t="s">
        <v>371</v>
      </c>
      <c r="H346" s="18">
        <v>346.1</v>
      </c>
      <c r="I346" t="s">
        <v>23</v>
      </c>
      <c r="J346" t="s">
        <v>19</v>
      </c>
      <c r="N346" t="s">
        <v>21</v>
      </c>
      <c r="O346" t="s">
        <v>22</v>
      </c>
      <c r="P346" t="s">
        <v>20</v>
      </c>
      <c r="Q346">
        <v>23653</v>
      </c>
      <c r="R346">
        <f t="shared" si="20"/>
        <v>2</v>
      </c>
      <c r="V346">
        <f t="shared" si="21"/>
        <v>23653</v>
      </c>
      <c r="Y346" s="18">
        <f t="shared" si="22"/>
        <v>346.1</v>
      </c>
      <c r="Z346" s="18">
        <f t="shared" si="23"/>
        <v>0</v>
      </c>
    </row>
    <row r="347" spans="2:26" hidden="1" x14ac:dyDescent="0.25">
      <c r="B347" t="s">
        <v>15</v>
      </c>
      <c r="C347" t="s">
        <v>16</v>
      </c>
      <c r="D347" t="s">
        <v>16</v>
      </c>
      <c r="E347" t="s">
        <v>16</v>
      </c>
      <c r="F347" t="s">
        <v>16</v>
      </c>
      <c r="G347" t="s">
        <v>553</v>
      </c>
      <c r="H347" s="18">
        <v>-29.55</v>
      </c>
      <c r="J347" t="s">
        <v>19</v>
      </c>
      <c r="N347" t="s">
        <v>21</v>
      </c>
      <c r="O347" t="s">
        <v>22</v>
      </c>
      <c r="P347" t="s">
        <v>20</v>
      </c>
      <c r="Q347">
        <v>23650</v>
      </c>
      <c r="R347">
        <f t="shared" si="20"/>
        <v>2</v>
      </c>
      <c r="V347">
        <f t="shared" si="21"/>
        <v>23650</v>
      </c>
      <c r="Y347" s="18">
        <f t="shared" si="22"/>
        <v>117.16</v>
      </c>
      <c r="Z347" s="18" t="str">
        <f t="shared" si="23"/>
        <v/>
      </c>
    </row>
    <row r="348" spans="2:26" x14ac:dyDescent="0.25">
      <c r="B348" t="s">
        <v>277</v>
      </c>
      <c r="C348" t="s">
        <v>16</v>
      </c>
      <c r="D348" t="s">
        <v>16</v>
      </c>
      <c r="E348" t="s">
        <v>16</v>
      </c>
      <c r="F348" t="s">
        <v>16</v>
      </c>
      <c r="G348" t="s">
        <v>322</v>
      </c>
      <c r="H348" s="18">
        <v>31058</v>
      </c>
      <c r="I348" t="s">
        <v>23</v>
      </c>
      <c r="J348" t="s">
        <v>19</v>
      </c>
      <c r="N348" t="s">
        <v>21</v>
      </c>
      <c r="O348" t="s">
        <v>22</v>
      </c>
      <c r="P348" t="s">
        <v>20</v>
      </c>
      <c r="Q348">
        <v>27074</v>
      </c>
      <c r="R348">
        <f t="shared" si="20"/>
        <v>2</v>
      </c>
      <c r="V348">
        <f t="shared" si="21"/>
        <v>27074</v>
      </c>
      <c r="Y348" s="18">
        <f t="shared" si="22"/>
        <v>31058</v>
      </c>
      <c r="Z348" s="18">
        <f t="shared" si="23"/>
        <v>0</v>
      </c>
    </row>
    <row r="349" spans="2:26" hidden="1" x14ac:dyDescent="0.25">
      <c r="B349" t="s">
        <v>15</v>
      </c>
      <c r="C349" t="s">
        <v>16</v>
      </c>
      <c r="D349" t="s">
        <v>16</v>
      </c>
      <c r="E349" t="s">
        <v>16</v>
      </c>
      <c r="F349" t="s">
        <v>16</v>
      </c>
      <c r="G349" t="s">
        <v>463</v>
      </c>
      <c r="H349" s="18">
        <v>-7472.92</v>
      </c>
      <c r="J349" t="s">
        <v>19</v>
      </c>
      <c r="N349" t="s">
        <v>21</v>
      </c>
      <c r="O349" t="s">
        <v>22</v>
      </c>
      <c r="P349" t="s">
        <v>20</v>
      </c>
      <c r="Q349">
        <v>23603</v>
      </c>
      <c r="R349">
        <f t="shared" si="20"/>
        <v>2</v>
      </c>
      <c r="V349">
        <f t="shared" si="21"/>
        <v>23603</v>
      </c>
      <c r="Y349" s="18">
        <f t="shared" si="22"/>
        <v>10748.41</v>
      </c>
      <c r="Z349" s="18" t="str">
        <f t="shared" si="23"/>
        <v/>
      </c>
    </row>
    <row r="350" spans="2:26" x14ac:dyDescent="0.25">
      <c r="B350" t="s">
        <v>277</v>
      </c>
      <c r="C350" t="s">
        <v>16</v>
      </c>
      <c r="D350" t="s">
        <v>16</v>
      </c>
      <c r="E350" t="s">
        <v>16</v>
      </c>
      <c r="F350" t="s">
        <v>16</v>
      </c>
      <c r="G350" t="s">
        <v>554</v>
      </c>
      <c r="H350" s="18">
        <v>44013.41</v>
      </c>
      <c r="I350" t="s">
        <v>23</v>
      </c>
      <c r="J350" t="s">
        <v>19</v>
      </c>
      <c r="N350" t="s">
        <v>21</v>
      </c>
      <c r="O350" t="s">
        <v>22</v>
      </c>
      <c r="P350" t="s">
        <v>20</v>
      </c>
      <c r="Q350">
        <v>23662</v>
      </c>
      <c r="R350">
        <f t="shared" si="20"/>
        <v>2</v>
      </c>
      <c r="V350">
        <f t="shared" si="21"/>
        <v>23662</v>
      </c>
      <c r="Y350" s="18">
        <f t="shared" si="22"/>
        <v>44013.41</v>
      </c>
      <c r="Z350" s="18">
        <f t="shared" si="23"/>
        <v>0</v>
      </c>
    </row>
    <row r="351" spans="2:26" x14ac:dyDescent="0.25">
      <c r="B351" t="s">
        <v>277</v>
      </c>
      <c r="C351" t="s">
        <v>16</v>
      </c>
      <c r="D351" t="s">
        <v>16</v>
      </c>
      <c r="E351" t="s">
        <v>16</v>
      </c>
      <c r="F351" t="s">
        <v>16</v>
      </c>
      <c r="G351" t="s">
        <v>348</v>
      </c>
      <c r="H351" s="18">
        <v>280.52999999999997</v>
      </c>
      <c r="I351" t="s">
        <v>23</v>
      </c>
      <c r="J351" t="s">
        <v>19</v>
      </c>
      <c r="N351" t="s">
        <v>21</v>
      </c>
      <c r="O351" t="s">
        <v>22</v>
      </c>
      <c r="P351" t="s">
        <v>20</v>
      </c>
      <c r="Q351">
        <v>23632</v>
      </c>
      <c r="R351">
        <f t="shared" si="20"/>
        <v>2</v>
      </c>
      <c r="V351">
        <f t="shared" si="21"/>
        <v>23632</v>
      </c>
      <c r="Y351" s="18">
        <f t="shared" si="22"/>
        <v>280.52999999999997</v>
      </c>
      <c r="Z351" s="18">
        <f t="shared" si="23"/>
        <v>0</v>
      </c>
    </row>
    <row r="352" spans="2:26" hidden="1" x14ac:dyDescent="0.25">
      <c r="B352" t="s">
        <v>15</v>
      </c>
      <c r="C352" t="s">
        <v>16</v>
      </c>
      <c r="D352" t="s">
        <v>16</v>
      </c>
      <c r="E352" t="s">
        <v>16</v>
      </c>
      <c r="F352" t="s">
        <v>16</v>
      </c>
      <c r="G352" t="s">
        <v>399</v>
      </c>
      <c r="H352" s="18">
        <v>-23024.81</v>
      </c>
      <c r="J352" t="s">
        <v>19</v>
      </c>
      <c r="N352" t="s">
        <v>21</v>
      </c>
      <c r="O352" t="s">
        <v>22</v>
      </c>
      <c r="P352" t="s">
        <v>20</v>
      </c>
      <c r="Q352">
        <v>23512</v>
      </c>
      <c r="R352">
        <f t="shared" si="20"/>
        <v>2</v>
      </c>
      <c r="V352">
        <f t="shared" si="21"/>
        <v>23512</v>
      </c>
      <c r="Y352" s="18">
        <f t="shared" si="22"/>
        <v>91143.34</v>
      </c>
      <c r="Z352" s="18" t="str">
        <f t="shared" si="23"/>
        <v/>
      </c>
    </row>
    <row r="353" spans="2:26" hidden="1" x14ac:dyDescent="0.25">
      <c r="B353" t="s">
        <v>277</v>
      </c>
      <c r="C353" t="s">
        <v>16</v>
      </c>
      <c r="D353" t="s">
        <v>16</v>
      </c>
      <c r="E353" t="s">
        <v>16</v>
      </c>
      <c r="F353" t="s">
        <v>16</v>
      </c>
      <c r="G353" t="s">
        <v>555</v>
      </c>
      <c r="H353" s="18">
        <v>85021.9</v>
      </c>
      <c r="I353" t="s">
        <v>23</v>
      </c>
      <c r="J353" t="s">
        <v>19</v>
      </c>
      <c r="N353" t="s">
        <v>21</v>
      </c>
      <c r="O353" t="s">
        <v>22</v>
      </c>
      <c r="P353" t="s">
        <v>20</v>
      </c>
      <c r="Q353">
        <v>27157</v>
      </c>
      <c r="R353">
        <f t="shared" si="20"/>
        <v>2</v>
      </c>
      <c r="V353" t="str">
        <f t="shared" si="21"/>
        <v/>
      </c>
      <c r="W353" s="26" t="s">
        <v>686</v>
      </c>
      <c r="X353" s="15" t="s">
        <v>129</v>
      </c>
      <c r="Y353" s="18" t="str">
        <f t="shared" si="22"/>
        <v/>
      </c>
      <c r="Z353" s="18" t="str">
        <f t="shared" si="23"/>
        <v/>
      </c>
    </row>
    <row r="354" spans="2:26" x14ac:dyDescent="0.25">
      <c r="B354" t="s">
        <v>277</v>
      </c>
      <c r="C354" t="s">
        <v>16</v>
      </c>
      <c r="D354" t="s">
        <v>16</v>
      </c>
      <c r="E354" t="s">
        <v>16</v>
      </c>
      <c r="F354" t="s">
        <v>16</v>
      </c>
      <c r="G354" t="s">
        <v>556</v>
      </c>
      <c r="H354" s="18">
        <v>16122.61</v>
      </c>
      <c r="I354" t="s">
        <v>23</v>
      </c>
      <c r="J354" t="s">
        <v>19</v>
      </c>
      <c r="N354" t="s">
        <v>21</v>
      </c>
      <c r="O354" t="s">
        <v>22</v>
      </c>
      <c r="P354" t="s">
        <v>20</v>
      </c>
      <c r="Q354">
        <v>23604</v>
      </c>
      <c r="R354">
        <f t="shared" si="20"/>
        <v>2</v>
      </c>
      <c r="V354">
        <f t="shared" si="21"/>
        <v>23604</v>
      </c>
      <c r="Y354" s="18">
        <f t="shared" si="22"/>
        <v>16122.61</v>
      </c>
      <c r="Z354" s="18">
        <f t="shared" si="23"/>
        <v>0</v>
      </c>
    </row>
    <row r="355" spans="2:26" hidden="1" x14ac:dyDescent="0.25">
      <c r="B355" t="s">
        <v>15</v>
      </c>
      <c r="C355" t="s">
        <v>16</v>
      </c>
      <c r="D355" t="s">
        <v>16</v>
      </c>
      <c r="E355" t="s">
        <v>16</v>
      </c>
      <c r="F355" t="s">
        <v>16</v>
      </c>
      <c r="G355" t="s">
        <v>423</v>
      </c>
      <c r="H355" s="18">
        <v>-29856.93</v>
      </c>
      <c r="J355" t="s">
        <v>19</v>
      </c>
      <c r="N355" t="s">
        <v>21</v>
      </c>
      <c r="O355" t="s">
        <v>22</v>
      </c>
      <c r="P355" t="s">
        <v>20</v>
      </c>
      <c r="Q355">
        <v>23791</v>
      </c>
      <c r="R355">
        <f t="shared" si="20"/>
        <v>2</v>
      </c>
      <c r="V355">
        <f t="shared" si="21"/>
        <v>23791</v>
      </c>
      <c r="Y355" s="18">
        <f t="shared" si="22"/>
        <v>84441.23</v>
      </c>
      <c r="Z355" s="18" t="str">
        <f t="shared" si="23"/>
        <v/>
      </c>
    </row>
    <row r="356" spans="2:26" hidden="1" x14ac:dyDescent="0.25">
      <c r="B356" t="s">
        <v>15</v>
      </c>
      <c r="C356" t="s">
        <v>16</v>
      </c>
      <c r="D356" t="s">
        <v>16</v>
      </c>
      <c r="E356" t="s">
        <v>16</v>
      </c>
      <c r="F356" t="s">
        <v>16</v>
      </c>
      <c r="G356" t="s">
        <v>503</v>
      </c>
      <c r="H356" s="18">
        <v>-568.86</v>
      </c>
      <c r="J356" t="s">
        <v>19</v>
      </c>
      <c r="N356" t="s">
        <v>21</v>
      </c>
      <c r="O356" t="s">
        <v>22</v>
      </c>
      <c r="P356" t="s">
        <v>20</v>
      </c>
      <c r="Q356">
        <v>24378</v>
      </c>
      <c r="R356">
        <f t="shared" si="20"/>
        <v>2</v>
      </c>
      <c r="V356">
        <f t="shared" si="21"/>
        <v>24378</v>
      </c>
      <c r="Y356" s="18">
        <f t="shared" si="22"/>
        <v>14495.74</v>
      </c>
      <c r="Z356" s="18" t="str">
        <f t="shared" si="23"/>
        <v/>
      </c>
    </row>
    <row r="357" spans="2:26" x14ac:dyDescent="0.25">
      <c r="B357" t="s">
        <v>277</v>
      </c>
      <c r="C357" t="s">
        <v>16</v>
      </c>
      <c r="D357" t="s">
        <v>16</v>
      </c>
      <c r="E357" t="s">
        <v>16</v>
      </c>
      <c r="F357" t="s">
        <v>16</v>
      </c>
      <c r="G357" t="s">
        <v>557</v>
      </c>
      <c r="H357" s="18">
        <v>2172.25</v>
      </c>
      <c r="I357" t="s">
        <v>23</v>
      </c>
      <c r="J357" t="s">
        <v>19</v>
      </c>
      <c r="N357" t="s">
        <v>21</v>
      </c>
      <c r="O357" t="s">
        <v>22</v>
      </c>
      <c r="P357" t="s">
        <v>20</v>
      </c>
      <c r="Q357">
        <v>23582</v>
      </c>
      <c r="R357">
        <f t="shared" si="20"/>
        <v>2</v>
      </c>
      <c r="V357">
        <f t="shared" si="21"/>
        <v>23582</v>
      </c>
      <c r="Y357" s="18">
        <f t="shared" si="22"/>
        <v>2172.25</v>
      </c>
      <c r="Z357" s="18">
        <f t="shared" si="23"/>
        <v>0</v>
      </c>
    </row>
    <row r="358" spans="2:26" hidden="1" x14ac:dyDescent="0.25">
      <c r="B358" t="s">
        <v>15</v>
      </c>
      <c r="C358" t="s">
        <v>16</v>
      </c>
      <c r="D358" t="s">
        <v>16</v>
      </c>
      <c r="E358" t="s">
        <v>16</v>
      </c>
      <c r="F358" t="s">
        <v>16</v>
      </c>
      <c r="G358" t="s">
        <v>329</v>
      </c>
      <c r="H358" s="18">
        <v>-18342.189999999999</v>
      </c>
      <c r="J358" t="s">
        <v>19</v>
      </c>
      <c r="N358" t="s">
        <v>21</v>
      </c>
      <c r="O358" t="s">
        <v>22</v>
      </c>
      <c r="P358" t="s">
        <v>20</v>
      </c>
      <c r="Q358">
        <v>7400374370</v>
      </c>
      <c r="R358">
        <f t="shared" si="20"/>
        <v>2</v>
      </c>
      <c r="V358">
        <f t="shared" si="21"/>
        <v>7400374370</v>
      </c>
      <c r="Y358" s="18">
        <f t="shared" si="22"/>
        <v>35733.86</v>
      </c>
      <c r="Z358" s="18" t="str">
        <f t="shared" si="23"/>
        <v/>
      </c>
    </row>
    <row r="359" spans="2:26" hidden="1" x14ac:dyDescent="0.25">
      <c r="B359" t="s">
        <v>15</v>
      </c>
      <c r="C359" t="s">
        <v>16</v>
      </c>
      <c r="D359" t="s">
        <v>16</v>
      </c>
      <c r="E359" t="s">
        <v>16</v>
      </c>
      <c r="F359" t="s">
        <v>16</v>
      </c>
      <c r="G359" t="s">
        <v>558</v>
      </c>
      <c r="H359" s="18">
        <v>-36851.24</v>
      </c>
      <c r="J359" t="s">
        <v>19</v>
      </c>
      <c r="N359" t="s">
        <v>21</v>
      </c>
      <c r="O359" t="s">
        <v>22</v>
      </c>
      <c r="P359" t="s">
        <v>20</v>
      </c>
      <c r="Q359">
        <v>8264</v>
      </c>
      <c r="R359">
        <f t="shared" si="20"/>
        <v>2</v>
      </c>
      <c r="V359">
        <f t="shared" si="21"/>
        <v>8264</v>
      </c>
      <c r="Y359" s="18">
        <f t="shared" si="22"/>
        <v>42107.6</v>
      </c>
      <c r="Z359" s="18" t="str">
        <f t="shared" si="23"/>
        <v/>
      </c>
    </row>
    <row r="360" spans="2:26" x14ac:dyDescent="0.25">
      <c r="B360" t="s">
        <v>277</v>
      </c>
      <c r="C360" t="s">
        <v>16</v>
      </c>
      <c r="D360" t="s">
        <v>16</v>
      </c>
      <c r="E360" t="s">
        <v>16</v>
      </c>
      <c r="F360" t="s">
        <v>16</v>
      </c>
      <c r="G360" t="s">
        <v>353</v>
      </c>
      <c r="H360" s="18">
        <v>10748.41</v>
      </c>
      <c r="I360" t="s">
        <v>23</v>
      </c>
      <c r="J360" t="s">
        <v>19</v>
      </c>
      <c r="N360" t="s">
        <v>21</v>
      </c>
      <c r="O360" t="s">
        <v>22</v>
      </c>
      <c r="P360" t="s">
        <v>20</v>
      </c>
      <c r="Q360">
        <v>23571</v>
      </c>
      <c r="R360">
        <f t="shared" si="20"/>
        <v>2</v>
      </c>
      <c r="V360">
        <f t="shared" si="21"/>
        <v>23571</v>
      </c>
      <c r="Y360" s="18">
        <f t="shared" si="22"/>
        <v>10748.41</v>
      </c>
      <c r="Z360" s="18">
        <f t="shared" si="23"/>
        <v>0</v>
      </c>
    </row>
    <row r="361" spans="2:26" hidden="1" x14ac:dyDescent="0.25">
      <c r="B361" t="s">
        <v>15</v>
      </c>
      <c r="C361" t="s">
        <v>16</v>
      </c>
      <c r="D361" t="s">
        <v>16</v>
      </c>
      <c r="E361" t="s">
        <v>16</v>
      </c>
      <c r="F361" t="s">
        <v>16</v>
      </c>
      <c r="G361" t="s">
        <v>559</v>
      </c>
      <c r="H361" s="18">
        <v>-60536.02</v>
      </c>
      <c r="J361" t="s">
        <v>19</v>
      </c>
      <c r="N361" t="s">
        <v>21</v>
      </c>
      <c r="O361" t="s">
        <v>22</v>
      </c>
      <c r="P361" t="s">
        <v>20</v>
      </c>
      <c r="Q361">
        <v>25681</v>
      </c>
      <c r="R361">
        <f t="shared" si="20"/>
        <v>2</v>
      </c>
      <c r="V361">
        <f t="shared" si="21"/>
        <v>25681</v>
      </c>
      <c r="Y361" s="18">
        <f t="shared" si="22"/>
        <v>92666.64</v>
      </c>
      <c r="Z361" s="18" t="str">
        <f t="shared" si="23"/>
        <v/>
      </c>
    </row>
    <row r="362" spans="2:26" hidden="1" x14ac:dyDescent="0.25">
      <c r="B362" t="s">
        <v>15</v>
      </c>
      <c r="C362" t="s">
        <v>16</v>
      </c>
      <c r="D362" t="s">
        <v>16</v>
      </c>
      <c r="E362" t="s">
        <v>16</v>
      </c>
      <c r="F362" t="s">
        <v>16</v>
      </c>
      <c r="G362" t="s">
        <v>373</v>
      </c>
      <c r="H362" s="18">
        <v>-604.17999999999995</v>
      </c>
      <c r="J362" t="s">
        <v>19</v>
      </c>
      <c r="N362" t="s">
        <v>21</v>
      </c>
      <c r="O362" t="s">
        <v>22</v>
      </c>
      <c r="P362" t="s">
        <v>20</v>
      </c>
      <c r="Q362">
        <v>23620</v>
      </c>
      <c r="R362">
        <f t="shared" si="20"/>
        <v>2</v>
      </c>
      <c r="V362">
        <f t="shared" si="21"/>
        <v>23620</v>
      </c>
      <c r="Y362" s="18">
        <f t="shared" si="22"/>
        <v>1451.04</v>
      </c>
      <c r="Z362" s="18" t="str">
        <f t="shared" si="23"/>
        <v/>
      </c>
    </row>
    <row r="363" spans="2:26" x14ac:dyDescent="0.25">
      <c r="B363" t="s">
        <v>277</v>
      </c>
      <c r="C363" t="s">
        <v>16</v>
      </c>
      <c r="D363" t="s">
        <v>16</v>
      </c>
      <c r="E363" t="s">
        <v>16</v>
      </c>
      <c r="F363" t="s">
        <v>16</v>
      </c>
      <c r="G363" t="s">
        <v>383</v>
      </c>
      <c r="H363" s="18">
        <v>91.36</v>
      </c>
      <c r="I363" t="s">
        <v>23</v>
      </c>
      <c r="J363" t="s">
        <v>19</v>
      </c>
      <c r="N363" t="s">
        <v>21</v>
      </c>
      <c r="O363" t="s">
        <v>22</v>
      </c>
      <c r="P363" t="s">
        <v>20</v>
      </c>
      <c r="Q363">
        <v>23636</v>
      </c>
      <c r="R363">
        <f t="shared" si="20"/>
        <v>2</v>
      </c>
      <c r="V363">
        <f t="shared" si="21"/>
        <v>23636</v>
      </c>
      <c r="Y363" s="18">
        <f t="shared" si="22"/>
        <v>91.36</v>
      </c>
      <c r="Z363" s="18">
        <f t="shared" si="23"/>
        <v>0</v>
      </c>
    </row>
    <row r="364" spans="2:26" hidden="1" x14ac:dyDescent="0.25">
      <c r="B364" t="s">
        <v>15</v>
      </c>
      <c r="C364" t="s">
        <v>16</v>
      </c>
      <c r="D364" t="s">
        <v>16</v>
      </c>
      <c r="E364" t="s">
        <v>16</v>
      </c>
      <c r="F364" t="s">
        <v>16</v>
      </c>
      <c r="G364" t="s">
        <v>442</v>
      </c>
      <c r="H364" s="18">
        <v>-4357.54</v>
      </c>
      <c r="J364" t="s">
        <v>19</v>
      </c>
      <c r="N364" t="s">
        <v>21</v>
      </c>
      <c r="O364" t="s">
        <v>22</v>
      </c>
      <c r="P364" t="s">
        <v>20</v>
      </c>
      <c r="Q364">
        <v>20789</v>
      </c>
      <c r="R364">
        <f t="shared" si="20"/>
        <v>2</v>
      </c>
      <c r="V364">
        <f t="shared" si="21"/>
        <v>20789</v>
      </c>
      <c r="Y364" s="18">
        <f t="shared" si="22"/>
        <v>111038.49</v>
      </c>
      <c r="Z364" s="18" t="str">
        <f t="shared" si="23"/>
        <v/>
      </c>
    </row>
    <row r="365" spans="2:26" x14ac:dyDescent="0.25">
      <c r="B365" t="s">
        <v>277</v>
      </c>
      <c r="C365" t="s">
        <v>16</v>
      </c>
      <c r="D365" t="s">
        <v>16</v>
      </c>
      <c r="E365" t="s">
        <v>16</v>
      </c>
      <c r="F365" t="s">
        <v>16</v>
      </c>
      <c r="G365" t="s">
        <v>453</v>
      </c>
      <c r="H365" s="18">
        <v>12628.31</v>
      </c>
      <c r="I365" t="s">
        <v>23</v>
      </c>
      <c r="J365" t="s">
        <v>19</v>
      </c>
      <c r="N365" t="s">
        <v>21</v>
      </c>
      <c r="O365" t="s">
        <v>22</v>
      </c>
      <c r="P365" t="s">
        <v>20</v>
      </c>
      <c r="Q365">
        <v>23499</v>
      </c>
      <c r="R365">
        <f t="shared" si="20"/>
        <v>2</v>
      </c>
      <c r="V365">
        <f t="shared" si="21"/>
        <v>23499</v>
      </c>
      <c r="Y365" s="18">
        <f t="shared" si="22"/>
        <v>12628.31</v>
      </c>
      <c r="Z365" s="18">
        <f t="shared" si="23"/>
        <v>0</v>
      </c>
    </row>
    <row r="366" spans="2:26" x14ac:dyDescent="0.25">
      <c r="B366" t="s">
        <v>277</v>
      </c>
      <c r="C366" t="s">
        <v>16</v>
      </c>
      <c r="D366" t="s">
        <v>16</v>
      </c>
      <c r="E366" t="s">
        <v>16</v>
      </c>
      <c r="F366" t="s">
        <v>16</v>
      </c>
      <c r="G366" t="s">
        <v>560</v>
      </c>
      <c r="H366" s="18">
        <v>273442.05</v>
      </c>
      <c r="I366" t="s">
        <v>23</v>
      </c>
      <c r="J366" t="s">
        <v>19</v>
      </c>
      <c r="N366" t="s">
        <v>21</v>
      </c>
      <c r="O366" t="s">
        <v>22</v>
      </c>
      <c r="P366" t="s">
        <v>20</v>
      </c>
      <c r="Q366">
        <v>25693</v>
      </c>
      <c r="R366">
        <f t="shared" si="20"/>
        <v>2</v>
      </c>
      <c r="V366">
        <f t="shared" si="21"/>
        <v>25693</v>
      </c>
      <c r="Y366" s="18">
        <f t="shared" si="22"/>
        <v>273442.05</v>
      </c>
      <c r="Z366" s="18">
        <f t="shared" si="23"/>
        <v>0</v>
      </c>
    </row>
    <row r="367" spans="2:26" hidden="1" x14ac:dyDescent="0.25">
      <c r="B367" t="s">
        <v>15</v>
      </c>
      <c r="C367" t="s">
        <v>16</v>
      </c>
      <c r="D367" t="s">
        <v>16</v>
      </c>
      <c r="E367" t="s">
        <v>16</v>
      </c>
      <c r="F367" t="s">
        <v>16</v>
      </c>
      <c r="G367" t="s">
        <v>472</v>
      </c>
      <c r="H367" s="18">
        <v>-5386.33</v>
      </c>
      <c r="J367" t="s">
        <v>19</v>
      </c>
      <c r="N367" t="s">
        <v>21</v>
      </c>
      <c r="O367" t="s">
        <v>22</v>
      </c>
      <c r="P367" t="s">
        <v>20</v>
      </c>
      <c r="Q367">
        <v>26381</v>
      </c>
      <c r="R367">
        <f t="shared" si="20"/>
        <v>2</v>
      </c>
      <c r="V367">
        <f t="shared" si="21"/>
        <v>26381</v>
      </c>
      <c r="Y367" s="18">
        <f t="shared" si="22"/>
        <v>136285.5</v>
      </c>
      <c r="Z367" s="18" t="str">
        <f t="shared" si="23"/>
        <v/>
      </c>
    </row>
    <row r="368" spans="2:26" hidden="1" x14ac:dyDescent="0.25">
      <c r="B368" t="s">
        <v>15</v>
      </c>
      <c r="C368" t="s">
        <v>16</v>
      </c>
      <c r="D368" t="s">
        <v>16</v>
      </c>
      <c r="E368" t="s">
        <v>16</v>
      </c>
      <c r="F368" t="s">
        <v>16</v>
      </c>
      <c r="G368" t="s">
        <v>561</v>
      </c>
      <c r="H368" s="18">
        <v>-376398.07</v>
      </c>
      <c r="J368" t="s">
        <v>19</v>
      </c>
      <c r="N368" t="s">
        <v>21</v>
      </c>
      <c r="O368" t="s">
        <v>22</v>
      </c>
      <c r="P368" t="s">
        <v>20</v>
      </c>
      <c r="Q368">
        <v>27118</v>
      </c>
      <c r="R368">
        <f t="shared" si="20"/>
        <v>2</v>
      </c>
      <c r="V368">
        <f t="shared" si="21"/>
        <v>27118</v>
      </c>
      <c r="Y368" s="18">
        <f t="shared" si="22"/>
        <v>2802889.59</v>
      </c>
      <c r="Z368" s="18" t="str">
        <f t="shared" si="23"/>
        <v/>
      </c>
    </row>
    <row r="369" spans="2:26" x14ac:dyDescent="0.25">
      <c r="B369" t="s">
        <v>277</v>
      </c>
      <c r="C369" t="s">
        <v>16</v>
      </c>
      <c r="D369" t="s">
        <v>16</v>
      </c>
      <c r="E369" t="s">
        <v>16</v>
      </c>
      <c r="F369" t="s">
        <v>16</v>
      </c>
      <c r="G369" t="s">
        <v>535</v>
      </c>
      <c r="H369" s="18">
        <v>870.62</v>
      </c>
      <c r="I369" t="s">
        <v>23</v>
      </c>
      <c r="J369" t="s">
        <v>19</v>
      </c>
      <c r="N369" t="s">
        <v>21</v>
      </c>
      <c r="O369" t="s">
        <v>22</v>
      </c>
      <c r="P369" t="s">
        <v>20</v>
      </c>
      <c r="Q369">
        <v>23621</v>
      </c>
      <c r="R369">
        <f t="shared" si="20"/>
        <v>2</v>
      </c>
      <c r="V369">
        <f t="shared" si="21"/>
        <v>23621</v>
      </c>
      <c r="Y369" s="18">
        <f t="shared" si="22"/>
        <v>870.62</v>
      </c>
      <c r="Z369" s="18">
        <f t="shared" si="23"/>
        <v>0</v>
      </c>
    </row>
    <row r="370" spans="2:26" hidden="1" x14ac:dyDescent="0.25">
      <c r="B370" t="s">
        <v>277</v>
      </c>
      <c r="C370" t="s">
        <v>16</v>
      </c>
      <c r="D370" t="s">
        <v>16</v>
      </c>
      <c r="E370" t="s">
        <v>16</v>
      </c>
      <c r="F370" t="s">
        <v>16</v>
      </c>
      <c r="G370" t="s">
        <v>562</v>
      </c>
      <c r="H370" s="18">
        <v>178582</v>
      </c>
      <c r="I370" t="s">
        <v>23</v>
      </c>
      <c r="J370" t="s">
        <v>19</v>
      </c>
      <c r="N370" t="s">
        <v>21</v>
      </c>
      <c r="O370" t="s">
        <v>22</v>
      </c>
      <c r="P370" t="s">
        <v>20</v>
      </c>
      <c r="Q370">
        <v>27171</v>
      </c>
      <c r="R370">
        <f t="shared" si="20"/>
        <v>2</v>
      </c>
      <c r="V370" t="str">
        <f t="shared" si="21"/>
        <v/>
      </c>
      <c r="W370" s="26" t="s">
        <v>686</v>
      </c>
      <c r="X370" s="15" t="s">
        <v>129</v>
      </c>
      <c r="Y370" s="18" t="str">
        <f t="shared" si="22"/>
        <v/>
      </c>
      <c r="Z370" s="18" t="str">
        <f t="shared" si="23"/>
        <v/>
      </c>
    </row>
    <row r="371" spans="2:26" x14ac:dyDescent="0.25">
      <c r="B371" t="s">
        <v>277</v>
      </c>
      <c r="C371" t="s">
        <v>16</v>
      </c>
      <c r="D371" t="s">
        <v>16</v>
      </c>
      <c r="E371" t="s">
        <v>16</v>
      </c>
      <c r="F371" t="s">
        <v>16</v>
      </c>
      <c r="G371" t="s">
        <v>563</v>
      </c>
      <c r="H371" s="18">
        <v>2171.1799999999998</v>
      </c>
      <c r="I371" t="s">
        <v>23</v>
      </c>
      <c r="J371" t="s">
        <v>19</v>
      </c>
      <c r="N371" t="s">
        <v>21</v>
      </c>
      <c r="O371" t="s">
        <v>22</v>
      </c>
      <c r="P371" t="s">
        <v>20</v>
      </c>
      <c r="Q371">
        <v>23586</v>
      </c>
      <c r="R371">
        <f t="shared" si="20"/>
        <v>2</v>
      </c>
      <c r="V371">
        <f t="shared" si="21"/>
        <v>23586</v>
      </c>
      <c r="Y371" s="18">
        <f t="shared" si="22"/>
        <v>2171.1799999999998</v>
      </c>
      <c r="Z371" s="18">
        <f t="shared" si="23"/>
        <v>0</v>
      </c>
    </row>
    <row r="372" spans="2:26" hidden="1" x14ac:dyDescent="0.25">
      <c r="B372" t="s">
        <v>15</v>
      </c>
      <c r="C372" t="s">
        <v>16</v>
      </c>
      <c r="D372" t="s">
        <v>16</v>
      </c>
      <c r="E372" t="s">
        <v>16</v>
      </c>
      <c r="F372" t="s">
        <v>16</v>
      </c>
      <c r="G372" t="s">
        <v>564</v>
      </c>
      <c r="H372" s="18">
        <v>-8314.91</v>
      </c>
      <c r="J372" t="s">
        <v>19</v>
      </c>
      <c r="N372" t="s">
        <v>21</v>
      </c>
      <c r="O372" t="s">
        <v>22</v>
      </c>
      <c r="P372" t="s">
        <v>20</v>
      </c>
      <c r="Q372">
        <v>23567</v>
      </c>
      <c r="R372">
        <f t="shared" si="20"/>
        <v>2</v>
      </c>
      <c r="V372">
        <f t="shared" si="21"/>
        <v>23567</v>
      </c>
      <c r="Y372" s="18">
        <f t="shared" si="22"/>
        <v>10748.41</v>
      </c>
      <c r="Z372" s="18" t="str">
        <f t="shared" si="23"/>
        <v/>
      </c>
    </row>
    <row r="373" spans="2:26" x14ac:dyDescent="0.25">
      <c r="B373" t="s">
        <v>277</v>
      </c>
      <c r="C373" t="s">
        <v>16</v>
      </c>
      <c r="D373" t="s">
        <v>16</v>
      </c>
      <c r="E373" t="s">
        <v>16</v>
      </c>
      <c r="F373" t="s">
        <v>16</v>
      </c>
      <c r="G373" t="s">
        <v>565</v>
      </c>
      <c r="H373" s="18">
        <v>22523.29</v>
      </c>
      <c r="I373" t="s">
        <v>23</v>
      </c>
      <c r="J373" t="s">
        <v>19</v>
      </c>
      <c r="N373" t="s">
        <v>21</v>
      </c>
      <c r="O373" t="s">
        <v>22</v>
      </c>
      <c r="P373" t="s">
        <v>20</v>
      </c>
      <c r="Q373">
        <v>23506</v>
      </c>
      <c r="R373">
        <f t="shared" si="20"/>
        <v>2</v>
      </c>
      <c r="V373">
        <f t="shared" si="21"/>
        <v>23506</v>
      </c>
      <c r="Y373" s="18">
        <f t="shared" si="22"/>
        <v>22523.29</v>
      </c>
      <c r="Z373" s="18">
        <f t="shared" si="23"/>
        <v>0</v>
      </c>
    </row>
    <row r="374" spans="2:26" hidden="1" x14ac:dyDescent="0.25">
      <c r="B374" t="s">
        <v>15</v>
      </c>
      <c r="C374" t="s">
        <v>16</v>
      </c>
      <c r="D374" t="s">
        <v>16</v>
      </c>
      <c r="E374" t="s">
        <v>16</v>
      </c>
      <c r="F374" t="s">
        <v>16</v>
      </c>
      <c r="G374" t="s">
        <v>433</v>
      </c>
      <c r="H374" s="18">
        <v>-2119.7199999999998</v>
      </c>
      <c r="J374" t="s">
        <v>19</v>
      </c>
      <c r="N374" t="s">
        <v>21</v>
      </c>
      <c r="O374" t="s">
        <v>22</v>
      </c>
      <c r="P374" t="s">
        <v>20</v>
      </c>
      <c r="Q374">
        <v>27147</v>
      </c>
      <c r="R374">
        <f t="shared" si="20"/>
        <v>2</v>
      </c>
      <c r="V374" t="str">
        <f t="shared" si="21"/>
        <v/>
      </c>
      <c r="W374" s="26" t="s">
        <v>686</v>
      </c>
      <c r="X374" s="15" t="s">
        <v>129</v>
      </c>
      <c r="Y374" s="18" t="str">
        <f t="shared" si="22"/>
        <v/>
      </c>
      <c r="Z374" s="18" t="str">
        <f t="shared" si="23"/>
        <v/>
      </c>
    </row>
    <row r="375" spans="2:26" hidden="1" x14ac:dyDescent="0.25">
      <c r="B375" t="s">
        <v>15</v>
      </c>
      <c r="C375" t="s">
        <v>16</v>
      </c>
      <c r="D375" t="s">
        <v>16</v>
      </c>
      <c r="E375" t="s">
        <v>16</v>
      </c>
      <c r="F375" t="s">
        <v>16</v>
      </c>
      <c r="G375" t="s">
        <v>538</v>
      </c>
      <c r="H375" s="18">
        <v>-7479.44</v>
      </c>
      <c r="J375" t="s">
        <v>19</v>
      </c>
      <c r="N375" t="s">
        <v>21</v>
      </c>
      <c r="O375" t="s">
        <v>22</v>
      </c>
      <c r="P375" t="s">
        <v>20</v>
      </c>
      <c r="Q375">
        <v>7400325342</v>
      </c>
      <c r="R375">
        <f t="shared" si="20"/>
        <v>2</v>
      </c>
      <c r="V375">
        <f t="shared" si="21"/>
        <v>7400325342</v>
      </c>
      <c r="Y375" s="18">
        <f t="shared" si="22"/>
        <v>77638.94</v>
      </c>
      <c r="Z375" s="18" t="str">
        <f t="shared" si="23"/>
        <v/>
      </c>
    </row>
    <row r="376" spans="2:26" x14ac:dyDescent="0.25">
      <c r="B376" t="s">
        <v>277</v>
      </c>
      <c r="C376" t="s">
        <v>16</v>
      </c>
      <c r="D376" t="s">
        <v>16</v>
      </c>
      <c r="E376" t="s">
        <v>16</v>
      </c>
      <c r="F376" t="s">
        <v>16</v>
      </c>
      <c r="G376" t="s">
        <v>566</v>
      </c>
      <c r="H376" s="18">
        <v>58360.32</v>
      </c>
      <c r="I376" t="s">
        <v>23</v>
      </c>
      <c r="J376" t="s">
        <v>19</v>
      </c>
      <c r="N376" t="s">
        <v>21</v>
      </c>
      <c r="O376" t="s">
        <v>22</v>
      </c>
      <c r="P376" t="s">
        <v>20</v>
      </c>
      <c r="Q376">
        <v>25602</v>
      </c>
      <c r="R376">
        <f t="shared" si="20"/>
        <v>2</v>
      </c>
      <c r="V376">
        <f t="shared" si="21"/>
        <v>25602</v>
      </c>
      <c r="Y376" s="18">
        <f t="shared" si="22"/>
        <v>58360.32</v>
      </c>
      <c r="Z376" s="18">
        <f t="shared" si="23"/>
        <v>0</v>
      </c>
    </row>
    <row r="377" spans="2:26" x14ac:dyDescent="0.25">
      <c r="B377" t="s">
        <v>277</v>
      </c>
      <c r="C377" t="s">
        <v>16</v>
      </c>
      <c r="D377" t="s">
        <v>16</v>
      </c>
      <c r="E377" t="s">
        <v>16</v>
      </c>
      <c r="F377" t="s">
        <v>16</v>
      </c>
      <c r="G377" t="s">
        <v>567</v>
      </c>
      <c r="H377" s="18">
        <v>316</v>
      </c>
      <c r="I377" t="s">
        <v>23</v>
      </c>
      <c r="J377" t="s">
        <v>19</v>
      </c>
      <c r="N377" t="s">
        <v>21</v>
      </c>
      <c r="O377" t="s">
        <v>22</v>
      </c>
      <c r="P377" t="s">
        <v>20</v>
      </c>
      <c r="Q377">
        <v>23644</v>
      </c>
      <c r="R377">
        <f t="shared" si="20"/>
        <v>2</v>
      </c>
      <c r="V377">
        <f t="shared" si="21"/>
        <v>23644</v>
      </c>
      <c r="Y377" s="18">
        <f t="shared" si="22"/>
        <v>316</v>
      </c>
      <c r="Z377" s="18">
        <f t="shared" si="23"/>
        <v>0</v>
      </c>
    </row>
    <row r="378" spans="2:26" hidden="1" x14ac:dyDescent="0.25">
      <c r="B378" t="s">
        <v>15</v>
      </c>
      <c r="C378" t="s">
        <v>16</v>
      </c>
      <c r="D378" t="s">
        <v>16</v>
      </c>
      <c r="E378" t="s">
        <v>16</v>
      </c>
      <c r="F378" t="s">
        <v>16</v>
      </c>
      <c r="G378" t="s">
        <v>346</v>
      </c>
      <c r="H378" s="18">
        <v>-1504.45</v>
      </c>
      <c r="J378" t="s">
        <v>19</v>
      </c>
      <c r="N378" t="s">
        <v>21</v>
      </c>
      <c r="O378" t="s">
        <v>22</v>
      </c>
      <c r="P378" t="s">
        <v>20</v>
      </c>
      <c r="Q378">
        <v>27006</v>
      </c>
      <c r="R378">
        <f t="shared" si="20"/>
        <v>2</v>
      </c>
      <c r="V378">
        <f t="shared" si="21"/>
        <v>27006</v>
      </c>
      <c r="Y378" s="18">
        <f t="shared" si="22"/>
        <v>38336.32</v>
      </c>
      <c r="Z378" s="18" t="str">
        <f t="shared" si="23"/>
        <v/>
      </c>
    </row>
    <row r="379" spans="2:26" hidden="1" x14ac:dyDescent="0.25">
      <c r="B379" t="s">
        <v>15</v>
      </c>
      <c r="C379" t="s">
        <v>16</v>
      </c>
      <c r="D379" t="s">
        <v>16</v>
      </c>
      <c r="E379" t="s">
        <v>16</v>
      </c>
      <c r="F379" t="s">
        <v>16</v>
      </c>
      <c r="G379" t="s">
        <v>568</v>
      </c>
      <c r="H379" s="18">
        <v>-2596.67</v>
      </c>
      <c r="J379" t="s">
        <v>19</v>
      </c>
      <c r="N379" t="s">
        <v>21</v>
      </c>
      <c r="O379" t="s">
        <v>22</v>
      </c>
      <c r="P379" t="s">
        <v>20</v>
      </c>
      <c r="Q379">
        <v>26401</v>
      </c>
      <c r="R379">
        <f t="shared" si="20"/>
        <v>2</v>
      </c>
      <c r="V379">
        <f t="shared" si="21"/>
        <v>26401</v>
      </c>
      <c r="Y379" s="18">
        <f t="shared" si="22"/>
        <v>65515.5</v>
      </c>
      <c r="Z379" s="18" t="str">
        <f t="shared" si="23"/>
        <v/>
      </c>
    </row>
    <row r="380" spans="2:26" x14ac:dyDescent="0.25">
      <c r="B380" t="s">
        <v>277</v>
      </c>
      <c r="C380" t="s">
        <v>16</v>
      </c>
      <c r="D380" t="s">
        <v>16</v>
      </c>
      <c r="E380" t="s">
        <v>16</v>
      </c>
      <c r="F380" t="s">
        <v>16</v>
      </c>
      <c r="G380" t="s">
        <v>569</v>
      </c>
      <c r="H380" s="18">
        <v>2713.97</v>
      </c>
      <c r="I380" t="s">
        <v>23</v>
      </c>
      <c r="J380" t="s">
        <v>19</v>
      </c>
      <c r="N380" t="s">
        <v>21</v>
      </c>
      <c r="O380" t="s">
        <v>22</v>
      </c>
      <c r="P380" t="s">
        <v>20</v>
      </c>
      <c r="Q380">
        <v>23584</v>
      </c>
      <c r="R380">
        <f t="shared" si="20"/>
        <v>2</v>
      </c>
      <c r="V380">
        <f t="shared" si="21"/>
        <v>23584</v>
      </c>
      <c r="Y380" s="18">
        <f t="shared" si="22"/>
        <v>2713.97</v>
      </c>
      <c r="Z380" s="18">
        <f t="shared" si="23"/>
        <v>0</v>
      </c>
    </row>
    <row r="381" spans="2:26" hidden="1" x14ac:dyDescent="0.25">
      <c r="B381" t="s">
        <v>15</v>
      </c>
      <c r="C381" t="s">
        <v>16</v>
      </c>
      <c r="D381" t="s">
        <v>16</v>
      </c>
      <c r="E381" t="s">
        <v>16</v>
      </c>
      <c r="F381" t="s">
        <v>16</v>
      </c>
      <c r="G381" t="s">
        <v>570</v>
      </c>
      <c r="H381" s="18">
        <v>-193.46</v>
      </c>
      <c r="J381" t="s">
        <v>19</v>
      </c>
      <c r="N381" t="s">
        <v>21</v>
      </c>
      <c r="O381" t="s">
        <v>22</v>
      </c>
      <c r="P381" t="s">
        <v>20</v>
      </c>
      <c r="Q381">
        <v>23642</v>
      </c>
      <c r="R381">
        <f t="shared" si="20"/>
        <v>2</v>
      </c>
      <c r="V381">
        <f t="shared" si="21"/>
        <v>23642</v>
      </c>
      <c r="Y381" s="18">
        <f t="shared" si="22"/>
        <v>368.67</v>
      </c>
      <c r="Z381" s="18" t="str">
        <f t="shared" si="23"/>
        <v/>
      </c>
    </row>
    <row r="382" spans="2:26" hidden="1" x14ac:dyDescent="0.25">
      <c r="B382" t="s">
        <v>15</v>
      </c>
      <c r="C382" t="s">
        <v>16</v>
      </c>
      <c r="D382" t="s">
        <v>16</v>
      </c>
      <c r="E382" t="s">
        <v>16</v>
      </c>
      <c r="F382" t="s">
        <v>16</v>
      </c>
      <c r="G382" t="s">
        <v>498</v>
      </c>
      <c r="H382" s="18">
        <v>-1918.03</v>
      </c>
      <c r="J382" t="s">
        <v>19</v>
      </c>
      <c r="N382" t="s">
        <v>21</v>
      </c>
      <c r="O382" t="s">
        <v>22</v>
      </c>
      <c r="P382" t="s">
        <v>20</v>
      </c>
      <c r="Q382">
        <v>27082</v>
      </c>
      <c r="R382">
        <f t="shared" si="20"/>
        <v>2</v>
      </c>
      <c r="V382">
        <f t="shared" si="21"/>
        <v>27082</v>
      </c>
      <c r="Y382" s="18">
        <f t="shared" si="22"/>
        <v>48875</v>
      </c>
      <c r="Z382" s="18" t="str">
        <f t="shared" si="23"/>
        <v/>
      </c>
    </row>
    <row r="383" spans="2:26" hidden="1" x14ac:dyDescent="0.25">
      <c r="B383" t="s">
        <v>15</v>
      </c>
      <c r="C383" t="s">
        <v>16</v>
      </c>
      <c r="D383" t="s">
        <v>16</v>
      </c>
      <c r="E383" t="s">
        <v>16</v>
      </c>
      <c r="F383" t="s">
        <v>16</v>
      </c>
      <c r="G383" t="s">
        <v>571</v>
      </c>
      <c r="H383" s="18">
        <v>-103300</v>
      </c>
      <c r="J383" t="s">
        <v>19</v>
      </c>
      <c r="N383" t="s">
        <v>21</v>
      </c>
      <c r="O383" t="s">
        <v>22</v>
      </c>
      <c r="P383" t="s">
        <v>20</v>
      </c>
      <c r="Q383" t="s">
        <v>16</v>
      </c>
      <c r="R383">
        <f t="shared" si="20"/>
        <v>4</v>
      </c>
      <c r="V383" t="str">
        <f t="shared" si="21"/>
        <v>NULL</v>
      </c>
      <c r="Y383" s="18">
        <f t="shared" si="22"/>
        <v>2.63</v>
      </c>
      <c r="Z383" s="18" t="str">
        <f t="shared" si="23"/>
        <v/>
      </c>
    </row>
    <row r="384" spans="2:26" x14ac:dyDescent="0.25">
      <c r="B384" t="s">
        <v>277</v>
      </c>
      <c r="C384" t="s">
        <v>16</v>
      </c>
      <c r="D384" t="s">
        <v>16</v>
      </c>
      <c r="E384" t="s">
        <v>16</v>
      </c>
      <c r="F384" t="s">
        <v>16</v>
      </c>
      <c r="G384" t="s">
        <v>572</v>
      </c>
      <c r="H384" s="18">
        <v>2593.59</v>
      </c>
      <c r="I384" t="s">
        <v>23</v>
      </c>
      <c r="J384" t="s">
        <v>19</v>
      </c>
      <c r="N384" t="s">
        <v>21</v>
      </c>
      <c r="O384" t="s">
        <v>22</v>
      </c>
      <c r="P384" t="s">
        <v>20</v>
      </c>
      <c r="Q384">
        <v>23553</v>
      </c>
      <c r="R384">
        <f t="shared" si="20"/>
        <v>2</v>
      </c>
      <c r="V384">
        <f t="shared" si="21"/>
        <v>23553</v>
      </c>
      <c r="Y384" s="18">
        <f t="shared" si="22"/>
        <v>2593.59</v>
      </c>
      <c r="Z384" s="18">
        <f t="shared" si="23"/>
        <v>0</v>
      </c>
    </row>
    <row r="385" spans="2:26" hidden="1" x14ac:dyDescent="0.25">
      <c r="B385" t="s">
        <v>15</v>
      </c>
      <c r="C385" t="s">
        <v>16</v>
      </c>
      <c r="D385" t="s">
        <v>16</v>
      </c>
      <c r="E385" t="s">
        <v>16</v>
      </c>
      <c r="F385" t="s">
        <v>16</v>
      </c>
      <c r="G385" t="s">
        <v>573</v>
      </c>
      <c r="H385" s="18">
        <v>-26207.7</v>
      </c>
      <c r="J385" t="s">
        <v>19</v>
      </c>
      <c r="N385" t="s">
        <v>21</v>
      </c>
      <c r="O385" t="s">
        <v>22</v>
      </c>
      <c r="P385" t="s">
        <v>20</v>
      </c>
      <c r="Q385">
        <v>9002370446</v>
      </c>
      <c r="R385">
        <f t="shared" si="20"/>
        <v>2</v>
      </c>
      <c r="V385">
        <f t="shared" si="21"/>
        <v>9002370446</v>
      </c>
      <c r="Y385" s="18">
        <f t="shared" si="22"/>
        <v>51057.279999999999</v>
      </c>
      <c r="Z385" s="18" t="str">
        <f t="shared" si="23"/>
        <v/>
      </c>
    </row>
    <row r="386" spans="2:26" x14ac:dyDescent="0.25">
      <c r="B386" t="s">
        <v>277</v>
      </c>
      <c r="C386" t="s">
        <v>16</v>
      </c>
      <c r="D386" t="s">
        <v>16</v>
      </c>
      <c r="E386" t="s">
        <v>16</v>
      </c>
      <c r="F386" t="s">
        <v>16</v>
      </c>
      <c r="G386" t="s">
        <v>574</v>
      </c>
      <c r="H386" s="18">
        <v>376277.61</v>
      </c>
      <c r="I386" t="s">
        <v>23</v>
      </c>
      <c r="J386" t="s">
        <v>19</v>
      </c>
      <c r="N386" t="s">
        <v>21</v>
      </c>
      <c r="O386" t="s">
        <v>22</v>
      </c>
      <c r="P386" t="s">
        <v>20</v>
      </c>
      <c r="Q386">
        <v>24233</v>
      </c>
      <c r="R386">
        <f t="shared" si="20"/>
        <v>2</v>
      </c>
      <c r="V386">
        <f t="shared" si="21"/>
        <v>24233</v>
      </c>
      <c r="Y386" s="18">
        <f t="shared" si="22"/>
        <v>376277.61</v>
      </c>
      <c r="Z386" s="18">
        <f t="shared" si="23"/>
        <v>0</v>
      </c>
    </row>
    <row r="387" spans="2:26" hidden="1" x14ac:dyDescent="0.25">
      <c r="B387" t="s">
        <v>15</v>
      </c>
      <c r="C387" t="s">
        <v>16</v>
      </c>
      <c r="D387" t="s">
        <v>16</v>
      </c>
      <c r="E387" t="s">
        <v>16</v>
      </c>
      <c r="F387" t="s">
        <v>16</v>
      </c>
      <c r="G387" t="s">
        <v>548</v>
      </c>
      <c r="H387" s="18">
        <v>-22535.51</v>
      </c>
      <c r="J387" t="s">
        <v>19</v>
      </c>
      <c r="N387" t="s">
        <v>21</v>
      </c>
      <c r="O387" t="s">
        <v>22</v>
      </c>
      <c r="P387" t="s">
        <v>20</v>
      </c>
      <c r="Q387">
        <v>23515</v>
      </c>
      <c r="R387">
        <f t="shared" si="20"/>
        <v>2</v>
      </c>
      <c r="V387">
        <f t="shared" si="21"/>
        <v>23515</v>
      </c>
      <c r="Y387" s="18">
        <f t="shared" si="22"/>
        <v>94109.61</v>
      </c>
      <c r="Z387" s="18" t="str">
        <f t="shared" si="23"/>
        <v/>
      </c>
    </row>
    <row r="388" spans="2:26" x14ac:dyDescent="0.25">
      <c r="B388" t="s">
        <v>277</v>
      </c>
      <c r="C388" t="s">
        <v>16</v>
      </c>
      <c r="D388" t="s">
        <v>16</v>
      </c>
      <c r="E388" t="s">
        <v>16</v>
      </c>
      <c r="F388" t="s">
        <v>16</v>
      </c>
      <c r="G388" t="s">
        <v>575</v>
      </c>
      <c r="H388" s="18">
        <v>44013.41</v>
      </c>
      <c r="I388" t="s">
        <v>23</v>
      </c>
      <c r="J388" t="s">
        <v>19</v>
      </c>
      <c r="N388" t="s">
        <v>21</v>
      </c>
      <c r="O388" t="s">
        <v>22</v>
      </c>
      <c r="P388" t="s">
        <v>20</v>
      </c>
      <c r="Q388">
        <v>23664</v>
      </c>
      <c r="R388">
        <f t="shared" si="20"/>
        <v>2</v>
      </c>
      <c r="V388">
        <f t="shared" si="21"/>
        <v>23664</v>
      </c>
      <c r="Y388" s="18">
        <f t="shared" si="22"/>
        <v>44013.41</v>
      </c>
      <c r="Z388" s="18">
        <f t="shared" si="23"/>
        <v>0</v>
      </c>
    </row>
    <row r="389" spans="2:26" x14ac:dyDescent="0.25">
      <c r="B389" t="s">
        <v>277</v>
      </c>
      <c r="C389" t="s">
        <v>16</v>
      </c>
      <c r="D389" t="s">
        <v>16</v>
      </c>
      <c r="E389" t="s">
        <v>16</v>
      </c>
      <c r="F389" t="s">
        <v>16</v>
      </c>
      <c r="G389" t="s">
        <v>511</v>
      </c>
      <c r="H389" s="18">
        <v>1825950.18</v>
      </c>
      <c r="I389" t="s">
        <v>23</v>
      </c>
      <c r="J389" t="s">
        <v>19</v>
      </c>
      <c r="N389" t="s">
        <v>21</v>
      </c>
      <c r="O389" t="s">
        <v>22</v>
      </c>
      <c r="P389" t="s">
        <v>20</v>
      </c>
      <c r="Q389">
        <v>25699</v>
      </c>
      <c r="R389">
        <f t="shared" si="20"/>
        <v>2</v>
      </c>
      <c r="V389">
        <f t="shared" si="21"/>
        <v>25699</v>
      </c>
      <c r="Y389" s="18">
        <f t="shared" si="22"/>
        <v>1825950.18</v>
      </c>
      <c r="Z389" s="18">
        <f t="shared" si="23"/>
        <v>0</v>
      </c>
    </row>
    <row r="390" spans="2:26" x14ac:dyDescent="0.25">
      <c r="B390" t="s">
        <v>277</v>
      </c>
      <c r="C390" t="s">
        <v>16</v>
      </c>
      <c r="D390" t="s">
        <v>16</v>
      </c>
      <c r="E390" t="s">
        <v>16</v>
      </c>
      <c r="F390" t="s">
        <v>16</v>
      </c>
      <c r="G390" t="s">
        <v>363</v>
      </c>
      <c r="H390" s="18">
        <v>327.83</v>
      </c>
      <c r="I390" t="s">
        <v>23</v>
      </c>
      <c r="J390" t="s">
        <v>19</v>
      </c>
      <c r="N390" t="s">
        <v>21</v>
      </c>
      <c r="O390" t="s">
        <v>22</v>
      </c>
      <c r="P390" t="s">
        <v>20</v>
      </c>
      <c r="Q390">
        <v>23639</v>
      </c>
      <c r="R390">
        <f t="shared" si="20"/>
        <v>2</v>
      </c>
      <c r="V390">
        <f t="shared" si="21"/>
        <v>23639</v>
      </c>
      <c r="Y390" s="18">
        <f t="shared" si="22"/>
        <v>327.83</v>
      </c>
      <c r="Z390" s="18">
        <f t="shared" si="23"/>
        <v>0</v>
      </c>
    </row>
    <row r="391" spans="2:26" hidden="1" x14ac:dyDescent="0.25">
      <c r="B391" t="s">
        <v>277</v>
      </c>
      <c r="C391" t="s">
        <v>16</v>
      </c>
      <c r="D391" t="s">
        <v>16</v>
      </c>
      <c r="E391" t="s">
        <v>16</v>
      </c>
      <c r="F391" t="s">
        <v>16</v>
      </c>
      <c r="G391" t="s">
        <v>576</v>
      </c>
      <c r="H391" s="18">
        <v>31938.3</v>
      </c>
      <c r="I391" t="s">
        <v>23</v>
      </c>
      <c r="J391" t="s">
        <v>19</v>
      </c>
      <c r="N391" t="s">
        <v>21</v>
      </c>
      <c r="O391" t="s">
        <v>22</v>
      </c>
      <c r="P391" t="s">
        <v>20</v>
      </c>
      <c r="Q391">
        <v>2100680114</v>
      </c>
      <c r="R391">
        <f t="shared" si="20"/>
        <v>10</v>
      </c>
      <c r="V391" t="str">
        <f t="shared" si="21"/>
        <v/>
      </c>
      <c r="W391" s="26" t="s">
        <v>686</v>
      </c>
      <c r="X391" s="15" t="s">
        <v>129</v>
      </c>
      <c r="Y391" s="18" t="str">
        <f t="shared" si="22"/>
        <v/>
      </c>
      <c r="Z391" s="18" t="str">
        <f t="shared" si="23"/>
        <v/>
      </c>
    </row>
    <row r="392" spans="2:26" hidden="1" x14ac:dyDescent="0.25">
      <c r="B392" t="s">
        <v>15</v>
      </c>
      <c r="C392" t="s">
        <v>16</v>
      </c>
      <c r="D392" t="s">
        <v>16</v>
      </c>
      <c r="E392" t="s">
        <v>16</v>
      </c>
      <c r="F392" t="s">
        <v>16</v>
      </c>
      <c r="G392" t="s">
        <v>574</v>
      </c>
      <c r="H392" s="18">
        <v>-327471.33</v>
      </c>
      <c r="J392" t="s">
        <v>19</v>
      </c>
      <c r="N392" t="s">
        <v>21</v>
      </c>
      <c r="O392" t="s">
        <v>22</v>
      </c>
      <c r="P392" t="s">
        <v>20</v>
      </c>
      <c r="Q392">
        <v>24233</v>
      </c>
      <c r="R392">
        <f t="shared" si="20"/>
        <v>2</v>
      </c>
      <c r="V392">
        <f t="shared" si="21"/>
        <v>24233</v>
      </c>
      <c r="Y392" s="18">
        <f t="shared" si="22"/>
        <v>376277.61</v>
      </c>
      <c r="Z392" s="18" t="str">
        <f t="shared" si="23"/>
        <v/>
      </c>
    </row>
    <row r="393" spans="2:26" x14ac:dyDescent="0.25">
      <c r="B393" t="s">
        <v>277</v>
      </c>
      <c r="C393" t="s">
        <v>16</v>
      </c>
      <c r="D393" t="s">
        <v>16</v>
      </c>
      <c r="E393" t="s">
        <v>16</v>
      </c>
      <c r="F393" t="s">
        <v>16</v>
      </c>
      <c r="G393" t="s">
        <v>577</v>
      </c>
      <c r="H393" s="18">
        <v>22218.04</v>
      </c>
      <c r="I393" t="s">
        <v>23</v>
      </c>
      <c r="J393" t="s">
        <v>19</v>
      </c>
      <c r="N393" t="s">
        <v>21</v>
      </c>
      <c r="O393" t="s">
        <v>22</v>
      </c>
      <c r="P393" t="s">
        <v>20</v>
      </c>
      <c r="Q393">
        <v>23495</v>
      </c>
      <c r="R393">
        <f t="shared" si="20"/>
        <v>2</v>
      </c>
      <c r="V393">
        <f t="shared" si="21"/>
        <v>23495</v>
      </c>
      <c r="Y393" s="18">
        <f t="shared" si="22"/>
        <v>22218.04</v>
      </c>
      <c r="Z393" s="18">
        <f t="shared" si="23"/>
        <v>0</v>
      </c>
    </row>
    <row r="394" spans="2:26" x14ac:dyDescent="0.25">
      <c r="B394" t="s">
        <v>277</v>
      </c>
      <c r="C394" t="s">
        <v>16</v>
      </c>
      <c r="D394" t="s">
        <v>16</v>
      </c>
      <c r="E394" t="s">
        <v>16</v>
      </c>
      <c r="F394" t="s">
        <v>16</v>
      </c>
      <c r="G394" t="s">
        <v>568</v>
      </c>
      <c r="H394" s="18">
        <v>66168.12</v>
      </c>
      <c r="I394" t="s">
        <v>23</v>
      </c>
      <c r="J394" t="s">
        <v>19</v>
      </c>
      <c r="N394" t="s">
        <v>21</v>
      </c>
      <c r="O394" t="s">
        <v>22</v>
      </c>
      <c r="P394" t="s">
        <v>20</v>
      </c>
      <c r="Q394">
        <v>26401</v>
      </c>
      <c r="R394">
        <f t="shared" ref="R394:R457" si="24">COUNTIF($Q$9:$Q$816,Q394)</f>
        <v>2</v>
      </c>
      <c r="V394">
        <f t="shared" ref="V394:V457" si="25">IFERROR(VLOOKUP(Q394,$C$823:$C$1253,1,FALSE),"")</f>
        <v>26401</v>
      </c>
      <c r="Y394" s="18">
        <f t="shared" ref="Y394:Y457" si="26">IFERROR(VLOOKUP(Q394,$C$823:$D$1253,2,FALSE),"")</f>
        <v>65515.5</v>
      </c>
      <c r="Z394" s="18">
        <f t="shared" ref="Z394:Z457" si="27">IFERROR(IF(RIGHT(B394,6)="TYVA02","",H394-Y394),"")</f>
        <v>652.61999999999534</v>
      </c>
    </row>
    <row r="395" spans="2:26" hidden="1" x14ac:dyDescent="0.25">
      <c r="B395" t="s">
        <v>15</v>
      </c>
      <c r="C395" t="s">
        <v>16</v>
      </c>
      <c r="D395" t="s">
        <v>16</v>
      </c>
      <c r="E395" t="s">
        <v>16</v>
      </c>
      <c r="F395" t="s">
        <v>16</v>
      </c>
      <c r="G395" t="s">
        <v>409</v>
      </c>
      <c r="H395" s="18">
        <v>-8443.64</v>
      </c>
      <c r="J395" t="s">
        <v>19</v>
      </c>
      <c r="N395" t="s">
        <v>21</v>
      </c>
      <c r="O395" t="s">
        <v>22</v>
      </c>
      <c r="P395" t="s">
        <v>20</v>
      </c>
      <c r="Q395">
        <v>23520</v>
      </c>
      <c r="R395">
        <f t="shared" si="24"/>
        <v>2</v>
      </c>
      <c r="V395">
        <f t="shared" si="25"/>
        <v>23520</v>
      </c>
      <c r="Y395" s="18">
        <f t="shared" si="26"/>
        <v>12648.73</v>
      </c>
      <c r="Z395" s="18" t="str">
        <f t="shared" si="27"/>
        <v/>
      </c>
    </row>
    <row r="396" spans="2:26" hidden="1" x14ac:dyDescent="0.25">
      <c r="B396" t="s">
        <v>15</v>
      </c>
      <c r="C396" t="s">
        <v>16</v>
      </c>
      <c r="D396" t="s">
        <v>16</v>
      </c>
      <c r="E396" t="s">
        <v>16</v>
      </c>
      <c r="F396" t="s">
        <v>16</v>
      </c>
      <c r="G396" t="s">
        <v>426</v>
      </c>
      <c r="H396" s="18">
        <v>-1434.42</v>
      </c>
      <c r="J396" t="s">
        <v>19</v>
      </c>
      <c r="N396" t="s">
        <v>21</v>
      </c>
      <c r="O396" t="s">
        <v>22</v>
      </c>
      <c r="P396" t="s">
        <v>20</v>
      </c>
      <c r="Q396">
        <v>23560</v>
      </c>
      <c r="R396">
        <f t="shared" si="24"/>
        <v>2</v>
      </c>
      <c r="V396">
        <f t="shared" si="25"/>
        <v>23560</v>
      </c>
      <c r="Y396" s="18">
        <f t="shared" si="26"/>
        <v>1687.5</v>
      </c>
      <c r="Z396" s="18" t="str">
        <f t="shared" si="27"/>
        <v/>
      </c>
    </row>
    <row r="397" spans="2:26" hidden="1" x14ac:dyDescent="0.25">
      <c r="B397" t="s">
        <v>15</v>
      </c>
      <c r="C397" t="s">
        <v>16</v>
      </c>
      <c r="D397" t="s">
        <v>16</v>
      </c>
      <c r="E397" t="s">
        <v>16</v>
      </c>
      <c r="F397" t="s">
        <v>16</v>
      </c>
      <c r="G397" t="s">
        <v>279</v>
      </c>
      <c r="H397" s="18">
        <v>-6614.98</v>
      </c>
      <c r="J397" t="s">
        <v>19</v>
      </c>
      <c r="N397" t="s">
        <v>21</v>
      </c>
      <c r="O397" t="s">
        <v>22</v>
      </c>
      <c r="P397" t="s">
        <v>20</v>
      </c>
      <c r="Q397">
        <v>23548</v>
      </c>
      <c r="R397">
        <f t="shared" si="24"/>
        <v>2</v>
      </c>
      <c r="V397">
        <f t="shared" si="25"/>
        <v>23548</v>
      </c>
      <c r="Y397" s="18">
        <f t="shared" si="26"/>
        <v>9145.82</v>
      </c>
      <c r="Z397" s="18" t="str">
        <f t="shared" si="27"/>
        <v/>
      </c>
    </row>
    <row r="398" spans="2:26" hidden="1" x14ac:dyDescent="0.25">
      <c r="B398" t="s">
        <v>15</v>
      </c>
      <c r="C398" t="s">
        <v>16</v>
      </c>
      <c r="D398" t="s">
        <v>16</v>
      </c>
      <c r="E398" t="s">
        <v>16</v>
      </c>
      <c r="F398" t="s">
        <v>16</v>
      </c>
      <c r="G398" t="s">
        <v>460</v>
      </c>
      <c r="H398" s="18">
        <v>-66550.720000000001</v>
      </c>
      <c r="J398" t="s">
        <v>19</v>
      </c>
      <c r="N398" t="s">
        <v>21</v>
      </c>
      <c r="O398" t="s">
        <v>22</v>
      </c>
      <c r="P398" t="s">
        <v>20</v>
      </c>
      <c r="Q398">
        <v>25688</v>
      </c>
      <c r="R398">
        <f t="shared" si="24"/>
        <v>2</v>
      </c>
      <c r="V398">
        <f t="shared" si="25"/>
        <v>25688</v>
      </c>
      <c r="Y398" s="18">
        <f t="shared" si="26"/>
        <v>99248.05</v>
      </c>
      <c r="Z398" s="18" t="str">
        <f t="shared" si="27"/>
        <v/>
      </c>
    </row>
    <row r="399" spans="2:26" x14ac:dyDescent="0.25">
      <c r="B399" t="s">
        <v>277</v>
      </c>
      <c r="C399" t="s">
        <v>16</v>
      </c>
      <c r="D399" t="s">
        <v>16</v>
      </c>
      <c r="E399" t="s">
        <v>16</v>
      </c>
      <c r="F399" t="s">
        <v>16</v>
      </c>
      <c r="G399" t="s">
        <v>578</v>
      </c>
      <c r="H399" s="18">
        <v>131200</v>
      </c>
      <c r="I399" t="s">
        <v>23</v>
      </c>
      <c r="J399" t="s">
        <v>19</v>
      </c>
      <c r="N399" t="s">
        <v>21</v>
      </c>
      <c r="O399" t="s">
        <v>22</v>
      </c>
      <c r="P399" t="s">
        <v>20</v>
      </c>
      <c r="Q399">
        <v>26777</v>
      </c>
      <c r="R399">
        <f t="shared" si="24"/>
        <v>2</v>
      </c>
      <c r="V399">
        <f t="shared" si="25"/>
        <v>26777</v>
      </c>
      <c r="Y399" s="18">
        <f t="shared" si="26"/>
        <v>131200</v>
      </c>
      <c r="Z399" s="18">
        <f t="shared" si="27"/>
        <v>0</v>
      </c>
    </row>
    <row r="400" spans="2:26" hidden="1" x14ac:dyDescent="0.25">
      <c r="B400" t="s">
        <v>15</v>
      </c>
      <c r="C400" t="s">
        <v>16</v>
      </c>
      <c r="D400" t="s">
        <v>16</v>
      </c>
      <c r="E400" t="s">
        <v>16</v>
      </c>
      <c r="F400" t="s">
        <v>16</v>
      </c>
      <c r="G400" t="s">
        <v>579</v>
      </c>
      <c r="H400" s="18">
        <v>-963.33</v>
      </c>
      <c r="J400" t="s">
        <v>19</v>
      </c>
      <c r="N400" t="s">
        <v>21</v>
      </c>
      <c r="O400" t="s">
        <v>22</v>
      </c>
      <c r="P400" t="s">
        <v>20</v>
      </c>
      <c r="Q400">
        <v>23615</v>
      </c>
      <c r="R400">
        <f t="shared" si="24"/>
        <v>2</v>
      </c>
      <c r="V400">
        <f t="shared" si="25"/>
        <v>23615</v>
      </c>
      <c r="Y400" s="18">
        <f t="shared" si="26"/>
        <v>2131.41</v>
      </c>
      <c r="Z400" s="18" t="str">
        <f t="shared" si="27"/>
        <v/>
      </c>
    </row>
    <row r="401" spans="2:26" hidden="1" x14ac:dyDescent="0.25">
      <c r="B401" t="s">
        <v>15</v>
      </c>
      <c r="C401" t="s">
        <v>16</v>
      </c>
      <c r="D401" t="s">
        <v>16</v>
      </c>
      <c r="E401" t="s">
        <v>16</v>
      </c>
      <c r="F401" t="s">
        <v>16</v>
      </c>
      <c r="G401" t="s">
        <v>580</v>
      </c>
      <c r="H401" s="18">
        <v>0</v>
      </c>
      <c r="J401" t="s">
        <v>19</v>
      </c>
      <c r="N401" t="s">
        <v>21</v>
      </c>
      <c r="O401" t="s">
        <v>22</v>
      </c>
      <c r="P401" t="s">
        <v>20</v>
      </c>
      <c r="Q401">
        <v>2100680114</v>
      </c>
      <c r="R401">
        <f t="shared" si="24"/>
        <v>10</v>
      </c>
      <c r="V401" t="str">
        <f t="shared" si="25"/>
        <v/>
      </c>
      <c r="W401" s="26" t="s">
        <v>686</v>
      </c>
      <c r="X401" s="15" t="s">
        <v>129</v>
      </c>
      <c r="Y401" s="18" t="str">
        <f t="shared" si="26"/>
        <v/>
      </c>
      <c r="Z401" s="18" t="str">
        <f t="shared" si="27"/>
        <v/>
      </c>
    </row>
    <row r="402" spans="2:26" hidden="1" x14ac:dyDescent="0.25">
      <c r="B402" t="s">
        <v>15</v>
      </c>
      <c r="C402" t="s">
        <v>16</v>
      </c>
      <c r="D402" t="s">
        <v>16</v>
      </c>
      <c r="E402" t="s">
        <v>16</v>
      </c>
      <c r="F402" t="s">
        <v>16</v>
      </c>
      <c r="G402" t="s">
        <v>581</v>
      </c>
      <c r="H402" s="18">
        <v>-2685.43</v>
      </c>
      <c r="J402" t="s">
        <v>19</v>
      </c>
      <c r="N402" t="s">
        <v>21</v>
      </c>
      <c r="O402" t="s">
        <v>22</v>
      </c>
      <c r="P402" t="s">
        <v>20</v>
      </c>
      <c r="Q402">
        <v>7400168683</v>
      </c>
      <c r="R402">
        <f t="shared" si="24"/>
        <v>2</v>
      </c>
      <c r="V402">
        <f t="shared" si="25"/>
        <v>7400168683</v>
      </c>
      <c r="Y402" s="18">
        <f t="shared" si="26"/>
        <v>68429.929999999993</v>
      </c>
      <c r="Z402" s="18" t="str">
        <f t="shared" si="27"/>
        <v/>
      </c>
    </row>
    <row r="403" spans="2:26" hidden="1" x14ac:dyDescent="0.25">
      <c r="B403" t="s">
        <v>15</v>
      </c>
      <c r="C403" t="s">
        <v>16</v>
      </c>
      <c r="D403" t="s">
        <v>16</v>
      </c>
      <c r="E403" t="s">
        <v>16</v>
      </c>
      <c r="F403" t="s">
        <v>16</v>
      </c>
      <c r="G403" t="s">
        <v>320</v>
      </c>
      <c r="H403" s="18">
        <v>-1434.42</v>
      </c>
      <c r="J403" t="s">
        <v>19</v>
      </c>
      <c r="N403" t="s">
        <v>21</v>
      </c>
      <c r="O403" t="s">
        <v>22</v>
      </c>
      <c r="P403" t="s">
        <v>20</v>
      </c>
      <c r="Q403">
        <v>23554</v>
      </c>
      <c r="R403">
        <f t="shared" si="24"/>
        <v>2</v>
      </c>
      <c r="V403">
        <f t="shared" si="25"/>
        <v>23554</v>
      </c>
      <c r="Y403" s="18">
        <f t="shared" si="26"/>
        <v>1687.5</v>
      </c>
      <c r="Z403" s="18" t="str">
        <f t="shared" si="27"/>
        <v/>
      </c>
    </row>
    <row r="404" spans="2:26" hidden="1" x14ac:dyDescent="0.25">
      <c r="B404" t="s">
        <v>15</v>
      </c>
      <c r="C404" t="s">
        <v>16</v>
      </c>
      <c r="D404" t="s">
        <v>16</v>
      </c>
      <c r="E404" t="s">
        <v>16</v>
      </c>
      <c r="F404" t="s">
        <v>16</v>
      </c>
      <c r="G404" t="s">
        <v>582</v>
      </c>
      <c r="H404" s="18">
        <v>-77909.78</v>
      </c>
      <c r="J404" t="s">
        <v>19</v>
      </c>
      <c r="N404" t="s">
        <v>21</v>
      </c>
      <c r="O404" t="s">
        <v>22</v>
      </c>
      <c r="P404" t="s">
        <v>20</v>
      </c>
      <c r="Q404">
        <v>23668</v>
      </c>
      <c r="R404">
        <f t="shared" si="24"/>
        <v>2</v>
      </c>
      <c r="V404">
        <f t="shared" si="25"/>
        <v>23668</v>
      </c>
      <c r="Y404" s="18">
        <f t="shared" si="26"/>
        <v>77909.8</v>
      </c>
      <c r="Z404" s="18" t="str">
        <f t="shared" si="27"/>
        <v/>
      </c>
    </row>
    <row r="405" spans="2:26" x14ac:dyDescent="0.25">
      <c r="B405" t="s">
        <v>277</v>
      </c>
      <c r="C405" t="s">
        <v>16</v>
      </c>
      <c r="D405" t="s">
        <v>16</v>
      </c>
      <c r="E405" t="s">
        <v>16</v>
      </c>
      <c r="F405" t="s">
        <v>16</v>
      </c>
      <c r="G405" t="s">
        <v>583</v>
      </c>
      <c r="H405" s="18">
        <v>237182.22</v>
      </c>
      <c r="I405" t="s">
        <v>23</v>
      </c>
      <c r="J405" t="s">
        <v>19</v>
      </c>
      <c r="N405" t="s">
        <v>21</v>
      </c>
      <c r="O405" t="s">
        <v>22</v>
      </c>
      <c r="P405" t="s">
        <v>20</v>
      </c>
      <c r="Q405">
        <v>25682</v>
      </c>
      <c r="R405">
        <f t="shared" si="24"/>
        <v>2</v>
      </c>
      <c r="V405">
        <f t="shared" si="25"/>
        <v>25682</v>
      </c>
      <c r="Y405" s="18">
        <f t="shared" si="26"/>
        <v>237182.22</v>
      </c>
      <c r="Z405" s="18">
        <f t="shared" si="27"/>
        <v>0</v>
      </c>
    </row>
    <row r="406" spans="2:26" hidden="1" x14ac:dyDescent="0.25">
      <c r="B406" t="s">
        <v>15</v>
      </c>
      <c r="C406" t="s">
        <v>16</v>
      </c>
      <c r="D406" t="s">
        <v>16</v>
      </c>
      <c r="E406" t="s">
        <v>16</v>
      </c>
      <c r="F406" t="s">
        <v>16</v>
      </c>
      <c r="G406" t="s">
        <v>296</v>
      </c>
      <c r="H406" s="18">
        <v>-11751.53</v>
      </c>
      <c r="J406" t="s">
        <v>19</v>
      </c>
      <c r="N406" t="s">
        <v>21</v>
      </c>
      <c r="O406" t="s">
        <v>22</v>
      </c>
      <c r="P406" t="s">
        <v>20</v>
      </c>
      <c r="Q406">
        <v>23575</v>
      </c>
      <c r="R406">
        <f t="shared" si="24"/>
        <v>2</v>
      </c>
      <c r="V406">
        <f t="shared" si="25"/>
        <v>23575</v>
      </c>
      <c r="Y406" s="18">
        <f t="shared" si="26"/>
        <v>13435.51</v>
      </c>
      <c r="Z406" s="18" t="str">
        <f t="shared" si="27"/>
        <v/>
      </c>
    </row>
    <row r="407" spans="2:26" hidden="1" x14ac:dyDescent="0.25">
      <c r="B407" t="s">
        <v>15</v>
      </c>
      <c r="C407" t="s">
        <v>16</v>
      </c>
      <c r="D407" t="s">
        <v>16</v>
      </c>
      <c r="E407" t="s">
        <v>16</v>
      </c>
      <c r="F407" t="s">
        <v>16</v>
      </c>
      <c r="G407" t="s">
        <v>552</v>
      </c>
      <c r="H407" s="18">
        <v>-9142.2999999999993</v>
      </c>
      <c r="J407" t="s">
        <v>19</v>
      </c>
      <c r="N407" t="s">
        <v>21</v>
      </c>
      <c r="O407" t="s">
        <v>22</v>
      </c>
      <c r="P407" t="s">
        <v>20</v>
      </c>
      <c r="Q407">
        <v>23546</v>
      </c>
      <c r="R407">
        <f t="shared" si="24"/>
        <v>2</v>
      </c>
      <c r="V407">
        <f t="shared" si="25"/>
        <v>23546</v>
      </c>
      <c r="Y407" s="18">
        <f t="shared" si="26"/>
        <v>10748.41</v>
      </c>
      <c r="Z407" s="18" t="str">
        <f t="shared" si="27"/>
        <v/>
      </c>
    </row>
    <row r="408" spans="2:26" x14ac:dyDescent="0.25">
      <c r="B408" t="s">
        <v>277</v>
      </c>
      <c r="C408" t="s">
        <v>16</v>
      </c>
      <c r="D408" t="s">
        <v>16</v>
      </c>
      <c r="E408" t="s">
        <v>16</v>
      </c>
      <c r="F408" t="s">
        <v>16</v>
      </c>
      <c r="G408" t="s">
        <v>544</v>
      </c>
      <c r="H408" s="18">
        <v>87884</v>
      </c>
      <c r="I408" t="s">
        <v>23</v>
      </c>
      <c r="J408" t="s">
        <v>19</v>
      </c>
      <c r="N408" t="s">
        <v>21</v>
      </c>
      <c r="O408" t="s">
        <v>22</v>
      </c>
      <c r="P408" t="s">
        <v>20</v>
      </c>
      <c r="Q408">
        <v>9002101516</v>
      </c>
      <c r="R408">
        <f t="shared" si="24"/>
        <v>2</v>
      </c>
      <c r="V408">
        <f t="shared" si="25"/>
        <v>9002101516</v>
      </c>
      <c r="Y408" s="18">
        <f t="shared" si="26"/>
        <v>87884</v>
      </c>
      <c r="Z408" s="18">
        <f t="shared" si="27"/>
        <v>0</v>
      </c>
    </row>
    <row r="409" spans="2:26" hidden="1" x14ac:dyDescent="0.25">
      <c r="B409" t="s">
        <v>15</v>
      </c>
      <c r="C409" t="s">
        <v>16</v>
      </c>
      <c r="D409" t="s">
        <v>16</v>
      </c>
      <c r="E409" t="s">
        <v>16</v>
      </c>
      <c r="F409" t="s">
        <v>16</v>
      </c>
      <c r="G409" t="s">
        <v>584</v>
      </c>
      <c r="H409" s="18">
        <v>-2532.4299999999998</v>
      </c>
      <c r="J409" t="s">
        <v>19</v>
      </c>
      <c r="N409" t="s">
        <v>21</v>
      </c>
      <c r="O409" t="s">
        <v>22</v>
      </c>
      <c r="P409" t="s">
        <v>20</v>
      </c>
      <c r="Q409">
        <v>27106</v>
      </c>
      <c r="R409">
        <f t="shared" si="24"/>
        <v>2</v>
      </c>
      <c r="V409">
        <f t="shared" si="25"/>
        <v>27106</v>
      </c>
      <c r="Y409" s="18">
        <f t="shared" si="26"/>
        <v>64295.5</v>
      </c>
      <c r="Z409" s="18" t="str">
        <f t="shared" si="27"/>
        <v/>
      </c>
    </row>
    <row r="410" spans="2:26" hidden="1" x14ac:dyDescent="0.25">
      <c r="B410" t="s">
        <v>15</v>
      </c>
      <c r="C410" t="s">
        <v>16</v>
      </c>
      <c r="D410" t="s">
        <v>16</v>
      </c>
      <c r="E410" t="s">
        <v>16</v>
      </c>
      <c r="F410" t="s">
        <v>16</v>
      </c>
      <c r="G410" t="s">
        <v>585</v>
      </c>
      <c r="H410" s="18">
        <v>-2827246.37</v>
      </c>
      <c r="J410" t="s">
        <v>19</v>
      </c>
      <c r="N410" t="s">
        <v>21</v>
      </c>
      <c r="O410" t="s">
        <v>22</v>
      </c>
      <c r="P410" t="s">
        <v>20</v>
      </c>
      <c r="Q410">
        <v>23348</v>
      </c>
      <c r="R410">
        <f t="shared" si="24"/>
        <v>2</v>
      </c>
      <c r="V410">
        <f t="shared" si="25"/>
        <v>23348</v>
      </c>
      <c r="Y410" s="18">
        <f t="shared" si="26"/>
        <v>3081439.91</v>
      </c>
      <c r="Z410" s="18" t="str">
        <f t="shared" si="27"/>
        <v/>
      </c>
    </row>
    <row r="411" spans="2:26" x14ac:dyDescent="0.25">
      <c r="B411" t="s">
        <v>277</v>
      </c>
      <c r="C411" t="s">
        <v>16</v>
      </c>
      <c r="D411" t="s">
        <v>16</v>
      </c>
      <c r="E411" t="s">
        <v>16</v>
      </c>
      <c r="F411" t="s">
        <v>16</v>
      </c>
      <c r="G411" t="s">
        <v>586</v>
      </c>
      <c r="H411" s="18">
        <v>10290.530000000001</v>
      </c>
      <c r="I411" t="s">
        <v>23</v>
      </c>
      <c r="J411" t="s">
        <v>19</v>
      </c>
      <c r="N411" t="s">
        <v>21</v>
      </c>
      <c r="O411" t="s">
        <v>22</v>
      </c>
      <c r="P411" t="s">
        <v>20</v>
      </c>
      <c r="Q411">
        <v>23527</v>
      </c>
      <c r="R411">
        <f t="shared" si="24"/>
        <v>2</v>
      </c>
      <c r="V411">
        <f t="shared" si="25"/>
        <v>23527</v>
      </c>
      <c r="Y411" s="18">
        <f t="shared" si="26"/>
        <v>10290.530000000001</v>
      </c>
      <c r="Z411" s="18">
        <f t="shared" si="27"/>
        <v>0</v>
      </c>
    </row>
    <row r="412" spans="2:26" x14ac:dyDescent="0.25">
      <c r="B412" t="s">
        <v>277</v>
      </c>
      <c r="C412" t="s">
        <v>16</v>
      </c>
      <c r="D412" t="s">
        <v>16</v>
      </c>
      <c r="E412" t="s">
        <v>16</v>
      </c>
      <c r="F412" t="s">
        <v>16</v>
      </c>
      <c r="G412" t="s">
        <v>352</v>
      </c>
      <c r="H412" s="18">
        <v>615569.17000000004</v>
      </c>
      <c r="I412" t="s">
        <v>23</v>
      </c>
      <c r="J412" t="s">
        <v>19</v>
      </c>
      <c r="N412" t="s">
        <v>21</v>
      </c>
      <c r="O412" t="s">
        <v>22</v>
      </c>
      <c r="P412" t="s">
        <v>20</v>
      </c>
      <c r="Q412">
        <v>25700</v>
      </c>
      <c r="R412">
        <f t="shared" si="24"/>
        <v>2</v>
      </c>
      <c r="V412">
        <f t="shared" si="25"/>
        <v>25700</v>
      </c>
      <c r="Y412" s="18">
        <f t="shared" si="26"/>
        <v>615569.17000000004</v>
      </c>
      <c r="Z412" s="18">
        <f t="shared" si="27"/>
        <v>0</v>
      </c>
    </row>
    <row r="413" spans="2:26" hidden="1" x14ac:dyDescent="0.25">
      <c r="B413" t="s">
        <v>15</v>
      </c>
      <c r="C413" t="s">
        <v>16</v>
      </c>
      <c r="D413" t="s">
        <v>16</v>
      </c>
      <c r="E413" t="s">
        <v>16</v>
      </c>
      <c r="F413" t="s">
        <v>16</v>
      </c>
      <c r="G413" t="s">
        <v>587</v>
      </c>
      <c r="H413" s="18">
        <v>-107740.98</v>
      </c>
      <c r="J413" t="s">
        <v>19</v>
      </c>
      <c r="N413" t="s">
        <v>21</v>
      </c>
      <c r="O413" t="s">
        <v>22</v>
      </c>
      <c r="P413" t="s">
        <v>20</v>
      </c>
      <c r="Q413">
        <v>25683</v>
      </c>
      <c r="R413">
        <f t="shared" si="24"/>
        <v>2</v>
      </c>
      <c r="V413">
        <f t="shared" si="25"/>
        <v>25683</v>
      </c>
      <c r="Y413" s="18">
        <f t="shared" si="26"/>
        <v>171686.94</v>
      </c>
      <c r="Z413" s="18" t="str">
        <f t="shared" si="27"/>
        <v/>
      </c>
    </row>
    <row r="414" spans="2:26" x14ac:dyDescent="0.25">
      <c r="B414" t="s">
        <v>277</v>
      </c>
      <c r="C414" t="s">
        <v>16</v>
      </c>
      <c r="D414" t="s">
        <v>16</v>
      </c>
      <c r="E414" t="s">
        <v>16</v>
      </c>
      <c r="F414" t="s">
        <v>16</v>
      </c>
      <c r="G414" t="s">
        <v>587</v>
      </c>
      <c r="H414" s="18">
        <v>171686.94</v>
      </c>
      <c r="I414" t="s">
        <v>23</v>
      </c>
      <c r="J414" t="s">
        <v>19</v>
      </c>
      <c r="N414" t="s">
        <v>21</v>
      </c>
      <c r="O414" t="s">
        <v>22</v>
      </c>
      <c r="P414" t="s">
        <v>20</v>
      </c>
      <c r="Q414">
        <v>25683</v>
      </c>
      <c r="R414">
        <f t="shared" si="24"/>
        <v>2</v>
      </c>
      <c r="V414">
        <f t="shared" si="25"/>
        <v>25683</v>
      </c>
      <c r="Y414" s="18">
        <f t="shared" si="26"/>
        <v>171686.94</v>
      </c>
      <c r="Z414" s="18">
        <f t="shared" si="27"/>
        <v>0</v>
      </c>
    </row>
    <row r="415" spans="2:26" hidden="1" x14ac:dyDescent="0.25">
      <c r="B415" t="s">
        <v>15</v>
      </c>
      <c r="C415" t="s">
        <v>16</v>
      </c>
      <c r="D415" t="s">
        <v>16</v>
      </c>
      <c r="E415" t="s">
        <v>16</v>
      </c>
      <c r="F415" t="s">
        <v>16</v>
      </c>
      <c r="G415" t="s">
        <v>382</v>
      </c>
      <c r="H415" s="18">
        <v>-27050.66</v>
      </c>
      <c r="J415" t="s">
        <v>19</v>
      </c>
      <c r="N415" t="s">
        <v>21</v>
      </c>
      <c r="O415" t="s">
        <v>22</v>
      </c>
      <c r="P415" t="s">
        <v>20</v>
      </c>
      <c r="Q415">
        <v>23509</v>
      </c>
      <c r="R415">
        <f t="shared" si="24"/>
        <v>2</v>
      </c>
      <c r="V415">
        <f t="shared" si="25"/>
        <v>23509</v>
      </c>
      <c r="Y415" s="18">
        <f t="shared" si="26"/>
        <v>84160.04</v>
      </c>
      <c r="Z415" s="18" t="str">
        <f t="shared" si="27"/>
        <v/>
      </c>
    </row>
    <row r="416" spans="2:26" hidden="1" x14ac:dyDescent="0.25">
      <c r="B416" t="s">
        <v>15</v>
      </c>
      <c r="C416" t="s">
        <v>16</v>
      </c>
      <c r="D416" t="s">
        <v>16</v>
      </c>
      <c r="E416" t="s">
        <v>16</v>
      </c>
      <c r="F416" t="s">
        <v>16</v>
      </c>
      <c r="G416" t="s">
        <v>588</v>
      </c>
      <c r="H416" s="18">
        <v>-7175.57</v>
      </c>
      <c r="J416" t="s">
        <v>19</v>
      </c>
      <c r="N416" t="s">
        <v>21</v>
      </c>
      <c r="O416" t="s">
        <v>22</v>
      </c>
      <c r="P416" t="s">
        <v>20</v>
      </c>
      <c r="Q416" t="s">
        <v>589</v>
      </c>
      <c r="R416">
        <f t="shared" si="24"/>
        <v>2</v>
      </c>
      <c r="V416" t="str">
        <f t="shared" si="25"/>
        <v/>
      </c>
      <c r="W416" s="26" t="s">
        <v>686</v>
      </c>
      <c r="X416" s="15" t="s">
        <v>129</v>
      </c>
      <c r="Y416" s="18" t="str">
        <f t="shared" si="26"/>
        <v/>
      </c>
      <c r="Z416" s="18" t="str">
        <f t="shared" si="27"/>
        <v/>
      </c>
    </row>
    <row r="417" spans="2:26" x14ac:dyDescent="0.25">
      <c r="B417" t="s">
        <v>277</v>
      </c>
      <c r="C417" t="s">
        <v>16</v>
      </c>
      <c r="D417" t="s">
        <v>16</v>
      </c>
      <c r="E417" t="s">
        <v>16</v>
      </c>
      <c r="F417" t="s">
        <v>16</v>
      </c>
      <c r="G417" t="s">
        <v>331</v>
      </c>
      <c r="H417" s="18">
        <v>2050.8000000000002</v>
      </c>
      <c r="I417" t="s">
        <v>23</v>
      </c>
      <c r="J417" t="s">
        <v>19</v>
      </c>
      <c r="N417" t="s">
        <v>21</v>
      </c>
      <c r="O417" t="s">
        <v>22</v>
      </c>
      <c r="P417" t="s">
        <v>20</v>
      </c>
      <c r="Q417">
        <v>23614</v>
      </c>
      <c r="R417">
        <f t="shared" si="24"/>
        <v>2</v>
      </c>
      <c r="V417">
        <f t="shared" si="25"/>
        <v>23614</v>
      </c>
      <c r="Y417" s="18">
        <f t="shared" si="26"/>
        <v>2050.8000000000002</v>
      </c>
      <c r="Z417" s="18">
        <f t="shared" si="27"/>
        <v>0</v>
      </c>
    </row>
    <row r="418" spans="2:26" x14ac:dyDescent="0.25">
      <c r="B418" t="s">
        <v>277</v>
      </c>
      <c r="C418" t="s">
        <v>16</v>
      </c>
      <c r="D418" t="s">
        <v>16</v>
      </c>
      <c r="E418" t="s">
        <v>16</v>
      </c>
      <c r="F418" t="s">
        <v>16</v>
      </c>
      <c r="G418" t="s">
        <v>590</v>
      </c>
      <c r="H418" s="18">
        <v>166611.76</v>
      </c>
      <c r="I418" t="s">
        <v>23</v>
      </c>
      <c r="J418" t="s">
        <v>19</v>
      </c>
      <c r="N418" t="s">
        <v>21</v>
      </c>
      <c r="O418" t="s">
        <v>22</v>
      </c>
      <c r="P418" t="s">
        <v>20</v>
      </c>
      <c r="Q418">
        <v>23872</v>
      </c>
      <c r="R418">
        <f t="shared" si="24"/>
        <v>2</v>
      </c>
      <c r="V418">
        <f t="shared" si="25"/>
        <v>23872</v>
      </c>
      <c r="Y418" s="18">
        <f t="shared" si="26"/>
        <v>166611.76</v>
      </c>
      <c r="Z418" s="18">
        <f t="shared" si="27"/>
        <v>0</v>
      </c>
    </row>
    <row r="419" spans="2:26" x14ac:dyDescent="0.25">
      <c r="B419" t="s">
        <v>277</v>
      </c>
      <c r="C419" t="s">
        <v>16</v>
      </c>
      <c r="D419" t="s">
        <v>16</v>
      </c>
      <c r="E419" t="s">
        <v>16</v>
      </c>
      <c r="F419" t="s">
        <v>16</v>
      </c>
      <c r="G419" t="s">
        <v>591</v>
      </c>
      <c r="H419" s="18">
        <v>10616.28</v>
      </c>
      <c r="I419" t="s">
        <v>23</v>
      </c>
      <c r="J419" t="s">
        <v>19</v>
      </c>
      <c r="N419" t="s">
        <v>21</v>
      </c>
      <c r="O419" t="s">
        <v>22</v>
      </c>
      <c r="P419" t="s">
        <v>20</v>
      </c>
      <c r="Q419">
        <v>26926</v>
      </c>
      <c r="R419">
        <f t="shared" si="24"/>
        <v>2</v>
      </c>
      <c r="V419">
        <f t="shared" si="25"/>
        <v>26926</v>
      </c>
      <c r="Y419" s="18">
        <f t="shared" si="26"/>
        <v>10616.28</v>
      </c>
      <c r="Z419" s="18">
        <f t="shared" si="27"/>
        <v>0</v>
      </c>
    </row>
    <row r="420" spans="2:26" x14ac:dyDescent="0.25">
      <c r="B420" t="s">
        <v>277</v>
      </c>
      <c r="C420" t="s">
        <v>16</v>
      </c>
      <c r="D420" t="s">
        <v>16</v>
      </c>
      <c r="E420" t="s">
        <v>16</v>
      </c>
      <c r="F420" t="s">
        <v>16</v>
      </c>
      <c r="G420" t="s">
        <v>396</v>
      </c>
      <c r="H420" s="18">
        <v>10748.41</v>
      </c>
      <c r="I420" t="s">
        <v>23</v>
      </c>
      <c r="J420" t="s">
        <v>19</v>
      </c>
      <c r="N420" t="s">
        <v>21</v>
      </c>
      <c r="O420" t="s">
        <v>22</v>
      </c>
      <c r="P420" t="s">
        <v>20</v>
      </c>
      <c r="Q420">
        <v>23547</v>
      </c>
      <c r="R420">
        <f t="shared" si="24"/>
        <v>2</v>
      </c>
      <c r="V420">
        <f t="shared" si="25"/>
        <v>23547</v>
      </c>
      <c r="Y420" s="18">
        <f t="shared" si="26"/>
        <v>10748.41</v>
      </c>
      <c r="Z420" s="18">
        <f t="shared" si="27"/>
        <v>0</v>
      </c>
    </row>
    <row r="421" spans="2:26" x14ac:dyDescent="0.25">
      <c r="B421" t="s">
        <v>277</v>
      </c>
      <c r="C421" t="s">
        <v>16</v>
      </c>
      <c r="D421" t="s">
        <v>16</v>
      </c>
      <c r="E421" t="s">
        <v>16</v>
      </c>
      <c r="F421" t="s">
        <v>16</v>
      </c>
      <c r="G421" t="s">
        <v>592</v>
      </c>
      <c r="H421" s="18">
        <v>524.52</v>
      </c>
      <c r="I421" t="s">
        <v>23</v>
      </c>
      <c r="J421" t="s">
        <v>19</v>
      </c>
      <c r="N421" t="s">
        <v>21</v>
      </c>
      <c r="O421" t="s">
        <v>22</v>
      </c>
      <c r="P421" t="s">
        <v>20</v>
      </c>
      <c r="Q421">
        <v>23626</v>
      </c>
      <c r="R421">
        <f t="shared" si="24"/>
        <v>2</v>
      </c>
      <c r="V421">
        <f t="shared" si="25"/>
        <v>23626</v>
      </c>
      <c r="Y421" s="18">
        <f t="shared" si="26"/>
        <v>524.52</v>
      </c>
      <c r="Z421" s="18">
        <f t="shared" si="27"/>
        <v>0</v>
      </c>
    </row>
    <row r="422" spans="2:26" hidden="1" x14ac:dyDescent="0.25">
      <c r="B422" t="s">
        <v>15</v>
      </c>
      <c r="C422" t="s">
        <v>16</v>
      </c>
      <c r="D422" t="s">
        <v>16</v>
      </c>
      <c r="E422" t="s">
        <v>16</v>
      </c>
      <c r="F422" t="s">
        <v>16</v>
      </c>
      <c r="G422" t="s">
        <v>593</v>
      </c>
      <c r="H422" s="18">
        <v>-766.63</v>
      </c>
      <c r="J422" t="s">
        <v>19</v>
      </c>
      <c r="N422" t="s">
        <v>21</v>
      </c>
      <c r="O422" t="s">
        <v>22</v>
      </c>
      <c r="P422" t="s">
        <v>20</v>
      </c>
      <c r="Q422">
        <v>23607</v>
      </c>
      <c r="R422">
        <f t="shared" si="24"/>
        <v>2</v>
      </c>
      <c r="V422">
        <f t="shared" si="25"/>
        <v>23607</v>
      </c>
      <c r="Y422" s="18">
        <f t="shared" si="26"/>
        <v>1934.71</v>
      </c>
      <c r="Z422" s="18" t="str">
        <f t="shared" si="27"/>
        <v/>
      </c>
    </row>
    <row r="423" spans="2:26" x14ac:dyDescent="0.25">
      <c r="B423" t="s">
        <v>277</v>
      </c>
      <c r="C423" t="s">
        <v>16</v>
      </c>
      <c r="D423" t="s">
        <v>16</v>
      </c>
      <c r="E423" t="s">
        <v>16</v>
      </c>
      <c r="F423" t="s">
        <v>16</v>
      </c>
      <c r="G423" t="s">
        <v>435</v>
      </c>
      <c r="H423" s="18">
        <v>70937</v>
      </c>
      <c r="I423" t="s">
        <v>23</v>
      </c>
      <c r="J423" t="s">
        <v>19</v>
      </c>
      <c r="N423" t="s">
        <v>21</v>
      </c>
      <c r="O423" t="s">
        <v>22</v>
      </c>
      <c r="P423" t="s">
        <v>20</v>
      </c>
      <c r="Q423">
        <v>9000817157</v>
      </c>
      <c r="R423">
        <f t="shared" si="24"/>
        <v>2</v>
      </c>
      <c r="V423">
        <f t="shared" si="25"/>
        <v>9000817157</v>
      </c>
      <c r="Y423" s="18">
        <f t="shared" si="26"/>
        <v>70937</v>
      </c>
      <c r="Z423" s="18">
        <f t="shared" si="27"/>
        <v>0</v>
      </c>
    </row>
    <row r="424" spans="2:26" hidden="1" x14ac:dyDescent="0.25">
      <c r="B424" t="s">
        <v>277</v>
      </c>
      <c r="C424" t="s">
        <v>16</v>
      </c>
      <c r="D424" t="s">
        <v>16</v>
      </c>
      <c r="E424" t="s">
        <v>16</v>
      </c>
      <c r="F424" t="s">
        <v>16</v>
      </c>
      <c r="G424" t="s">
        <v>290</v>
      </c>
      <c r="H424" s="18">
        <v>56979.39</v>
      </c>
      <c r="I424" t="s">
        <v>23</v>
      </c>
      <c r="J424" t="s">
        <v>19</v>
      </c>
      <c r="N424" t="s">
        <v>21</v>
      </c>
      <c r="O424" t="s">
        <v>22</v>
      </c>
      <c r="P424" t="s">
        <v>20</v>
      </c>
      <c r="Q424">
        <v>27129</v>
      </c>
      <c r="R424">
        <f t="shared" si="24"/>
        <v>2</v>
      </c>
      <c r="V424" t="str">
        <f t="shared" si="25"/>
        <v/>
      </c>
      <c r="W424" s="26" t="s">
        <v>686</v>
      </c>
      <c r="X424" s="15" t="s">
        <v>129</v>
      </c>
      <c r="Y424" s="18" t="str">
        <f t="shared" si="26"/>
        <v/>
      </c>
      <c r="Z424" s="18" t="str">
        <f t="shared" si="27"/>
        <v/>
      </c>
    </row>
    <row r="425" spans="2:26" hidden="1" x14ac:dyDescent="0.25">
      <c r="B425" t="s">
        <v>15</v>
      </c>
      <c r="C425" t="s">
        <v>16</v>
      </c>
      <c r="D425" t="s">
        <v>16</v>
      </c>
      <c r="E425" t="s">
        <v>16</v>
      </c>
      <c r="F425" t="s">
        <v>16</v>
      </c>
      <c r="G425" t="s">
        <v>572</v>
      </c>
      <c r="H425" s="18">
        <v>-2340.5100000000002</v>
      </c>
      <c r="J425" t="s">
        <v>19</v>
      </c>
      <c r="N425" t="s">
        <v>21</v>
      </c>
      <c r="O425" t="s">
        <v>22</v>
      </c>
      <c r="P425" t="s">
        <v>20</v>
      </c>
      <c r="Q425">
        <v>23553</v>
      </c>
      <c r="R425">
        <f t="shared" si="24"/>
        <v>2</v>
      </c>
      <c r="V425">
        <f t="shared" si="25"/>
        <v>23553</v>
      </c>
      <c r="Y425" s="18">
        <f t="shared" si="26"/>
        <v>2593.59</v>
      </c>
      <c r="Z425" s="18" t="str">
        <f t="shared" si="27"/>
        <v/>
      </c>
    </row>
    <row r="426" spans="2:26" x14ac:dyDescent="0.25">
      <c r="B426" t="s">
        <v>277</v>
      </c>
      <c r="C426" t="s">
        <v>16</v>
      </c>
      <c r="D426" t="s">
        <v>16</v>
      </c>
      <c r="E426" t="s">
        <v>16</v>
      </c>
      <c r="F426" t="s">
        <v>16</v>
      </c>
      <c r="G426" t="s">
        <v>594</v>
      </c>
      <c r="H426" s="18">
        <v>72558.429999999993</v>
      </c>
      <c r="I426" t="s">
        <v>23</v>
      </c>
      <c r="J426" t="s">
        <v>19</v>
      </c>
      <c r="N426" t="s">
        <v>21</v>
      </c>
      <c r="O426" t="s">
        <v>22</v>
      </c>
      <c r="P426" t="s">
        <v>20</v>
      </c>
      <c r="Q426">
        <v>2090</v>
      </c>
      <c r="R426">
        <f t="shared" si="24"/>
        <v>2</v>
      </c>
      <c r="V426">
        <f t="shared" si="25"/>
        <v>2090</v>
      </c>
      <c r="Y426" s="18">
        <f t="shared" si="26"/>
        <v>72558.429999999993</v>
      </c>
      <c r="Z426" s="18">
        <f t="shared" si="27"/>
        <v>0</v>
      </c>
    </row>
    <row r="427" spans="2:26" hidden="1" x14ac:dyDescent="0.25">
      <c r="B427" t="s">
        <v>277</v>
      </c>
      <c r="C427" t="s">
        <v>16</v>
      </c>
      <c r="D427" t="s">
        <v>16</v>
      </c>
      <c r="E427" t="s">
        <v>16</v>
      </c>
      <c r="F427" t="s">
        <v>16</v>
      </c>
      <c r="G427" t="s">
        <v>299</v>
      </c>
      <c r="H427" s="18">
        <v>123626</v>
      </c>
      <c r="I427" t="s">
        <v>23</v>
      </c>
      <c r="J427" t="s">
        <v>19</v>
      </c>
      <c r="N427" t="s">
        <v>21</v>
      </c>
      <c r="O427" t="s">
        <v>22</v>
      </c>
      <c r="P427" t="s">
        <v>20</v>
      </c>
      <c r="Q427">
        <v>27170</v>
      </c>
      <c r="R427">
        <f t="shared" si="24"/>
        <v>2</v>
      </c>
      <c r="V427" t="str">
        <f t="shared" si="25"/>
        <v/>
      </c>
      <c r="W427" s="26" t="s">
        <v>686</v>
      </c>
      <c r="X427" s="15" t="s">
        <v>129</v>
      </c>
      <c r="Y427" s="18" t="str">
        <f t="shared" si="26"/>
        <v/>
      </c>
      <c r="Z427" s="18" t="str">
        <f t="shared" si="27"/>
        <v/>
      </c>
    </row>
    <row r="428" spans="2:26" hidden="1" x14ac:dyDescent="0.25">
      <c r="B428" t="s">
        <v>15</v>
      </c>
      <c r="C428" t="s">
        <v>16</v>
      </c>
      <c r="D428" t="s">
        <v>16</v>
      </c>
      <c r="E428" t="s">
        <v>16</v>
      </c>
      <c r="F428" t="s">
        <v>16</v>
      </c>
      <c r="G428" t="s">
        <v>595</v>
      </c>
      <c r="H428" s="18">
        <v>-20017.95</v>
      </c>
      <c r="J428" t="s">
        <v>19</v>
      </c>
      <c r="N428" t="s">
        <v>21</v>
      </c>
      <c r="O428" t="s">
        <v>22</v>
      </c>
      <c r="P428" t="s">
        <v>20</v>
      </c>
      <c r="Q428">
        <v>23489</v>
      </c>
      <c r="R428">
        <f t="shared" si="24"/>
        <v>2</v>
      </c>
      <c r="V428">
        <f t="shared" si="25"/>
        <v>23489</v>
      </c>
      <c r="Y428" s="18">
        <f t="shared" si="26"/>
        <v>26578.67</v>
      </c>
      <c r="Z428" s="18" t="str">
        <f t="shared" si="27"/>
        <v/>
      </c>
    </row>
    <row r="429" spans="2:26" x14ac:dyDescent="0.25">
      <c r="B429" t="s">
        <v>277</v>
      </c>
      <c r="C429" t="s">
        <v>16</v>
      </c>
      <c r="D429" t="s">
        <v>16</v>
      </c>
      <c r="E429" t="s">
        <v>16</v>
      </c>
      <c r="F429" t="s">
        <v>16</v>
      </c>
      <c r="G429" t="s">
        <v>323</v>
      </c>
      <c r="H429" s="18">
        <v>2296.14</v>
      </c>
      <c r="I429" t="s">
        <v>23</v>
      </c>
      <c r="J429" t="s">
        <v>19</v>
      </c>
      <c r="N429" t="s">
        <v>21</v>
      </c>
      <c r="O429" t="s">
        <v>22</v>
      </c>
      <c r="P429" t="s">
        <v>20</v>
      </c>
      <c r="Q429">
        <v>23555</v>
      </c>
      <c r="R429">
        <f t="shared" si="24"/>
        <v>2</v>
      </c>
      <c r="V429">
        <f t="shared" si="25"/>
        <v>23555</v>
      </c>
      <c r="Y429" s="18">
        <f t="shared" si="26"/>
        <v>2296.14</v>
      </c>
      <c r="Z429" s="18">
        <f t="shared" si="27"/>
        <v>0</v>
      </c>
    </row>
    <row r="430" spans="2:26" x14ac:dyDescent="0.25">
      <c r="B430" t="s">
        <v>277</v>
      </c>
      <c r="C430" t="s">
        <v>16</v>
      </c>
      <c r="D430" t="s">
        <v>16</v>
      </c>
      <c r="E430" t="s">
        <v>16</v>
      </c>
      <c r="F430" t="s">
        <v>16</v>
      </c>
      <c r="G430" t="s">
        <v>364</v>
      </c>
      <c r="H430" s="18">
        <v>58806.05</v>
      </c>
      <c r="I430" t="s">
        <v>23</v>
      </c>
      <c r="J430" t="s">
        <v>19</v>
      </c>
      <c r="N430" t="s">
        <v>21</v>
      </c>
      <c r="O430" t="s">
        <v>22</v>
      </c>
      <c r="P430" t="s">
        <v>20</v>
      </c>
      <c r="Q430">
        <v>27114</v>
      </c>
      <c r="R430">
        <f t="shared" si="24"/>
        <v>2</v>
      </c>
      <c r="V430">
        <f t="shared" si="25"/>
        <v>27114</v>
      </c>
      <c r="Y430" s="18">
        <f t="shared" si="26"/>
        <v>58806.05</v>
      </c>
      <c r="Z430" s="18">
        <f t="shared" si="27"/>
        <v>0</v>
      </c>
    </row>
    <row r="431" spans="2:26" x14ac:dyDescent="0.25">
      <c r="B431" t="s">
        <v>277</v>
      </c>
      <c r="C431" t="s">
        <v>16</v>
      </c>
      <c r="D431" t="s">
        <v>16</v>
      </c>
      <c r="E431" t="s">
        <v>16</v>
      </c>
      <c r="F431" t="s">
        <v>16</v>
      </c>
      <c r="G431" t="s">
        <v>596</v>
      </c>
      <c r="H431" s="18">
        <v>75548.61</v>
      </c>
      <c r="I431" t="s">
        <v>23</v>
      </c>
      <c r="J431" t="s">
        <v>19</v>
      </c>
      <c r="N431" t="s">
        <v>21</v>
      </c>
      <c r="O431" t="s">
        <v>22</v>
      </c>
      <c r="P431" t="s">
        <v>20</v>
      </c>
      <c r="Q431">
        <v>27080</v>
      </c>
      <c r="R431">
        <f t="shared" si="24"/>
        <v>2</v>
      </c>
      <c r="V431">
        <f t="shared" si="25"/>
        <v>27080</v>
      </c>
      <c r="Y431" s="18">
        <f t="shared" si="26"/>
        <v>75548.61</v>
      </c>
      <c r="Z431" s="18">
        <f t="shared" si="27"/>
        <v>0</v>
      </c>
    </row>
    <row r="432" spans="2:26" hidden="1" x14ac:dyDescent="0.25">
      <c r="B432" t="s">
        <v>15</v>
      </c>
      <c r="C432" t="s">
        <v>16</v>
      </c>
      <c r="D432" t="s">
        <v>16</v>
      </c>
      <c r="E432" t="s">
        <v>16</v>
      </c>
      <c r="F432" t="s">
        <v>16</v>
      </c>
      <c r="G432" t="s">
        <v>597</v>
      </c>
      <c r="H432" s="18">
        <v>0</v>
      </c>
      <c r="J432" t="s">
        <v>19</v>
      </c>
      <c r="N432" t="s">
        <v>21</v>
      </c>
      <c r="O432" t="s">
        <v>22</v>
      </c>
      <c r="P432" t="s">
        <v>20</v>
      </c>
      <c r="Q432">
        <v>2100680114</v>
      </c>
      <c r="R432">
        <f t="shared" si="24"/>
        <v>10</v>
      </c>
      <c r="V432" t="str">
        <f t="shared" si="25"/>
        <v/>
      </c>
      <c r="W432" s="26" t="s">
        <v>686</v>
      </c>
      <c r="X432" s="15" t="s">
        <v>129</v>
      </c>
      <c r="Y432" s="18" t="str">
        <f t="shared" si="26"/>
        <v/>
      </c>
      <c r="Z432" s="18" t="str">
        <f t="shared" si="27"/>
        <v/>
      </c>
    </row>
    <row r="433" spans="2:26" hidden="1" x14ac:dyDescent="0.25">
      <c r="B433" t="s">
        <v>15</v>
      </c>
      <c r="C433" t="s">
        <v>16</v>
      </c>
      <c r="D433" t="s">
        <v>16</v>
      </c>
      <c r="E433" t="s">
        <v>16</v>
      </c>
      <c r="F433" t="s">
        <v>16</v>
      </c>
      <c r="G433" t="s">
        <v>318</v>
      </c>
      <c r="H433" s="18">
        <v>-363831.38</v>
      </c>
      <c r="J433" t="s">
        <v>19</v>
      </c>
      <c r="N433" t="s">
        <v>21</v>
      </c>
      <c r="O433" t="s">
        <v>22</v>
      </c>
      <c r="P433" t="s">
        <v>20</v>
      </c>
      <c r="Q433">
        <v>25694</v>
      </c>
      <c r="R433">
        <f t="shared" si="24"/>
        <v>2</v>
      </c>
      <c r="V433">
        <f t="shared" si="25"/>
        <v>25694</v>
      </c>
      <c r="Y433" s="18">
        <f t="shared" si="26"/>
        <v>632967.29</v>
      </c>
      <c r="Z433" s="18" t="str">
        <f t="shared" si="27"/>
        <v/>
      </c>
    </row>
    <row r="434" spans="2:26" x14ac:dyDescent="0.25">
      <c r="B434" t="s">
        <v>277</v>
      </c>
      <c r="C434" t="s">
        <v>16</v>
      </c>
      <c r="D434" t="s">
        <v>16</v>
      </c>
      <c r="E434" t="s">
        <v>16</v>
      </c>
      <c r="F434" t="s">
        <v>16</v>
      </c>
      <c r="G434" t="s">
        <v>345</v>
      </c>
      <c r="H434" s="18">
        <v>46907.19</v>
      </c>
      <c r="I434" t="s">
        <v>23</v>
      </c>
      <c r="J434" t="s">
        <v>19</v>
      </c>
      <c r="N434" t="s">
        <v>21</v>
      </c>
      <c r="O434" t="s">
        <v>22</v>
      </c>
      <c r="P434" t="s">
        <v>20</v>
      </c>
      <c r="Q434">
        <v>7400196620</v>
      </c>
      <c r="R434">
        <f t="shared" si="24"/>
        <v>2</v>
      </c>
      <c r="V434">
        <f t="shared" si="25"/>
        <v>7400196620</v>
      </c>
      <c r="Y434" s="18">
        <f t="shared" si="26"/>
        <v>46907.19</v>
      </c>
      <c r="Z434" s="18">
        <f t="shared" si="27"/>
        <v>0</v>
      </c>
    </row>
    <row r="435" spans="2:26" hidden="1" x14ac:dyDescent="0.25">
      <c r="B435" t="s">
        <v>15</v>
      </c>
      <c r="C435" t="s">
        <v>16</v>
      </c>
      <c r="D435" t="s">
        <v>16</v>
      </c>
      <c r="E435" t="s">
        <v>16</v>
      </c>
      <c r="F435" t="s">
        <v>16</v>
      </c>
      <c r="G435" t="s">
        <v>549</v>
      </c>
      <c r="H435" s="18">
        <v>-103680.91</v>
      </c>
      <c r="J435" t="s">
        <v>19</v>
      </c>
      <c r="N435" t="s">
        <v>21</v>
      </c>
      <c r="O435" t="s">
        <v>22</v>
      </c>
      <c r="P435" t="s">
        <v>20</v>
      </c>
      <c r="Q435">
        <v>23778</v>
      </c>
      <c r="R435">
        <f t="shared" si="24"/>
        <v>2</v>
      </c>
      <c r="V435">
        <f t="shared" si="25"/>
        <v>23778</v>
      </c>
      <c r="Y435" s="18">
        <f t="shared" si="26"/>
        <v>187286.39999999999</v>
      </c>
      <c r="Z435" s="18" t="str">
        <f t="shared" si="27"/>
        <v/>
      </c>
    </row>
    <row r="436" spans="2:26" x14ac:dyDescent="0.25">
      <c r="B436" t="s">
        <v>277</v>
      </c>
      <c r="C436" t="s">
        <v>16</v>
      </c>
      <c r="D436" t="s">
        <v>16</v>
      </c>
      <c r="E436" t="s">
        <v>16</v>
      </c>
      <c r="F436" t="s">
        <v>16</v>
      </c>
      <c r="G436" t="s">
        <v>595</v>
      </c>
      <c r="H436" s="18">
        <v>26578.67</v>
      </c>
      <c r="I436" t="s">
        <v>23</v>
      </c>
      <c r="J436" t="s">
        <v>19</v>
      </c>
      <c r="N436" t="s">
        <v>21</v>
      </c>
      <c r="O436" t="s">
        <v>22</v>
      </c>
      <c r="P436" t="s">
        <v>20</v>
      </c>
      <c r="Q436">
        <v>23489</v>
      </c>
      <c r="R436">
        <f t="shared" si="24"/>
        <v>2</v>
      </c>
      <c r="V436">
        <f t="shared" si="25"/>
        <v>23489</v>
      </c>
      <c r="Y436" s="18">
        <f t="shared" si="26"/>
        <v>26578.67</v>
      </c>
      <c r="Z436" s="18">
        <f t="shared" si="27"/>
        <v>0</v>
      </c>
    </row>
    <row r="437" spans="2:26" hidden="1" x14ac:dyDescent="0.25">
      <c r="B437" t="s">
        <v>15</v>
      </c>
      <c r="C437" t="s">
        <v>16</v>
      </c>
      <c r="D437" t="s">
        <v>16</v>
      </c>
      <c r="E437" t="s">
        <v>16</v>
      </c>
      <c r="F437" t="s">
        <v>16</v>
      </c>
      <c r="G437" t="s">
        <v>439</v>
      </c>
      <c r="H437" s="18">
        <v>-1743.95</v>
      </c>
      <c r="J437" t="s">
        <v>19</v>
      </c>
      <c r="N437" t="s">
        <v>21</v>
      </c>
      <c r="O437" t="s">
        <v>22</v>
      </c>
      <c r="P437" t="s">
        <v>20</v>
      </c>
      <c r="Q437">
        <v>23580</v>
      </c>
      <c r="R437">
        <f t="shared" si="24"/>
        <v>2</v>
      </c>
      <c r="V437">
        <f t="shared" si="25"/>
        <v>23580</v>
      </c>
      <c r="Y437" s="18">
        <f t="shared" si="26"/>
        <v>2172.25</v>
      </c>
      <c r="Z437" s="18" t="str">
        <f t="shared" si="27"/>
        <v/>
      </c>
    </row>
    <row r="438" spans="2:26" hidden="1" x14ac:dyDescent="0.25">
      <c r="B438" t="s">
        <v>15</v>
      </c>
      <c r="C438" t="s">
        <v>16</v>
      </c>
      <c r="D438" t="s">
        <v>16</v>
      </c>
      <c r="E438" t="s">
        <v>16</v>
      </c>
      <c r="F438" t="s">
        <v>16</v>
      </c>
      <c r="G438" t="s">
        <v>598</v>
      </c>
      <c r="H438" s="18">
        <v>-58475.92</v>
      </c>
      <c r="J438" t="s">
        <v>19</v>
      </c>
      <c r="N438" t="s">
        <v>21</v>
      </c>
      <c r="O438" t="s">
        <v>22</v>
      </c>
      <c r="P438" t="s">
        <v>20</v>
      </c>
      <c r="Q438">
        <v>25704</v>
      </c>
      <c r="R438">
        <f t="shared" si="24"/>
        <v>2</v>
      </c>
      <c r="V438">
        <f t="shared" si="25"/>
        <v>25704</v>
      </c>
      <c r="Y438" s="18">
        <f t="shared" si="26"/>
        <v>90114.69</v>
      </c>
      <c r="Z438" s="18" t="str">
        <f t="shared" si="27"/>
        <v/>
      </c>
    </row>
    <row r="439" spans="2:26" hidden="1" x14ac:dyDescent="0.25">
      <c r="B439" t="s">
        <v>15</v>
      </c>
      <c r="C439" t="s">
        <v>16</v>
      </c>
      <c r="D439" t="s">
        <v>16</v>
      </c>
      <c r="E439" t="s">
        <v>16</v>
      </c>
      <c r="F439" t="s">
        <v>16</v>
      </c>
      <c r="G439" t="s">
        <v>464</v>
      </c>
      <c r="H439" s="18">
        <v>-250.96</v>
      </c>
      <c r="J439" t="s">
        <v>19</v>
      </c>
      <c r="N439" t="s">
        <v>21</v>
      </c>
      <c r="O439" t="s">
        <v>22</v>
      </c>
      <c r="P439" t="s">
        <v>20</v>
      </c>
      <c r="Q439">
        <v>23646</v>
      </c>
      <c r="R439">
        <f t="shared" si="24"/>
        <v>2</v>
      </c>
      <c r="V439">
        <f t="shared" si="25"/>
        <v>23646</v>
      </c>
      <c r="Y439" s="18">
        <f t="shared" si="26"/>
        <v>338.57</v>
      </c>
      <c r="Z439" s="18" t="str">
        <f t="shared" si="27"/>
        <v/>
      </c>
    </row>
    <row r="440" spans="2:26" x14ac:dyDescent="0.25">
      <c r="B440" t="s">
        <v>277</v>
      </c>
      <c r="C440" t="s">
        <v>16</v>
      </c>
      <c r="D440" t="s">
        <v>16</v>
      </c>
      <c r="E440" t="s">
        <v>16</v>
      </c>
      <c r="F440" t="s">
        <v>16</v>
      </c>
      <c r="G440" t="s">
        <v>390</v>
      </c>
      <c r="H440" s="18">
        <v>4276.79</v>
      </c>
      <c r="I440" t="s">
        <v>23</v>
      </c>
      <c r="J440" t="s">
        <v>19</v>
      </c>
      <c r="N440" t="s">
        <v>21</v>
      </c>
      <c r="O440" t="s">
        <v>22</v>
      </c>
      <c r="P440" t="s">
        <v>20</v>
      </c>
      <c r="Q440">
        <v>23601</v>
      </c>
      <c r="R440">
        <f t="shared" si="24"/>
        <v>2</v>
      </c>
      <c r="V440">
        <f t="shared" si="25"/>
        <v>23601</v>
      </c>
      <c r="Y440" s="18">
        <f t="shared" si="26"/>
        <v>4276.79</v>
      </c>
      <c r="Z440" s="18">
        <f t="shared" si="27"/>
        <v>0</v>
      </c>
    </row>
    <row r="441" spans="2:26" hidden="1" x14ac:dyDescent="0.25">
      <c r="B441" t="s">
        <v>15</v>
      </c>
      <c r="C441" t="s">
        <v>16</v>
      </c>
      <c r="D441" t="s">
        <v>16</v>
      </c>
      <c r="E441" t="s">
        <v>16</v>
      </c>
      <c r="F441" t="s">
        <v>16</v>
      </c>
      <c r="G441" t="s">
        <v>599</v>
      </c>
      <c r="H441" s="18">
        <v>-29567.91</v>
      </c>
      <c r="J441" t="s">
        <v>19</v>
      </c>
      <c r="N441" t="s">
        <v>21</v>
      </c>
      <c r="O441" t="s">
        <v>22</v>
      </c>
      <c r="P441" t="s">
        <v>20</v>
      </c>
      <c r="Q441">
        <v>2665</v>
      </c>
      <c r="R441">
        <f t="shared" si="24"/>
        <v>2</v>
      </c>
      <c r="V441">
        <f t="shared" si="25"/>
        <v>2665</v>
      </c>
      <c r="Y441" s="18">
        <f t="shared" si="26"/>
        <v>30091.39</v>
      </c>
      <c r="Z441" s="18" t="str">
        <f t="shared" si="27"/>
        <v/>
      </c>
    </row>
    <row r="442" spans="2:26" hidden="1" x14ac:dyDescent="0.25">
      <c r="B442" t="s">
        <v>15</v>
      </c>
      <c r="C442" t="s">
        <v>16</v>
      </c>
      <c r="D442" t="s">
        <v>16</v>
      </c>
      <c r="E442" t="s">
        <v>16</v>
      </c>
      <c r="F442" t="s">
        <v>16</v>
      </c>
      <c r="G442" t="s">
        <v>600</v>
      </c>
      <c r="H442" s="18">
        <v>-12501.05</v>
      </c>
      <c r="J442" t="s">
        <v>19</v>
      </c>
      <c r="N442" t="s">
        <v>21</v>
      </c>
      <c r="O442" t="s">
        <v>22</v>
      </c>
      <c r="P442" t="s">
        <v>20</v>
      </c>
      <c r="Q442">
        <v>23605</v>
      </c>
      <c r="R442">
        <f t="shared" si="24"/>
        <v>2</v>
      </c>
      <c r="V442">
        <f t="shared" si="25"/>
        <v>23605</v>
      </c>
      <c r="Y442" s="18">
        <f t="shared" si="26"/>
        <v>13435.51</v>
      </c>
      <c r="Z442" s="18" t="str">
        <f t="shared" si="27"/>
        <v/>
      </c>
    </row>
    <row r="443" spans="2:26" x14ac:dyDescent="0.25">
      <c r="B443" t="s">
        <v>277</v>
      </c>
      <c r="C443" t="s">
        <v>16</v>
      </c>
      <c r="D443" t="s">
        <v>16</v>
      </c>
      <c r="E443" t="s">
        <v>16</v>
      </c>
      <c r="F443" t="s">
        <v>16</v>
      </c>
      <c r="G443" t="s">
        <v>601</v>
      </c>
      <c r="H443" s="18">
        <v>119.31</v>
      </c>
      <c r="I443" t="s">
        <v>23</v>
      </c>
      <c r="J443" t="s">
        <v>19</v>
      </c>
      <c r="N443" t="s">
        <v>21</v>
      </c>
      <c r="O443" t="s">
        <v>22</v>
      </c>
      <c r="P443" t="s">
        <v>20</v>
      </c>
      <c r="Q443">
        <v>23628</v>
      </c>
      <c r="R443">
        <f t="shared" si="24"/>
        <v>2</v>
      </c>
      <c r="V443">
        <f t="shared" si="25"/>
        <v>23628</v>
      </c>
      <c r="Y443" s="18">
        <f t="shared" si="26"/>
        <v>119.31</v>
      </c>
      <c r="Z443" s="18">
        <f t="shared" si="27"/>
        <v>0</v>
      </c>
    </row>
    <row r="444" spans="2:26" x14ac:dyDescent="0.25">
      <c r="B444" t="s">
        <v>277</v>
      </c>
      <c r="C444" t="s">
        <v>16</v>
      </c>
      <c r="D444" t="s">
        <v>16</v>
      </c>
      <c r="E444" t="s">
        <v>16</v>
      </c>
      <c r="F444" t="s">
        <v>16</v>
      </c>
      <c r="G444" t="s">
        <v>602</v>
      </c>
      <c r="H444" s="18">
        <v>2079668.23</v>
      </c>
      <c r="I444" t="s">
        <v>23</v>
      </c>
      <c r="J444" t="s">
        <v>19</v>
      </c>
      <c r="N444" t="s">
        <v>21</v>
      </c>
      <c r="O444" t="s">
        <v>22</v>
      </c>
      <c r="P444" t="s">
        <v>20</v>
      </c>
      <c r="Q444">
        <v>23685</v>
      </c>
      <c r="R444">
        <f t="shared" si="24"/>
        <v>2</v>
      </c>
      <c r="V444">
        <f t="shared" si="25"/>
        <v>23685</v>
      </c>
      <c r="Y444" s="18">
        <f t="shared" si="26"/>
        <v>2079668.23</v>
      </c>
      <c r="Z444" s="18">
        <f t="shared" si="27"/>
        <v>0</v>
      </c>
    </row>
    <row r="445" spans="2:26" hidden="1" x14ac:dyDescent="0.25">
      <c r="B445" t="s">
        <v>15</v>
      </c>
      <c r="C445" t="s">
        <v>16</v>
      </c>
      <c r="D445" t="s">
        <v>16</v>
      </c>
      <c r="E445" t="s">
        <v>16</v>
      </c>
      <c r="F445" t="s">
        <v>16</v>
      </c>
      <c r="G445" t="s">
        <v>283</v>
      </c>
      <c r="H445" s="18">
        <v>-18435.41</v>
      </c>
      <c r="J445" t="s">
        <v>19</v>
      </c>
      <c r="N445" t="s">
        <v>21</v>
      </c>
      <c r="O445" t="s">
        <v>22</v>
      </c>
      <c r="P445" t="s">
        <v>20</v>
      </c>
      <c r="Q445">
        <v>69025101</v>
      </c>
      <c r="R445">
        <f t="shared" si="24"/>
        <v>2</v>
      </c>
      <c r="V445">
        <f t="shared" si="25"/>
        <v>69025101</v>
      </c>
      <c r="Y445" s="18">
        <f t="shared" si="26"/>
        <v>30846.26</v>
      </c>
      <c r="Z445" s="18" t="str">
        <f t="shared" si="27"/>
        <v/>
      </c>
    </row>
    <row r="446" spans="2:26" hidden="1" x14ac:dyDescent="0.25">
      <c r="B446" t="s">
        <v>15</v>
      </c>
      <c r="C446" t="s">
        <v>16</v>
      </c>
      <c r="D446" t="s">
        <v>16</v>
      </c>
      <c r="E446" t="s">
        <v>16</v>
      </c>
      <c r="F446" t="s">
        <v>16</v>
      </c>
      <c r="G446" t="s">
        <v>280</v>
      </c>
      <c r="H446" s="18">
        <v>-2991.41</v>
      </c>
      <c r="J446" t="s">
        <v>19</v>
      </c>
      <c r="N446" t="s">
        <v>21</v>
      </c>
      <c r="O446" t="s">
        <v>22</v>
      </c>
      <c r="P446" t="s">
        <v>20</v>
      </c>
      <c r="Q446">
        <v>26800</v>
      </c>
      <c r="R446">
        <f t="shared" si="24"/>
        <v>2</v>
      </c>
      <c r="V446">
        <f t="shared" si="25"/>
        <v>26800</v>
      </c>
      <c r="Y446" s="18">
        <f t="shared" si="26"/>
        <v>76226.98</v>
      </c>
      <c r="Z446" s="18" t="str">
        <f t="shared" si="27"/>
        <v/>
      </c>
    </row>
    <row r="447" spans="2:26" x14ac:dyDescent="0.25">
      <c r="B447" t="s">
        <v>277</v>
      </c>
      <c r="C447" t="s">
        <v>16</v>
      </c>
      <c r="D447" t="s">
        <v>16</v>
      </c>
      <c r="E447" t="s">
        <v>16</v>
      </c>
      <c r="F447" t="s">
        <v>16</v>
      </c>
      <c r="G447" t="s">
        <v>603</v>
      </c>
      <c r="H447" s="18">
        <v>2109.91</v>
      </c>
      <c r="I447" t="s">
        <v>23</v>
      </c>
      <c r="J447" t="s">
        <v>19</v>
      </c>
      <c r="N447" t="s">
        <v>21</v>
      </c>
      <c r="O447" t="s">
        <v>22</v>
      </c>
      <c r="P447" t="s">
        <v>20</v>
      </c>
      <c r="Q447">
        <v>23556</v>
      </c>
      <c r="R447">
        <f t="shared" si="24"/>
        <v>2</v>
      </c>
      <c r="V447">
        <f t="shared" si="25"/>
        <v>23556</v>
      </c>
      <c r="Y447" s="18">
        <f t="shared" si="26"/>
        <v>2109.91</v>
      </c>
      <c r="Z447" s="18">
        <f t="shared" si="27"/>
        <v>0</v>
      </c>
    </row>
    <row r="448" spans="2:26" hidden="1" x14ac:dyDescent="0.25">
      <c r="B448" t="s">
        <v>15</v>
      </c>
      <c r="C448" t="s">
        <v>16</v>
      </c>
      <c r="D448" t="s">
        <v>16</v>
      </c>
      <c r="E448" t="s">
        <v>16</v>
      </c>
      <c r="F448" t="s">
        <v>16</v>
      </c>
      <c r="G448" t="s">
        <v>604</v>
      </c>
      <c r="H448" s="18">
        <v>-664.39</v>
      </c>
      <c r="J448" t="s">
        <v>19</v>
      </c>
      <c r="N448" t="s">
        <v>21</v>
      </c>
      <c r="O448" t="s">
        <v>22</v>
      </c>
      <c r="P448" t="s">
        <v>20</v>
      </c>
      <c r="Q448">
        <v>27036</v>
      </c>
      <c r="R448">
        <f t="shared" si="24"/>
        <v>2</v>
      </c>
      <c r="V448">
        <f t="shared" si="25"/>
        <v>27036</v>
      </c>
      <c r="Y448" s="18">
        <f t="shared" si="26"/>
        <v>16929.830000000002</v>
      </c>
      <c r="Z448" s="18" t="str">
        <f t="shared" si="27"/>
        <v/>
      </c>
    </row>
    <row r="449" spans="2:26" x14ac:dyDescent="0.25">
      <c r="B449" t="s">
        <v>277</v>
      </c>
      <c r="C449" t="s">
        <v>16</v>
      </c>
      <c r="D449" t="s">
        <v>16</v>
      </c>
      <c r="E449" t="s">
        <v>16</v>
      </c>
      <c r="F449" t="s">
        <v>16</v>
      </c>
      <c r="G449" t="s">
        <v>380</v>
      </c>
      <c r="H449" s="18">
        <v>2144.5100000000002</v>
      </c>
      <c r="I449" t="s">
        <v>23</v>
      </c>
      <c r="J449" t="s">
        <v>19</v>
      </c>
      <c r="N449" t="s">
        <v>21</v>
      </c>
      <c r="O449" t="s">
        <v>22</v>
      </c>
      <c r="P449" t="s">
        <v>20</v>
      </c>
      <c r="Q449">
        <v>23609</v>
      </c>
      <c r="R449">
        <f t="shared" si="24"/>
        <v>2</v>
      </c>
      <c r="V449">
        <f t="shared" si="25"/>
        <v>23609</v>
      </c>
      <c r="Y449" s="18">
        <f t="shared" si="26"/>
        <v>2144.5100000000002</v>
      </c>
      <c r="Z449" s="18">
        <f t="shared" si="27"/>
        <v>0</v>
      </c>
    </row>
    <row r="450" spans="2:26" hidden="1" x14ac:dyDescent="0.25">
      <c r="B450" t="s">
        <v>277</v>
      </c>
      <c r="C450" t="s">
        <v>16</v>
      </c>
      <c r="D450" t="s">
        <v>16</v>
      </c>
      <c r="E450" t="s">
        <v>16</v>
      </c>
      <c r="F450" t="s">
        <v>16</v>
      </c>
      <c r="G450" t="s">
        <v>605</v>
      </c>
      <c r="H450" s="18">
        <v>82558.12</v>
      </c>
      <c r="I450" t="s">
        <v>23</v>
      </c>
      <c r="J450" t="s">
        <v>19</v>
      </c>
      <c r="N450" t="s">
        <v>21</v>
      </c>
      <c r="O450" t="s">
        <v>22</v>
      </c>
      <c r="P450" t="s">
        <v>20</v>
      </c>
      <c r="Q450">
        <v>27142</v>
      </c>
      <c r="R450">
        <f t="shared" si="24"/>
        <v>2</v>
      </c>
      <c r="V450" t="str">
        <f t="shared" si="25"/>
        <v/>
      </c>
      <c r="W450" s="26" t="s">
        <v>686</v>
      </c>
      <c r="X450" s="15" t="s">
        <v>129</v>
      </c>
      <c r="Y450" s="18" t="str">
        <f t="shared" si="26"/>
        <v/>
      </c>
      <c r="Z450" s="18" t="str">
        <f t="shared" si="27"/>
        <v/>
      </c>
    </row>
    <row r="451" spans="2:26" hidden="1" x14ac:dyDescent="0.25">
      <c r="B451" t="s">
        <v>15</v>
      </c>
      <c r="C451" t="s">
        <v>16</v>
      </c>
      <c r="D451" t="s">
        <v>16</v>
      </c>
      <c r="E451" t="s">
        <v>16</v>
      </c>
      <c r="F451" t="s">
        <v>16</v>
      </c>
      <c r="G451" t="s">
        <v>354</v>
      </c>
      <c r="H451" s="18">
        <v>-14666.54</v>
      </c>
      <c r="J451" t="s">
        <v>19</v>
      </c>
      <c r="N451" t="s">
        <v>21</v>
      </c>
      <c r="O451" t="s">
        <v>22</v>
      </c>
      <c r="P451" t="s">
        <v>20</v>
      </c>
      <c r="Q451">
        <v>23488</v>
      </c>
      <c r="R451">
        <f t="shared" si="24"/>
        <v>2</v>
      </c>
      <c r="V451">
        <f t="shared" si="25"/>
        <v>23488</v>
      </c>
      <c r="Y451" s="18">
        <f t="shared" si="26"/>
        <v>22229.86</v>
      </c>
      <c r="Z451" s="18" t="str">
        <f t="shared" si="27"/>
        <v/>
      </c>
    </row>
    <row r="452" spans="2:26" x14ac:dyDescent="0.25">
      <c r="B452" t="s">
        <v>277</v>
      </c>
      <c r="C452" t="s">
        <v>16</v>
      </c>
      <c r="D452" t="s">
        <v>16</v>
      </c>
      <c r="E452" t="s">
        <v>16</v>
      </c>
      <c r="F452" t="s">
        <v>16</v>
      </c>
      <c r="G452" t="s">
        <v>332</v>
      </c>
      <c r="H452" s="18">
        <v>13435.51</v>
      </c>
      <c r="I452" t="s">
        <v>23</v>
      </c>
      <c r="J452" t="s">
        <v>19</v>
      </c>
      <c r="N452" t="s">
        <v>21</v>
      </c>
      <c r="O452" t="s">
        <v>22</v>
      </c>
      <c r="P452" t="s">
        <v>20</v>
      </c>
      <c r="Q452">
        <v>23542</v>
      </c>
      <c r="R452">
        <f t="shared" si="24"/>
        <v>2</v>
      </c>
      <c r="V452">
        <f t="shared" si="25"/>
        <v>23542</v>
      </c>
      <c r="Y452" s="18">
        <f t="shared" si="26"/>
        <v>13435.51</v>
      </c>
      <c r="Z452" s="18">
        <f t="shared" si="27"/>
        <v>0</v>
      </c>
    </row>
    <row r="453" spans="2:26" x14ac:dyDescent="0.25">
      <c r="B453" t="s">
        <v>277</v>
      </c>
      <c r="C453" t="s">
        <v>16</v>
      </c>
      <c r="D453" t="s">
        <v>16</v>
      </c>
      <c r="E453" t="s">
        <v>16</v>
      </c>
      <c r="F453" t="s">
        <v>16</v>
      </c>
      <c r="G453" t="s">
        <v>347</v>
      </c>
      <c r="H453" s="18">
        <v>10748.41</v>
      </c>
      <c r="I453" t="s">
        <v>23</v>
      </c>
      <c r="J453" t="s">
        <v>19</v>
      </c>
      <c r="N453" t="s">
        <v>21</v>
      </c>
      <c r="O453" t="s">
        <v>22</v>
      </c>
      <c r="P453" t="s">
        <v>20</v>
      </c>
      <c r="Q453">
        <v>23602</v>
      </c>
      <c r="R453">
        <f t="shared" si="24"/>
        <v>2</v>
      </c>
      <c r="V453">
        <f t="shared" si="25"/>
        <v>23602</v>
      </c>
      <c r="Y453" s="18">
        <f t="shared" si="26"/>
        <v>10748.41</v>
      </c>
      <c r="Z453" s="18">
        <f t="shared" si="27"/>
        <v>0</v>
      </c>
    </row>
    <row r="454" spans="2:26" x14ac:dyDescent="0.25">
      <c r="B454" t="s">
        <v>277</v>
      </c>
      <c r="C454" t="s">
        <v>16</v>
      </c>
      <c r="D454" t="s">
        <v>16</v>
      </c>
      <c r="E454" t="s">
        <v>16</v>
      </c>
      <c r="F454" t="s">
        <v>16</v>
      </c>
      <c r="G454" t="s">
        <v>606</v>
      </c>
      <c r="H454" s="18">
        <v>55370.83</v>
      </c>
      <c r="I454" t="s">
        <v>23</v>
      </c>
      <c r="J454" t="s">
        <v>19</v>
      </c>
      <c r="N454" t="s">
        <v>21</v>
      </c>
      <c r="O454" t="s">
        <v>22</v>
      </c>
      <c r="P454" t="s">
        <v>20</v>
      </c>
      <c r="Q454">
        <v>26978</v>
      </c>
      <c r="R454">
        <f t="shared" si="24"/>
        <v>2</v>
      </c>
      <c r="V454">
        <f t="shared" si="25"/>
        <v>26978</v>
      </c>
      <c r="Y454" s="18">
        <f t="shared" si="26"/>
        <v>55370.83</v>
      </c>
      <c r="Z454" s="18">
        <f t="shared" si="27"/>
        <v>0</v>
      </c>
    </row>
    <row r="455" spans="2:26" hidden="1" x14ac:dyDescent="0.25">
      <c r="B455" t="s">
        <v>15</v>
      </c>
      <c r="C455" t="s">
        <v>16</v>
      </c>
      <c r="D455" t="s">
        <v>16</v>
      </c>
      <c r="E455" t="s">
        <v>16</v>
      </c>
      <c r="F455" t="s">
        <v>16</v>
      </c>
      <c r="G455" t="s">
        <v>607</v>
      </c>
      <c r="H455" s="18">
        <v>-272935.42</v>
      </c>
      <c r="J455" t="s">
        <v>19</v>
      </c>
      <c r="N455" t="s">
        <v>21</v>
      </c>
      <c r="O455" t="s">
        <v>22</v>
      </c>
      <c r="P455" t="s">
        <v>20</v>
      </c>
      <c r="Q455">
        <v>25686</v>
      </c>
      <c r="R455">
        <f t="shared" si="24"/>
        <v>2</v>
      </c>
      <c r="V455">
        <f t="shared" si="25"/>
        <v>25686</v>
      </c>
      <c r="Y455" s="18">
        <f t="shared" si="26"/>
        <v>572503.82999999996</v>
      </c>
      <c r="Z455" s="18" t="str">
        <f t="shared" si="27"/>
        <v/>
      </c>
    </row>
    <row r="456" spans="2:26" x14ac:dyDescent="0.25">
      <c r="B456" t="s">
        <v>277</v>
      </c>
      <c r="C456" t="s">
        <v>16</v>
      </c>
      <c r="D456" t="s">
        <v>16</v>
      </c>
      <c r="E456" t="s">
        <v>16</v>
      </c>
      <c r="F456" t="s">
        <v>16</v>
      </c>
      <c r="G456" t="s">
        <v>477</v>
      </c>
      <c r="H456" s="18">
        <v>831.93</v>
      </c>
      <c r="I456" t="s">
        <v>23</v>
      </c>
      <c r="J456" t="s">
        <v>19</v>
      </c>
      <c r="N456" t="s">
        <v>21</v>
      </c>
      <c r="O456" t="s">
        <v>22</v>
      </c>
      <c r="P456" t="s">
        <v>20</v>
      </c>
      <c r="Q456">
        <v>23617</v>
      </c>
      <c r="R456">
        <f t="shared" si="24"/>
        <v>2</v>
      </c>
      <c r="V456">
        <f t="shared" si="25"/>
        <v>23617</v>
      </c>
      <c r="Y456" s="18">
        <f t="shared" si="26"/>
        <v>831.93</v>
      </c>
      <c r="Z456" s="18">
        <f t="shared" si="27"/>
        <v>0</v>
      </c>
    </row>
    <row r="457" spans="2:26" hidden="1" x14ac:dyDescent="0.25">
      <c r="B457" t="s">
        <v>15</v>
      </c>
      <c r="C457" t="s">
        <v>16</v>
      </c>
      <c r="D457" t="s">
        <v>16</v>
      </c>
      <c r="E457" t="s">
        <v>16</v>
      </c>
      <c r="F457" t="s">
        <v>16</v>
      </c>
      <c r="G457" t="s">
        <v>608</v>
      </c>
      <c r="H457" s="18">
        <v>-9710.4500000000007</v>
      </c>
      <c r="J457" t="s">
        <v>19</v>
      </c>
      <c r="N457" t="s">
        <v>21</v>
      </c>
      <c r="O457" t="s">
        <v>22</v>
      </c>
      <c r="P457" t="s">
        <v>20</v>
      </c>
      <c r="Q457">
        <v>23531</v>
      </c>
      <c r="R457">
        <f t="shared" si="24"/>
        <v>2</v>
      </c>
      <c r="V457">
        <f t="shared" si="25"/>
        <v>23531</v>
      </c>
      <c r="Y457" s="18">
        <f t="shared" si="26"/>
        <v>17273.77</v>
      </c>
      <c r="Z457" s="18" t="str">
        <f t="shared" si="27"/>
        <v/>
      </c>
    </row>
    <row r="458" spans="2:26" hidden="1" x14ac:dyDescent="0.25">
      <c r="B458" t="s">
        <v>15</v>
      </c>
      <c r="C458" t="s">
        <v>16</v>
      </c>
      <c r="D458" t="s">
        <v>16</v>
      </c>
      <c r="E458" t="s">
        <v>16</v>
      </c>
      <c r="F458" t="s">
        <v>16</v>
      </c>
      <c r="G458" t="s">
        <v>609</v>
      </c>
      <c r="H458" s="18">
        <v>-11997.36</v>
      </c>
      <c r="J458" t="s">
        <v>19</v>
      </c>
      <c r="N458" t="s">
        <v>21</v>
      </c>
      <c r="O458" t="s">
        <v>22</v>
      </c>
      <c r="P458" t="s">
        <v>20</v>
      </c>
      <c r="Q458">
        <v>27151</v>
      </c>
      <c r="R458">
        <f t="shared" ref="R458:R521" si="28">COUNTIF($Q$9:$Q$816,Q458)</f>
        <v>2</v>
      </c>
      <c r="V458" t="str">
        <f t="shared" ref="V458:V521" si="29">IFERROR(VLOOKUP(Q458,$C$823:$C$1253,1,FALSE),"")</f>
        <v/>
      </c>
      <c r="W458" s="26" t="s">
        <v>686</v>
      </c>
      <c r="X458" s="15" t="s">
        <v>129</v>
      </c>
      <c r="Y458" s="18" t="str">
        <f t="shared" ref="Y458:Y521" si="30">IFERROR(VLOOKUP(Q458,$C$823:$D$1253,2,FALSE),"")</f>
        <v/>
      </c>
      <c r="Z458" s="18" t="str">
        <f t="shared" ref="Z458:Z521" si="31">IFERROR(IF(RIGHT(B458,6)="TYVA02","",H458-Y458),"")</f>
        <v/>
      </c>
    </row>
    <row r="459" spans="2:26" hidden="1" x14ac:dyDescent="0.25">
      <c r="B459" t="s">
        <v>15</v>
      </c>
      <c r="C459" t="s">
        <v>16</v>
      </c>
      <c r="D459" t="s">
        <v>16</v>
      </c>
      <c r="E459" t="s">
        <v>16</v>
      </c>
      <c r="F459" t="s">
        <v>16</v>
      </c>
      <c r="G459" t="s">
        <v>368</v>
      </c>
      <c r="H459" s="18">
        <v>-2962.71</v>
      </c>
      <c r="J459" t="s">
        <v>19</v>
      </c>
      <c r="N459" t="s">
        <v>21</v>
      </c>
      <c r="O459" t="s">
        <v>22</v>
      </c>
      <c r="P459" t="s">
        <v>20</v>
      </c>
      <c r="Q459">
        <v>9001811986</v>
      </c>
      <c r="R459">
        <f t="shared" si="28"/>
        <v>2</v>
      </c>
      <c r="V459">
        <f t="shared" si="29"/>
        <v>9001811986</v>
      </c>
      <c r="Y459" s="18">
        <f t="shared" si="30"/>
        <v>75495.63</v>
      </c>
      <c r="Z459" s="18" t="str">
        <f t="shared" si="31"/>
        <v/>
      </c>
    </row>
    <row r="460" spans="2:26" hidden="1" x14ac:dyDescent="0.25">
      <c r="B460" t="s">
        <v>15</v>
      </c>
      <c r="C460" t="s">
        <v>16</v>
      </c>
      <c r="D460" t="s">
        <v>16</v>
      </c>
      <c r="E460" t="s">
        <v>16</v>
      </c>
      <c r="F460" t="s">
        <v>16</v>
      </c>
      <c r="G460" t="s">
        <v>610</v>
      </c>
      <c r="H460" s="18">
        <v>-1919.17</v>
      </c>
      <c r="J460" t="s">
        <v>19</v>
      </c>
      <c r="N460" t="s">
        <v>21</v>
      </c>
      <c r="O460" t="s">
        <v>22</v>
      </c>
      <c r="P460" t="s">
        <v>20</v>
      </c>
      <c r="Q460">
        <v>23596</v>
      </c>
      <c r="R460">
        <f t="shared" si="28"/>
        <v>2</v>
      </c>
      <c r="V460">
        <f t="shared" si="29"/>
        <v>23596</v>
      </c>
      <c r="Y460" s="18">
        <f t="shared" si="30"/>
        <v>2172.25</v>
      </c>
      <c r="Z460" s="18" t="str">
        <f t="shared" si="31"/>
        <v/>
      </c>
    </row>
    <row r="461" spans="2:26" hidden="1" x14ac:dyDescent="0.25">
      <c r="B461" t="s">
        <v>15</v>
      </c>
      <c r="C461" t="s">
        <v>16</v>
      </c>
      <c r="D461" t="s">
        <v>16</v>
      </c>
      <c r="E461" t="s">
        <v>16</v>
      </c>
      <c r="F461" t="s">
        <v>16</v>
      </c>
      <c r="G461" t="s">
        <v>565</v>
      </c>
      <c r="H461" s="18">
        <v>-16050.18</v>
      </c>
      <c r="J461" t="s">
        <v>19</v>
      </c>
      <c r="N461" t="s">
        <v>21</v>
      </c>
      <c r="O461" t="s">
        <v>22</v>
      </c>
      <c r="P461" t="s">
        <v>20</v>
      </c>
      <c r="Q461">
        <v>23506</v>
      </c>
      <c r="R461">
        <f t="shared" si="28"/>
        <v>2</v>
      </c>
      <c r="V461">
        <f t="shared" si="29"/>
        <v>23506</v>
      </c>
      <c r="Y461" s="18">
        <f t="shared" si="30"/>
        <v>22523.29</v>
      </c>
      <c r="Z461" s="18" t="str">
        <f t="shared" si="31"/>
        <v/>
      </c>
    </row>
    <row r="462" spans="2:26" x14ac:dyDescent="0.25">
      <c r="B462" t="s">
        <v>277</v>
      </c>
      <c r="C462" t="s">
        <v>16</v>
      </c>
      <c r="D462" t="s">
        <v>16</v>
      </c>
      <c r="E462" t="s">
        <v>16</v>
      </c>
      <c r="F462" t="s">
        <v>16</v>
      </c>
      <c r="G462" t="s">
        <v>611</v>
      </c>
      <c r="H462" s="18">
        <v>44013.41</v>
      </c>
      <c r="I462" t="s">
        <v>23</v>
      </c>
      <c r="J462" t="s">
        <v>19</v>
      </c>
      <c r="N462" t="s">
        <v>21</v>
      </c>
      <c r="O462" t="s">
        <v>22</v>
      </c>
      <c r="P462" t="s">
        <v>20</v>
      </c>
      <c r="Q462">
        <v>23660</v>
      </c>
      <c r="R462">
        <f t="shared" si="28"/>
        <v>2</v>
      </c>
      <c r="V462">
        <f t="shared" si="29"/>
        <v>23660</v>
      </c>
      <c r="Y462" s="18">
        <f t="shared" si="30"/>
        <v>44013.41</v>
      </c>
      <c r="Z462" s="18">
        <f t="shared" si="31"/>
        <v>0</v>
      </c>
    </row>
    <row r="463" spans="2:26" hidden="1" x14ac:dyDescent="0.25">
      <c r="B463" t="s">
        <v>277</v>
      </c>
      <c r="C463" t="s">
        <v>16</v>
      </c>
      <c r="D463" t="s">
        <v>16</v>
      </c>
      <c r="E463" t="s">
        <v>16</v>
      </c>
      <c r="F463" t="s">
        <v>16</v>
      </c>
      <c r="G463" t="s">
        <v>476</v>
      </c>
      <c r="H463" s="18">
        <v>5927306.1299999999</v>
      </c>
      <c r="I463" t="s">
        <v>23</v>
      </c>
      <c r="J463" t="s">
        <v>19</v>
      </c>
      <c r="N463" t="s">
        <v>21</v>
      </c>
      <c r="O463" t="s">
        <v>22</v>
      </c>
      <c r="P463" t="s">
        <v>20</v>
      </c>
      <c r="Q463">
        <v>2101488396</v>
      </c>
      <c r="R463">
        <f t="shared" si="28"/>
        <v>2</v>
      </c>
      <c r="V463" t="str">
        <f t="shared" si="29"/>
        <v/>
      </c>
      <c r="W463" s="26" t="s">
        <v>686</v>
      </c>
      <c r="X463" s="15" t="s">
        <v>129</v>
      </c>
      <c r="Y463" s="18" t="str">
        <f t="shared" si="30"/>
        <v/>
      </c>
      <c r="Z463" s="18" t="str">
        <f t="shared" si="31"/>
        <v/>
      </c>
    </row>
    <row r="464" spans="2:26" hidden="1" x14ac:dyDescent="0.25">
      <c r="B464" t="s">
        <v>15</v>
      </c>
      <c r="C464" t="s">
        <v>16</v>
      </c>
      <c r="D464" t="s">
        <v>16</v>
      </c>
      <c r="E464" t="s">
        <v>16</v>
      </c>
      <c r="F464" t="s">
        <v>16</v>
      </c>
      <c r="G464" t="s">
        <v>612</v>
      </c>
      <c r="H464" s="18">
        <v>-4819.3500000000004</v>
      </c>
      <c r="J464" t="s">
        <v>19</v>
      </c>
      <c r="N464" t="s">
        <v>21</v>
      </c>
      <c r="O464" t="s">
        <v>22</v>
      </c>
      <c r="P464" t="s">
        <v>20</v>
      </c>
      <c r="Q464">
        <v>23578</v>
      </c>
      <c r="R464">
        <f t="shared" si="28"/>
        <v>2</v>
      </c>
      <c r="V464">
        <f t="shared" si="29"/>
        <v>23578</v>
      </c>
      <c r="Y464" s="18">
        <f t="shared" si="30"/>
        <v>6415.73</v>
      </c>
      <c r="Z464" s="18" t="str">
        <f t="shared" si="31"/>
        <v/>
      </c>
    </row>
    <row r="465" spans="2:26" hidden="1" x14ac:dyDescent="0.25">
      <c r="B465" t="s">
        <v>15</v>
      </c>
      <c r="C465" t="s">
        <v>16</v>
      </c>
      <c r="D465" t="s">
        <v>16</v>
      </c>
      <c r="E465" t="s">
        <v>16</v>
      </c>
      <c r="F465" t="s">
        <v>16</v>
      </c>
      <c r="G465" t="s">
        <v>376</v>
      </c>
      <c r="H465" s="18">
        <v>-20664.46</v>
      </c>
      <c r="J465" t="s">
        <v>19</v>
      </c>
      <c r="N465" t="s">
        <v>21</v>
      </c>
      <c r="O465" t="s">
        <v>22</v>
      </c>
      <c r="P465" t="s">
        <v>20</v>
      </c>
      <c r="Q465">
        <v>27143</v>
      </c>
      <c r="R465">
        <f t="shared" si="28"/>
        <v>2</v>
      </c>
      <c r="V465" t="str">
        <f t="shared" si="29"/>
        <v/>
      </c>
      <c r="W465" s="26" t="s">
        <v>686</v>
      </c>
      <c r="X465" s="15" t="s">
        <v>129</v>
      </c>
      <c r="Y465" s="18" t="str">
        <f t="shared" si="30"/>
        <v/>
      </c>
      <c r="Z465" s="18" t="str">
        <f t="shared" si="31"/>
        <v/>
      </c>
    </row>
    <row r="466" spans="2:26" x14ac:dyDescent="0.25">
      <c r="B466" t="s">
        <v>277</v>
      </c>
      <c r="C466" t="s">
        <v>16</v>
      </c>
      <c r="D466" t="s">
        <v>16</v>
      </c>
      <c r="E466" t="s">
        <v>16</v>
      </c>
      <c r="F466" t="s">
        <v>16</v>
      </c>
      <c r="G466" t="s">
        <v>324</v>
      </c>
      <c r="H466" s="18">
        <v>39594</v>
      </c>
      <c r="I466" t="s">
        <v>23</v>
      </c>
      <c r="J466" t="s">
        <v>19</v>
      </c>
      <c r="N466" t="s">
        <v>21</v>
      </c>
      <c r="O466" t="s">
        <v>22</v>
      </c>
      <c r="P466" t="s">
        <v>20</v>
      </c>
      <c r="Q466">
        <v>1010675</v>
      </c>
      <c r="R466">
        <f t="shared" si="28"/>
        <v>2</v>
      </c>
      <c r="V466">
        <f t="shared" si="29"/>
        <v>1010675</v>
      </c>
      <c r="Y466" s="18">
        <f t="shared" si="30"/>
        <v>39594</v>
      </c>
      <c r="Z466" s="18">
        <f t="shared" si="31"/>
        <v>0</v>
      </c>
    </row>
    <row r="467" spans="2:26" hidden="1" x14ac:dyDescent="0.25">
      <c r="B467" t="s">
        <v>15</v>
      </c>
      <c r="C467" t="s">
        <v>16</v>
      </c>
      <c r="D467" t="s">
        <v>16</v>
      </c>
      <c r="E467" t="s">
        <v>16</v>
      </c>
      <c r="F467" t="s">
        <v>16</v>
      </c>
      <c r="G467" t="s">
        <v>393</v>
      </c>
      <c r="H467" s="18">
        <v>-64893.95</v>
      </c>
      <c r="J467" t="s">
        <v>19</v>
      </c>
      <c r="N467" t="s">
        <v>21</v>
      </c>
      <c r="O467" t="s">
        <v>22</v>
      </c>
      <c r="P467" t="s">
        <v>20</v>
      </c>
      <c r="Q467">
        <v>25701</v>
      </c>
      <c r="R467">
        <f t="shared" si="28"/>
        <v>2</v>
      </c>
      <c r="V467">
        <f t="shared" si="29"/>
        <v>25701</v>
      </c>
      <c r="Y467" s="18">
        <f t="shared" si="30"/>
        <v>97846.99</v>
      </c>
      <c r="Z467" s="18" t="str">
        <f t="shared" si="31"/>
        <v/>
      </c>
    </row>
    <row r="468" spans="2:26" hidden="1" x14ac:dyDescent="0.25">
      <c r="B468" t="s">
        <v>15</v>
      </c>
      <c r="C468" t="s">
        <v>16</v>
      </c>
      <c r="D468" t="s">
        <v>16</v>
      </c>
      <c r="E468" t="s">
        <v>16</v>
      </c>
      <c r="F468" t="s">
        <v>16</v>
      </c>
      <c r="G468" t="s">
        <v>447</v>
      </c>
      <c r="H468" s="18">
        <v>-12264.24</v>
      </c>
      <c r="J468" t="s">
        <v>19</v>
      </c>
      <c r="N468" t="s">
        <v>21</v>
      </c>
      <c r="O468" t="s">
        <v>22</v>
      </c>
      <c r="P468" t="s">
        <v>20</v>
      </c>
      <c r="Q468">
        <v>26784</v>
      </c>
      <c r="R468">
        <f t="shared" si="28"/>
        <v>2</v>
      </c>
      <c r="V468">
        <f t="shared" si="29"/>
        <v>26784</v>
      </c>
      <c r="Y468" s="18">
        <f t="shared" si="30"/>
        <v>312516.42</v>
      </c>
      <c r="Z468" s="18" t="str">
        <f t="shared" si="31"/>
        <v/>
      </c>
    </row>
    <row r="469" spans="2:26" hidden="1" x14ac:dyDescent="0.25">
      <c r="B469" t="s">
        <v>15</v>
      </c>
      <c r="C469" t="s">
        <v>16</v>
      </c>
      <c r="D469" t="s">
        <v>16</v>
      </c>
      <c r="E469" t="s">
        <v>16</v>
      </c>
      <c r="F469" t="s">
        <v>16</v>
      </c>
      <c r="G469" t="s">
        <v>531</v>
      </c>
      <c r="H469" s="18">
        <v>-37434.51</v>
      </c>
      <c r="J469" t="s">
        <v>19</v>
      </c>
      <c r="N469" t="s">
        <v>21</v>
      </c>
      <c r="O469" t="s">
        <v>22</v>
      </c>
      <c r="P469" t="s">
        <v>20</v>
      </c>
      <c r="Q469">
        <v>18101</v>
      </c>
      <c r="R469">
        <f t="shared" si="28"/>
        <v>2</v>
      </c>
      <c r="V469">
        <f t="shared" si="29"/>
        <v>18101</v>
      </c>
      <c r="Y469" s="18">
        <f t="shared" si="30"/>
        <v>37434.51</v>
      </c>
      <c r="Z469" s="18" t="str">
        <f t="shared" si="31"/>
        <v/>
      </c>
    </row>
    <row r="470" spans="2:26" hidden="1" x14ac:dyDescent="0.25">
      <c r="B470" t="s">
        <v>15</v>
      </c>
      <c r="C470" t="s">
        <v>16</v>
      </c>
      <c r="D470" t="s">
        <v>16</v>
      </c>
      <c r="E470" t="s">
        <v>16</v>
      </c>
      <c r="F470" t="s">
        <v>16</v>
      </c>
      <c r="G470" t="s">
        <v>613</v>
      </c>
      <c r="H470" s="18">
        <v>-128672.64</v>
      </c>
      <c r="J470" t="s">
        <v>19</v>
      </c>
      <c r="N470" t="s">
        <v>21</v>
      </c>
      <c r="O470" t="s">
        <v>22</v>
      </c>
      <c r="P470" t="s">
        <v>20</v>
      </c>
      <c r="Q470">
        <v>23694</v>
      </c>
      <c r="R470">
        <f t="shared" si="28"/>
        <v>2</v>
      </c>
      <c r="V470">
        <f t="shared" si="29"/>
        <v>23694</v>
      </c>
      <c r="Y470" s="18">
        <f t="shared" si="30"/>
        <v>161378.88</v>
      </c>
      <c r="Z470" s="18" t="str">
        <f t="shared" si="31"/>
        <v/>
      </c>
    </row>
    <row r="471" spans="2:26" hidden="1" x14ac:dyDescent="0.25">
      <c r="B471" t="s">
        <v>15</v>
      </c>
      <c r="C471" t="s">
        <v>16</v>
      </c>
      <c r="D471" t="s">
        <v>16</v>
      </c>
      <c r="E471" t="s">
        <v>16</v>
      </c>
      <c r="F471" t="s">
        <v>16</v>
      </c>
      <c r="G471" t="s">
        <v>466</v>
      </c>
      <c r="H471" s="18">
        <v>-50277.59</v>
      </c>
      <c r="J471" t="s">
        <v>19</v>
      </c>
      <c r="N471" t="s">
        <v>21</v>
      </c>
      <c r="O471" t="s">
        <v>22</v>
      </c>
      <c r="P471" t="s">
        <v>20</v>
      </c>
      <c r="Q471">
        <v>23514</v>
      </c>
      <c r="R471">
        <f t="shared" si="28"/>
        <v>2</v>
      </c>
      <c r="V471">
        <f t="shared" si="29"/>
        <v>23514</v>
      </c>
      <c r="Y471" s="18">
        <f t="shared" si="30"/>
        <v>112516.79</v>
      </c>
      <c r="Z471" s="18" t="str">
        <f t="shared" si="31"/>
        <v/>
      </c>
    </row>
    <row r="472" spans="2:26" x14ac:dyDescent="0.25">
      <c r="B472" t="s">
        <v>277</v>
      </c>
      <c r="C472" t="s">
        <v>16</v>
      </c>
      <c r="D472" t="s">
        <v>16</v>
      </c>
      <c r="E472" t="s">
        <v>16</v>
      </c>
      <c r="F472" t="s">
        <v>16</v>
      </c>
      <c r="G472" t="s">
        <v>614</v>
      </c>
      <c r="H472" s="18">
        <v>102071.41</v>
      </c>
      <c r="I472" t="s">
        <v>23</v>
      </c>
      <c r="J472" t="s">
        <v>19</v>
      </c>
      <c r="N472" t="s">
        <v>21</v>
      </c>
      <c r="O472" t="s">
        <v>22</v>
      </c>
      <c r="P472" t="s">
        <v>20</v>
      </c>
      <c r="Q472">
        <v>26536</v>
      </c>
      <c r="R472">
        <f t="shared" si="28"/>
        <v>2</v>
      </c>
      <c r="V472">
        <f t="shared" si="29"/>
        <v>26536</v>
      </c>
      <c r="Y472" s="18">
        <f t="shared" si="30"/>
        <v>102071.41</v>
      </c>
      <c r="Z472" s="18">
        <f t="shared" si="31"/>
        <v>0</v>
      </c>
    </row>
    <row r="473" spans="2:26" hidden="1" x14ac:dyDescent="0.25">
      <c r="B473" t="s">
        <v>277</v>
      </c>
      <c r="C473" t="s">
        <v>16</v>
      </c>
      <c r="D473" t="s">
        <v>16</v>
      </c>
      <c r="E473" t="s">
        <v>16</v>
      </c>
      <c r="F473" t="s">
        <v>16</v>
      </c>
      <c r="G473" t="s">
        <v>615</v>
      </c>
      <c r="H473" s="18">
        <v>873.03</v>
      </c>
      <c r="I473" t="s">
        <v>23</v>
      </c>
      <c r="J473" t="s">
        <v>19</v>
      </c>
      <c r="N473" t="s">
        <v>21</v>
      </c>
      <c r="O473" t="s">
        <v>22</v>
      </c>
      <c r="P473" t="s">
        <v>20</v>
      </c>
      <c r="Q473">
        <v>27148</v>
      </c>
      <c r="R473">
        <f t="shared" si="28"/>
        <v>2</v>
      </c>
      <c r="V473" t="str">
        <f t="shared" si="29"/>
        <v/>
      </c>
      <c r="W473" s="26" t="s">
        <v>686</v>
      </c>
      <c r="X473" s="15" t="s">
        <v>129</v>
      </c>
      <c r="Y473" s="18" t="str">
        <f t="shared" si="30"/>
        <v/>
      </c>
      <c r="Z473" s="18" t="str">
        <f t="shared" si="31"/>
        <v/>
      </c>
    </row>
    <row r="474" spans="2:26" hidden="1" x14ac:dyDescent="0.25">
      <c r="B474" t="s">
        <v>15</v>
      </c>
      <c r="C474" t="s">
        <v>16</v>
      </c>
      <c r="D474" t="s">
        <v>16</v>
      </c>
      <c r="E474" t="s">
        <v>16</v>
      </c>
      <c r="F474" t="s">
        <v>16</v>
      </c>
      <c r="G474" t="s">
        <v>452</v>
      </c>
      <c r="H474" s="18">
        <v>-1833.56</v>
      </c>
      <c r="J474" t="s">
        <v>19</v>
      </c>
      <c r="N474" t="s">
        <v>21</v>
      </c>
      <c r="O474" t="s">
        <v>22</v>
      </c>
      <c r="P474" t="s">
        <v>20</v>
      </c>
      <c r="Q474">
        <v>23577</v>
      </c>
      <c r="R474">
        <f t="shared" si="28"/>
        <v>2</v>
      </c>
      <c r="V474">
        <f t="shared" si="29"/>
        <v>23577</v>
      </c>
      <c r="Y474" s="18">
        <f t="shared" si="30"/>
        <v>4276.79</v>
      </c>
      <c r="Z474" s="18" t="str">
        <f t="shared" si="31"/>
        <v/>
      </c>
    </row>
    <row r="475" spans="2:26" hidden="1" x14ac:dyDescent="0.25">
      <c r="B475" t="s">
        <v>277</v>
      </c>
      <c r="C475" t="s">
        <v>16</v>
      </c>
      <c r="D475" t="s">
        <v>16</v>
      </c>
      <c r="E475" t="s">
        <v>16</v>
      </c>
      <c r="F475" t="s">
        <v>16</v>
      </c>
      <c r="G475" t="s">
        <v>616</v>
      </c>
      <c r="H475" s="18">
        <v>26544.68</v>
      </c>
      <c r="I475" t="s">
        <v>23</v>
      </c>
      <c r="J475" t="s">
        <v>19</v>
      </c>
      <c r="N475" t="s">
        <v>21</v>
      </c>
      <c r="O475" t="s">
        <v>22</v>
      </c>
      <c r="P475" t="s">
        <v>20</v>
      </c>
      <c r="Q475">
        <v>1010263</v>
      </c>
      <c r="R475">
        <f t="shared" si="28"/>
        <v>2</v>
      </c>
      <c r="V475" t="str">
        <f t="shared" si="29"/>
        <v/>
      </c>
      <c r="W475" s="26" t="s">
        <v>686</v>
      </c>
      <c r="X475" s="15" t="s">
        <v>129</v>
      </c>
      <c r="Y475" s="18" t="str">
        <f t="shared" si="30"/>
        <v/>
      </c>
      <c r="Z475" s="18" t="str">
        <f t="shared" si="31"/>
        <v/>
      </c>
    </row>
    <row r="476" spans="2:26" hidden="1" x14ac:dyDescent="0.25">
      <c r="B476" t="s">
        <v>15</v>
      </c>
      <c r="C476" t="s">
        <v>16</v>
      </c>
      <c r="D476" t="s">
        <v>16</v>
      </c>
      <c r="E476" t="s">
        <v>16</v>
      </c>
      <c r="F476" t="s">
        <v>16</v>
      </c>
      <c r="G476" t="s">
        <v>545</v>
      </c>
      <c r="H476" s="18">
        <v>-15481.1</v>
      </c>
      <c r="J476" t="s">
        <v>19</v>
      </c>
      <c r="N476" t="s">
        <v>21</v>
      </c>
      <c r="O476" t="s">
        <v>22</v>
      </c>
      <c r="P476" t="s">
        <v>20</v>
      </c>
      <c r="Q476">
        <v>26679</v>
      </c>
      <c r="R476">
        <f t="shared" si="28"/>
        <v>2</v>
      </c>
      <c r="V476">
        <f t="shared" si="29"/>
        <v>26679</v>
      </c>
      <c r="Y476" s="18">
        <f t="shared" si="30"/>
        <v>40789.5</v>
      </c>
      <c r="Z476" s="18" t="str">
        <f t="shared" si="31"/>
        <v/>
      </c>
    </row>
    <row r="477" spans="2:26" hidden="1" x14ac:dyDescent="0.25">
      <c r="B477" t="s">
        <v>15</v>
      </c>
      <c r="C477" t="s">
        <v>16</v>
      </c>
      <c r="D477" t="s">
        <v>16</v>
      </c>
      <c r="E477" t="s">
        <v>16</v>
      </c>
      <c r="F477" t="s">
        <v>16</v>
      </c>
      <c r="G477" t="s">
        <v>602</v>
      </c>
      <c r="H477" s="18">
        <v>-1675527.15</v>
      </c>
      <c r="J477" t="s">
        <v>19</v>
      </c>
      <c r="N477" t="s">
        <v>21</v>
      </c>
      <c r="O477" t="s">
        <v>22</v>
      </c>
      <c r="P477" t="s">
        <v>20</v>
      </c>
      <c r="Q477">
        <v>23685</v>
      </c>
      <c r="R477">
        <f t="shared" si="28"/>
        <v>2</v>
      </c>
      <c r="V477">
        <f t="shared" si="29"/>
        <v>23685</v>
      </c>
      <c r="Y477" s="18">
        <f t="shared" si="30"/>
        <v>2079668.23</v>
      </c>
      <c r="Z477" s="18" t="str">
        <f t="shared" si="31"/>
        <v/>
      </c>
    </row>
    <row r="478" spans="2:26" hidden="1" x14ac:dyDescent="0.25">
      <c r="B478" t="s">
        <v>15</v>
      </c>
      <c r="C478" t="s">
        <v>16</v>
      </c>
      <c r="D478" t="s">
        <v>16</v>
      </c>
      <c r="E478" t="s">
        <v>16</v>
      </c>
      <c r="F478" t="s">
        <v>16</v>
      </c>
      <c r="G478" t="s">
        <v>450</v>
      </c>
      <c r="H478" s="18">
        <v>-63801.08</v>
      </c>
      <c r="J478" t="s">
        <v>19</v>
      </c>
      <c r="N478" t="s">
        <v>21</v>
      </c>
      <c r="O478" t="s">
        <v>22</v>
      </c>
      <c r="P478" t="s">
        <v>20</v>
      </c>
      <c r="Q478">
        <v>25690</v>
      </c>
      <c r="R478">
        <f t="shared" si="28"/>
        <v>2</v>
      </c>
      <c r="V478">
        <f t="shared" si="29"/>
        <v>25690</v>
      </c>
      <c r="Y478" s="18">
        <f t="shared" si="30"/>
        <v>96922.8</v>
      </c>
      <c r="Z478" s="18" t="str">
        <f t="shared" si="31"/>
        <v/>
      </c>
    </row>
    <row r="479" spans="2:26" hidden="1" x14ac:dyDescent="0.25">
      <c r="B479" t="s">
        <v>15</v>
      </c>
      <c r="C479" t="s">
        <v>16</v>
      </c>
      <c r="D479" t="s">
        <v>16</v>
      </c>
      <c r="E479" t="s">
        <v>16</v>
      </c>
      <c r="F479" t="s">
        <v>16</v>
      </c>
      <c r="G479" t="s">
        <v>446</v>
      </c>
      <c r="H479" s="18">
        <v>-2830.2</v>
      </c>
      <c r="J479" t="s">
        <v>19</v>
      </c>
      <c r="N479" t="s">
        <v>21</v>
      </c>
      <c r="O479" t="s">
        <v>22</v>
      </c>
      <c r="P479" t="s">
        <v>20</v>
      </c>
      <c r="Q479">
        <v>27026</v>
      </c>
      <c r="R479">
        <f t="shared" si="28"/>
        <v>2</v>
      </c>
      <c r="V479">
        <f t="shared" si="29"/>
        <v>27026</v>
      </c>
      <c r="Y479" s="18">
        <f t="shared" si="30"/>
        <v>72118.84</v>
      </c>
      <c r="Z479" s="18" t="str">
        <f t="shared" si="31"/>
        <v/>
      </c>
    </row>
    <row r="480" spans="2:26" x14ac:dyDescent="0.25">
      <c r="B480" t="s">
        <v>277</v>
      </c>
      <c r="C480" t="s">
        <v>16</v>
      </c>
      <c r="D480" t="s">
        <v>16</v>
      </c>
      <c r="E480" t="s">
        <v>16</v>
      </c>
      <c r="F480" t="s">
        <v>16</v>
      </c>
      <c r="G480" t="s">
        <v>454</v>
      </c>
      <c r="H480" s="18">
        <v>320234.38</v>
      </c>
      <c r="I480" t="s">
        <v>23</v>
      </c>
      <c r="J480" t="s">
        <v>19</v>
      </c>
      <c r="N480" t="s">
        <v>21</v>
      </c>
      <c r="O480" t="s">
        <v>22</v>
      </c>
      <c r="P480" t="s">
        <v>20</v>
      </c>
      <c r="Q480">
        <v>3301</v>
      </c>
      <c r="R480">
        <f t="shared" si="28"/>
        <v>2</v>
      </c>
      <c r="V480">
        <f t="shared" si="29"/>
        <v>3301</v>
      </c>
      <c r="Y480" s="18">
        <f t="shared" si="30"/>
        <v>320234.38</v>
      </c>
      <c r="Z480" s="18">
        <f t="shared" si="31"/>
        <v>0</v>
      </c>
    </row>
    <row r="481" spans="2:26" x14ac:dyDescent="0.25">
      <c r="B481" t="s">
        <v>277</v>
      </c>
      <c r="C481" t="s">
        <v>16</v>
      </c>
      <c r="D481" t="s">
        <v>16</v>
      </c>
      <c r="E481" t="s">
        <v>16</v>
      </c>
      <c r="F481" t="s">
        <v>16</v>
      </c>
      <c r="G481" t="s">
        <v>571</v>
      </c>
      <c r="H481" s="18">
        <v>103300</v>
      </c>
      <c r="I481" t="s">
        <v>23</v>
      </c>
      <c r="J481" t="s">
        <v>19</v>
      </c>
      <c r="N481" t="s">
        <v>21</v>
      </c>
      <c r="O481" t="s">
        <v>22</v>
      </c>
      <c r="P481" t="s">
        <v>20</v>
      </c>
      <c r="Q481" t="s">
        <v>16</v>
      </c>
      <c r="R481">
        <f t="shared" si="28"/>
        <v>4</v>
      </c>
      <c r="V481" t="str">
        <f t="shared" si="29"/>
        <v>NULL</v>
      </c>
      <c r="Y481" s="18">
        <f t="shared" si="30"/>
        <v>2.63</v>
      </c>
      <c r="Z481" s="18">
        <f t="shared" si="31"/>
        <v>103297.37</v>
      </c>
    </row>
    <row r="482" spans="2:26" hidden="1" x14ac:dyDescent="0.25">
      <c r="B482" t="s">
        <v>15</v>
      </c>
      <c r="C482" t="s">
        <v>16</v>
      </c>
      <c r="D482" t="s">
        <v>16</v>
      </c>
      <c r="E482" t="s">
        <v>16</v>
      </c>
      <c r="F482" t="s">
        <v>16</v>
      </c>
      <c r="G482" t="s">
        <v>617</v>
      </c>
      <c r="H482" s="18">
        <v>-48.89</v>
      </c>
      <c r="J482" t="s">
        <v>19</v>
      </c>
      <c r="N482" t="s">
        <v>21</v>
      </c>
      <c r="O482" t="s">
        <v>22</v>
      </c>
      <c r="P482" t="s">
        <v>20</v>
      </c>
      <c r="Q482">
        <v>23633</v>
      </c>
      <c r="R482">
        <f t="shared" si="28"/>
        <v>2</v>
      </c>
      <c r="V482">
        <f t="shared" si="29"/>
        <v>23633</v>
      </c>
      <c r="Y482" s="18">
        <f t="shared" si="30"/>
        <v>136.5</v>
      </c>
      <c r="Z482" s="18" t="str">
        <f t="shared" si="31"/>
        <v/>
      </c>
    </row>
    <row r="483" spans="2:26" x14ac:dyDescent="0.25">
      <c r="B483" t="s">
        <v>277</v>
      </c>
      <c r="C483" t="s">
        <v>16</v>
      </c>
      <c r="D483" t="s">
        <v>16</v>
      </c>
      <c r="E483" t="s">
        <v>16</v>
      </c>
      <c r="F483" t="s">
        <v>16</v>
      </c>
      <c r="G483" t="s">
        <v>501</v>
      </c>
      <c r="H483" s="18">
        <v>26761.919999999998</v>
      </c>
      <c r="I483" t="s">
        <v>23</v>
      </c>
      <c r="J483" t="s">
        <v>19</v>
      </c>
      <c r="N483" t="s">
        <v>21</v>
      </c>
      <c r="O483" t="s">
        <v>22</v>
      </c>
      <c r="P483" t="s">
        <v>20</v>
      </c>
      <c r="Q483">
        <v>27103</v>
      </c>
      <c r="R483">
        <f t="shared" si="28"/>
        <v>2</v>
      </c>
      <c r="V483">
        <f t="shared" si="29"/>
        <v>27103</v>
      </c>
      <c r="Y483" s="18">
        <f t="shared" si="30"/>
        <v>26761.919999999998</v>
      </c>
      <c r="Z483" s="18">
        <f t="shared" si="31"/>
        <v>0</v>
      </c>
    </row>
    <row r="484" spans="2:26" x14ac:dyDescent="0.25">
      <c r="B484" t="s">
        <v>277</v>
      </c>
      <c r="C484" t="s">
        <v>16</v>
      </c>
      <c r="D484" t="s">
        <v>16</v>
      </c>
      <c r="E484" t="s">
        <v>16</v>
      </c>
      <c r="F484" t="s">
        <v>16</v>
      </c>
      <c r="G484" t="s">
        <v>470</v>
      </c>
      <c r="H484" s="18">
        <v>118189.87</v>
      </c>
      <c r="I484" t="s">
        <v>23</v>
      </c>
      <c r="J484" t="s">
        <v>19</v>
      </c>
      <c r="N484" t="s">
        <v>21</v>
      </c>
      <c r="O484" t="s">
        <v>22</v>
      </c>
      <c r="P484" t="s">
        <v>20</v>
      </c>
      <c r="Q484">
        <v>7378</v>
      </c>
      <c r="R484">
        <f t="shared" si="28"/>
        <v>2</v>
      </c>
      <c r="V484">
        <f t="shared" si="29"/>
        <v>7378</v>
      </c>
      <c r="Y484" s="18">
        <f t="shared" si="30"/>
        <v>118189.87</v>
      </c>
      <c r="Z484" s="18">
        <f t="shared" si="31"/>
        <v>0</v>
      </c>
    </row>
    <row r="485" spans="2:26" hidden="1" x14ac:dyDescent="0.25">
      <c r="B485" t="s">
        <v>277</v>
      </c>
      <c r="C485" t="s">
        <v>16</v>
      </c>
      <c r="D485" t="s">
        <v>16</v>
      </c>
      <c r="E485" t="s">
        <v>16</v>
      </c>
      <c r="F485" t="s">
        <v>16</v>
      </c>
      <c r="G485" t="s">
        <v>618</v>
      </c>
      <c r="H485" s="18">
        <v>82510.73</v>
      </c>
      <c r="I485" t="s">
        <v>23</v>
      </c>
      <c r="J485" t="s">
        <v>19</v>
      </c>
      <c r="N485" t="s">
        <v>21</v>
      </c>
      <c r="O485" t="s">
        <v>22</v>
      </c>
      <c r="P485" t="s">
        <v>20</v>
      </c>
      <c r="Q485">
        <v>2100680114</v>
      </c>
      <c r="R485">
        <f t="shared" si="28"/>
        <v>10</v>
      </c>
      <c r="V485" t="str">
        <f t="shared" si="29"/>
        <v/>
      </c>
      <c r="W485" s="26" t="s">
        <v>686</v>
      </c>
      <c r="X485" s="15" t="s">
        <v>129</v>
      </c>
      <c r="Y485" s="18" t="str">
        <f t="shared" si="30"/>
        <v/>
      </c>
      <c r="Z485" s="18" t="str">
        <f t="shared" si="31"/>
        <v/>
      </c>
    </row>
    <row r="486" spans="2:26" x14ac:dyDescent="0.25">
      <c r="B486" t="s">
        <v>277</v>
      </c>
      <c r="C486" t="s">
        <v>16</v>
      </c>
      <c r="D486" t="s">
        <v>16</v>
      </c>
      <c r="E486" t="s">
        <v>16</v>
      </c>
      <c r="F486" t="s">
        <v>16</v>
      </c>
      <c r="G486" t="s">
        <v>504</v>
      </c>
      <c r="H486" s="18">
        <v>293.43</v>
      </c>
      <c r="I486" t="s">
        <v>23</v>
      </c>
      <c r="J486" t="s">
        <v>19</v>
      </c>
      <c r="N486" t="s">
        <v>21</v>
      </c>
      <c r="O486" t="s">
        <v>22</v>
      </c>
      <c r="P486" t="s">
        <v>20</v>
      </c>
      <c r="Q486">
        <v>23652</v>
      </c>
      <c r="R486">
        <f t="shared" si="28"/>
        <v>2</v>
      </c>
      <c r="V486">
        <f t="shared" si="29"/>
        <v>23652</v>
      </c>
      <c r="Y486" s="18">
        <f t="shared" si="30"/>
        <v>293.43</v>
      </c>
      <c r="Z486" s="18">
        <f t="shared" si="31"/>
        <v>0</v>
      </c>
    </row>
    <row r="487" spans="2:26" x14ac:dyDescent="0.25">
      <c r="B487" t="s">
        <v>277</v>
      </c>
      <c r="C487" t="s">
        <v>16</v>
      </c>
      <c r="D487" t="s">
        <v>16</v>
      </c>
      <c r="E487" t="s">
        <v>16</v>
      </c>
      <c r="F487" t="s">
        <v>16</v>
      </c>
      <c r="G487" t="s">
        <v>619</v>
      </c>
      <c r="H487" s="18">
        <v>10878.7</v>
      </c>
      <c r="I487" t="s">
        <v>23</v>
      </c>
      <c r="J487" t="s">
        <v>19</v>
      </c>
      <c r="N487" t="s">
        <v>21</v>
      </c>
      <c r="O487" t="s">
        <v>22</v>
      </c>
      <c r="P487" t="s">
        <v>20</v>
      </c>
      <c r="Q487">
        <v>27007</v>
      </c>
      <c r="R487">
        <f t="shared" si="28"/>
        <v>2</v>
      </c>
      <c r="V487">
        <f t="shared" si="29"/>
        <v>27007</v>
      </c>
      <c r="Y487" s="18">
        <f t="shared" si="30"/>
        <v>10878.7</v>
      </c>
      <c r="Z487" s="18">
        <f t="shared" si="31"/>
        <v>0</v>
      </c>
    </row>
    <row r="488" spans="2:26" hidden="1" x14ac:dyDescent="0.25">
      <c r="B488" t="s">
        <v>15</v>
      </c>
      <c r="C488" t="s">
        <v>16</v>
      </c>
      <c r="D488" t="s">
        <v>16</v>
      </c>
      <c r="E488" t="s">
        <v>16</v>
      </c>
      <c r="F488" t="s">
        <v>16</v>
      </c>
      <c r="G488" t="s">
        <v>536</v>
      </c>
      <c r="H488" s="18">
        <v>-2813.76</v>
      </c>
      <c r="J488" t="s">
        <v>19</v>
      </c>
      <c r="N488" t="s">
        <v>21</v>
      </c>
      <c r="O488" t="s">
        <v>22</v>
      </c>
      <c r="P488" t="s">
        <v>20</v>
      </c>
      <c r="Q488">
        <v>27141</v>
      </c>
      <c r="R488">
        <f t="shared" si="28"/>
        <v>2</v>
      </c>
      <c r="V488">
        <f t="shared" si="29"/>
        <v>27141</v>
      </c>
      <c r="Y488" s="18">
        <f t="shared" si="30"/>
        <v>71700</v>
      </c>
      <c r="Z488" s="18" t="str">
        <f t="shared" si="31"/>
        <v/>
      </c>
    </row>
    <row r="489" spans="2:26" hidden="1" x14ac:dyDescent="0.25">
      <c r="B489" t="s">
        <v>15</v>
      </c>
      <c r="C489" t="s">
        <v>16</v>
      </c>
      <c r="D489" t="s">
        <v>16</v>
      </c>
      <c r="E489" t="s">
        <v>16</v>
      </c>
      <c r="F489" t="s">
        <v>16</v>
      </c>
      <c r="G489" t="s">
        <v>606</v>
      </c>
      <c r="H489" s="18">
        <v>-3975.31</v>
      </c>
      <c r="J489" t="s">
        <v>19</v>
      </c>
      <c r="N489" t="s">
        <v>21</v>
      </c>
      <c r="O489" t="s">
        <v>22</v>
      </c>
      <c r="P489" t="s">
        <v>20</v>
      </c>
      <c r="Q489">
        <v>26978</v>
      </c>
      <c r="R489">
        <f t="shared" si="28"/>
        <v>2</v>
      </c>
      <c r="V489">
        <f t="shared" si="29"/>
        <v>26978</v>
      </c>
      <c r="Y489" s="18">
        <f t="shared" si="30"/>
        <v>55370.83</v>
      </c>
      <c r="Z489" s="18" t="str">
        <f t="shared" si="31"/>
        <v/>
      </c>
    </row>
    <row r="490" spans="2:26" hidden="1" x14ac:dyDescent="0.25">
      <c r="B490" t="s">
        <v>15</v>
      </c>
      <c r="C490" t="s">
        <v>16</v>
      </c>
      <c r="D490" t="s">
        <v>16</v>
      </c>
      <c r="E490" t="s">
        <v>16</v>
      </c>
      <c r="F490" t="s">
        <v>16</v>
      </c>
      <c r="G490" t="s">
        <v>576</v>
      </c>
      <c r="H490" s="18">
        <v>0</v>
      </c>
      <c r="J490" t="s">
        <v>19</v>
      </c>
      <c r="N490" t="s">
        <v>21</v>
      </c>
      <c r="O490" t="s">
        <v>22</v>
      </c>
      <c r="P490" t="s">
        <v>20</v>
      </c>
      <c r="Q490">
        <v>2100680114</v>
      </c>
      <c r="R490">
        <f t="shared" si="28"/>
        <v>10</v>
      </c>
      <c r="V490" t="str">
        <f t="shared" si="29"/>
        <v/>
      </c>
      <c r="W490" s="26" t="s">
        <v>686</v>
      </c>
      <c r="X490" s="15" t="s">
        <v>129</v>
      </c>
      <c r="Y490" s="18" t="str">
        <f t="shared" si="30"/>
        <v/>
      </c>
      <c r="Z490" s="18" t="str">
        <f t="shared" si="31"/>
        <v/>
      </c>
    </row>
    <row r="491" spans="2:26" hidden="1" x14ac:dyDescent="0.25">
      <c r="B491" t="s">
        <v>15</v>
      </c>
      <c r="C491" t="s">
        <v>16</v>
      </c>
      <c r="D491" t="s">
        <v>16</v>
      </c>
      <c r="E491" t="s">
        <v>16</v>
      </c>
      <c r="F491" t="s">
        <v>16</v>
      </c>
      <c r="G491" t="s">
        <v>510</v>
      </c>
      <c r="H491" s="18">
        <v>-89997.5</v>
      </c>
      <c r="J491" t="s">
        <v>19</v>
      </c>
      <c r="N491" t="s">
        <v>21</v>
      </c>
      <c r="O491" t="s">
        <v>22</v>
      </c>
      <c r="P491" t="s">
        <v>20</v>
      </c>
      <c r="Q491">
        <v>24280</v>
      </c>
      <c r="R491">
        <f t="shared" si="28"/>
        <v>2</v>
      </c>
      <c r="V491">
        <f t="shared" si="29"/>
        <v>24280</v>
      </c>
      <c r="Y491" s="18">
        <f t="shared" si="30"/>
        <v>381743.16</v>
      </c>
      <c r="Z491" s="18" t="str">
        <f t="shared" si="31"/>
        <v/>
      </c>
    </row>
    <row r="492" spans="2:26" x14ac:dyDescent="0.25">
      <c r="B492" t="s">
        <v>277</v>
      </c>
      <c r="C492" t="s">
        <v>16</v>
      </c>
      <c r="D492" t="s">
        <v>16</v>
      </c>
      <c r="E492" t="s">
        <v>16</v>
      </c>
      <c r="F492" t="s">
        <v>16</v>
      </c>
      <c r="G492" t="s">
        <v>620</v>
      </c>
      <c r="H492" s="18">
        <v>2171.1799999999998</v>
      </c>
      <c r="I492" t="s">
        <v>23</v>
      </c>
      <c r="J492" t="s">
        <v>19</v>
      </c>
      <c r="N492" t="s">
        <v>21</v>
      </c>
      <c r="O492" t="s">
        <v>22</v>
      </c>
      <c r="P492" t="s">
        <v>20</v>
      </c>
      <c r="Q492">
        <v>23595</v>
      </c>
      <c r="R492">
        <f t="shared" si="28"/>
        <v>2</v>
      </c>
      <c r="V492">
        <f t="shared" si="29"/>
        <v>23595</v>
      </c>
      <c r="Y492" s="18">
        <f t="shared" si="30"/>
        <v>2171.1799999999998</v>
      </c>
      <c r="Z492" s="18">
        <f t="shared" si="31"/>
        <v>0</v>
      </c>
    </row>
    <row r="493" spans="2:26" hidden="1" x14ac:dyDescent="0.25">
      <c r="B493" t="s">
        <v>15</v>
      </c>
      <c r="C493" t="s">
        <v>16</v>
      </c>
      <c r="D493" t="s">
        <v>16</v>
      </c>
      <c r="E493" t="s">
        <v>16</v>
      </c>
      <c r="F493" t="s">
        <v>16</v>
      </c>
      <c r="G493" t="s">
        <v>508</v>
      </c>
      <c r="H493" s="18">
        <v>-406.94</v>
      </c>
      <c r="J493" t="s">
        <v>19</v>
      </c>
      <c r="N493" t="s">
        <v>21</v>
      </c>
      <c r="O493" t="s">
        <v>22</v>
      </c>
      <c r="P493" t="s">
        <v>20</v>
      </c>
      <c r="Q493">
        <v>27130</v>
      </c>
      <c r="R493">
        <f t="shared" si="28"/>
        <v>2</v>
      </c>
      <c r="V493" t="str">
        <f t="shared" si="29"/>
        <v/>
      </c>
      <c r="W493" s="26" t="s">
        <v>686</v>
      </c>
      <c r="X493" s="15" t="s">
        <v>129</v>
      </c>
      <c r="Y493" s="18" t="str">
        <f t="shared" si="30"/>
        <v/>
      </c>
      <c r="Z493" s="18" t="str">
        <f t="shared" si="31"/>
        <v/>
      </c>
    </row>
    <row r="494" spans="2:26" hidden="1" x14ac:dyDescent="0.25">
      <c r="B494" t="s">
        <v>277</v>
      </c>
      <c r="C494" t="s">
        <v>16</v>
      </c>
      <c r="D494" t="s">
        <v>16</v>
      </c>
      <c r="E494" t="s">
        <v>16</v>
      </c>
      <c r="F494" t="s">
        <v>16</v>
      </c>
      <c r="G494" t="s">
        <v>621</v>
      </c>
      <c r="H494" s="18">
        <v>25432827.530000001</v>
      </c>
      <c r="I494" t="s">
        <v>23</v>
      </c>
      <c r="J494" t="s">
        <v>19</v>
      </c>
      <c r="N494" t="s">
        <v>21</v>
      </c>
      <c r="O494" t="s">
        <v>22</v>
      </c>
      <c r="P494" t="s">
        <v>20</v>
      </c>
      <c r="Q494">
        <v>2100680114</v>
      </c>
      <c r="R494">
        <f t="shared" si="28"/>
        <v>10</v>
      </c>
      <c r="V494" t="str">
        <f t="shared" si="29"/>
        <v/>
      </c>
      <c r="W494" s="26" t="s">
        <v>686</v>
      </c>
      <c r="X494" s="15" t="s">
        <v>129</v>
      </c>
      <c r="Y494" s="18" t="str">
        <f t="shared" si="30"/>
        <v/>
      </c>
      <c r="Z494" s="18" t="str">
        <f t="shared" si="31"/>
        <v/>
      </c>
    </row>
    <row r="495" spans="2:26" x14ac:dyDescent="0.25">
      <c r="B495" t="s">
        <v>277</v>
      </c>
      <c r="C495" t="s">
        <v>16</v>
      </c>
      <c r="D495" t="s">
        <v>16</v>
      </c>
      <c r="E495" t="s">
        <v>16</v>
      </c>
      <c r="F495" t="s">
        <v>16</v>
      </c>
      <c r="G495" t="s">
        <v>506</v>
      </c>
      <c r="H495" s="18">
        <v>138083.78</v>
      </c>
      <c r="I495" t="s">
        <v>23</v>
      </c>
      <c r="J495" t="s">
        <v>19</v>
      </c>
      <c r="N495" t="s">
        <v>21</v>
      </c>
      <c r="O495" t="s">
        <v>22</v>
      </c>
      <c r="P495" t="s">
        <v>20</v>
      </c>
      <c r="Q495">
        <v>26050</v>
      </c>
      <c r="R495">
        <f t="shared" si="28"/>
        <v>2</v>
      </c>
      <c r="V495">
        <f t="shared" si="29"/>
        <v>26050</v>
      </c>
      <c r="Y495" s="18">
        <f t="shared" si="30"/>
        <v>138083.78</v>
      </c>
      <c r="Z495" s="18">
        <f t="shared" si="31"/>
        <v>0</v>
      </c>
    </row>
    <row r="496" spans="2:26" x14ac:dyDescent="0.25">
      <c r="B496" t="s">
        <v>277</v>
      </c>
      <c r="C496" t="s">
        <v>16</v>
      </c>
      <c r="D496" t="s">
        <v>16</v>
      </c>
      <c r="E496" t="s">
        <v>16</v>
      </c>
      <c r="F496" t="s">
        <v>16</v>
      </c>
      <c r="G496" t="s">
        <v>295</v>
      </c>
      <c r="H496" s="18">
        <v>89297.81</v>
      </c>
      <c r="I496" t="s">
        <v>23</v>
      </c>
      <c r="J496" t="s">
        <v>19</v>
      </c>
      <c r="N496" t="s">
        <v>21</v>
      </c>
      <c r="O496" t="s">
        <v>22</v>
      </c>
      <c r="P496" t="s">
        <v>20</v>
      </c>
      <c r="Q496">
        <v>3761002127</v>
      </c>
      <c r="R496">
        <f t="shared" si="28"/>
        <v>2</v>
      </c>
      <c r="V496">
        <f t="shared" si="29"/>
        <v>3761002127</v>
      </c>
      <c r="Y496" s="18">
        <f t="shared" si="30"/>
        <v>89297.81</v>
      </c>
      <c r="Z496" s="18">
        <f t="shared" si="31"/>
        <v>0</v>
      </c>
    </row>
    <row r="497" spans="2:26" hidden="1" x14ac:dyDescent="0.25">
      <c r="B497" t="s">
        <v>15</v>
      </c>
      <c r="C497" t="s">
        <v>16</v>
      </c>
      <c r="D497" t="s">
        <v>16</v>
      </c>
      <c r="E497" t="s">
        <v>16</v>
      </c>
      <c r="F497" t="s">
        <v>16</v>
      </c>
      <c r="G497" t="s">
        <v>622</v>
      </c>
      <c r="H497" s="18">
        <v>-1105.98</v>
      </c>
      <c r="J497" t="s">
        <v>19</v>
      </c>
      <c r="N497" t="s">
        <v>21</v>
      </c>
      <c r="O497" t="s">
        <v>22</v>
      </c>
      <c r="P497" t="s">
        <v>20</v>
      </c>
      <c r="Q497">
        <v>69016611</v>
      </c>
      <c r="R497">
        <f t="shared" si="28"/>
        <v>2</v>
      </c>
      <c r="V497" t="str">
        <f t="shared" si="29"/>
        <v/>
      </c>
      <c r="W497" s="26" t="s">
        <v>686</v>
      </c>
      <c r="X497" s="15" t="s">
        <v>129</v>
      </c>
      <c r="Y497" s="18" t="str">
        <f t="shared" si="30"/>
        <v/>
      </c>
      <c r="Z497" s="18" t="str">
        <f t="shared" si="31"/>
        <v/>
      </c>
    </row>
    <row r="498" spans="2:26" x14ac:dyDescent="0.25">
      <c r="B498" t="s">
        <v>277</v>
      </c>
      <c r="C498" t="s">
        <v>16</v>
      </c>
      <c r="D498" t="s">
        <v>16</v>
      </c>
      <c r="E498" t="s">
        <v>16</v>
      </c>
      <c r="F498" t="s">
        <v>16</v>
      </c>
      <c r="G498" t="s">
        <v>623</v>
      </c>
      <c r="H498" s="18">
        <v>54867.77</v>
      </c>
      <c r="I498" t="s">
        <v>23</v>
      </c>
      <c r="J498" t="s">
        <v>19</v>
      </c>
      <c r="N498" t="s">
        <v>21</v>
      </c>
      <c r="O498" t="s">
        <v>22</v>
      </c>
      <c r="P498" t="s">
        <v>20</v>
      </c>
      <c r="Q498">
        <v>1539</v>
      </c>
      <c r="R498">
        <f t="shared" si="28"/>
        <v>2</v>
      </c>
      <c r="V498">
        <f t="shared" si="29"/>
        <v>1539</v>
      </c>
      <c r="Y498" s="18">
        <f t="shared" si="30"/>
        <v>54867.77</v>
      </c>
      <c r="Z498" s="18">
        <f t="shared" si="31"/>
        <v>0</v>
      </c>
    </row>
    <row r="499" spans="2:26" hidden="1" x14ac:dyDescent="0.25">
      <c r="B499" t="s">
        <v>15</v>
      </c>
      <c r="C499" t="s">
        <v>16</v>
      </c>
      <c r="D499" t="s">
        <v>16</v>
      </c>
      <c r="E499" t="s">
        <v>16</v>
      </c>
      <c r="F499" t="s">
        <v>16</v>
      </c>
      <c r="G499" t="s">
        <v>429</v>
      </c>
      <c r="H499" s="18">
        <v>-7461.84</v>
      </c>
      <c r="J499" t="s">
        <v>19</v>
      </c>
      <c r="N499" t="s">
        <v>21</v>
      </c>
      <c r="O499" t="s">
        <v>22</v>
      </c>
      <c r="P499" t="s">
        <v>20</v>
      </c>
      <c r="Q499">
        <v>23566</v>
      </c>
      <c r="R499">
        <f t="shared" si="28"/>
        <v>2</v>
      </c>
      <c r="V499">
        <f t="shared" si="29"/>
        <v>23566</v>
      </c>
      <c r="Y499" s="18">
        <f t="shared" si="30"/>
        <v>9145.82</v>
      </c>
      <c r="Z499" s="18" t="str">
        <f t="shared" si="31"/>
        <v/>
      </c>
    </row>
    <row r="500" spans="2:26" hidden="1" x14ac:dyDescent="0.25">
      <c r="B500" t="s">
        <v>277</v>
      </c>
      <c r="C500" t="s">
        <v>16</v>
      </c>
      <c r="D500" t="s">
        <v>16</v>
      </c>
      <c r="E500" t="s">
        <v>16</v>
      </c>
      <c r="F500" t="s">
        <v>16</v>
      </c>
      <c r="G500" t="s">
        <v>580</v>
      </c>
      <c r="H500" s="18">
        <v>133118.75</v>
      </c>
      <c r="I500" t="s">
        <v>23</v>
      </c>
      <c r="J500" t="s">
        <v>19</v>
      </c>
      <c r="N500" t="s">
        <v>21</v>
      </c>
      <c r="O500" t="s">
        <v>22</v>
      </c>
      <c r="P500" t="s">
        <v>20</v>
      </c>
      <c r="Q500">
        <v>2100680114</v>
      </c>
      <c r="R500">
        <f t="shared" si="28"/>
        <v>10</v>
      </c>
      <c r="V500" t="str">
        <f t="shared" si="29"/>
        <v/>
      </c>
      <c r="W500" s="26" t="s">
        <v>686</v>
      </c>
      <c r="X500" s="15" t="s">
        <v>129</v>
      </c>
      <c r="Y500" s="18" t="str">
        <f t="shared" si="30"/>
        <v/>
      </c>
      <c r="Z500" s="18" t="str">
        <f t="shared" si="31"/>
        <v/>
      </c>
    </row>
    <row r="501" spans="2:26" hidden="1" x14ac:dyDescent="0.25">
      <c r="B501" t="s">
        <v>277</v>
      </c>
      <c r="C501" t="s">
        <v>16</v>
      </c>
      <c r="D501" t="s">
        <v>16</v>
      </c>
      <c r="E501" t="s">
        <v>16</v>
      </c>
      <c r="F501" t="s">
        <v>16</v>
      </c>
      <c r="G501" t="s">
        <v>622</v>
      </c>
      <c r="H501" s="18">
        <v>41578.089999999997</v>
      </c>
      <c r="I501" t="s">
        <v>23</v>
      </c>
      <c r="J501" t="s">
        <v>19</v>
      </c>
      <c r="N501" t="s">
        <v>21</v>
      </c>
      <c r="O501" t="s">
        <v>22</v>
      </c>
      <c r="P501" t="s">
        <v>20</v>
      </c>
      <c r="Q501">
        <v>69016611</v>
      </c>
      <c r="R501">
        <f t="shared" si="28"/>
        <v>2</v>
      </c>
      <c r="V501" t="str">
        <f t="shared" si="29"/>
        <v/>
      </c>
      <c r="W501" s="26" t="s">
        <v>686</v>
      </c>
      <c r="X501" s="15" t="s">
        <v>129</v>
      </c>
      <c r="Y501" s="18" t="str">
        <f t="shared" si="30"/>
        <v/>
      </c>
      <c r="Z501" s="18" t="str">
        <f t="shared" si="31"/>
        <v/>
      </c>
    </row>
    <row r="502" spans="2:26" hidden="1" x14ac:dyDescent="0.25">
      <c r="B502" t="s">
        <v>15</v>
      </c>
      <c r="C502" t="s">
        <v>16</v>
      </c>
      <c r="D502" t="s">
        <v>16</v>
      </c>
      <c r="E502" t="s">
        <v>16</v>
      </c>
      <c r="F502" t="s">
        <v>16</v>
      </c>
      <c r="G502" t="s">
        <v>493</v>
      </c>
      <c r="H502" s="18">
        <v>-9157.2999999999993</v>
      </c>
      <c r="J502" t="s">
        <v>19</v>
      </c>
      <c r="N502" t="s">
        <v>21</v>
      </c>
      <c r="O502" t="s">
        <v>22</v>
      </c>
      <c r="P502" t="s">
        <v>20</v>
      </c>
      <c r="Q502">
        <v>23492</v>
      </c>
      <c r="R502">
        <f t="shared" si="28"/>
        <v>2</v>
      </c>
      <c r="V502">
        <f t="shared" si="29"/>
        <v>23492</v>
      </c>
      <c r="Y502" s="18">
        <f t="shared" si="30"/>
        <v>13021.7</v>
      </c>
      <c r="Z502" s="18" t="str">
        <f t="shared" si="31"/>
        <v/>
      </c>
    </row>
    <row r="503" spans="2:26" hidden="1" x14ac:dyDescent="0.25">
      <c r="B503" t="s">
        <v>15</v>
      </c>
      <c r="C503" t="s">
        <v>16</v>
      </c>
      <c r="D503" t="s">
        <v>16</v>
      </c>
      <c r="E503" t="s">
        <v>16</v>
      </c>
      <c r="F503" t="s">
        <v>16</v>
      </c>
      <c r="G503" t="s">
        <v>411</v>
      </c>
      <c r="H503" s="18">
        <v>-11628.99</v>
      </c>
      <c r="J503" t="s">
        <v>19</v>
      </c>
      <c r="N503" t="s">
        <v>21</v>
      </c>
      <c r="O503" t="s">
        <v>22</v>
      </c>
      <c r="P503" t="s">
        <v>20</v>
      </c>
      <c r="Q503">
        <v>23505</v>
      </c>
      <c r="R503">
        <f t="shared" si="28"/>
        <v>2</v>
      </c>
      <c r="V503">
        <f t="shared" si="29"/>
        <v>23505</v>
      </c>
      <c r="Y503" s="18">
        <f t="shared" si="30"/>
        <v>19026.830000000002</v>
      </c>
      <c r="Z503" s="18" t="str">
        <f t="shared" si="31"/>
        <v/>
      </c>
    </row>
    <row r="504" spans="2:26" hidden="1" x14ac:dyDescent="0.25">
      <c r="B504" t="s">
        <v>15</v>
      </c>
      <c r="C504" t="s">
        <v>16</v>
      </c>
      <c r="D504" t="s">
        <v>16</v>
      </c>
      <c r="E504" t="s">
        <v>16</v>
      </c>
      <c r="F504" t="s">
        <v>16</v>
      </c>
      <c r="G504" t="s">
        <v>317</v>
      </c>
      <c r="H504" s="18">
        <v>-1163.2</v>
      </c>
      <c r="J504" t="s">
        <v>19</v>
      </c>
      <c r="N504" t="s">
        <v>21</v>
      </c>
      <c r="O504" t="s">
        <v>22</v>
      </c>
      <c r="P504" t="s">
        <v>20</v>
      </c>
      <c r="Q504">
        <v>8000237888</v>
      </c>
      <c r="R504">
        <f t="shared" si="28"/>
        <v>2</v>
      </c>
      <c r="V504">
        <f t="shared" si="29"/>
        <v>8000237888</v>
      </c>
      <c r="Y504" s="18">
        <f t="shared" si="30"/>
        <v>29640.62</v>
      </c>
      <c r="Z504" s="18" t="str">
        <f t="shared" si="31"/>
        <v/>
      </c>
    </row>
    <row r="505" spans="2:26" hidden="1" x14ac:dyDescent="0.25">
      <c r="B505" t="s">
        <v>15</v>
      </c>
      <c r="C505" t="s">
        <v>16</v>
      </c>
      <c r="D505" t="s">
        <v>16</v>
      </c>
      <c r="E505" t="s">
        <v>16</v>
      </c>
      <c r="F505" t="s">
        <v>16</v>
      </c>
      <c r="G505" t="s">
        <v>391</v>
      </c>
      <c r="H505" s="18">
        <v>-37.07</v>
      </c>
      <c r="J505" t="s">
        <v>19</v>
      </c>
      <c r="N505" t="s">
        <v>21</v>
      </c>
      <c r="O505" t="s">
        <v>22</v>
      </c>
      <c r="P505" t="s">
        <v>20</v>
      </c>
      <c r="Q505">
        <v>23648</v>
      </c>
      <c r="R505">
        <f t="shared" si="28"/>
        <v>2</v>
      </c>
      <c r="V505">
        <f t="shared" si="29"/>
        <v>23648</v>
      </c>
      <c r="Y505" s="18">
        <f t="shared" si="30"/>
        <v>124.68</v>
      </c>
      <c r="Z505" s="18" t="str">
        <f t="shared" si="31"/>
        <v/>
      </c>
    </row>
    <row r="506" spans="2:26" hidden="1" x14ac:dyDescent="0.25">
      <c r="B506" t="s">
        <v>15</v>
      </c>
      <c r="C506" t="s">
        <v>16</v>
      </c>
      <c r="D506" t="s">
        <v>16</v>
      </c>
      <c r="E506" t="s">
        <v>16</v>
      </c>
      <c r="F506" t="s">
        <v>16</v>
      </c>
      <c r="G506" t="s">
        <v>337</v>
      </c>
      <c r="H506" s="18">
        <v>-8221.86</v>
      </c>
      <c r="J506" t="s">
        <v>19</v>
      </c>
      <c r="N506" t="s">
        <v>21</v>
      </c>
      <c r="O506" t="s">
        <v>22</v>
      </c>
      <c r="P506" t="s">
        <v>20</v>
      </c>
      <c r="Q506">
        <v>27167</v>
      </c>
      <c r="R506">
        <f t="shared" si="28"/>
        <v>2</v>
      </c>
      <c r="V506" t="str">
        <f t="shared" si="29"/>
        <v/>
      </c>
      <c r="W506" s="26" t="s">
        <v>686</v>
      </c>
      <c r="X506" s="15" t="s">
        <v>129</v>
      </c>
      <c r="Y506" s="18" t="str">
        <f t="shared" si="30"/>
        <v/>
      </c>
      <c r="Z506" s="18" t="str">
        <f t="shared" si="31"/>
        <v/>
      </c>
    </row>
    <row r="507" spans="2:26" x14ac:dyDescent="0.25">
      <c r="B507" t="s">
        <v>277</v>
      </c>
      <c r="C507" t="s">
        <v>16</v>
      </c>
      <c r="D507" t="s">
        <v>16</v>
      </c>
      <c r="E507" t="s">
        <v>16</v>
      </c>
      <c r="F507" t="s">
        <v>16</v>
      </c>
      <c r="G507" t="s">
        <v>370</v>
      </c>
      <c r="H507" s="18">
        <v>22218.04</v>
      </c>
      <c r="I507" t="s">
        <v>23</v>
      </c>
      <c r="J507" t="s">
        <v>19</v>
      </c>
      <c r="N507" t="s">
        <v>21</v>
      </c>
      <c r="O507" t="s">
        <v>22</v>
      </c>
      <c r="P507" t="s">
        <v>20</v>
      </c>
      <c r="Q507">
        <v>23493</v>
      </c>
      <c r="R507">
        <f t="shared" si="28"/>
        <v>2</v>
      </c>
      <c r="V507">
        <f t="shared" si="29"/>
        <v>23493</v>
      </c>
      <c r="Y507" s="18">
        <f t="shared" si="30"/>
        <v>22218.04</v>
      </c>
      <c r="Z507" s="18">
        <f t="shared" si="31"/>
        <v>0</v>
      </c>
    </row>
    <row r="508" spans="2:26" hidden="1" x14ac:dyDescent="0.25">
      <c r="B508" t="s">
        <v>15</v>
      </c>
      <c r="C508" t="s">
        <v>16</v>
      </c>
      <c r="D508" t="s">
        <v>16</v>
      </c>
      <c r="E508" t="s">
        <v>16</v>
      </c>
      <c r="F508" t="s">
        <v>16</v>
      </c>
      <c r="G508" t="s">
        <v>624</v>
      </c>
      <c r="H508" s="18">
        <v>-20702.96</v>
      </c>
      <c r="J508" t="s">
        <v>19</v>
      </c>
      <c r="N508" t="s">
        <v>21</v>
      </c>
      <c r="O508" t="s">
        <v>22</v>
      </c>
      <c r="P508" t="s">
        <v>20</v>
      </c>
      <c r="Q508">
        <v>18272</v>
      </c>
      <c r="R508">
        <f t="shared" si="28"/>
        <v>2</v>
      </c>
      <c r="V508">
        <f t="shared" si="29"/>
        <v>18272</v>
      </c>
      <c r="Y508" s="18">
        <f t="shared" si="30"/>
        <v>20702.96</v>
      </c>
      <c r="Z508" s="18" t="str">
        <f t="shared" si="31"/>
        <v/>
      </c>
    </row>
    <row r="509" spans="2:26" x14ac:dyDescent="0.25">
      <c r="B509" t="s">
        <v>277</v>
      </c>
      <c r="C509" t="s">
        <v>16</v>
      </c>
      <c r="D509" t="s">
        <v>16</v>
      </c>
      <c r="E509" t="s">
        <v>16</v>
      </c>
      <c r="F509" t="s">
        <v>16</v>
      </c>
      <c r="G509" t="s">
        <v>515</v>
      </c>
      <c r="H509" s="18">
        <v>10748.41</v>
      </c>
      <c r="I509" t="s">
        <v>23</v>
      </c>
      <c r="J509" t="s">
        <v>19</v>
      </c>
      <c r="N509" t="s">
        <v>21</v>
      </c>
      <c r="O509" t="s">
        <v>22</v>
      </c>
      <c r="P509" t="s">
        <v>20</v>
      </c>
      <c r="Q509">
        <v>23572</v>
      </c>
      <c r="R509">
        <f t="shared" si="28"/>
        <v>2</v>
      </c>
      <c r="V509">
        <f t="shared" si="29"/>
        <v>23572</v>
      </c>
      <c r="Y509" s="18">
        <f t="shared" si="30"/>
        <v>10748.41</v>
      </c>
      <c r="Z509" s="18">
        <f t="shared" si="31"/>
        <v>0</v>
      </c>
    </row>
    <row r="510" spans="2:26" hidden="1" x14ac:dyDescent="0.25">
      <c r="B510" t="s">
        <v>15</v>
      </c>
      <c r="C510" t="s">
        <v>16</v>
      </c>
      <c r="D510" t="s">
        <v>16</v>
      </c>
      <c r="E510" t="s">
        <v>16</v>
      </c>
      <c r="F510" t="s">
        <v>16</v>
      </c>
      <c r="G510" t="s">
        <v>490</v>
      </c>
      <c r="H510" s="18">
        <v>-27556.87</v>
      </c>
      <c r="J510" t="s">
        <v>19</v>
      </c>
      <c r="N510" t="s">
        <v>21</v>
      </c>
      <c r="O510" t="s">
        <v>22</v>
      </c>
      <c r="P510" t="s">
        <v>20</v>
      </c>
      <c r="Q510">
        <v>7400258484</v>
      </c>
      <c r="R510">
        <f t="shared" si="28"/>
        <v>2</v>
      </c>
      <c r="V510">
        <f t="shared" si="29"/>
        <v>7400258484</v>
      </c>
      <c r="Y510" s="18">
        <f t="shared" si="30"/>
        <v>53685.7</v>
      </c>
      <c r="Z510" s="18" t="str">
        <f t="shared" si="31"/>
        <v/>
      </c>
    </row>
    <row r="511" spans="2:26" hidden="1" x14ac:dyDescent="0.25">
      <c r="B511" t="s">
        <v>15</v>
      </c>
      <c r="C511" t="s">
        <v>16</v>
      </c>
      <c r="D511" t="s">
        <v>16</v>
      </c>
      <c r="E511" t="s">
        <v>16</v>
      </c>
      <c r="F511" t="s">
        <v>16</v>
      </c>
      <c r="G511" t="s">
        <v>625</v>
      </c>
      <c r="H511" s="18">
        <v>-41599.360000000001</v>
      </c>
      <c r="J511" t="s">
        <v>19</v>
      </c>
      <c r="N511" t="s">
        <v>21</v>
      </c>
      <c r="O511" t="s">
        <v>22</v>
      </c>
      <c r="P511" t="s">
        <v>20</v>
      </c>
      <c r="Q511">
        <v>26510</v>
      </c>
      <c r="R511">
        <f t="shared" si="28"/>
        <v>2</v>
      </c>
      <c r="V511">
        <f t="shared" si="29"/>
        <v>26510</v>
      </c>
      <c r="Y511" s="18">
        <f t="shared" si="30"/>
        <v>141372.85999999999</v>
      </c>
      <c r="Z511" s="18" t="str">
        <f t="shared" si="31"/>
        <v/>
      </c>
    </row>
    <row r="512" spans="2:26" x14ac:dyDescent="0.25">
      <c r="B512" t="s">
        <v>277</v>
      </c>
      <c r="C512" t="s">
        <v>16</v>
      </c>
      <c r="D512" t="s">
        <v>16</v>
      </c>
      <c r="E512" t="s">
        <v>16</v>
      </c>
      <c r="F512" t="s">
        <v>16</v>
      </c>
      <c r="G512" t="s">
        <v>626</v>
      </c>
      <c r="H512" s="18">
        <v>126131.63</v>
      </c>
      <c r="I512" t="s">
        <v>23</v>
      </c>
      <c r="J512" t="s">
        <v>19</v>
      </c>
      <c r="N512" t="s">
        <v>21</v>
      </c>
      <c r="O512" t="s">
        <v>22</v>
      </c>
      <c r="P512" t="s">
        <v>20</v>
      </c>
      <c r="Q512">
        <v>19368</v>
      </c>
      <c r="R512">
        <f t="shared" si="28"/>
        <v>2</v>
      </c>
      <c r="V512">
        <f t="shared" si="29"/>
        <v>19368</v>
      </c>
      <c r="Y512" s="18">
        <f t="shared" si="30"/>
        <v>126131.63</v>
      </c>
      <c r="Z512" s="18">
        <f t="shared" si="31"/>
        <v>0</v>
      </c>
    </row>
    <row r="513" spans="2:26" hidden="1" x14ac:dyDescent="0.25">
      <c r="B513" t="s">
        <v>15</v>
      </c>
      <c r="C513" t="s">
        <v>16</v>
      </c>
      <c r="D513" t="s">
        <v>16</v>
      </c>
      <c r="E513" t="s">
        <v>16</v>
      </c>
      <c r="F513" t="s">
        <v>16</v>
      </c>
      <c r="G513" t="s">
        <v>627</v>
      </c>
      <c r="H513" s="18">
        <v>0</v>
      </c>
      <c r="J513" t="s">
        <v>19</v>
      </c>
      <c r="N513" t="s">
        <v>21</v>
      </c>
      <c r="O513" t="s">
        <v>22</v>
      </c>
      <c r="P513" t="s">
        <v>20</v>
      </c>
      <c r="Q513">
        <v>12024</v>
      </c>
      <c r="R513">
        <f t="shared" si="28"/>
        <v>2</v>
      </c>
      <c r="V513">
        <f t="shared" si="29"/>
        <v>12024</v>
      </c>
      <c r="Y513" s="18">
        <f t="shared" si="30"/>
        <v>0</v>
      </c>
      <c r="Z513" s="18" t="str">
        <f t="shared" si="31"/>
        <v/>
      </c>
    </row>
    <row r="514" spans="2:26" hidden="1" x14ac:dyDescent="0.25">
      <c r="B514" t="s">
        <v>15</v>
      </c>
      <c r="C514" t="s">
        <v>16</v>
      </c>
      <c r="D514" t="s">
        <v>16</v>
      </c>
      <c r="E514" t="s">
        <v>16</v>
      </c>
      <c r="F514" t="s">
        <v>16</v>
      </c>
      <c r="G514" t="s">
        <v>414</v>
      </c>
      <c r="H514" s="18">
        <v>-77206.52</v>
      </c>
      <c r="J514" t="s">
        <v>19</v>
      </c>
      <c r="N514" t="s">
        <v>21</v>
      </c>
      <c r="O514" t="s">
        <v>22</v>
      </c>
      <c r="P514" t="s">
        <v>20</v>
      </c>
      <c r="Q514">
        <v>8027577467</v>
      </c>
      <c r="R514">
        <f t="shared" si="28"/>
        <v>2</v>
      </c>
      <c r="V514">
        <f t="shared" si="29"/>
        <v>8027577467</v>
      </c>
      <c r="Y514" s="18">
        <f t="shared" si="30"/>
        <v>150412.07999999999</v>
      </c>
      <c r="Z514" s="18" t="str">
        <f t="shared" si="31"/>
        <v/>
      </c>
    </row>
    <row r="515" spans="2:26" x14ac:dyDescent="0.25">
      <c r="B515" t="s">
        <v>277</v>
      </c>
      <c r="C515" t="s">
        <v>16</v>
      </c>
      <c r="D515" t="s">
        <v>16</v>
      </c>
      <c r="E515" t="s">
        <v>16</v>
      </c>
      <c r="F515" t="s">
        <v>16</v>
      </c>
      <c r="G515" t="s">
        <v>624</v>
      </c>
      <c r="H515" s="18">
        <v>20702.96</v>
      </c>
      <c r="I515" t="s">
        <v>23</v>
      </c>
      <c r="J515" t="s">
        <v>19</v>
      </c>
      <c r="N515" t="s">
        <v>21</v>
      </c>
      <c r="O515" t="s">
        <v>22</v>
      </c>
      <c r="P515" t="s">
        <v>20</v>
      </c>
      <c r="Q515">
        <v>18272</v>
      </c>
      <c r="R515">
        <f t="shared" si="28"/>
        <v>2</v>
      </c>
      <c r="V515">
        <f t="shared" si="29"/>
        <v>18272</v>
      </c>
      <c r="Y515" s="18">
        <f t="shared" si="30"/>
        <v>20702.96</v>
      </c>
      <c r="Z515" s="18">
        <f t="shared" si="31"/>
        <v>0</v>
      </c>
    </row>
    <row r="516" spans="2:26" x14ac:dyDescent="0.25">
      <c r="B516" t="s">
        <v>277</v>
      </c>
      <c r="C516" t="s">
        <v>16</v>
      </c>
      <c r="D516" t="s">
        <v>16</v>
      </c>
      <c r="E516" t="s">
        <v>16</v>
      </c>
      <c r="F516" t="s">
        <v>16</v>
      </c>
      <c r="G516" t="s">
        <v>628</v>
      </c>
      <c r="H516" s="18">
        <v>615.88</v>
      </c>
      <c r="I516" t="s">
        <v>23</v>
      </c>
      <c r="J516" t="s">
        <v>19</v>
      </c>
      <c r="N516" t="s">
        <v>21</v>
      </c>
      <c r="O516" t="s">
        <v>22</v>
      </c>
      <c r="P516" t="s">
        <v>20</v>
      </c>
      <c r="Q516">
        <v>23623</v>
      </c>
      <c r="R516">
        <f t="shared" si="28"/>
        <v>2</v>
      </c>
      <c r="V516">
        <f t="shared" si="29"/>
        <v>23623</v>
      </c>
      <c r="Y516" s="18">
        <f t="shared" si="30"/>
        <v>615.88</v>
      </c>
      <c r="Z516" s="18">
        <f t="shared" si="31"/>
        <v>0</v>
      </c>
    </row>
    <row r="517" spans="2:26" hidden="1" x14ac:dyDescent="0.25">
      <c r="B517" t="s">
        <v>15</v>
      </c>
      <c r="C517" t="s">
        <v>16</v>
      </c>
      <c r="D517" t="s">
        <v>16</v>
      </c>
      <c r="E517" t="s">
        <v>16</v>
      </c>
      <c r="F517" t="s">
        <v>16</v>
      </c>
      <c r="G517" t="s">
        <v>469</v>
      </c>
      <c r="H517" s="18">
        <v>-60764.79</v>
      </c>
      <c r="J517" t="s">
        <v>19</v>
      </c>
      <c r="N517" t="s">
        <v>21</v>
      </c>
      <c r="O517" t="s">
        <v>22</v>
      </c>
      <c r="P517" t="s">
        <v>20</v>
      </c>
      <c r="Q517">
        <v>25707</v>
      </c>
      <c r="R517">
        <f t="shared" si="28"/>
        <v>2</v>
      </c>
      <c r="V517">
        <f t="shared" si="29"/>
        <v>25707</v>
      </c>
      <c r="Y517" s="18">
        <f t="shared" si="30"/>
        <v>93614.29</v>
      </c>
      <c r="Z517" s="18" t="str">
        <f t="shared" si="31"/>
        <v/>
      </c>
    </row>
    <row r="518" spans="2:26" x14ac:dyDescent="0.25">
      <c r="B518" t="s">
        <v>277</v>
      </c>
      <c r="C518" t="s">
        <v>16</v>
      </c>
      <c r="D518" t="s">
        <v>16</v>
      </c>
      <c r="E518" t="s">
        <v>16</v>
      </c>
      <c r="F518" t="s">
        <v>16</v>
      </c>
      <c r="G518" t="s">
        <v>550</v>
      </c>
      <c r="H518" s="18">
        <v>13435.51</v>
      </c>
      <c r="I518" t="s">
        <v>23</v>
      </c>
      <c r="J518" t="s">
        <v>19</v>
      </c>
      <c r="N518" t="s">
        <v>21</v>
      </c>
      <c r="O518" t="s">
        <v>22</v>
      </c>
      <c r="P518" t="s">
        <v>20</v>
      </c>
      <c r="Q518">
        <v>23574</v>
      </c>
      <c r="R518">
        <f t="shared" si="28"/>
        <v>2</v>
      </c>
      <c r="V518">
        <f t="shared" si="29"/>
        <v>23574</v>
      </c>
      <c r="Y518" s="18">
        <f t="shared" si="30"/>
        <v>13435.51</v>
      </c>
      <c r="Z518" s="18">
        <f t="shared" si="31"/>
        <v>0</v>
      </c>
    </row>
    <row r="519" spans="2:26" hidden="1" x14ac:dyDescent="0.25">
      <c r="B519" t="s">
        <v>15</v>
      </c>
      <c r="C519" t="s">
        <v>16</v>
      </c>
      <c r="D519" t="s">
        <v>16</v>
      </c>
      <c r="E519" t="s">
        <v>16</v>
      </c>
      <c r="F519" t="s">
        <v>16</v>
      </c>
      <c r="G519" t="s">
        <v>479</v>
      </c>
      <c r="H519" s="18">
        <v>-23731.86</v>
      </c>
      <c r="J519" t="s">
        <v>19</v>
      </c>
      <c r="N519" t="s">
        <v>21</v>
      </c>
      <c r="O519" t="s">
        <v>22</v>
      </c>
      <c r="P519" t="s">
        <v>20</v>
      </c>
      <c r="Q519">
        <v>23508</v>
      </c>
      <c r="R519">
        <f t="shared" si="28"/>
        <v>2</v>
      </c>
      <c r="V519">
        <f t="shared" si="29"/>
        <v>23508</v>
      </c>
      <c r="Y519" s="18">
        <f t="shared" si="30"/>
        <v>76636.149999999994</v>
      </c>
      <c r="Z519" s="18" t="str">
        <f t="shared" si="31"/>
        <v/>
      </c>
    </row>
    <row r="520" spans="2:26" hidden="1" x14ac:dyDescent="0.25">
      <c r="B520" t="s">
        <v>15</v>
      </c>
      <c r="C520" t="s">
        <v>16</v>
      </c>
      <c r="D520" t="s">
        <v>16</v>
      </c>
      <c r="E520" t="s">
        <v>16</v>
      </c>
      <c r="F520" t="s">
        <v>16</v>
      </c>
      <c r="G520" t="s">
        <v>629</v>
      </c>
      <c r="H520" s="18">
        <v>-232247.8</v>
      </c>
      <c r="J520" t="s">
        <v>19</v>
      </c>
      <c r="N520" t="s">
        <v>21</v>
      </c>
      <c r="O520" t="s">
        <v>22</v>
      </c>
      <c r="P520" t="s">
        <v>20</v>
      </c>
      <c r="Q520">
        <v>25697</v>
      </c>
      <c r="R520">
        <f t="shared" si="28"/>
        <v>2</v>
      </c>
      <c r="V520">
        <f t="shared" si="29"/>
        <v>25697</v>
      </c>
      <c r="Y520" s="18">
        <f t="shared" si="30"/>
        <v>396830.59</v>
      </c>
      <c r="Z520" s="18" t="str">
        <f t="shared" si="31"/>
        <v/>
      </c>
    </row>
    <row r="521" spans="2:26" hidden="1" x14ac:dyDescent="0.25">
      <c r="B521" t="s">
        <v>15</v>
      </c>
      <c r="C521" t="s">
        <v>16</v>
      </c>
      <c r="D521" t="s">
        <v>16</v>
      </c>
      <c r="E521" t="s">
        <v>16</v>
      </c>
      <c r="F521" t="s">
        <v>16</v>
      </c>
      <c r="G521" t="s">
        <v>630</v>
      </c>
      <c r="H521" s="18">
        <v>-279.62</v>
      </c>
      <c r="J521" t="s">
        <v>19</v>
      </c>
      <c r="N521" t="s">
        <v>21</v>
      </c>
      <c r="O521" t="s">
        <v>22</v>
      </c>
      <c r="P521" t="s">
        <v>20</v>
      </c>
      <c r="Q521">
        <v>27144</v>
      </c>
      <c r="R521">
        <f t="shared" si="28"/>
        <v>2</v>
      </c>
      <c r="V521">
        <f t="shared" si="29"/>
        <v>27144</v>
      </c>
      <c r="Y521" s="18">
        <f t="shared" si="30"/>
        <v>10080.68</v>
      </c>
      <c r="Z521" s="18" t="str">
        <f t="shared" si="31"/>
        <v/>
      </c>
    </row>
    <row r="522" spans="2:26" hidden="1" x14ac:dyDescent="0.25">
      <c r="B522" t="s">
        <v>277</v>
      </c>
      <c r="C522" t="s">
        <v>16</v>
      </c>
      <c r="D522" t="s">
        <v>16</v>
      </c>
      <c r="E522" t="s">
        <v>16</v>
      </c>
      <c r="F522" t="s">
        <v>16</v>
      </c>
      <c r="G522" t="s">
        <v>597</v>
      </c>
      <c r="H522" s="18">
        <v>121171.33</v>
      </c>
      <c r="I522" t="s">
        <v>23</v>
      </c>
      <c r="J522" t="s">
        <v>19</v>
      </c>
      <c r="N522" t="s">
        <v>21</v>
      </c>
      <c r="O522" t="s">
        <v>22</v>
      </c>
      <c r="P522" t="s">
        <v>20</v>
      </c>
      <c r="Q522">
        <v>2100680114</v>
      </c>
      <c r="R522">
        <f t="shared" ref="R522:R585" si="32">COUNTIF($Q$9:$Q$816,Q522)</f>
        <v>10</v>
      </c>
      <c r="V522" t="str">
        <f t="shared" ref="V522:V585" si="33">IFERROR(VLOOKUP(Q522,$C$823:$C$1253,1,FALSE),"")</f>
        <v/>
      </c>
      <c r="W522" s="26" t="s">
        <v>686</v>
      </c>
      <c r="X522" s="15" t="s">
        <v>129</v>
      </c>
      <c r="Y522" s="18" t="str">
        <f t="shared" ref="Y522:Y585" si="34">IFERROR(VLOOKUP(Q522,$C$823:$D$1253,2,FALSE),"")</f>
        <v/>
      </c>
      <c r="Z522" s="18" t="str">
        <f t="shared" ref="Z522:Z585" si="35">IFERROR(IF(RIGHT(B522,6)="TYVA02","",H522-Y522),"")</f>
        <v/>
      </c>
    </row>
    <row r="523" spans="2:26" x14ac:dyDescent="0.25">
      <c r="B523" t="s">
        <v>277</v>
      </c>
      <c r="C523" t="s">
        <v>16</v>
      </c>
      <c r="D523" t="s">
        <v>16</v>
      </c>
      <c r="E523" t="s">
        <v>16</v>
      </c>
      <c r="F523" t="s">
        <v>16</v>
      </c>
      <c r="G523" t="s">
        <v>631</v>
      </c>
      <c r="H523" s="18">
        <v>23163.43</v>
      </c>
      <c r="I523" t="s">
        <v>23</v>
      </c>
      <c r="J523" t="s">
        <v>19</v>
      </c>
      <c r="N523" t="s">
        <v>21</v>
      </c>
      <c r="O523" t="s">
        <v>22</v>
      </c>
      <c r="P523" t="s">
        <v>20</v>
      </c>
      <c r="Q523">
        <v>26984</v>
      </c>
      <c r="R523">
        <f t="shared" si="32"/>
        <v>2</v>
      </c>
      <c r="V523">
        <f t="shared" si="33"/>
        <v>26984</v>
      </c>
      <c r="Y523" s="18">
        <f t="shared" si="34"/>
        <v>23163.43</v>
      </c>
      <c r="Z523" s="18">
        <f t="shared" si="35"/>
        <v>0</v>
      </c>
    </row>
    <row r="524" spans="2:26" x14ac:dyDescent="0.25">
      <c r="B524" t="s">
        <v>277</v>
      </c>
      <c r="C524" t="s">
        <v>16</v>
      </c>
      <c r="D524" t="s">
        <v>16</v>
      </c>
      <c r="E524" t="s">
        <v>16</v>
      </c>
      <c r="F524" t="s">
        <v>16</v>
      </c>
      <c r="G524" t="s">
        <v>564</v>
      </c>
      <c r="H524" s="18">
        <v>10748.41</v>
      </c>
      <c r="I524" t="s">
        <v>23</v>
      </c>
      <c r="J524" t="s">
        <v>19</v>
      </c>
      <c r="N524" t="s">
        <v>21</v>
      </c>
      <c r="O524" t="s">
        <v>22</v>
      </c>
      <c r="P524" t="s">
        <v>20</v>
      </c>
      <c r="Q524">
        <v>23567</v>
      </c>
      <c r="R524">
        <f t="shared" si="32"/>
        <v>2</v>
      </c>
      <c r="V524">
        <f t="shared" si="33"/>
        <v>23567</v>
      </c>
      <c r="Y524" s="18">
        <f t="shared" si="34"/>
        <v>10748.41</v>
      </c>
      <c r="Z524" s="18">
        <f t="shared" si="35"/>
        <v>0</v>
      </c>
    </row>
    <row r="525" spans="2:26" hidden="1" x14ac:dyDescent="0.25">
      <c r="B525" t="s">
        <v>15</v>
      </c>
      <c r="C525" t="s">
        <v>16</v>
      </c>
      <c r="D525" t="s">
        <v>16</v>
      </c>
      <c r="E525" t="s">
        <v>16</v>
      </c>
      <c r="F525" t="s">
        <v>16</v>
      </c>
      <c r="G525" t="s">
        <v>632</v>
      </c>
      <c r="H525" s="18">
        <v>-234774.28</v>
      </c>
      <c r="J525" t="s">
        <v>19</v>
      </c>
      <c r="N525" t="s">
        <v>21</v>
      </c>
      <c r="O525" t="s">
        <v>22</v>
      </c>
      <c r="P525" t="s">
        <v>20</v>
      </c>
      <c r="Q525">
        <v>25687</v>
      </c>
      <c r="R525">
        <f t="shared" si="32"/>
        <v>2</v>
      </c>
      <c r="V525">
        <f t="shared" si="33"/>
        <v>25687</v>
      </c>
      <c r="Y525" s="18">
        <f t="shared" si="34"/>
        <v>410029.89</v>
      </c>
      <c r="Z525" s="18" t="str">
        <f t="shared" si="35"/>
        <v/>
      </c>
    </row>
    <row r="526" spans="2:26" x14ac:dyDescent="0.25">
      <c r="B526" t="s">
        <v>277</v>
      </c>
      <c r="C526" t="s">
        <v>16</v>
      </c>
      <c r="D526" t="s">
        <v>16</v>
      </c>
      <c r="E526" t="s">
        <v>16</v>
      </c>
      <c r="F526" t="s">
        <v>16</v>
      </c>
      <c r="G526" t="s">
        <v>607</v>
      </c>
      <c r="H526" s="18">
        <v>572503.82999999996</v>
      </c>
      <c r="I526" t="s">
        <v>23</v>
      </c>
      <c r="J526" t="s">
        <v>19</v>
      </c>
      <c r="N526" t="s">
        <v>21</v>
      </c>
      <c r="O526" t="s">
        <v>22</v>
      </c>
      <c r="P526" t="s">
        <v>20</v>
      </c>
      <c r="Q526">
        <v>25686</v>
      </c>
      <c r="R526">
        <f t="shared" si="32"/>
        <v>2</v>
      </c>
      <c r="V526">
        <f t="shared" si="33"/>
        <v>25686</v>
      </c>
      <c r="Y526" s="18">
        <f t="shared" si="34"/>
        <v>572503.82999999996</v>
      </c>
      <c r="Z526" s="18">
        <f t="shared" si="35"/>
        <v>0</v>
      </c>
    </row>
    <row r="527" spans="2:26" hidden="1" x14ac:dyDescent="0.25">
      <c r="B527" t="s">
        <v>15</v>
      </c>
      <c r="C527" t="s">
        <v>16</v>
      </c>
      <c r="D527" t="s">
        <v>16</v>
      </c>
      <c r="E527" t="s">
        <v>16</v>
      </c>
      <c r="F527" t="s">
        <v>16</v>
      </c>
      <c r="G527" t="s">
        <v>633</v>
      </c>
      <c r="H527" s="18">
        <v>-5101.6499999999996</v>
      </c>
      <c r="J527" t="s">
        <v>19</v>
      </c>
      <c r="N527" t="s">
        <v>21</v>
      </c>
      <c r="O527" t="s">
        <v>22</v>
      </c>
      <c r="P527" t="s">
        <v>20</v>
      </c>
      <c r="Q527">
        <v>27116</v>
      </c>
      <c r="R527">
        <f t="shared" si="32"/>
        <v>2</v>
      </c>
      <c r="V527" t="str">
        <f t="shared" si="33"/>
        <v/>
      </c>
      <c r="W527" s="26" t="s">
        <v>686</v>
      </c>
      <c r="X527" s="15" t="s">
        <v>129</v>
      </c>
      <c r="Y527" s="18" t="str">
        <f t="shared" si="34"/>
        <v/>
      </c>
      <c r="Z527" s="18" t="str">
        <f t="shared" si="35"/>
        <v/>
      </c>
    </row>
    <row r="528" spans="2:26" hidden="1" x14ac:dyDescent="0.25">
      <c r="B528" t="s">
        <v>15</v>
      </c>
      <c r="C528" t="s">
        <v>16</v>
      </c>
      <c r="D528" t="s">
        <v>16</v>
      </c>
      <c r="E528" t="s">
        <v>16</v>
      </c>
      <c r="F528" t="s">
        <v>16</v>
      </c>
      <c r="G528" t="s">
        <v>634</v>
      </c>
      <c r="H528" s="18">
        <v>-343585.73</v>
      </c>
      <c r="J528" t="s">
        <v>19</v>
      </c>
      <c r="N528" t="s">
        <v>21</v>
      </c>
      <c r="O528" t="s">
        <v>22</v>
      </c>
      <c r="P528" t="s">
        <v>20</v>
      </c>
      <c r="Q528">
        <v>23535</v>
      </c>
      <c r="R528">
        <f t="shared" si="32"/>
        <v>2</v>
      </c>
      <c r="V528">
        <f t="shared" si="33"/>
        <v>23535</v>
      </c>
      <c r="Y528" s="18">
        <f t="shared" si="34"/>
        <v>345610.4</v>
      </c>
      <c r="Z528" s="18" t="str">
        <f t="shared" si="35"/>
        <v/>
      </c>
    </row>
    <row r="529" spans="2:26" hidden="1" x14ac:dyDescent="0.25">
      <c r="B529" t="s">
        <v>15</v>
      </c>
      <c r="C529" t="s">
        <v>16</v>
      </c>
      <c r="D529" t="s">
        <v>16</v>
      </c>
      <c r="E529" t="s">
        <v>16</v>
      </c>
      <c r="F529" t="s">
        <v>16</v>
      </c>
      <c r="G529" t="s">
        <v>405</v>
      </c>
      <c r="H529" s="18">
        <v>-3110.77</v>
      </c>
      <c r="J529" t="s">
        <v>19</v>
      </c>
      <c r="N529" t="s">
        <v>21</v>
      </c>
      <c r="O529" t="s">
        <v>22</v>
      </c>
      <c r="P529" t="s">
        <v>20</v>
      </c>
      <c r="Q529">
        <v>1700007349</v>
      </c>
      <c r="R529">
        <f t="shared" si="32"/>
        <v>2</v>
      </c>
      <c r="V529">
        <f t="shared" si="33"/>
        <v>1700007349</v>
      </c>
      <c r="Y529" s="18">
        <f t="shared" si="34"/>
        <v>62376.07</v>
      </c>
      <c r="Z529" s="18" t="str">
        <f t="shared" si="35"/>
        <v/>
      </c>
    </row>
    <row r="530" spans="2:26" hidden="1" x14ac:dyDescent="0.25">
      <c r="B530" t="s">
        <v>15</v>
      </c>
      <c r="C530" t="s">
        <v>16</v>
      </c>
      <c r="D530" t="s">
        <v>16</v>
      </c>
      <c r="E530" t="s">
        <v>16</v>
      </c>
      <c r="F530" t="s">
        <v>16</v>
      </c>
      <c r="G530" t="s">
        <v>278</v>
      </c>
      <c r="H530" s="18">
        <v>-24297.360000000001</v>
      </c>
      <c r="J530" t="s">
        <v>19</v>
      </c>
      <c r="N530" t="s">
        <v>21</v>
      </c>
      <c r="O530" t="s">
        <v>22</v>
      </c>
      <c r="P530" t="s">
        <v>20</v>
      </c>
      <c r="Q530">
        <v>23517</v>
      </c>
      <c r="R530">
        <f t="shared" si="32"/>
        <v>2</v>
      </c>
      <c r="V530">
        <f t="shared" si="33"/>
        <v>23517</v>
      </c>
      <c r="Y530" s="18">
        <f t="shared" si="34"/>
        <v>94109.61</v>
      </c>
      <c r="Z530" s="18" t="str">
        <f t="shared" si="35"/>
        <v/>
      </c>
    </row>
    <row r="531" spans="2:26" x14ac:dyDescent="0.25">
      <c r="B531" t="s">
        <v>277</v>
      </c>
      <c r="C531" t="s">
        <v>16</v>
      </c>
      <c r="D531" t="s">
        <v>16</v>
      </c>
      <c r="E531" t="s">
        <v>16</v>
      </c>
      <c r="F531" t="s">
        <v>16</v>
      </c>
      <c r="G531" t="s">
        <v>372</v>
      </c>
      <c r="H531" s="18">
        <v>580.41</v>
      </c>
      <c r="I531" t="s">
        <v>23</v>
      </c>
      <c r="J531" t="s">
        <v>19</v>
      </c>
      <c r="N531" t="s">
        <v>21</v>
      </c>
      <c r="O531" t="s">
        <v>22</v>
      </c>
      <c r="P531" t="s">
        <v>20</v>
      </c>
      <c r="Q531">
        <v>23619</v>
      </c>
      <c r="R531">
        <f t="shared" si="32"/>
        <v>2</v>
      </c>
      <c r="V531">
        <f t="shared" si="33"/>
        <v>23619</v>
      </c>
      <c r="Y531" s="18">
        <f t="shared" si="34"/>
        <v>580.41</v>
      </c>
      <c r="Z531" s="18">
        <f t="shared" si="35"/>
        <v>0</v>
      </c>
    </row>
    <row r="532" spans="2:26" hidden="1" x14ac:dyDescent="0.25">
      <c r="B532" t="s">
        <v>15</v>
      </c>
      <c r="C532" t="s">
        <v>16</v>
      </c>
      <c r="D532" t="s">
        <v>16</v>
      </c>
      <c r="E532" t="s">
        <v>16</v>
      </c>
      <c r="F532" t="s">
        <v>16</v>
      </c>
      <c r="G532" t="s">
        <v>592</v>
      </c>
      <c r="H532" s="18">
        <v>-96.22</v>
      </c>
      <c r="J532" t="s">
        <v>19</v>
      </c>
      <c r="N532" t="s">
        <v>21</v>
      </c>
      <c r="O532" t="s">
        <v>22</v>
      </c>
      <c r="P532" t="s">
        <v>20</v>
      </c>
      <c r="Q532">
        <v>23626</v>
      </c>
      <c r="R532">
        <f t="shared" si="32"/>
        <v>2</v>
      </c>
      <c r="V532">
        <f t="shared" si="33"/>
        <v>23626</v>
      </c>
      <c r="Y532" s="18">
        <f t="shared" si="34"/>
        <v>524.52</v>
      </c>
      <c r="Z532" s="18" t="str">
        <f t="shared" si="35"/>
        <v/>
      </c>
    </row>
    <row r="533" spans="2:26" x14ac:dyDescent="0.25">
      <c r="B533" t="s">
        <v>277</v>
      </c>
      <c r="C533" t="s">
        <v>16</v>
      </c>
      <c r="D533" t="s">
        <v>16</v>
      </c>
      <c r="E533" t="s">
        <v>16</v>
      </c>
      <c r="F533" t="s">
        <v>16</v>
      </c>
      <c r="G533" t="s">
        <v>413</v>
      </c>
      <c r="H533" s="18">
        <v>50385.79</v>
      </c>
      <c r="I533" t="s">
        <v>23</v>
      </c>
      <c r="J533" t="s">
        <v>19</v>
      </c>
      <c r="N533" t="s">
        <v>21</v>
      </c>
      <c r="O533" t="s">
        <v>22</v>
      </c>
      <c r="P533" t="s">
        <v>20</v>
      </c>
      <c r="Q533">
        <v>27136</v>
      </c>
      <c r="R533">
        <f t="shared" si="32"/>
        <v>2</v>
      </c>
      <c r="V533">
        <f t="shared" si="33"/>
        <v>27136</v>
      </c>
      <c r="Y533" s="18">
        <f t="shared" si="34"/>
        <v>50150</v>
      </c>
      <c r="Z533" s="18">
        <f t="shared" si="35"/>
        <v>235.79000000000087</v>
      </c>
    </row>
    <row r="534" spans="2:26" x14ac:dyDescent="0.25">
      <c r="B534" t="s">
        <v>277</v>
      </c>
      <c r="C534" t="s">
        <v>16</v>
      </c>
      <c r="D534" t="s">
        <v>16</v>
      </c>
      <c r="E534" t="s">
        <v>16</v>
      </c>
      <c r="F534" t="s">
        <v>16</v>
      </c>
      <c r="G534" t="s">
        <v>291</v>
      </c>
      <c r="H534" s="18">
        <v>26120.79</v>
      </c>
      <c r="I534" t="s">
        <v>23</v>
      </c>
      <c r="J534" t="s">
        <v>19</v>
      </c>
      <c r="N534" t="s">
        <v>21</v>
      </c>
      <c r="O534" t="s">
        <v>22</v>
      </c>
      <c r="P534" t="s">
        <v>20</v>
      </c>
      <c r="Q534">
        <v>7400356304</v>
      </c>
      <c r="R534">
        <f t="shared" si="32"/>
        <v>2</v>
      </c>
      <c r="V534">
        <f t="shared" si="33"/>
        <v>7400356304</v>
      </c>
      <c r="Y534" s="18">
        <f t="shared" si="34"/>
        <v>26120.79</v>
      </c>
      <c r="Z534" s="18">
        <f t="shared" si="35"/>
        <v>0</v>
      </c>
    </row>
    <row r="535" spans="2:26" x14ac:dyDescent="0.25">
      <c r="B535" t="s">
        <v>277</v>
      </c>
      <c r="C535" t="s">
        <v>16</v>
      </c>
      <c r="D535" t="s">
        <v>16</v>
      </c>
      <c r="E535" t="s">
        <v>16</v>
      </c>
      <c r="F535" t="s">
        <v>16</v>
      </c>
      <c r="G535" t="s">
        <v>635</v>
      </c>
      <c r="H535" s="18">
        <v>2818.69</v>
      </c>
      <c r="I535" t="s">
        <v>23</v>
      </c>
      <c r="J535" t="s">
        <v>19</v>
      </c>
      <c r="N535" t="s">
        <v>21</v>
      </c>
      <c r="O535" t="s">
        <v>22</v>
      </c>
      <c r="P535" t="s">
        <v>20</v>
      </c>
      <c r="Q535">
        <v>19369</v>
      </c>
      <c r="R535">
        <f t="shared" si="32"/>
        <v>2</v>
      </c>
      <c r="V535">
        <f t="shared" si="33"/>
        <v>19369</v>
      </c>
      <c r="Y535" s="18">
        <f t="shared" si="34"/>
        <v>2818.69</v>
      </c>
      <c r="Z535" s="18">
        <f t="shared" si="35"/>
        <v>0</v>
      </c>
    </row>
    <row r="536" spans="2:26" x14ac:dyDescent="0.25">
      <c r="B536" t="s">
        <v>277</v>
      </c>
      <c r="C536" t="s">
        <v>16</v>
      </c>
      <c r="D536" t="s">
        <v>16</v>
      </c>
      <c r="E536" t="s">
        <v>16</v>
      </c>
      <c r="F536" t="s">
        <v>16</v>
      </c>
      <c r="G536" t="s">
        <v>532</v>
      </c>
      <c r="H536" s="18">
        <v>635274.76</v>
      </c>
      <c r="I536" t="s">
        <v>23</v>
      </c>
      <c r="J536" t="s">
        <v>19</v>
      </c>
      <c r="N536" t="s">
        <v>21</v>
      </c>
      <c r="O536" t="s">
        <v>22</v>
      </c>
      <c r="P536" t="s">
        <v>20</v>
      </c>
      <c r="Q536">
        <v>23976</v>
      </c>
      <c r="R536">
        <f t="shared" si="32"/>
        <v>2</v>
      </c>
      <c r="V536">
        <f t="shared" si="33"/>
        <v>23976</v>
      </c>
      <c r="Y536" s="18">
        <f t="shared" si="34"/>
        <v>635122.44999999995</v>
      </c>
      <c r="Z536" s="18">
        <f t="shared" si="35"/>
        <v>152.31000000005588</v>
      </c>
    </row>
    <row r="537" spans="2:26" hidden="1" x14ac:dyDescent="0.25">
      <c r="B537" t="s">
        <v>15</v>
      </c>
      <c r="C537" t="s">
        <v>16</v>
      </c>
      <c r="D537" t="s">
        <v>16</v>
      </c>
      <c r="E537" t="s">
        <v>16</v>
      </c>
      <c r="F537" t="s">
        <v>16</v>
      </c>
      <c r="G537" t="s">
        <v>400</v>
      </c>
      <c r="H537" s="18">
        <v>-60298.14</v>
      </c>
      <c r="J537" t="s">
        <v>19</v>
      </c>
      <c r="N537" t="s">
        <v>21</v>
      </c>
      <c r="O537" t="s">
        <v>22</v>
      </c>
      <c r="P537" t="s">
        <v>20</v>
      </c>
      <c r="Q537">
        <v>25706</v>
      </c>
      <c r="R537">
        <f t="shared" si="32"/>
        <v>2</v>
      </c>
      <c r="V537">
        <f t="shared" si="33"/>
        <v>25706</v>
      </c>
      <c r="Y537" s="18">
        <f t="shared" si="34"/>
        <v>92396.51</v>
      </c>
      <c r="Z537" s="18" t="str">
        <f t="shared" si="35"/>
        <v/>
      </c>
    </row>
    <row r="538" spans="2:26" hidden="1" x14ac:dyDescent="0.25">
      <c r="B538" t="s">
        <v>15</v>
      </c>
      <c r="C538" t="s">
        <v>16</v>
      </c>
      <c r="D538" t="s">
        <v>16</v>
      </c>
      <c r="E538" t="s">
        <v>16</v>
      </c>
      <c r="F538" t="s">
        <v>16</v>
      </c>
      <c r="G538" t="s">
        <v>427</v>
      </c>
      <c r="H538" s="18">
        <v>-80940.89</v>
      </c>
      <c r="J538" t="s">
        <v>19</v>
      </c>
      <c r="N538" t="s">
        <v>21</v>
      </c>
      <c r="O538" t="s">
        <v>22</v>
      </c>
      <c r="P538" t="s">
        <v>20</v>
      </c>
      <c r="Q538">
        <v>25692</v>
      </c>
      <c r="R538">
        <f t="shared" si="32"/>
        <v>2</v>
      </c>
      <c r="V538">
        <f t="shared" si="33"/>
        <v>25692</v>
      </c>
      <c r="Y538" s="18">
        <f t="shared" si="34"/>
        <v>111417.18</v>
      </c>
      <c r="Z538" s="18" t="str">
        <f t="shared" si="35"/>
        <v/>
      </c>
    </row>
    <row r="539" spans="2:26" hidden="1" x14ac:dyDescent="0.25">
      <c r="B539" t="s">
        <v>15</v>
      </c>
      <c r="C539" t="s">
        <v>16</v>
      </c>
      <c r="D539" t="s">
        <v>16</v>
      </c>
      <c r="E539" t="s">
        <v>16</v>
      </c>
      <c r="F539" t="s">
        <v>16</v>
      </c>
      <c r="G539" t="s">
        <v>636</v>
      </c>
      <c r="H539" s="18">
        <v>-18312.919999999998</v>
      </c>
      <c r="J539" t="s">
        <v>19</v>
      </c>
      <c r="N539" t="s">
        <v>21</v>
      </c>
      <c r="O539" t="s">
        <v>22</v>
      </c>
      <c r="P539" t="s">
        <v>20</v>
      </c>
      <c r="Q539">
        <v>9001791600</v>
      </c>
      <c r="R539">
        <f t="shared" si="32"/>
        <v>2</v>
      </c>
      <c r="V539">
        <f t="shared" si="33"/>
        <v>9001791600</v>
      </c>
      <c r="Y539" s="18">
        <f t="shared" si="34"/>
        <v>53550</v>
      </c>
      <c r="Z539" s="18" t="str">
        <f t="shared" si="35"/>
        <v/>
      </c>
    </row>
    <row r="540" spans="2:26" x14ac:dyDescent="0.25">
      <c r="B540" t="s">
        <v>277</v>
      </c>
      <c r="C540" t="s">
        <v>16</v>
      </c>
      <c r="D540" t="s">
        <v>16</v>
      </c>
      <c r="E540" t="s">
        <v>16</v>
      </c>
      <c r="F540" t="s">
        <v>16</v>
      </c>
      <c r="G540" t="s">
        <v>402</v>
      </c>
      <c r="H540" s="18">
        <v>17273.77</v>
      </c>
      <c r="I540" t="s">
        <v>23</v>
      </c>
      <c r="J540" t="s">
        <v>19</v>
      </c>
      <c r="N540" t="s">
        <v>21</v>
      </c>
      <c r="O540" t="s">
        <v>22</v>
      </c>
      <c r="P540" t="s">
        <v>20</v>
      </c>
      <c r="Q540">
        <v>23533</v>
      </c>
      <c r="R540">
        <f t="shared" si="32"/>
        <v>2</v>
      </c>
      <c r="V540">
        <f t="shared" si="33"/>
        <v>23533</v>
      </c>
      <c r="Y540" s="18">
        <f t="shared" si="34"/>
        <v>17273.77</v>
      </c>
      <c r="Z540" s="18">
        <f t="shared" si="35"/>
        <v>0</v>
      </c>
    </row>
    <row r="541" spans="2:26" hidden="1" x14ac:dyDescent="0.25">
      <c r="B541" t="s">
        <v>15</v>
      </c>
      <c r="C541" t="s">
        <v>16</v>
      </c>
      <c r="D541" t="s">
        <v>16</v>
      </c>
      <c r="E541" t="s">
        <v>16</v>
      </c>
      <c r="F541" t="s">
        <v>16</v>
      </c>
      <c r="G541" t="s">
        <v>360</v>
      </c>
      <c r="H541" s="18">
        <v>-36462.82</v>
      </c>
      <c r="J541" t="s">
        <v>19</v>
      </c>
      <c r="N541" t="s">
        <v>21</v>
      </c>
      <c r="O541" t="s">
        <v>22</v>
      </c>
      <c r="P541" t="s">
        <v>20</v>
      </c>
      <c r="Q541">
        <v>23656</v>
      </c>
      <c r="R541">
        <f t="shared" si="32"/>
        <v>2</v>
      </c>
      <c r="V541">
        <f t="shared" si="33"/>
        <v>23656</v>
      </c>
      <c r="Y541" s="18">
        <f t="shared" si="34"/>
        <v>59761.15</v>
      </c>
      <c r="Z541" s="18" t="str">
        <f t="shared" si="35"/>
        <v/>
      </c>
    </row>
    <row r="542" spans="2:26" hidden="1" x14ac:dyDescent="0.25">
      <c r="B542" t="s">
        <v>15</v>
      </c>
      <c r="C542" t="s">
        <v>16</v>
      </c>
      <c r="D542" t="s">
        <v>16</v>
      </c>
      <c r="E542" t="s">
        <v>16</v>
      </c>
      <c r="F542" t="s">
        <v>16</v>
      </c>
      <c r="G542" t="s">
        <v>635</v>
      </c>
      <c r="H542" s="18">
        <v>-110.62</v>
      </c>
      <c r="J542" t="s">
        <v>19</v>
      </c>
      <c r="N542" t="s">
        <v>21</v>
      </c>
      <c r="O542" t="s">
        <v>22</v>
      </c>
      <c r="P542" t="s">
        <v>20</v>
      </c>
      <c r="Q542">
        <v>19369</v>
      </c>
      <c r="R542">
        <f t="shared" si="32"/>
        <v>2</v>
      </c>
      <c r="V542">
        <f t="shared" si="33"/>
        <v>19369</v>
      </c>
      <c r="Y542" s="18">
        <f t="shared" si="34"/>
        <v>2818.69</v>
      </c>
      <c r="Z542" s="18" t="str">
        <f t="shared" si="35"/>
        <v/>
      </c>
    </row>
    <row r="543" spans="2:26" x14ac:dyDescent="0.25">
      <c r="B543" t="s">
        <v>277</v>
      </c>
      <c r="C543" t="s">
        <v>16</v>
      </c>
      <c r="D543" t="s">
        <v>16</v>
      </c>
      <c r="E543" t="s">
        <v>16</v>
      </c>
      <c r="F543" t="s">
        <v>16</v>
      </c>
      <c r="G543" t="s">
        <v>637</v>
      </c>
      <c r="H543" s="18">
        <v>59116.25</v>
      </c>
      <c r="I543" t="s">
        <v>23</v>
      </c>
      <c r="J543" t="s">
        <v>19</v>
      </c>
      <c r="N543" t="s">
        <v>21</v>
      </c>
      <c r="O543" t="s">
        <v>22</v>
      </c>
      <c r="P543" t="s">
        <v>20</v>
      </c>
      <c r="Q543">
        <v>23510</v>
      </c>
      <c r="R543">
        <f t="shared" si="32"/>
        <v>2</v>
      </c>
      <c r="V543">
        <f t="shared" si="33"/>
        <v>23510</v>
      </c>
      <c r="Y543" s="18">
        <f t="shared" si="34"/>
        <v>59116.25</v>
      </c>
      <c r="Z543" s="18">
        <f t="shared" si="35"/>
        <v>0</v>
      </c>
    </row>
    <row r="544" spans="2:26" hidden="1" x14ac:dyDescent="0.25">
      <c r="B544" t="s">
        <v>15</v>
      </c>
      <c r="C544" t="s">
        <v>16</v>
      </c>
      <c r="D544" t="s">
        <v>16</v>
      </c>
      <c r="E544" t="s">
        <v>16</v>
      </c>
      <c r="F544" t="s">
        <v>16</v>
      </c>
      <c r="G544" t="s">
        <v>307</v>
      </c>
      <c r="H544" s="18">
        <v>-6.49</v>
      </c>
      <c r="J544" t="s">
        <v>19</v>
      </c>
      <c r="N544" t="s">
        <v>21</v>
      </c>
      <c r="O544" t="s">
        <v>22</v>
      </c>
      <c r="P544" t="s">
        <v>20</v>
      </c>
      <c r="Q544">
        <v>23654</v>
      </c>
      <c r="R544">
        <f t="shared" si="32"/>
        <v>2</v>
      </c>
      <c r="V544">
        <f t="shared" si="33"/>
        <v>23654</v>
      </c>
      <c r="Y544" s="18">
        <f t="shared" si="34"/>
        <v>243.99</v>
      </c>
      <c r="Z544" s="18" t="str">
        <f t="shared" si="35"/>
        <v/>
      </c>
    </row>
    <row r="545" spans="2:26" hidden="1" x14ac:dyDescent="0.25">
      <c r="B545" t="s">
        <v>15</v>
      </c>
      <c r="C545" t="s">
        <v>16</v>
      </c>
      <c r="D545" t="s">
        <v>16</v>
      </c>
      <c r="E545" t="s">
        <v>16</v>
      </c>
      <c r="F545" t="s">
        <v>16</v>
      </c>
      <c r="G545" t="s">
        <v>567</v>
      </c>
      <c r="H545" s="18">
        <v>-140.79</v>
      </c>
      <c r="J545" t="s">
        <v>19</v>
      </c>
      <c r="N545" t="s">
        <v>21</v>
      </c>
      <c r="O545" t="s">
        <v>22</v>
      </c>
      <c r="P545" t="s">
        <v>20</v>
      </c>
      <c r="Q545">
        <v>23644</v>
      </c>
      <c r="R545">
        <f t="shared" si="32"/>
        <v>2</v>
      </c>
      <c r="V545">
        <f t="shared" si="33"/>
        <v>23644</v>
      </c>
      <c r="Y545" s="18">
        <f t="shared" si="34"/>
        <v>316</v>
      </c>
      <c r="Z545" s="18" t="str">
        <f t="shared" si="35"/>
        <v/>
      </c>
    </row>
    <row r="546" spans="2:26" hidden="1" x14ac:dyDescent="0.25">
      <c r="B546" t="s">
        <v>15</v>
      </c>
      <c r="C546" t="s">
        <v>16</v>
      </c>
      <c r="D546" t="s">
        <v>16</v>
      </c>
      <c r="E546" t="s">
        <v>16</v>
      </c>
      <c r="F546" t="s">
        <v>16</v>
      </c>
      <c r="G546" t="s">
        <v>637</v>
      </c>
      <c r="H546" s="18">
        <v>-18155.580000000002</v>
      </c>
      <c r="J546" t="s">
        <v>19</v>
      </c>
      <c r="N546" t="s">
        <v>21</v>
      </c>
      <c r="O546" t="s">
        <v>22</v>
      </c>
      <c r="P546" t="s">
        <v>20</v>
      </c>
      <c r="Q546">
        <v>23510</v>
      </c>
      <c r="R546">
        <f t="shared" si="32"/>
        <v>2</v>
      </c>
      <c r="V546">
        <f t="shared" si="33"/>
        <v>23510</v>
      </c>
      <c r="Y546" s="18">
        <f t="shared" si="34"/>
        <v>59116.25</v>
      </c>
      <c r="Z546" s="18" t="str">
        <f t="shared" si="35"/>
        <v/>
      </c>
    </row>
    <row r="547" spans="2:26" hidden="1" x14ac:dyDescent="0.25">
      <c r="B547" t="s">
        <v>15</v>
      </c>
      <c r="C547" t="s">
        <v>16</v>
      </c>
      <c r="D547" t="s">
        <v>16</v>
      </c>
      <c r="E547" t="s">
        <v>16</v>
      </c>
      <c r="F547" t="s">
        <v>16</v>
      </c>
      <c r="G547" t="s">
        <v>638</v>
      </c>
      <c r="H547" s="18">
        <v>-4023.71</v>
      </c>
      <c r="J547" t="s">
        <v>19</v>
      </c>
      <c r="N547" t="s">
        <v>21</v>
      </c>
      <c r="O547" t="s">
        <v>22</v>
      </c>
      <c r="P547" t="s">
        <v>20</v>
      </c>
      <c r="Q547">
        <v>23579</v>
      </c>
      <c r="R547">
        <f t="shared" si="32"/>
        <v>2</v>
      </c>
      <c r="V547">
        <f t="shared" si="33"/>
        <v>23579</v>
      </c>
      <c r="Y547" s="18">
        <f t="shared" si="34"/>
        <v>4276.79</v>
      </c>
      <c r="Z547" s="18" t="str">
        <f t="shared" si="35"/>
        <v/>
      </c>
    </row>
    <row r="548" spans="2:26" hidden="1" x14ac:dyDescent="0.25">
      <c r="B548" t="s">
        <v>15</v>
      </c>
      <c r="C548" t="s">
        <v>16</v>
      </c>
      <c r="D548" t="s">
        <v>16</v>
      </c>
      <c r="E548" t="s">
        <v>16</v>
      </c>
      <c r="F548" t="s">
        <v>16</v>
      </c>
      <c r="G548" t="s">
        <v>639</v>
      </c>
      <c r="H548" s="18">
        <v>-17394.3</v>
      </c>
      <c r="J548" t="s">
        <v>19</v>
      </c>
      <c r="N548" t="s">
        <v>21</v>
      </c>
      <c r="O548" t="s">
        <v>22</v>
      </c>
      <c r="P548" t="s">
        <v>20</v>
      </c>
      <c r="Q548">
        <v>26044</v>
      </c>
      <c r="R548">
        <f t="shared" si="32"/>
        <v>2</v>
      </c>
      <c r="V548">
        <f t="shared" si="33"/>
        <v>26044</v>
      </c>
      <c r="Y548" s="18">
        <f t="shared" si="34"/>
        <v>49333.65</v>
      </c>
      <c r="Z548" s="18" t="str">
        <f t="shared" si="35"/>
        <v/>
      </c>
    </row>
    <row r="549" spans="2:26" x14ac:dyDescent="0.25">
      <c r="B549" t="s">
        <v>277</v>
      </c>
      <c r="C549" t="s">
        <v>16</v>
      </c>
      <c r="D549" t="s">
        <v>16</v>
      </c>
      <c r="E549" t="s">
        <v>16</v>
      </c>
      <c r="F549" t="s">
        <v>16</v>
      </c>
      <c r="G549" t="s">
        <v>640</v>
      </c>
      <c r="H549" s="18">
        <v>38503.94</v>
      </c>
      <c r="I549" t="s">
        <v>23</v>
      </c>
      <c r="J549" t="s">
        <v>19</v>
      </c>
      <c r="N549" t="s">
        <v>21</v>
      </c>
      <c r="O549" t="s">
        <v>22</v>
      </c>
      <c r="P549" t="s">
        <v>20</v>
      </c>
      <c r="Q549">
        <v>23674</v>
      </c>
      <c r="R549">
        <f t="shared" si="32"/>
        <v>2</v>
      </c>
      <c r="V549">
        <f t="shared" si="33"/>
        <v>23674</v>
      </c>
      <c r="Y549" s="18">
        <f t="shared" si="34"/>
        <v>38503.94</v>
      </c>
      <c r="Z549" s="18">
        <f t="shared" si="35"/>
        <v>0</v>
      </c>
    </row>
    <row r="550" spans="2:26" x14ac:dyDescent="0.25">
      <c r="B550" t="s">
        <v>277</v>
      </c>
      <c r="C550" t="s">
        <v>16</v>
      </c>
      <c r="D550" t="s">
        <v>16</v>
      </c>
      <c r="E550" t="s">
        <v>16</v>
      </c>
      <c r="F550" t="s">
        <v>16</v>
      </c>
      <c r="G550" t="s">
        <v>440</v>
      </c>
      <c r="H550" s="18">
        <v>428214.09</v>
      </c>
      <c r="I550" t="s">
        <v>23</v>
      </c>
      <c r="J550" t="s">
        <v>19</v>
      </c>
      <c r="N550" t="s">
        <v>21</v>
      </c>
      <c r="O550" t="s">
        <v>22</v>
      </c>
      <c r="P550" t="s">
        <v>20</v>
      </c>
      <c r="Q550">
        <v>25685</v>
      </c>
      <c r="R550">
        <f t="shared" si="32"/>
        <v>2</v>
      </c>
      <c r="V550">
        <f t="shared" si="33"/>
        <v>25685</v>
      </c>
      <c r="Y550" s="18">
        <f t="shared" si="34"/>
        <v>428214.09</v>
      </c>
      <c r="Z550" s="18">
        <f t="shared" si="35"/>
        <v>0</v>
      </c>
    </row>
    <row r="551" spans="2:26" hidden="1" x14ac:dyDescent="0.25">
      <c r="B551" t="s">
        <v>15</v>
      </c>
      <c r="C551" t="s">
        <v>16</v>
      </c>
      <c r="D551" t="s">
        <v>16</v>
      </c>
      <c r="E551" t="s">
        <v>16</v>
      </c>
      <c r="F551" t="s">
        <v>16</v>
      </c>
      <c r="G551" t="s">
        <v>378</v>
      </c>
      <c r="H551" s="18">
        <v>-55.18</v>
      </c>
      <c r="J551" t="s">
        <v>19</v>
      </c>
      <c r="N551" t="s">
        <v>21</v>
      </c>
      <c r="O551" t="s">
        <v>22</v>
      </c>
      <c r="P551" t="s">
        <v>20</v>
      </c>
      <c r="Q551">
        <v>23563</v>
      </c>
      <c r="R551">
        <f t="shared" si="32"/>
        <v>2</v>
      </c>
      <c r="V551">
        <f t="shared" si="33"/>
        <v>23563</v>
      </c>
      <c r="Y551" s="18">
        <f t="shared" si="34"/>
        <v>2074.44</v>
      </c>
      <c r="Z551" s="18" t="str">
        <f t="shared" si="35"/>
        <v/>
      </c>
    </row>
    <row r="552" spans="2:26" hidden="1" x14ac:dyDescent="0.25">
      <c r="B552" t="s">
        <v>15</v>
      </c>
      <c r="C552" t="s">
        <v>16</v>
      </c>
      <c r="D552" t="s">
        <v>16</v>
      </c>
      <c r="E552" t="s">
        <v>16</v>
      </c>
      <c r="F552" t="s">
        <v>16</v>
      </c>
      <c r="G552" t="s">
        <v>641</v>
      </c>
      <c r="H552" s="18">
        <v>-2460.89</v>
      </c>
      <c r="J552" t="s">
        <v>19</v>
      </c>
      <c r="N552" t="s">
        <v>21</v>
      </c>
      <c r="O552" t="s">
        <v>22</v>
      </c>
      <c r="P552" t="s">
        <v>20</v>
      </c>
      <c r="Q552">
        <v>23585</v>
      </c>
      <c r="R552">
        <f t="shared" si="32"/>
        <v>2</v>
      </c>
      <c r="V552">
        <f t="shared" si="33"/>
        <v>23585</v>
      </c>
      <c r="Y552" s="18">
        <f t="shared" si="34"/>
        <v>2713.97</v>
      </c>
      <c r="Z552" s="18" t="str">
        <f t="shared" si="35"/>
        <v/>
      </c>
    </row>
    <row r="553" spans="2:26" hidden="1" x14ac:dyDescent="0.25">
      <c r="B553" t="s">
        <v>15</v>
      </c>
      <c r="C553" t="s">
        <v>16</v>
      </c>
      <c r="D553" t="s">
        <v>16</v>
      </c>
      <c r="E553" t="s">
        <v>16</v>
      </c>
      <c r="F553" t="s">
        <v>16</v>
      </c>
      <c r="G553" t="s">
        <v>326</v>
      </c>
      <c r="H553" s="18">
        <v>-9710.4500000000007</v>
      </c>
      <c r="J553" t="s">
        <v>19</v>
      </c>
      <c r="N553" t="s">
        <v>21</v>
      </c>
      <c r="O553" t="s">
        <v>22</v>
      </c>
      <c r="P553" t="s">
        <v>20</v>
      </c>
      <c r="Q553">
        <v>23529</v>
      </c>
      <c r="R553">
        <f t="shared" si="32"/>
        <v>2</v>
      </c>
      <c r="V553">
        <f t="shared" si="33"/>
        <v>23529</v>
      </c>
      <c r="Y553" s="18">
        <f t="shared" si="34"/>
        <v>17273.77</v>
      </c>
      <c r="Z553" s="18" t="str">
        <f t="shared" si="35"/>
        <v/>
      </c>
    </row>
    <row r="554" spans="2:26" hidden="1" x14ac:dyDescent="0.25">
      <c r="B554" t="s">
        <v>15</v>
      </c>
      <c r="C554" t="s">
        <v>16</v>
      </c>
      <c r="D554" t="s">
        <v>16</v>
      </c>
      <c r="E554" t="s">
        <v>16</v>
      </c>
      <c r="F554" t="s">
        <v>16</v>
      </c>
      <c r="G554" t="s">
        <v>507</v>
      </c>
      <c r="H554" s="18">
        <v>-43013.84</v>
      </c>
      <c r="J554" t="s">
        <v>19</v>
      </c>
      <c r="N554" t="s">
        <v>21</v>
      </c>
      <c r="O554" t="s">
        <v>22</v>
      </c>
      <c r="P554" t="s">
        <v>20</v>
      </c>
      <c r="Q554">
        <v>15975</v>
      </c>
      <c r="R554">
        <f t="shared" si="32"/>
        <v>2</v>
      </c>
      <c r="V554">
        <f t="shared" si="33"/>
        <v>15975</v>
      </c>
      <c r="Y554" s="18">
        <f t="shared" si="34"/>
        <v>71091.39</v>
      </c>
      <c r="Z554" s="18" t="str">
        <f t="shared" si="35"/>
        <v/>
      </c>
    </row>
    <row r="555" spans="2:26" hidden="1" x14ac:dyDescent="0.25">
      <c r="B555" t="s">
        <v>15</v>
      </c>
      <c r="C555" t="s">
        <v>16</v>
      </c>
      <c r="D555" t="s">
        <v>16</v>
      </c>
      <c r="E555" t="s">
        <v>16</v>
      </c>
      <c r="F555" t="s">
        <v>16</v>
      </c>
      <c r="G555" t="s">
        <v>642</v>
      </c>
      <c r="H555" s="18">
        <v>-361024.62</v>
      </c>
      <c r="J555" t="s">
        <v>19</v>
      </c>
      <c r="N555" t="s">
        <v>21</v>
      </c>
      <c r="O555" t="s">
        <v>22</v>
      </c>
      <c r="P555" t="s">
        <v>20</v>
      </c>
      <c r="Q555">
        <v>23992</v>
      </c>
      <c r="R555">
        <f t="shared" si="32"/>
        <v>2</v>
      </c>
      <c r="V555">
        <f t="shared" si="33"/>
        <v>23992</v>
      </c>
      <c r="Y555" s="18">
        <f t="shared" si="34"/>
        <v>454200.9</v>
      </c>
      <c r="Z555" s="18" t="str">
        <f t="shared" si="35"/>
        <v/>
      </c>
    </row>
    <row r="556" spans="2:26" hidden="1" x14ac:dyDescent="0.25">
      <c r="B556" t="s">
        <v>15</v>
      </c>
      <c r="C556" t="s">
        <v>16</v>
      </c>
      <c r="D556" t="s">
        <v>16</v>
      </c>
      <c r="E556" t="s">
        <v>16</v>
      </c>
      <c r="F556" t="s">
        <v>16</v>
      </c>
      <c r="G556" t="s">
        <v>430</v>
      </c>
      <c r="H556" s="18">
        <v>-7297.81</v>
      </c>
      <c r="J556" t="s">
        <v>19</v>
      </c>
      <c r="N556" t="s">
        <v>21</v>
      </c>
      <c r="O556" t="s">
        <v>22</v>
      </c>
      <c r="P556" t="s">
        <v>20</v>
      </c>
      <c r="Q556">
        <v>6961494</v>
      </c>
      <c r="R556">
        <f t="shared" si="32"/>
        <v>2</v>
      </c>
      <c r="V556">
        <f t="shared" si="33"/>
        <v>6961494</v>
      </c>
      <c r="Y556" s="18">
        <f t="shared" si="34"/>
        <v>274353.82</v>
      </c>
      <c r="Z556" s="18" t="str">
        <f t="shared" si="35"/>
        <v/>
      </c>
    </row>
    <row r="557" spans="2:26" hidden="1" x14ac:dyDescent="0.25">
      <c r="B557" t="s">
        <v>15</v>
      </c>
      <c r="C557" t="s">
        <v>16</v>
      </c>
      <c r="D557" t="s">
        <v>16</v>
      </c>
      <c r="E557" t="s">
        <v>16</v>
      </c>
      <c r="F557" t="s">
        <v>16</v>
      </c>
      <c r="G557" t="s">
        <v>494</v>
      </c>
      <c r="H557" s="18">
        <v>-23471.39</v>
      </c>
      <c r="J557" t="s">
        <v>19</v>
      </c>
      <c r="N557" t="s">
        <v>21</v>
      </c>
      <c r="O557" t="s">
        <v>22</v>
      </c>
      <c r="P557" t="s">
        <v>20</v>
      </c>
      <c r="Q557">
        <v>12230</v>
      </c>
      <c r="R557">
        <f t="shared" si="32"/>
        <v>2</v>
      </c>
      <c r="V557">
        <f t="shared" si="33"/>
        <v>12230</v>
      </c>
      <c r="Y557" s="18">
        <f t="shared" si="34"/>
        <v>30109.25</v>
      </c>
      <c r="Z557" s="18" t="str">
        <f t="shared" si="35"/>
        <v/>
      </c>
    </row>
    <row r="558" spans="2:26" hidden="1" x14ac:dyDescent="0.25">
      <c r="B558" t="s">
        <v>15</v>
      </c>
      <c r="C558" t="s">
        <v>16</v>
      </c>
      <c r="D558" t="s">
        <v>16</v>
      </c>
      <c r="E558" t="s">
        <v>16</v>
      </c>
      <c r="F558" t="s">
        <v>16</v>
      </c>
      <c r="G558" t="s">
        <v>643</v>
      </c>
      <c r="H558" s="18">
        <v>-9152.0300000000007</v>
      </c>
      <c r="J558" t="s">
        <v>19</v>
      </c>
      <c r="N558" t="s">
        <v>21</v>
      </c>
      <c r="O558" t="s">
        <v>22</v>
      </c>
      <c r="P558" t="s">
        <v>20</v>
      </c>
      <c r="Q558">
        <v>23576</v>
      </c>
      <c r="R558">
        <f t="shared" si="32"/>
        <v>2</v>
      </c>
      <c r="V558">
        <f t="shared" si="33"/>
        <v>23576</v>
      </c>
      <c r="Y558" s="18">
        <f t="shared" si="34"/>
        <v>10748.41</v>
      </c>
      <c r="Z558" s="18" t="str">
        <f t="shared" si="35"/>
        <v/>
      </c>
    </row>
    <row r="559" spans="2:26" hidden="1" x14ac:dyDescent="0.25">
      <c r="B559" t="s">
        <v>15</v>
      </c>
      <c r="C559" t="s">
        <v>16</v>
      </c>
      <c r="D559" t="s">
        <v>16</v>
      </c>
      <c r="E559" t="s">
        <v>16</v>
      </c>
      <c r="F559" t="s">
        <v>16</v>
      </c>
      <c r="G559" t="s">
        <v>644</v>
      </c>
      <c r="H559" s="18">
        <v>-3.75</v>
      </c>
      <c r="J559" t="s">
        <v>19</v>
      </c>
      <c r="N559" t="s">
        <v>21</v>
      </c>
      <c r="O559" t="s">
        <v>22</v>
      </c>
      <c r="P559" t="s">
        <v>20</v>
      </c>
      <c r="Q559">
        <v>23637</v>
      </c>
      <c r="R559">
        <f t="shared" si="32"/>
        <v>2</v>
      </c>
      <c r="V559">
        <f t="shared" si="33"/>
        <v>23637</v>
      </c>
      <c r="Y559" s="18">
        <f t="shared" si="34"/>
        <v>91.36</v>
      </c>
      <c r="Z559" s="18" t="str">
        <f t="shared" si="35"/>
        <v/>
      </c>
    </row>
    <row r="560" spans="2:26" x14ac:dyDescent="0.25">
      <c r="B560" t="s">
        <v>277</v>
      </c>
      <c r="C560" t="s">
        <v>16</v>
      </c>
      <c r="D560" t="s">
        <v>16</v>
      </c>
      <c r="E560" t="s">
        <v>16</v>
      </c>
      <c r="F560" t="s">
        <v>16</v>
      </c>
      <c r="G560" t="s">
        <v>643</v>
      </c>
      <c r="H560" s="18">
        <v>10748.41</v>
      </c>
      <c r="I560" t="s">
        <v>23</v>
      </c>
      <c r="J560" t="s">
        <v>19</v>
      </c>
      <c r="N560" t="s">
        <v>21</v>
      </c>
      <c r="O560" t="s">
        <v>22</v>
      </c>
      <c r="P560" t="s">
        <v>20</v>
      </c>
      <c r="Q560">
        <v>23576</v>
      </c>
      <c r="R560">
        <f t="shared" si="32"/>
        <v>2</v>
      </c>
      <c r="V560">
        <f t="shared" si="33"/>
        <v>23576</v>
      </c>
      <c r="Y560" s="18">
        <f t="shared" si="34"/>
        <v>10748.41</v>
      </c>
      <c r="Z560" s="18">
        <f t="shared" si="35"/>
        <v>0</v>
      </c>
    </row>
    <row r="561" spans="2:26" x14ac:dyDescent="0.25">
      <c r="B561" t="s">
        <v>277</v>
      </c>
      <c r="C561" t="s">
        <v>16</v>
      </c>
      <c r="D561" t="s">
        <v>16</v>
      </c>
      <c r="E561" t="s">
        <v>16</v>
      </c>
      <c r="F561" t="s">
        <v>16</v>
      </c>
      <c r="G561" t="s">
        <v>516</v>
      </c>
      <c r="H561" s="18">
        <v>10464.879999999999</v>
      </c>
      <c r="I561" t="s">
        <v>23</v>
      </c>
      <c r="J561" t="s">
        <v>19</v>
      </c>
      <c r="N561" t="s">
        <v>21</v>
      </c>
      <c r="O561" t="s">
        <v>22</v>
      </c>
      <c r="P561" t="s">
        <v>20</v>
      </c>
      <c r="Q561">
        <v>26902</v>
      </c>
      <c r="R561">
        <f t="shared" si="32"/>
        <v>2</v>
      </c>
      <c r="V561">
        <f t="shared" si="33"/>
        <v>26902</v>
      </c>
      <c r="Y561" s="18">
        <f t="shared" si="34"/>
        <v>10464.879999999999</v>
      </c>
      <c r="Z561" s="18">
        <f t="shared" si="35"/>
        <v>0</v>
      </c>
    </row>
    <row r="562" spans="2:26" x14ac:dyDescent="0.25">
      <c r="B562" t="s">
        <v>277</v>
      </c>
      <c r="C562" t="s">
        <v>16</v>
      </c>
      <c r="D562" t="s">
        <v>16</v>
      </c>
      <c r="E562" t="s">
        <v>16</v>
      </c>
      <c r="F562" t="s">
        <v>16</v>
      </c>
      <c r="G562" t="s">
        <v>419</v>
      </c>
      <c r="H562" s="18">
        <v>22218.04</v>
      </c>
      <c r="I562" t="s">
        <v>23</v>
      </c>
      <c r="J562" t="s">
        <v>19</v>
      </c>
      <c r="N562" t="s">
        <v>21</v>
      </c>
      <c r="O562" t="s">
        <v>22</v>
      </c>
      <c r="P562" t="s">
        <v>20</v>
      </c>
      <c r="Q562">
        <v>23497</v>
      </c>
      <c r="R562">
        <f t="shared" si="32"/>
        <v>2</v>
      </c>
      <c r="V562">
        <f t="shared" si="33"/>
        <v>23497</v>
      </c>
      <c r="Y562" s="18">
        <f t="shared" si="34"/>
        <v>22218.04</v>
      </c>
      <c r="Z562" s="18">
        <f t="shared" si="35"/>
        <v>0</v>
      </c>
    </row>
    <row r="563" spans="2:26" hidden="1" x14ac:dyDescent="0.25">
      <c r="B563" t="s">
        <v>15</v>
      </c>
      <c r="C563" t="s">
        <v>16</v>
      </c>
      <c r="D563" t="s">
        <v>16</v>
      </c>
      <c r="E563" t="s">
        <v>16</v>
      </c>
      <c r="F563" t="s">
        <v>16</v>
      </c>
      <c r="G563" t="s">
        <v>421</v>
      </c>
      <c r="H563" s="18">
        <v>-9902.5</v>
      </c>
      <c r="J563" t="s">
        <v>19</v>
      </c>
      <c r="N563" t="s">
        <v>21</v>
      </c>
      <c r="O563" t="s">
        <v>22</v>
      </c>
      <c r="P563" t="s">
        <v>20</v>
      </c>
      <c r="Q563">
        <v>8010495801</v>
      </c>
      <c r="R563">
        <f t="shared" si="32"/>
        <v>2</v>
      </c>
      <c r="V563" t="str">
        <f t="shared" si="33"/>
        <v/>
      </c>
      <c r="W563" s="26" t="s">
        <v>686</v>
      </c>
      <c r="X563" s="15" t="s">
        <v>129</v>
      </c>
      <c r="Y563" s="18" t="str">
        <f t="shared" si="34"/>
        <v/>
      </c>
      <c r="Z563" s="18" t="str">
        <f t="shared" si="35"/>
        <v/>
      </c>
    </row>
    <row r="564" spans="2:26" x14ac:dyDescent="0.25">
      <c r="B564" t="s">
        <v>277</v>
      </c>
      <c r="C564" t="s">
        <v>16</v>
      </c>
      <c r="D564" t="s">
        <v>16</v>
      </c>
      <c r="E564" t="s">
        <v>16</v>
      </c>
      <c r="F564" t="s">
        <v>16</v>
      </c>
      <c r="G564" t="s">
        <v>613</v>
      </c>
      <c r="H564" s="18">
        <v>161378.88</v>
      </c>
      <c r="I564" t="s">
        <v>23</v>
      </c>
      <c r="J564" t="s">
        <v>19</v>
      </c>
      <c r="N564" t="s">
        <v>21</v>
      </c>
      <c r="O564" t="s">
        <v>22</v>
      </c>
      <c r="P564" t="s">
        <v>20</v>
      </c>
      <c r="Q564">
        <v>23694</v>
      </c>
      <c r="R564">
        <f t="shared" si="32"/>
        <v>2</v>
      </c>
      <c r="V564">
        <f t="shared" si="33"/>
        <v>23694</v>
      </c>
      <c r="Y564" s="18">
        <f t="shared" si="34"/>
        <v>161378.88</v>
      </c>
      <c r="Z564" s="18">
        <f t="shared" si="35"/>
        <v>0</v>
      </c>
    </row>
    <row r="565" spans="2:26" hidden="1" x14ac:dyDescent="0.25">
      <c r="B565" t="s">
        <v>15</v>
      </c>
      <c r="C565" t="s">
        <v>16</v>
      </c>
      <c r="D565" t="s">
        <v>16</v>
      </c>
      <c r="E565" t="s">
        <v>16</v>
      </c>
      <c r="F565" t="s">
        <v>16</v>
      </c>
      <c r="G565" t="s">
        <v>591</v>
      </c>
      <c r="H565" s="18">
        <v>-416.62</v>
      </c>
      <c r="J565" t="s">
        <v>19</v>
      </c>
      <c r="N565" t="s">
        <v>21</v>
      </c>
      <c r="O565" t="s">
        <v>22</v>
      </c>
      <c r="P565" t="s">
        <v>20</v>
      </c>
      <c r="Q565">
        <v>26926</v>
      </c>
      <c r="R565">
        <f t="shared" si="32"/>
        <v>2</v>
      </c>
      <c r="V565">
        <f t="shared" si="33"/>
        <v>26926</v>
      </c>
      <c r="Y565" s="18">
        <f t="shared" si="34"/>
        <v>10616.28</v>
      </c>
      <c r="Z565" s="18" t="str">
        <f t="shared" si="35"/>
        <v/>
      </c>
    </row>
    <row r="566" spans="2:26" hidden="1" x14ac:dyDescent="0.25">
      <c r="B566" t="s">
        <v>15</v>
      </c>
      <c r="C566" t="s">
        <v>16</v>
      </c>
      <c r="D566" t="s">
        <v>16</v>
      </c>
      <c r="E566" t="s">
        <v>16</v>
      </c>
      <c r="F566" t="s">
        <v>16</v>
      </c>
      <c r="G566" t="s">
        <v>441</v>
      </c>
      <c r="H566" s="18">
        <v>-13669.09</v>
      </c>
      <c r="J566" t="s">
        <v>19</v>
      </c>
      <c r="N566" t="s">
        <v>21</v>
      </c>
      <c r="O566" t="s">
        <v>22</v>
      </c>
      <c r="P566" t="s">
        <v>20</v>
      </c>
      <c r="Q566">
        <v>23521</v>
      </c>
      <c r="R566">
        <f t="shared" si="32"/>
        <v>2</v>
      </c>
      <c r="V566">
        <f t="shared" si="33"/>
        <v>23521</v>
      </c>
      <c r="Y566" s="18">
        <f t="shared" si="34"/>
        <v>21232.41</v>
      </c>
      <c r="Z566" s="18" t="str">
        <f t="shared" si="35"/>
        <v/>
      </c>
    </row>
    <row r="567" spans="2:26" hidden="1" x14ac:dyDescent="0.25">
      <c r="B567" t="s">
        <v>15</v>
      </c>
      <c r="C567" t="s">
        <v>16</v>
      </c>
      <c r="D567" t="s">
        <v>16</v>
      </c>
      <c r="E567" t="s">
        <v>16</v>
      </c>
      <c r="F567" t="s">
        <v>16</v>
      </c>
      <c r="G567" t="s">
        <v>619</v>
      </c>
      <c r="H567" s="18">
        <v>-426.92</v>
      </c>
      <c r="J567" t="s">
        <v>19</v>
      </c>
      <c r="N567" t="s">
        <v>21</v>
      </c>
      <c r="O567" t="s">
        <v>22</v>
      </c>
      <c r="P567" t="s">
        <v>20</v>
      </c>
      <c r="Q567">
        <v>27007</v>
      </c>
      <c r="R567">
        <f t="shared" si="32"/>
        <v>2</v>
      </c>
      <c r="V567">
        <f t="shared" si="33"/>
        <v>27007</v>
      </c>
      <c r="Y567" s="18">
        <f t="shared" si="34"/>
        <v>10878.7</v>
      </c>
      <c r="Z567" s="18" t="str">
        <f t="shared" si="35"/>
        <v/>
      </c>
    </row>
    <row r="568" spans="2:26" x14ac:dyDescent="0.25">
      <c r="B568" t="s">
        <v>277</v>
      </c>
      <c r="C568" t="s">
        <v>16</v>
      </c>
      <c r="D568" t="s">
        <v>16</v>
      </c>
      <c r="E568" t="s">
        <v>16</v>
      </c>
      <c r="F568" t="s">
        <v>16</v>
      </c>
      <c r="G568" t="s">
        <v>639</v>
      </c>
      <c r="H568" s="18">
        <v>49333.65</v>
      </c>
      <c r="I568" t="s">
        <v>23</v>
      </c>
      <c r="J568" t="s">
        <v>19</v>
      </c>
      <c r="N568" t="s">
        <v>21</v>
      </c>
      <c r="O568" t="s">
        <v>22</v>
      </c>
      <c r="P568" t="s">
        <v>20</v>
      </c>
      <c r="Q568">
        <v>26044</v>
      </c>
      <c r="R568">
        <f t="shared" si="32"/>
        <v>2</v>
      </c>
      <c r="V568">
        <f t="shared" si="33"/>
        <v>26044</v>
      </c>
      <c r="Y568" s="18">
        <f t="shared" si="34"/>
        <v>49333.65</v>
      </c>
      <c r="Z568" s="18">
        <f t="shared" si="35"/>
        <v>0</v>
      </c>
    </row>
    <row r="569" spans="2:26" x14ac:dyDescent="0.25">
      <c r="B569" t="s">
        <v>277</v>
      </c>
      <c r="C569" t="s">
        <v>16</v>
      </c>
      <c r="D569" t="s">
        <v>16</v>
      </c>
      <c r="E569" t="s">
        <v>16</v>
      </c>
      <c r="F569" t="s">
        <v>16</v>
      </c>
      <c r="G569" t="s">
        <v>304</v>
      </c>
      <c r="H569" s="18">
        <v>11085.91</v>
      </c>
      <c r="I569" t="s">
        <v>23</v>
      </c>
      <c r="J569" t="s">
        <v>19</v>
      </c>
      <c r="N569" t="s">
        <v>21</v>
      </c>
      <c r="O569" t="s">
        <v>22</v>
      </c>
      <c r="P569" t="s">
        <v>20</v>
      </c>
      <c r="Q569">
        <v>23665</v>
      </c>
      <c r="R569">
        <f t="shared" si="32"/>
        <v>2</v>
      </c>
      <c r="V569">
        <f t="shared" si="33"/>
        <v>23665</v>
      </c>
      <c r="Y569" s="18">
        <f t="shared" si="34"/>
        <v>11085.91</v>
      </c>
      <c r="Z569" s="18">
        <f t="shared" si="35"/>
        <v>0</v>
      </c>
    </row>
    <row r="570" spans="2:26" x14ac:dyDescent="0.25">
      <c r="B570" t="s">
        <v>277</v>
      </c>
      <c r="C570" t="s">
        <v>16</v>
      </c>
      <c r="D570" t="s">
        <v>16</v>
      </c>
      <c r="E570" t="s">
        <v>16</v>
      </c>
      <c r="F570" t="s">
        <v>16</v>
      </c>
      <c r="G570" t="s">
        <v>644</v>
      </c>
      <c r="H570" s="18">
        <v>91.36</v>
      </c>
      <c r="I570" t="s">
        <v>23</v>
      </c>
      <c r="J570" t="s">
        <v>19</v>
      </c>
      <c r="N570" t="s">
        <v>21</v>
      </c>
      <c r="O570" t="s">
        <v>22</v>
      </c>
      <c r="P570" t="s">
        <v>20</v>
      </c>
      <c r="Q570">
        <v>23637</v>
      </c>
      <c r="R570">
        <f t="shared" si="32"/>
        <v>2</v>
      </c>
      <c r="V570">
        <f t="shared" si="33"/>
        <v>23637</v>
      </c>
      <c r="Y570" s="18">
        <f t="shared" si="34"/>
        <v>91.36</v>
      </c>
      <c r="Z570" s="18">
        <f t="shared" si="35"/>
        <v>0</v>
      </c>
    </row>
    <row r="571" spans="2:26" x14ac:dyDescent="0.25">
      <c r="B571" t="s">
        <v>277</v>
      </c>
      <c r="C571" t="s">
        <v>16</v>
      </c>
      <c r="D571" t="s">
        <v>16</v>
      </c>
      <c r="E571" t="s">
        <v>16</v>
      </c>
      <c r="F571" t="s">
        <v>16</v>
      </c>
      <c r="G571" t="s">
        <v>629</v>
      </c>
      <c r="H571" s="18">
        <v>396830.59</v>
      </c>
      <c r="I571" t="s">
        <v>23</v>
      </c>
      <c r="J571" t="s">
        <v>19</v>
      </c>
      <c r="N571" t="s">
        <v>21</v>
      </c>
      <c r="O571" t="s">
        <v>22</v>
      </c>
      <c r="P571" t="s">
        <v>20</v>
      </c>
      <c r="Q571">
        <v>25697</v>
      </c>
      <c r="R571">
        <f t="shared" si="32"/>
        <v>2</v>
      </c>
      <c r="V571">
        <f t="shared" si="33"/>
        <v>25697</v>
      </c>
      <c r="Y571" s="18">
        <f t="shared" si="34"/>
        <v>396830.59</v>
      </c>
      <c r="Z571" s="18">
        <f t="shared" si="35"/>
        <v>0</v>
      </c>
    </row>
    <row r="572" spans="2:26" x14ac:dyDescent="0.25">
      <c r="B572" t="s">
        <v>277</v>
      </c>
      <c r="C572" t="s">
        <v>16</v>
      </c>
      <c r="D572" t="s">
        <v>16</v>
      </c>
      <c r="E572" t="s">
        <v>16</v>
      </c>
      <c r="F572" t="s">
        <v>16</v>
      </c>
      <c r="G572" t="s">
        <v>465</v>
      </c>
      <c r="H572" s="18">
        <v>10748.41</v>
      </c>
      <c r="I572" t="s">
        <v>23</v>
      </c>
      <c r="J572" t="s">
        <v>19</v>
      </c>
      <c r="N572" t="s">
        <v>21</v>
      </c>
      <c r="O572" t="s">
        <v>22</v>
      </c>
      <c r="P572" t="s">
        <v>20</v>
      </c>
      <c r="Q572">
        <v>23570</v>
      </c>
      <c r="R572">
        <f t="shared" si="32"/>
        <v>2</v>
      </c>
      <c r="V572">
        <f t="shared" si="33"/>
        <v>23570</v>
      </c>
      <c r="Y572" s="18">
        <f t="shared" si="34"/>
        <v>10748.41</v>
      </c>
      <c r="Z572" s="18">
        <f t="shared" si="35"/>
        <v>0</v>
      </c>
    </row>
    <row r="573" spans="2:26" x14ac:dyDescent="0.25">
      <c r="B573" t="s">
        <v>277</v>
      </c>
      <c r="C573" t="s">
        <v>16</v>
      </c>
      <c r="D573" t="s">
        <v>16</v>
      </c>
      <c r="E573" t="s">
        <v>16</v>
      </c>
      <c r="F573" t="s">
        <v>16</v>
      </c>
      <c r="G573" t="s">
        <v>608</v>
      </c>
      <c r="H573" s="18">
        <v>17273.77</v>
      </c>
      <c r="I573" t="s">
        <v>23</v>
      </c>
      <c r="J573" t="s">
        <v>19</v>
      </c>
      <c r="N573" t="s">
        <v>21</v>
      </c>
      <c r="O573" t="s">
        <v>22</v>
      </c>
      <c r="P573" t="s">
        <v>20</v>
      </c>
      <c r="Q573">
        <v>23531</v>
      </c>
      <c r="R573">
        <f t="shared" si="32"/>
        <v>2</v>
      </c>
      <c r="V573">
        <f t="shared" si="33"/>
        <v>23531</v>
      </c>
      <c r="Y573" s="18">
        <f t="shared" si="34"/>
        <v>17273.77</v>
      </c>
      <c r="Z573" s="18">
        <f t="shared" si="35"/>
        <v>0</v>
      </c>
    </row>
    <row r="574" spans="2:26" x14ac:dyDescent="0.25">
      <c r="B574" t="s">
        <v>277</v>
      </c>
      <c r="C574" t="s">
        <v>16</v>
      </c>
      <c r="D574" t="s">
        <v>16</v>
      </c>
      <c r="E574" t="s">
        <v>16</v>
      </c>
      <c r="F574" t="s">
        <v>16</v>
      </c>
      <c r="G574" t="s">
        <v>645</v>
      </c>
      <c r="H574" s="18">
        <v>4276.79</v>
      </c>
      <c r="I574" t="s">
        <v>23</v>
      </c>
      <c r="J574" t="s">
        <v>19</v>
      </c>
      <c r="N574" t="s">
        <v>21</v>
      </c>
      <c r="O574" t="s">
        <v>22</v>
      </c>
      <c r="P574" t="s">
        <v>20</v>
      </c>
      <c r="Q574">
        <v>23599</v>
      </c>
      <c r="R574">
        <f t="shared" si="32"/>
        <v>2</v>
      </c>
      <c r="V574">
        <f t="shared" si="33"/>
        <v>23599</v>
      </c>
      <c r="Y574" s="18">
        <f t="shared" si="34"/>
        <v>4276.79</v>
      </c>
      <c r="Z574" s="18">
        <f t="shared" si="35"/>
        <v>0</v>
      </c>
    </row>
    <row r="575" spans="2:26" x14ac:dyDescent="0.25">
      <c r="B575" t="s">
        <v>277</v>
      </c>
      <c r="C575" t="s">
        <v>16</v>
      </c>
      <c r="D575" t="s">
        <v>16</v>
      </c>
      <c r="E575" t="s">
        <v>16</v>
      </c>
      <c r="F575" t="s">
        <v>16</v>
      </c>
      <c r="G575" t="s">
        <v>579</v>
      </c>
      <c r="H575" s="18">
        <v>2131.41</v>
      </c>
      <c r="I575" t="s">
        <v>23</v>
      </c>
      <c r="J575" t="s">
        <v>19</v>
      </c>
      <c r="N575" t="s">
        <v>21</v>
      </c>
      <c r="O575" t="s">
        <v>22</v>
      </c>
      <c r="P575" t="s">
        <v>20</v>
      </c>
      <c r="Q575">
        <v>23615</v>
      </c>
      <c r="R575">
        <f t="shared" si="32"/>
        <v>2</v>
      </c>
      <c r="V575">
        <f t="shared" si="33"/>
        <v>23615</v>
      </c>
      <c r="Y575" s="18">
        <f t="shared" si="34"/>
        <v>2131.41</v>
      </c>
      <c r="Z575" s="18">
        <f t="shared" si="35"/>
        <v>0</v>
      </c>
    </row>
    <row r="576" spans="2:26" x14ac:dyDescent="0.25">
      <c r="B576" t="s">
        <v>277</v>
      </c>
      <c r="C576" t="s">
        <v>16</v>
      </c>
      <c r="D576" t="s">
        <v>16</v>
      </c>
      <c r="E576" t="s">
        <v>16</v>
      </c>
      <c r="F576" t="s">
        <v>16</v>
      </c>
      <c r="G576" t="s">
        <v>528</v>
      </c>
      <c r="H576" s="18">
        <v>79621.740000000005</v>
      </c>
      <c r="I576" t="s">
        <v>23</v>
      </c>
      <c r="J576" t="s">
        <v>19</v>
      </c>
      <c r="N576" t="s">
        <v>21</v>
      </c>
      <c r="O576" t="s">
        <v>22</v>
      </c>
      <c r="P576" t="s">
        <v>20</v>
      </c>
      <c r="Q576">
        <v>22432</v>
      </c>
      <c r="R576">
        <f t="shared" si="32"/>
        <v>2</v>
      </c>
      <c r="V576">
        <f t="shared" si="33"/>
        <v>22432</v>
      </c>
      <c r="Y576" s="18">
        <f t="shared" si="34"/>
        <v>79621.740000000005</v>
      </c>
      <c r="Z576" s="18">
        <f t="shared" si="35"/>
        <v>0</v>
      </c>
    </row>
    <row r="577" spans="2:26" hidden="1" x14ac:dyDescent="0.25">
      <c r="B577" t="s">
        <v>15</v>
      </c>
      <c r="C577" t="s">
        <v>16</v>
      </c>
      <c r="D577" t="s">
        <v>16</v>
      </c>
      <c r="E577" t="s">
        <v>16</v>
      </c>
      <c r="F577" t="s">
        <v>16</v>
      </c>
      <c r="G577" t="s">
        <v>305</v>
      </c>
      <c r="H577" s="18">
        <v>-47146.81</v>
      </c>
      <c r="J577" t="s">
        <v>19</v>
      </c>
      <c r="N577" t="s">
        <v>21</v>
      </c>
      <c r="O577" t="s">
        <v>22</v>
      </c>
      <c r="P577" t="s">
        <v>20</v>
      </c>
      <c r="Q577">
        <v>23938</v>
      </c>
      <c r="R577">
        <f t="shared" si="32"/>
        <v>2</v>
      </c>
      <c r="V577">
        <f t="shared" si="33"/>
        <v>23938</v>
      </c>
      <c r="Y577" s="18">
        <f t="shared" si="34"/>
        <v>149171.75</v>
      </c>
      <c r="Z577" s="18" t="str">
        <f t="shared" si="35"/>
        <v/>
      </c>
    </row>
    <row r="578" spans="2:26" hidden="1" x14ac:dyDescent="0.25">
      <c r="B578" t="s">
        <v>15</v>
      </c>
      <c r="C578" t="s">
        <v>16</v>
      </c>
      <c r="D578" t="s">
        <v>16</v>
      </c>
      <c r="E578" t="s">
        <v>16</v>
      </c>
      <c r="F578" t="s">
        <v>16</v>
      </c>
      <c r="G578" t="s">
        <v>620</v>
      </c>
      <c r="H578" s="18">
        <v>-1918.1</v>
      </c>
      <c r="J578" t="s">
        <v>19</v>
      </c>
      <c r="N578" t="s">
        <v>21</v>
      </c>
      <c r="O578" t="s">
        <v>22</v>
      </c>
      <c r="P578" t="s">
        <v>20</v>
      </c>
      <c r="Q578">
        <v>23595</v>
      </c>
      <c r="R578">
        <f t="shared" si="32"/>
        <v>2</v>
      </c>
      <c r="V578">
        <f t="shared" si="33"/>
        <v>23595</v>
      </c>
      <c r="Y578" s="18">
        <f t="shared" si="34"/>
        <v>2171.1799999999998</v>
      </c>
      <c r="Z578" s="18" t="str">
        <f t="shared" si="35"/>
        <v/>
      </c>
    </row>
    <row r="579" spans="2:26" hidden="1" x14ac:dyDescent="0.25">
      <c r="B579" t="s">
        <v>15</v>
      </c>
      <c r="C579" t="s">
        <v>16</v>
      </c>
      <c r="D579" t="s">
        <v>16</v>
      </c>
      <c r="E579" t="s">
        <v>16</v>
      </c>
      <c r="F579" t="s">
        <v>16</v>
      </c>
      <c r="G579" t="s">
        <v>615</v>
      </c>
      <c r="H579" s="18">
        <v>-34.26</v>
      </c>
      <c r="J579" t="s">
        <v>19</v>
      </c>
      <c r="N579" t="s">
        <v>21</v>
      </c>
      <c r="O579" t="s">
        <v>22</v>
      </c>
      <c r="P579" t="s">
        <v>20</v>
      </c>
      <c r="Q579">
        <v>27148</v>
      </c>
      <c r="R579">
        <f t="shared" si="32"/>
        <v>2</v>
      </c>
      <c r="V579" t="str">
        <f t="shared" si="33"/>
        <v/>
      </c>
      <c r="W579" s="26" t="s">
        <v>686</v>
      </c>
      <c r="X579" s="15" t="s">
        <v>129</v>
      </c>
      <c r="Y579" s="18" t="str">
        <f t="shared" si="34"/>
        <v/>
      </c>
      <c r="Z579" s="18" t="str">
        <f t="shared" si="35"/>
        <v/>
      </c>
    </row>
    <row r="580" spans="2:26" x14ac:dyDescent="0.25">
      <c r="B580" t="s">
        <v>277</v>
      </c>
      <c r="C580" t="s">
        <v>16</v>
      </c>
      <c r="D580" t="s">
        <v>16</v>
      </c>
      <c r="E580" t="s">
        <v>16</v>
      </c>
      <c r="F580" t="s">
        <v>16</v>
      </c>
      <c r="G580" t="s">
        <v>471</v>
      </c>
      <c r="H580" s="18">
        <v>13435.51</v>
      </c>
      <c r="I580" t="s">
        <v>23</v>
      </c>
      <c r="J580" t="s">
        <v>19</v>
      </c>
      <c r="N580" t="s">
        <v>21</v>
      </c>
      <c r="O580" t="s">
        <v>22</v>
      </c>
      <c r="P580" t="s">
        <v>20</v>
      </c>
      <c r="Q580">
        <v>23545</v>
      </c>
      <c r="R580">
        <f t="shared" si="32"/>
        <v>2</v>
      </c>
      <c r="V580">
        <f t="shared" si="33"/>
        <v>23545</v>
      </c>
      <c r="Y580" s="18">
        <f t="shared" si="34"/>
        <v>13435.51</v>
      </c>
      <c r="Z580" s="18">
        <f t="shared" si="35"/>
        <v>0</v>
      </c>
    </row>
    <row r="581" spans="2:26" x14ac:dyDescent="0.25">
      <c r="B581" t="s">
        <v>277</v>
      </c>
      <c r="C581" t="s">
        <v>16</v>
      </c>
      <c r="D581" t="s">
        <v>16</v>
      </c>
      <c r="E581" t="s">
        <v>16</v>
      </c>
      <c r="F581" t="s">
        <v>16</v>
      </c>
      <c r="G581" t="s">
        <v>455</v>
      </c>
      <c r="H581" s="18">
        <v>2097.34</v>
      </c>
      <c r="I581" t="s">
        <v>23</v>
      </c>
      <c r="J581" t="s">
        <v>19</v>
      </c>
      <c r="N581" t="s">
        <v>21</v>
      </c>
      <c r="O581" t="s">
        <v>22</v>
      </c>
      <c r="P581" t="s">
        <v>20</v>
      </c>
      <c r="Q581">
        <v>19503</v>
      </c>
      <c r="R581">
        <f t="shared" si="32"/>
        <v>2</v>
      </c>
      <c r="V581">
        <f t="shared" si="33"/>
        <v>19503</v>
      </c>
      <c r="Y581" s="18">
        <f t="shared" si="34"/>
        <v>2097.34</v>
      </c>
      <c r="Z581" s="18">
        <f t="shared" si="35"/>
        <v>0</v>
      </c>
    </row>
    <row r="582" spans="2:26" x14ac:dyDescent="0.25">
      <c r="B582" t="s">
        <v>277</v>
      </c>
      <c r="C582" t="s">
        <v>16</v>
      </c>
      <c r="D582" t="s">
        <v>16</v>
      </c>
      <c r="E582" t="s">
        <v>16</v>
      </c>
      <c r="F582" t="s">
        <v>16</v>
      </c>
      <c r="G582" t="s">
        <v>646</v>
      </c>
      <c r="H582" s="18">
        <v>543487.18000000005</v>
      </c>
      <c r="I582" t="s">
        <v>23</v>
      </c>
      <c r="J582" t="s">
        <v>19</v>
      </c>
      <c r="N582" t="s">
        <v>21</v>
      </c>
      <c r="O582" t="s">
        <v>22</v>
      </c>
      <c r="P582" t="s">
        <v>20</v>
      </c>
      <c r="Q582">
        <v>26994</v>
      </c>
      <c r="R582">
        <f t="shared" si="32"/>
        <v>2</v>
      </c>
      <c r="V582">
        <f t="shared" si="33"/>
        <v>26994</v>
      </c>
      <c r="Y582" s="18">
        <f t="shared" si="34"/>
        <v>543487.18000000005</v>
      </c>
      <c r="Z582" s="18">
        <f t="shared" si="35"/>
        <v>0</v>
      </c>
    </row>
    <row r="583" spans="2:26" x14ac:dyDescent="0.25">
      <c r="B583" t="s">
        <v>277</v>
      </c>
      <c r="C583" t="s">
        <v>16</v>
      </c>
      <c r="D583" t="s">
        <v>16</v>
      </c>
      <c r="E583" t="s">
        <v>16</v>
      </c>
      <c r="F583" t="s">
        <v>16</v>
      </c>
      <c r="G583" t="s">
        <v>647</v>
      </c>
      <c r="H583" s="18">
        <v>1892.79</v>
      </c>
      <c r="I583" t="s">
        <v>23</v>
      </c>
      <c r="J583" t="s">
        <v>19</v>
      </c>
      <c r="N583" t="s">
        <v>21</v>
      </c>
      <c r="O583" t="s">
        <v>22</v>
      </c>
      <c r="P583" t="s">
        <v>20</v>
      </c>
      <c r="Q583">
        <v>23611</v>
      </c>
      <c r="R583">
        <f t="shared" si="32"/>
        <v>2</v>
      </c>
      <c r="V583">
        <f t="shared" si="33"/>
        <v>23611</v>
      </c>
      <c r="Y583" s="18">
        <f t="shared" si="34"/>
        <v>1892.79</v>
      </c>
      <c r="Z583" s="18">
        <f t="shared" si="35"/>
        <v>0</v>
      </c>
    </row>
    <row r="584" spans="2:26" x14ac:dyDescent="0.25">
      <c r="B584" t="s">
        <v>277</v>
      </c>
      <c r="C584" t="s">
        <v>16</v>
      </c>
      <c r="D584" t="s">
        <v>16</v>
      </c>
      <c r="E584" t="s">
        <v>16</v>
      </c>
      <c r="F584" t="s">
        <v>16</v>
      </c>
      <c r="G584" t="s">
        <v>410</v>
      </c>
      <c r="H584" s="18">
        <v>393874.74</v>
      </c>
      <c r="I584" t="s">
        <v>23</v>
      </c>
      <c r="J584" t="s">
        <v>19</v>
      </c>
      <c r="N584" t="s">
        <v>21</v>
      </c>
      <c r="O584" t="s">
        <v>22</v>
      </c>
      <c r="P584" t="s">
        <v>20</v>
      </c>
      <c r="Q584">
        <v>25684</v>
      </c>
      <c r="R584">
        <f t="shared" si="32"/>
        <v>2</v>
      </c>
      <c r="V584">
        <f t="shared" si="33"/>
        <v>25684</v>
      </c>
      <c r="Y584" s="18">
        <f t="shared" si="34"/>
        <v>393874.74</v>
      </c>
      <c r="Z584" s="18">
        <f t="shared" si="35"/>
        <v>0</v>
      </c>
    </row>
    <row r="585" spans="2:26" x14ac:dyDescent="0.25">
      <c r="B585" t="s">
        <v>277</v>
      </c>
      <c r="C585" t="s">
        <v>16</v>
      </c>
      <c r="D585" t="s">
        <v>16</v>
      </c>
      <c r="E585" t="s">
        <v>16</v>
      </c>
      <c r="F585" t="s">
        <v>16</v>
      </c>
      <c r="G585" t="s">
        <v>648</v>
      </c>
      <c r="H585" s="18">
        <v>124.68</v>
      </c>
      <c r="I585" t="s">
        <v>23</v>
      </c>
      <c r="J585" t="s">
        <v>19</v>
      </c>
      <c r="N585" t="s">
        <v>21</v>
      </c>
      <c r="O585" t="s">
        <v>22</v>
      </c>
      <c r="P585" t="s">
        <v>20</v>
      </c>
      <c r="Q585">
        <v>23649</v>
      </c>
      <c r="R585">
        <f t="shared" si="32"/>
        <v>2</v>
      </c>
      <c r="V585">
        <f t="shared" si="33"/>
        <v>23649</v>
      </c>
      <c r="Y585" s="18">
        <f t="shared" si="34"/>
        <v>124.68</v>
      </c>
      <c r="Z585" s="18">
        <f t="shared" si="35"/>
        <v>0</v>
      </c>
    </row>
    <row r="586" spans="2:26" x14ac:dyDescent="0.25">
      <c r="B586" t="s">
        <v>277</v>
      </c>
      <c r="C586" t="s">
        <v>16</v>
      </c>
      <c r="D586" t="s">
        <v>16</v>
      </c>
      <c r="E586" t="s">
        <v>16</v>
      </c>
      <c r="F586" t="s">
        <v>16</v>
      </c>
      <c r="G586" t="s">
        <v>558</v>
      </c>
      <c r="H586" s="18">
        <v>42107.6</v>
      </c>
      <c r="I586" t="s">
        <v>23</v>
      </c>
      <c r="J586" t="s">
        <v>19</v>
      </c>
      <c r="N586" t="s">
        <v>21</v>
      </c>
      <c r="O586" t="s">
        <v>22</v>
      </c>
      <c r="P586" t="s">
        <v>20</v>
      </c>
      <c r="Q586">
        <v>8264</v>
      </c>
      <c r="R586">
        <f t="shared" ref="R586:R649" si="36">COUNTIF($Q$9:$Q$816,Q586)</f>
        <v>2</v>
      </c>
      <c r="V586">
        <f t="shared" ref="V586:V649" si="37">IFERROR(VLOOKUP(Q586,$C$823:$C$1253,1,FALSE),"")</f>
        <v>8264</v>
      </c>
      <c r="Y586" s="18">
        <f t="shared" ref="Y586:Y649" si="38">IFERROR(VLOOKUP(Q586,$C$823:$D$1253,2,FALSE),"")</f>
        <v>42107.6</v>
      </c>
      <c r="Z586" s="18">
        <f t="shared" ref="Z586:Z649" si="39">IFERROR(IF(RIGHT(B586,6)="TYVA02","",H586-Y586),"")</f>
        <v>0</v>
      </c>
    </row>
    <row r="587" spans="2:26" x14ac:dyDescent="0.25">
      <c r="B587" t="s">
        <v>277</v>
      </c>
      <c r="C587" t="s">
        <v>16</v>
      </c>
      <c r="D587" t="s">
        <v>16</v>
      </c>
      <c r="E587" t="s">
        <v>16</v>
      </c>
      <c r="F587" t="s">
        <v>16</v>
      </c>
      <c r="G587" t="s">
        <v>407</v>
      </c>
      <c r="H587" s="18">
        <v>167.68</v>
      </c>
      <c r="I587" t="s">
        <v>23</v>
      </c>
      <c r="J587" t="s">
        <v>19</v>
      </c>
      <c r="N587" t="s">
        <v>21</v>
      </c>
      <c r="O587" t="s">
        <v>22</v>
      </c>
      <c r="P587" t="s">
        <v>20</v>
      </c>
      <c r="Q587">
        <v>23627</v>
      </c>
      <c r="R587">
        <f t="shared" si="36"/>
        <v>2</v>
      </c>
      <c r="V587">
        <f t="shared" si="37"/>
        <v>23627</v>
      </c>
      <c r="Y587" s="18">
        <f t="shared" si="38"/>
        <v>167.68</v>
      </c>
      <c r="Z587" s="18">
        <f t="shared" si="39"/>
        <v>0</v>
      </c>
    </row>
    <row r="588" spans="2:26" x14ac:dyDescent="0.25">
      <c r="B588" t="s">
        <v>277</v>
      </c>
      <c r="C588" t="s">
        <v>16</v>
      </c>
      <c r="D588" t="s">
        <v>16</v>
      </c>
      <c r="E588" t="s">
        <v>16</v>
      </c>
      <c r="F588" t="s">
        <v>16</v>
      </c>
      <c r="G588" t="s">
        <v>362</v>
      </c>
      <c r="H588" s="18">
        <v>96.74</v>
      </c>
      <c r="I588" t="s">
        <v>23</v>
      </c>
      <c r="J588" t="s">
        <v>19</v>
      </c>
      <c r="N588" t="s">
        <v>21</v>
      </c>
      <c r="O588" t="s">
        <v>22</v>
      </c>
      <c r="P588" t="s">
        <v>20</v>
      </c>
      <c r="Q588">
        <v>23635</v>
      </c>
      <c r="R588">
        <f t="shared" si="36"/>
        <v>2</v>
      </c>
      <c r="V588">
        <f t="shared" si="37"/>
        <v>23635</v>
      </c>
      <c r="Y588" s="18">
        <f t="shared" si="38"/>
        <v>96.74</v>
      </c>
      <c r="Z588" s="18">
        <f t="shared" si="39"/>
        <v>0</v>
      </c>
    </row>
    <row r="589" spans="2:26" hidden="1" x14ac:dyDescent="0.25">
      <c r="B589" t="s">
        <v>15</v>
      </c>
      <c r="C589" t="s">
        <v>16</v>
      </c>
      <c r="D589" t="s">
        <v>16</v>
      </c>
      <c r="E589" t="s">
        <v>16</v>
      </c>
      <c r="F589" t="s">
        <v>16</v>
      </c>
      <c r="G589" t="s">
        <v>631</v>
      </c>
      <c r="H589" s="18">
        <v>-909.01</v>
      </c>
      <c r="J589" t="s">
        <v>19</v>
      </c>
      <c r="N589" t="s">
        <v>21</v>
      </c>
      <c r="O589" t="s">
        <v>22</v>
      </c>
      <c r="P589" t="s">
        <v>20</v>
      </c>
      <c r="Q589">
        <v>26984</v>
      </c>
      <c r="R589">
        <f t="shared" si="36"/>
        <v>2</v>
      </c>
      <c r="V589">
        <f t="shared" si="37"/>
        <v>26984</v>
      </c>
      <c r="Y589" s="18">
        <f t="shared" si="38"/>
        <v>23163.43</v>
      </c>
      <c r="Z589" s="18" t="str">
        <f t="shared" si="39"/>
        <v/>
      </c>
    </row>
    <row r="590" spans="2:26" hidden="1" x14ac:dyDescent="0.25">
      <c r="B590" t="s">
        <v>15</v>
      </c>
      <c r="C590" t="s">
        <v>16</v>
      </c>
      <c r="D590" t="s">
        <v>16</v>
      </c>
      <c r="E590" t="s">
        <v>16</v>
      </c>
      <c r="F590" t="s">
        <v>16</v>
      </c>
      <c r="G590" t="s">
        <v>649</v>
      </c>
      <c r="H590" s="18">
        <v>-2768.02</v>
      </c>
      <c r="J590" t="s">
        <v>19</v>
      </c>
      <c r="N590" t="s">
        <v>21</v>
      </c>
      <c r="O590" t="s">
        <v>22</v>
      </c>
      <c r="P590" t="s">
        <v>20</v>
      </c>
      <c r="Q590">
        <v>23600</v>
      </c>
      <c r="R590">
        <f t="shared" si="36"/>
        <v>2</v>
      </c>
      <c r="V590">
        <f t="shared" si="37"/>
        <v>23600</v>
      </c>
      <c r="Y590" s="18">
        <f t="shared" si="38"/>
        <v>4276.79</v>
      </c>
      <c r="Z590" s="18" t="str">
        <f t="shared" si="39"/>
        <v/>
      </c>
    </row>
    <row r="591" spans="2:26" x14ac:dyDescent="0.25">
      <c r="B591" t="s">
        <v>277</v>
      </c>
      <c r="C591" t="s">
        <v>16</v>
      </c>
      <c r="D591" t="s">
        <v>16</v>
      </c>
      <c r="E591" t="s">
        <v>16</v>
      </c>
      <c r="F591" t="s">
        <v>16</v>
      </c>
      <c r="G591" t="s">
        <v>573</v>
      </c>
      <c r="H591" s="18">
        <v>51057.279999999999</v>
      </c>
      <c r="I591" t="s">
        <v>23</v>
      </c>
      <c r="J591" t="s">
        <v>19</v>
      </c>
      <c r="N591" t="s">
        <v>21</v>
      </c>
      <c r="O591" t="s">
        <v>22</v>
      </c>
      <c r="P591" t="s">
        <v>20</v>
      </c>
      <c r="Q591">
        <v>9002370446</v>
      </c>
      <c r="R591">
        <f t="shared" si="36"/>
        <v>2</v>
      </c>
      <c r="V591">
        <f t="shared" si="37"/>
        <v>9002370446</v>
      </c>
      <c r="Y591" s="18">
        <f t="shared" si="38"/>
        <v>51057.279999999999</v>
      </c>
      <c r="Z591" s="18">
        <f t="shared" si="39"/>
        <v>0</v>
      </c>
    </row>
    <row r="592" spans="2:26" x14ac:dyDescent="0.25">
      <c r="B592" t="s">
        <v>277</v>
      </c>
      <c r="C592" t="s">
        <v>16</v>
      </c>
      <c r="D592" t="s">
        <v>16</v>
      </c>
      <c r="E592" t="s">
        <v>16</v>
      </c>
      <c r="F592" t="s">
        <v>16</v>
      </c>
      <c r="G592" t="s">
        <v>650</v>
      </c>
      <c r="H592" s="18">
        <v>2074.44</v>
      </c>
      <c r="I592" t="s">
        <v>23</v>
      </c>
      <c r="J592" t="s">
        <v>19</v>
      </c>
      <c r="N592" t="s">
        <v>21</v>
      </c>
      <c r="O592" t="s">
        <v>22</v>
      </c>
      <c r="P592" t="s">
        <v>20</v>
      </c>
      <c r="Q592">
        <v>23561</v>
      </c>
      <c r="R592">
        <f t="shared" si="36"/>
        <v>2</v>
      </c>
      <c r="V592">
        <f t="shared" si="37"/>
        <v>23561</v>
      </c>
      <c r="Y592" s="18">
        <f t="shared" si="38"/>
        <v>2074.44</v>
      </c>
      <c r="Z592" s="18">
        <f t="shared" si="39"/>
        <v>0</v>
      </c>
    </row>
    <row r="593" spans="2:26" hidden="1" x14ac:dyDescent="0.25">
      <c r="B593" t="s">
        <v>15</v>
      </c>
      <c r="C593" t="s">
        <v>16</v>
      </c>
      <c r="D593" t="s">
        <v>16</v>
      </c>
      <c r="E593" t="s">
        <v>16</v>
      </c>
      <c r="F593" t="s">
        <v>16</v>
      </c>
      <c r="G593" t="s">
        <v>344</v>
      </c>
      <c r="H593" s="18">
        <v>-13834.57</v>
      </c>
      <c r="J593" t="s">
        <v>19</v>
      </c>
      <c r="N593" t="s">
        <v>21</v>
      </c>
      <c r="O593" t="s">
        <v>22</v>
      </c>
      <c r="P593" t="s">
        <v>20</v>
      </c>
      <c r="Q593">
        <v>23525</v>
      </c>
      <c r="R593">
        <f t="shared" si="36"/>
        <v>2</v>
      </c>
      <c r="V593">
        <f t="shared" si="37"/>
        <v>23525</v>
      </c>
      <c r="Y593" s="18">
        <f t="shared" si="38"/>
        <v>21232.41</v>
      </c>
      <c r="Z593" s="18" t="str">
        <f t="shared" si="39"/>
        <v/>
      </c>
    </row>
    <row r="594" spans="2:26" x14ac:dyDescent="0.25">
      <c r="B594" t="s">
        <v>277</v>
      </c>
      <c r="C594" t="s">
        <v>16</v>
      </c>
      <c r="D594" t="s">
        <v>16</v>
      </c>
      <c r="E594" t="s">
        <v>16</v>
      </c>
      <c r="F594" t="s">
        <v>16</v>
      </c>
      <c r="G594" t="s">
        <v>651</v>
      </c>
      <c r="H594" s="18">
        <v>43081.95</v>
      </c>
      <c r="I594" t="s">
        <v>23</v>
      </c>
      <c r="J594" t="s">
        <v>19</v>
      </c>
      <c r="N594" t="s">
        <v>21</v>
      </c>
      <c r="O594" t="s">
        <v>22</v>
      </c>
      <c r="P594" t="s">
        <v>20</v>
      </c>
      <c r="Q594">
        <v>26501</v>
      </c>
      <c r="R594">
        <f t="shared" si="36"/>
        <v>2</v>
      </c>
      <c r="V594">
        <f t="shared" si="37"/>
        <v>26501</v>
      </c>
      <c r="Y594" s="18">
        <f t="shared" si="38"/>
        <v>43081.95</v>
      </c>
      <c r="Z594" s="18">
        <f t="shared" si="39"/>
        <v>0</v>
      </c>
    </row>
    <row r="595" spans="2:26" x14ac:dyDescent="0.25">
      <c r="B595" t="s">
        <v>277</v>
      </c>
      <c r="C595" t="s">
        <v>16</v>
      </c>
      <c r="D595" t="s">
        <v>16</v>
      </c>
      <c r="E595" t="s">
        <v>16</v>
      </c>
      <c r="F595" t="s">
        <v>16</v>
      </c>
      <c r="G595" t="s">
        <v>529</v>
      </c>
      <c r="H595" s="18">
        <v>2074.44</v>
      </c>
      <c r="I595" t="s">
        <v>23</v>
      </c>
      <c r="J595" t="s">
        <v>19</v>
      </c>
      <c r="N595" t="s">
        <v>21</v>
      </c>
      <c r="O595" t="s">
        <v>22</v>
      </c>
      <c r="P595" t="s">
        <v>20</v>
      </c>
      <c r="Q595">
        <v>23552</v>
      </c>
      <c r="R595">
        <f t="shared" si="36"/>
        <v>2</v>
      </c>
      <c r="V595">
        <f t="shared" si="37"/>
        <v>23552</v>
      </c>
      <c r="Y595" s="18">
        <f t="shared" si="38"/>
        <v>2074.44</v>
      </c>
      <c r="Z595" s="18">
        <f t="shared" si="39"/>
        <v>0</v>
      </c>
    </row>
    <row r="596" spans="2:26" x14ac:dyDescent="0.25">
      <c r="B596" t="s">
        <v>277</v>
      </c>
      <c r="C596" t="s">
        <v>16</v>
      </c>
      <c r="D596" t="s">
        <v>16</v>
      </c>
      <c r="E596" t="s">
        <v>16</v>
      </c>
      <c r="F596" t="s">
        <v>16</v>
      </c>
      <c r="G596" t="s">
        <v>553</v>
      </c>
      <c r="H596" s="18">
        <v>117.16</v>
      </c>
      <c r="I596" t="s">
        <v>23</v>
      </c>
      <c r="J596" t="s">
        <v>19</v>
      </c>
      <c r="N596" t="s">
        <v>21</v>
      </c>
      <c r="O596" t="s">
        <v>22</v>
      </c>
      <c r="P596" t="s">
        <v>20</v>
      </c>
      <c r="Q596">
        <v>23650</v>
      </c>
      <c r="R596">
        <f t="shared" si="36"/>
        <v>2</v>
      </c>
      <c r="V596">
        <f t="shared" si="37"/>
        <v>23650</v>
      </c>
      <c r="Y596" s="18">
        <f t="shared" si="38"/>
        <v>117.16</v>
      </c>
      <c r="Z596" s="18">
        <f t="shared" si="39"/>
        <v>0</v>
      </c>
    </row>
    <row r="597" spans="2:26" x14ac:dyDescent="0.25">
      <c r="B597" t="s">
        <v>277</v>
      </c>
      <c r="C597" t="s">
        <v>16</v>
      </c>
      <c r="D597" t="s">
        <v>16</v>
      </c>
      <c r="E597" t="s">
        <v>16</v>
      </c>
      <c r="F597" t="s">
        <v>16</v>
      </c>
      <c r="G597" t="s">
        <v>559</v>
      </c>
      <c r="H597" s="18">
        <v>92666.64</v>
      </c>
      <c r="I597" t="s">
        <v>23</v>
      </c>
      <c r="J597" t="s">
        <v>19</v>
      </c>
      <c r="N597" t="s">
        <v>21</v>
      </c>
      <c r="O597" t="s">
        <v>22</v>
      </c>
      <c r="P597" t="s">
        <v>20</v>
      </c>
      <c r="Q597">
        <v>25681</v>
      </c>
      <c r="R597">
        <f t="shared" si="36"/>
        <v>2</v>
      </c>
      <c r="V597">
        <f t="shared" si="37"/>
        <v>25681</v>
      </c>
      <c r="Y597" s="18">
        <f t="shared" si="38"/>
        <v>92666.64</v>
      </c>
      <c r="Z597" s="18">
        <f t="shared" si="39"/>
        <v>0</v>
      </c>
    </row>
    <row r="598" spans="2:26" hidden="1" x14ac:dyDescent="0.25">
      <c r="B598" t="s">
        <v>277</v>
      </c>
      <c r="C598" t="s">
        <v>16</v>
      </c>
      <c r="D598" t="s">
        <v>16</v>
      </c>
      <c r="E598" t="s">
        <v>16</v>
      </c>
      <c r="F598" t="s">
        <v>16</v>
      </c>
      <c r="G598" t="s">
        <v>609</v>
      </c>
      <c r="H598" s="18">
        <v>305715.98</v>
      </c>
      <c r="I598" t="s">
        <v>23</v>
      </c>
      <c r="J598" t="s">
        <v>19</v>
      </c>
      <c r="N598" t="s">
        <v>21</v>
      </c>
      <c r="O598" t="s">
        <v>22</v>
      </c>
      <c r="P598" t="s">
        <v>20</v>
      </c>
      <c r="Q598">
        <v>27151</v>
      </c>
      <c r="R598">
        <f t="shared" si="36"/>
        <v>2</v>
      </c>
      <c r="V598" t="str">
        <f t="shared" si="37"/>
        <v/>
      </c>
      <c r="W598" s="26" t="s">
        <v>686</v>
      </c>
      <c r="X598" s="15" t="s">
        <v>129</v>
      </c>
      <c r="Y598" s="18" t="str">
        <f t="shared" si="38"/>
        <v/>
      </c>
      <c r="Z598" s="18" t="str">
        <f t="shared" si="39"/>
        <v/>
      </c>
    </row>
    <row r="599" spans="2:26" x14ac:dyDescent="0.25">
      <c r="B599" t="s">
        <v>277</v>
      </c>
      <c r="C599" t="s">
        <v>16</v>
      </c>
      <c r="D599" t="s">
        <v>16</v>
      </c>
      <c r="E599" t="s">
        <v>16</v>
      </c>
      <c r="F599" t="s">
        <v>16</v>
      </c>
      <c r="G599" t="s">
        <v>652</v>
      </c>
      <c r="H599" s="18">
        <v>176.27</v>
      </c>
      <c r="I599" t="s">
        <v>23</v>
      </c>
      <c r="J599" t="s">
        <v>19</v>
      </c>
      <c r="N599" t="s">
        <v>21</v>
      </c>
      <c r="O599" t="s">
        <v>22</v>
      </c>
      <c r="P599" t="s">
        <v>20</v>
      </c>
      <c r="Q599">
        <v>23647</v>
      </c>
      <c r="R599">
        <f t="shared" si="36"/>
        <v>2</v>
      </c>
      <c r="V599">
        <f t="shared" si="37"/>
        <v>23647</v>
      </c>
      <c r="Y599" s="18">
        <f t="shared" si="38"/>
        <v>176.27</v>
      </c>
      <c r="Z599" s="18">
        <f t="shared" si="39"/>
        <v>0</v>
      </c>
    </row>
    <row r="600" spans="2:26" x14ac:dyDescent="0.25">
      <c r="B600" t="s">
        <v>277</v>
      </c>
      <c r="C600" t="s">
        <v>16</v>
      </c>
      <c r="D600" t="s">
        <v>16</v>
      </c>
      <c r="E600" t="s">
        <v>16</v>
      </c>
      <c r="F600" t="s">
        <v>16</v>
      </c>
      <c r="G600" t="s">
        <v>604</v>
      </c>
      <c r="H600" s="18">
        <v>16929.830000000002</v>
      </c>
      <c r="I600" t="s">
        <v>23</v>
      </c>
      <c r="J600" t="s">
        <v>19</v>
      </c>
      <c r="N600" t="s">
        <v>21</v>
      </c>
      <c r="O600" t="s">
        <v>22</v>
      </c>
      <c r="P600" t="s">
        <v>20</v>
      </c>
      <c r="Q600">
        <v>27036</v>
      </c>
      <c r="R600">
        <f t="shared" si="36"/>
        <v>2</v>
      </c>
      <c r="V600">
        <f t="shared" si="37"/>
        <v>27036</v>
      </c>
      <c r="Y600" s="18">
        <f t="shared" si="38"/>
        <v>16929.830000000002</v>
      </c>
      <c r="Z600" s="18">
        <f t="shared" si="39"/>
        <v>0</v>
      </c>
    </row>
    <row r="601" spans="2:26" x14ac:dyDescent="0.25">
      <c r="B601" t="s">
        <v>277</v>
      </c>
      <c r="C601" t="s">
        <v>16</v>
      </c>
      <c r="D601" t="s">
        <v>16</v>
      </c>
      <c r="E601" t="s">
        <v>16</v>
      </c>
      <c r="F601" t="s">
        <v>16</v>
      </c>
      <c r="G601" t="s">
        <v>526</v>
      </c>
      <c r="H601" s="18">
        <v>55379.199999999997</v>
      </c>
      <c r="I601" t="s">
        <v>23</v>
      </c>
      <c r="J601" t="s">
        <v>19</v>
      </c>
      <c r="N601" t="s">
        <v>21</v>
      </c>
      <c r="O601" t="s">
        <v>22</v>
      </c>
      <c r="P601" t="s">
        <v>20</v>
      </c>
      <c r="Q601">
        <v>24019</v>
      </c>
      <c r="R601">
        <f t="shared" si="36"/>
        <v>2</v>
      </c>
      <c r="V601">
        <f t="shared" si="37"/>
        <v>24019</v>
      </c>
      <c r="Y601" s="18">
        <f t="shared" si="38"/>
        <v>55379.199999999997</v>
      </c>
      <c r="Z601" s="18">
        <f t="shared" si="39"/>
        <v>0</v>
      </c>
    </row>
    <row r="602" spans="2:26" x14ac:dyDescent="0.25">
      <c r="B602" t="s">
        <v>277</v>
      </c>
      <c r="C602" t="s">
        <v>16</v>
      </c>
      <c r="D602" t="s">
        <v>16</v>
      </c>
      <c r="E602" t="s">
        <v>16</v>
      </c>
      <c r="F602" t="s">
        <v>16</v>
      </c>
      <c r="G602" t="s">
        <v>581</v>
      </c>
      <c r="H602" s="18">
        <v>68429.929999999993</v>
      </c>
      <c r="I602" t="s">
        <v>23</v>
      </c>
      <c r="J602" t="s">
        <v>19</v>
      </c>
      <c r="N602" t="s">
        <v>21</v>
      </c>
      <c r="O602" t="s">
        <v>22</v>
      </c>
      <c r="P602" t="s">
        <v>20</v>
      </c>
      <c r="Q602">
        <v>7400168683</v>
      </c>
      <c r="R602">
        <f t="shared" si="36"/>
        <v>2</v>
      </c>
      <c r="V602">
        <f t="shared" si="37"/>
        <v>7400168683</v>
      </c>
      <c r="Y602" s="18">
        <f t="shared" si="38"/>
        <v>68429.929999999993</v>
      </c>
      <c r="Z602" s="18">
        <f t="shared" si="39"/>
        <v>0</v>
      </c>
    </row>
    <row r="603" spans="2:26" hidden="1" x14ac:dyDescent="0.25">
      <c r="B603" t="s">
        <v>15</v>
      </c>
      <c r="C603" t="s">
        <v>16</v>
      </c>
      <c r="D603" t="s">
        <v>16</v>
      </c>
      <c r="E603" t="s">
        <v>16</v>
      </c>
      <c r="F603" t="s">
        <v>16</v>
      </c>
      <c r="G603" t="s">
        <v>303</v>
      </c>
      <c r="H603" s="18">
        <v>-3004.76</v>
      </c>
      <c r="J603" t="s">
        <v>19</v>
      </c>
      <c r="N603" t="s">
        <v>21</v>
      </c>
      <c r="O603" t="s">
        <v>22</v>
      </c>
      <c r="P603" t="s">
        <v>20</v>
      </c>
      <c r="Q603">
        <v>23581</v>
      </c>
      <c r="R603">
        <f t="shared" si="36"/>
        <v>2</v>
      </c>
      <c r="V603">
        <f t="shared" si="37"/>
        <v>23581</v>
      </c>
      <c r="Y603" s="18">
        <f t="shared" si="38"/>
        <v>3257.84</v>
      </c>
      <c r="Z603" s="18" t="str">
        <f t="shared" si="39"/>
        <v/>
      </c>
    </row>
    <row r="604" spans="2:26" hidden="1" x14ac:dyDescent="0.25">
      <c r="B604" t="s">
        <v>15</v>
      </c>
      <c r="C604" t="s">
        <v>16</v>
      </c>
      <c r="D604" t="s">
        <v>16</v>
      </c>
      <c r="E604" t="s">
        <v>16</v>
      </c>
      <c r="F604" t="s">
        <v>16</v>
      </c>
      <c r="G604" t="s">
        <v>554</v>
      </c>
      <c r="H604" s="18">
        <v>-3393.43</v>
      </c>
      <c r="J604" t="s">
        <v>19</v>
      </c>
      <c r="N604" t="s">
        <v>21</v>
      </c>
      <c r="O604" t="s">
        <v>22</v>
      </c>
      <c r="P604" t="s">
        <v>20</v>
      </c>
      <c r="Q604">
        <v>23662</v>
      </c>
      <c r="R604">
        <f t="shared" si="36"/>
        <v>2</v>
      </c>
      <c r="V604">
        <f t="shared" si="37"/>
        <v>23662</v>
      </c>
      <c r="Y604" s="18">
        <f t="shared" si="38"/>
        <v>44013.41</v>
      </c>
      <c r="Z604" s="18" t="str">
        <f t="shared" si="39"/>
        <v/>
      </c>
    </row>
    <row r="605" spans="2:26" hidden="1" x14ac:dyDescent="0.25">
      <c r="B605" t="s">
        <v>15</v>
      </c>
      <c r="C605" t="s">
        <v>16</v>
      </c>
      <c r="D605" t="s">
        <v>16</v>
      </c>
      <c r="E605" t="s">
        <v>16</v>
      </c>
      <c r="F605" t="s">
        <v>16</v>
      </c>
      <c r="G605" t="s">
        <v>375</v>
      </c>
      <c r="H605" s="18">
        <v>-1023.57</v>
      </c>
      <c r="J605" t="s">
        <v>19</v>
      </c>
      <c r="N605" t="s">
        <v>21</v>
      </c>
      <c r="O605" t="s">
        <v>22</v>
      </c>
      <c r="P605" t="s">
        <v>20</v>
      </c>
      <c r="Q605">
        <v>949</v>
      </c>
      <c r="R605">
        <f t="shared" si="36"/>
        <v>2</v>
      </c>
      <c r="V605">
        <f t="shared" si="37"/>
        <v>949</v>
      </c>
      <c r="Y605" s="18">
        <f t="shared" si="38"/>
        <v>1023.57</v>
      </c>
      <c r="Z605" s="18" t="str">
        <f t="shared" si="39"/>
        <v/>
      </c>
    </row>
    <row r="606" spans="2:26" hidden="1" x14ac:dyDescent="0.25">
      <c r="B606" t="s">
        <v>15</v>
      </c>
      <c r="C606" t="s">
        <v>16</v>
      </c>
      <c r="D606" t="s">
        <v>16</v>
      </c>
      <c r="E606" t="s">
        <v>16</v>
      </c>
      <c r="F606" t="s">
        <v>16</v>
      </c>
      <c r="G606" t="s">
        <v>653</v>
      </c>
      <c r="H606" s="18">
        <v>-14978.95</v>
      </c>
      <c r="J606" t="s">
        <v>19</v>
      </c>
      <c r="N606" t="s">
        <v>21</v>
      </c>
      <c r="O606" t="s">
        <v>22</v>
      </c>
      <c r="P606" t="s">
        <v>20</v>
      </c>
      <c r="Q606">
        <v>7400469164</v>
      </c>
      <c r="R606">
        <f t="shared" si="36"/>
        <v>2</v>
      </c>
      <c r="V606">
        <f t="shared" si="37"/>
        <v>7400469164</v>
      </c>
      <c r="Y606" s="18">
        <f t="shared" si="38"/>
        <v>29022.67</v>
      </c>
      <c r="Z606" s="18" t="str">
        <f t="shared" si="39"/>
        <v/>
      </c>
    </row>
    <row r="607" spans="2:26" hidden="1" x14ac:dyDescent="0.25">
      <c r="B607" t="s">
        <v>15</v>
      </c>
      <c r="C607" t="s">
        <v>16</v>
      </c>
      <c r="D607" t="s">
        <v>16</v>
      </c>
      <c r="E607" t="s">
        <v>16</v>
      </c>
      <c r="F607" t="s">
        <v>16</v>
      </c>
      <c r="G607" t="s">
        <v>389</v>
      </c>
      <c r="H607" s="18">
        <v>-19589.14</v>
      </c>
      <c r="J607" t="s">
        <v>19</v>
      </c>
      <c r="N607" t="s">
        <v>21</v>
      </c>
      <c r="O607" t="s">
        <v>22</v>
      </c>
      <c r="P607" t="s">
        <v>20</v>
      </c>
      <c r="Q607">
        <v>23491</v>
      </c>
      <c r="R607">
        <f t="shared" si="36"/>
        <v>2</v>
      </c>
      <c r="V607">
        <f t="shared" si="37"/>
        <v>23491</v>
      </c>
      <c r="Y607" s="18">
        <f t="shared" si="38"/>
        <v>26315.33</v>
      </c>
      <c r="Z607" s="18" t="str">
        <f t="shared" si="39"/>
        <v/>
      </c>
    </row>
    <row r="608" spans="2:26" x14ac:dyDescent="0.25">
      <c r="B608" t="s">
        <v>277</v>
      </c>
      <c r="C608" t="s">
        <v>16</v>
      </c>
      <c r="D608" t="s">
        <v>16</v>
      </c>
      <c r="E608" t="s">
        <v>16</v>
      </c>
      <c r="F608" t="s">
        <v>16</v>
      </c>
      <c r="G608" t="s">
        <v>547</v>
      </c>
      <c r="H608" s="18">
        <v>101096.36</v>
      </c>
      <c r="I608" t="s">
        <v>23</v>
      </c>
      <c r="J608" t="s">
        <v>19</v>
      </c>
      <c r="N608" t="s">
        <v>21</v>
      </c>
      <c r="O608" t="s">
        <v>22</v>
      </c>
      <c r="P608" t="s">
        <v>20</v>
      </c>
      <c r="Q608">
        <v>8010464178</v>
      </c>
      <c r="R608">
        <f t="shared" si="36"/>
        <v>2</v>
      </c>
      <c r="V608">
        <f t="shared" si="37"/>
        <v>8010464178</v>
      </c>
      <c r="Y608" s="18">
        <f t="shared" si="38"/>
        <v>101096.36</v>
      </c>
      <c r="Z608" s="18">
        <f t="shared" si="39"/>
        <v>0</v>
      </c>
    </row>
    <row r="609" spans="2:26" hidden="1" x14ac:dyDescent="0.25">
      <c r="B609" t="s">
        <v>15</v>
      </c>
      <c r="C609" t="s">
        <v>16</v>
      </c>
      <c r="D609" t="s">
        <v>16</v>
      </c>
      <c r="E609" t="s">
        <v>16</v>
      </c>
      <c r="F609" t="s">
        <v>16</v>
      </c>
      <c r="G609" t="s">
        <v>654</v>
      </c>
      <c r="H609" s="18">
        <v>-60223.37</v>
      </c>
      <c r="J609" t="s">
        <v>19</v>
      </c>
      <c r="N609" t="s">
        <v>21</v>
      </c>
      <c r="O609" t="s">
        <v>22</v>
      </c>
      <c r="P609" t="s">
        <v>20</v>
      </c>
      <c r="Q609">
        <v>25703</v>
      </c>
      <c r="R609">
        <f t="shared" si="36"/>
        <v>2</v>
      </c>
      <c r="V609">
        <f t="shared" si="37"/>
        <v>25703</v>
      </c>
      <c r="Y609" s="18">
        <f t="shared" si="38"/>
        <v>92399.98</v>
      </c>
      <c r="Z609" s="18" t="str">
        <f t="shared" si="39"/>
        <v/>
      </c>
    </row>
    <row r="610" spans="2:26" hidden="1" x14ac:dyDescent="0.25">
      <c r="B610" t="s">
        <v>15</v>
      </c>
      <c r="C610" t="s">
        <v>16</v>
      </c>
      <c r="D610" t="s">
        <v>16</v>
      </c>
      <c r="E610" t="s">
        <v>16</v>
      </c>
      <c r="F610" t="s">
        <v>16</v>
      </c>
      <c r="G610" t="s">
        <v>497</v>
      </c>
      <c r="H610" s="18">
        <v>-39165.86</v>
      </c>
      <c r="J610" t="s">
        <v>19</v>
      </c>
      <c r="N610" t="s">
        <v>21</v>
      </c>
      <c r="O610" t="s">
        <v>22</v>
      </c>
      <c r="P610" t="s">
        <v>20</v>
      </c>
      <c r="Q610">
        <v>26511</v>
      </c>
      <c r="R610">
        <f t="shared" si="36"/>
        <v>2</v>
      </c>
      <c r="V610">
        <f t="shared" si="37"/>
        <v>26511</v>
      </c>
      <c r="Y610" s="18">
        <f t="shared" si="38"/>
        <v>141372.85999999999</v>
      </c>
      <c r="Z610" s="18" t="str">
        <f t="shared" si="39"/>
        <v/>
      </c>
    </row>
    <row r="611" spans="2:26" hidden="1" x14ac:dyDescent="0.25">
      <c r="B611" t="s">
        <v>15</v>
      </c>
      <c r="C611" t="s">
        <v>16</v>
      </c>
      <c r="D611" t="s">
        <v>16</v>
      </c>
      <c r="E611" t="s">
        <v>16</v>
      </c>
      <c r="F611" t="s">
        <v>16</v>
      </c>
      <c r="G611" t="s">
        <v>655</v>
      </c>
      <c r="H611" s="18">
        <v>-149217.88</v>
      </c>
      <c r="J611" t="s">
        <v>19</v>
      </c>
      <c r="N611" t="s">
        <v>21</v>
      </c>
      <c r="O611" t="s">
        <v>22</v>
      </c>
      <c r="P611" t="s">
        <v>20</v>
      </c>
      <c r="Q611">
        <v>23358</v>
      </c>
      <c r="R611">
        <f t="shared" si="36"/>
        <v>2</v>
      </c>
      <c r="V611">
        <f t="shared" si="37"/>
        <v>23358</v>
      </c>
      <c r="Y611" s="18">
        <f t="shared" si="38"/>
        <v>166340.79</v>
      </c>
      <c r="Z611" s="18" t="str">
        <f t="shared" si="39"/>
        <v/>
      </c>
    </row>
    <row r="612" spans="2:26" hidden="1" x14ac:dyDescent="0.25">
      <c r="B612" t="s">
        <v>15</v>
      </c>
      <c r="C612" t="s">
        <v>16</v>
      </c>
      <c r="D612" t="s">
        <v>16</v>
      </c>
      <c r="E612" t="s">
        <v>16</v>
      </c>
      <c r="F612" t="s">
        <v>16</v>
      </c>
      <c r="G612" t="s">
        <v>656</v>
      </c>
      <c r="H612" s="18">
        <v>-3214.26</v>
      </c>
      <c r="J612" t="s">
        <v>19</v>
      </c>
      <c r="N612" t="s">
        <v>21</v>
      </c>
      <c r="O612" t="s">
        <v>22</v>
      </c>
      <c r="P612" t="s">
        <v>20</v>
      </c>
      <c r="Q612">
        <v>27081</v>
      </c>
      <c r="R612">
        <f t="shared" si="36"/>
        <v>2</v>
      </c>
      <c r="V612">
        <f t="shared" si="37"/>
        <v>27081</v>
      </c>
      <c r="Y612" s="18">
        <f t="shared" si="38"/>
        <v>81905.600000000006</v>
      </c>
      <c r="Z612" s="18" t="str">
        <f t="shared" si="39"/>
        <v/>
      </c>
    </row>
    <row r="613" spans="2:26" x14ac:dyDescent="0.25">
      <c r="B613" t="s">
        <v>277</v>
      </c>
      <c r="C613" t="s">
        <v>16</v>
      </c>
      <c r="D613" t="s">
        <v>16</v>
      </c>
      <c r="E613" t="s">
        <v>16</v>
      </c>
      <c r="F613" t="s">
        <v>16</v>
      </c>
      <c r="G613" t="s">
        <v>657</v>
      </c>
      <c r="H613" s="18">
        <v>78341.02</v>
      </c>
      <c r="I613" t="s">
        <v>23</v>
      </c>
      <c r="J613" t="s">
        <v>19</v>
      </c>
      <c r="N613" t="s">
        <v>21</v>
      </c>
      <c r="O613" t="s">
        <v>22</v>
      </c>
      <c r="P613" t="s">
        <v>20</v>
      </c>
      <c r="Q613">
        <v>25516</v>
      </c>
      <c r="R613">
        <f t="shared" si="36"/>
        <v>2</v>
      </c>
      <c r="V613">
        <f t="shared" si="37"/>
        <v>25516</v>
      </c>
      <c r="Y613" s="18">
        <f t="shared" si="38"/>
        <v>77909.8</v>
      </c>
      <c r="Z613" s="18">
        <f t="shared" si="39"/>
        <v>431.22000000000116</v>
      </c>
    </row>
    <row r="614" spans="2:26" hidden="1" x14ac:dyDescent="0.25">
      <c r="B614" t="s">
        <v>15</v>
      </c>
      <c r="C614" t="s">
        <v>16</v>
      </c>
      <c r="D614" t="s">
        <v>16</v>
      </c>
      <c r="E614" t="s">
        <v>16</v>
      </c>
      <c r="F614" t="s">
        <v>16</v>
      </c>
      <c r="G614" t="s">
        <v>623</v>
      </c>
      <c r="H614" s="18">
        <v>-54867.77</v>
      </c>
      <c r="J614" t="s">
        <v>19</v>
      </c>
      <c r="N614" t="s">
        <v>21</v>
      </c>
      <c r="O614" t="s">
        <v>22</v>
      </c>
      <c r="P614" t="s">
        <v>20</v>
      </c>
      <c r="Q614">
        <v>1539</v>
      </c>
      <c r="R614">
        <f t="shared" si="36"/>
        <v>2</v>
      </c>
      <c r="V614">
        <f t="shared" si="37"/>
        <v>1539</v>
      </c>
      <c r="Y614" s="18">
        <f t="shared" si="38"/>
        <v>54867.77</v>
      </c>
      <c r="Z614" s="18" t="str">
        <f t="shared" si="39"/>
        <v/>
      </c>
    </row>
    <row r="615" spans="2:26" hidden="1" x14ac:dyDescent="0.25">
      <c r="B615" t="s">
        <v>15</v>
      </c>
      <c r="C615" t="s">
        <v>16</v>
      </c>
      <c r="D615" t="s">
        <v>16</v>
      </c>
      <c r="E615" t="s">
        <v>16</v>
      </c>
      <c r="F615" t="s">
        <v>16</v>
      </c>
      <c r="G615" t="s">
        <v>542</v>
      </c>
      <c r="H615" s="18">
        <v>-110.62</v>
      </c>
      <c r="J615" t="s">
        <v>19</v>
      </c>
      <c r="N615" t="s">
        <v>21</v>
      </c>
      <c r="O615" t="s">
        <v>22</v>
      </c>
      <c r="P615" t="s">
        <v>20</v>
      </c>
      <c r="Q615">
        <v>19370</v>
      </c>
      <c r="R615">
        <f t="shared" si="36"/>
        <v>2</v>
      </c>
      <c r="V615">
        <f t="shared" si="37"/>
        <v>19370</v>
      </c>
      <c r="Y615" s="18">
        <f t="shared" si="38"/>
        <v>2818.7</v>
      </c>
      <c r="Z615" s="18" t="str">
        <f t="shared" si="39"/>
        <v/>
      </c>
    </row>
    <row r="616" spans="2:26" hidden="1" x14ac:dyDescent="0.25">
      <c r="B616" t="s">
        <v>15</v>
      </c>
      <c r="C616" t="s">
        <v>16</v>
      </c>
      <c r="D616" t="s">
        <v>16</v>
      </c>
      <c r="E616" t="s">
        <v>16</v>
      </c>
      <c r="F616" t="s">
        <v>16</v>
      </c>
      <c r="G616" t="s">
        <v>658</v>
      </c>
      <c r="H616" s="18">
        <v>-1983.12</v>
      </c>
      <c r="J616" t="s">
        <v>19</v>
      </c>
      <c r="N616" t="s">
        <v>21</v>
      </c>
      <c r="O616" t="s">
        <v>22</v>
      </c>
      <c r="P616" t="s">
        <v>20</v>
      </c>
      <c r="Q616">
        <v>23590</v>
      </c>
      <c r="R616">
        <f t="shared" si="36"/>
        <v>2</v>
      </c>
      <c r="V616">
        <f t="shared" si="37"/>
        <v>23590</v>
      </c>
      <c r="Y616" s="18">
        <f t="shared" si="38"/>
        <v>2323.81</v>
      </c>
      <c r="Z616" s="18" t="str">
        <f t="shared" si="39"/>
        <v/>
      </c>
    </row>
    <row r="617" spans="2:26" x14ac:dyDescent="0.25">
      <c r="B617" t="s">
        <v>277</v>
      </c>
      <c r="C617" t="s">
        <v>16</v>
      </c>
      <c r="D617" t="s">
        <v>16</v>
      </c>
      <c r="E617" t="s">
        <v>16</v>
      </c>
      <c r="F617" t="s">
        <v>16</v>
      </c>
      <c r="G617" t="s">
        <v>417</v>
      </c>
      <c r="H617" s="18">
        <v>23699.82</v>
      </c>
      <c r="I617" t="s">
        <v>23</v>
      </c>
      <c r="J617" t="s">
        <v>19</v>
      </c>
      <c r="N617" t="s">
        <v>21</v>
      </c>
      <c r="O617" t="s">
        <v>22</v>
      </c>
      <c r="P617" t="s">
        <v>20</v>
      </c>
      <c r="Q617">
        <v>7400403925</v>
      </c>
      <c r="R617">
        <f t="shared" si="36"/>
        <v>2</v>
      </c>
      <c r="V617">
        <f t="shared" si="37"/>
        <v>7400403925</v>
      </c>
      <c r="Y617" s="18">
        <f t="shared" si="38"/>
        <v>23699.82</v>
      </c>
      <c r="Z617" s="18">
        <f t="shared" si="39"/>
        <v>0</v>
      </c>
    </row>
    <row r="618" spans="2:26" hidden="1" x14ac:dyDescent="0.25">
      <c r="B618" t="s">
        <v>15</v>
      </c>
      <c r="C618" t="s">
        <v>16</v>
      </c>
      <c r="D618" t="s">
        <v>16</v>
      </c>
      <c r="E618" t="s">
        <v>16</v>
      </c>
      <c r="F618" t="s">
        <v>16</v>
      </c>
      <c r="G618" t="s">
        <v>659</v>
      </c>
      <c r="H618" s="18">
        <v>-4475.38</v>
      </c>
      <c r="J618" t="s">
        <v>19</v>
      </c>
      <c r="N618" t="s">
        <v>21</v>
      </c>
      <c r="O618" t="s">
        <v>22</v>
      </c>
      <c r="P618" t="s">
        <v>20</v>
      </c>
      <c r="Q618">
        <v>27132</v>
      </c>
      <c r="R618">
        <f t="shared" si="36"/>
        <v>2</v>
      </c>
      <c r="V618">
        <f t="shared" si="37"/>
        <v>27132</v>
      </c>
      <c r="Y618" s="18">
        <f t="shared" si="38"/>
        <v>113790.64</v>
      </c>
      <c r="Z618" s="18" t="str">
        <f t="shared" si="39"/>
        <v/>
      </c>
    </row>
    <row r="619" spans="2:26" x14ac:dyDescent="0.25">
      <c r="B619" t="s">
        <v>277</v>
      </c>
      <c r="C619" t="s">
        <v>16</v>
      </c>
      <c r="D619" t="s">
        <v>16</v>
      </c>
      <c r="E619" t="s">
        <v>16</v>
      </c>
      <c r="F619" t="s">
        <v>16</v>
      </c>
      <c r="G619" t="s">
        <v>355</v>
      </c>
      <c r="H619" s="18">
        <v>94109.61</v>
      </c>
      <c r="I619" t="s">
        <v>23</v>
      </c>
      <c r="J619" t="s">
        <v>19</v>
      </c>
      <c r="N619" t="s">
        <v>21</v>
      </c>
      <c r="O619" t="s">
        <v>22</v>
      </c>
      <c r="P619" t="s">
        <v>20</v>
      </c>
      <c r="Q619">
        <v>23513</v>
      </c>
      <c r="R619">
        <f t="shared" si="36"/>
        <v>2</v>
      </c>
      <c r="V619">
        <f t="shared" si="37"/>
        <v>23513</v>
      </c>
      <c r="Y619" s="18">
        <f t="shared" si="38"/>
        <v>94109.61</v>
      </c>
      <c r="Z619" s="18">
        <f t="shared" si="39"/>
        <v>0</v>
      </c>
    </row>
    <row r="620" spans="2:26" x14ac:dyDescent="0.25">
      <c r="B620" t="s">
        <v>277</v>
      </c>
      <c r="C620" t="s">
        <v>16</v>
      </c>
      <c r="D620" t="s">
        <v>16</v>
      </c>
      <c r="E620" t="s">
        <v>16</v>
      </c>
      <c r="F620" t="s">
        <v>16</v>
      </c>
      <c r="G620" t="s">
        <v>660</v>
      </c>
      <c r="H620" s="18">
        <v>10748.41</v>
      </c>
      <c r="I620" t="s">
        <v>23</v>
      </c>
      <c r="J620" t="s">
        <v>19</v>
      </c>
      <c r="N620" t="s">
        <v>21</v>
      </c>
      <c r="O620" t="s">
        <v>22</v>
      </c>
      <c r="P620" t="s">
        <v>20</v>
      </c>
      <c r="Q620">
        <v>23543</v>
      </c>
      <c r="R620">
        <f t="shared" si="36"/>
        <v>2</v>
      </c>
      <c r="V620">
        <f t="shared" si="37"/>
        <v>23543</v>
      </c>
      <c r="Y620" s="18">
        <f t="shared" si="38"/>
        <v>10748.41</v>
      </c>
      <c r="Z620" s="18">
        <f t="shared" si="39"/>
        <v>0</v>
      </c>
    </row>
    <row r="621" spans="2:26" hidden="1" x14ac:dyDescent="0.25">
      <c r="B621" t="s">
        <v>15</v>
      </c>
      <c r="C621" t="s">
        <v>16</v>
      </c>
      <c r="D621" t="s">
        <v>16</v>
      </c>
      <c r="E621" t="s">
        <v>16</v>
      </c>
      <c r="F621" t="s">
        <v>16</v>
      </c>
      <c r="G621" t="s">
        <v>605</v>
      </c>
      <c r="H621" s="18">
        <v>-23667.42</v>
      </c>
      <c r="J621" t="s">
        <v>19</v>
      </c>
      <c r="N621" t="s">
        <v>21</v>
      </c>
      <c r="O621" t="s">
        <v>22</v>
      </c>
      <c r="P621" t="s">
        <v>20</v>
      </c>
      <c r="Q621">
        <v>27142</v>
      </c>
      <c r="R621">
        <f t="shared" si="36"/>
        <v>2</v>
      </c>
      <c r="V621" t="str">
        <f t="shared" si="37"/>
        <v/>
      </c>
      <c r="W621" s="26" t="s">
        <v>686</v>
      </c>
      <c r="X621" s="15" t="s">
        <v>129</v>
      </c>
      <c r="Y621" s="18" t="str">
        <f t="shared" si="38"/>
        <v/>
      </c>
      <c r="Z621" s="18" t="str">
        <f t="shared" si="39"/>
        <v/>
      </c>
    </row>
    <row r="622" spans="2:26" x14ac:dyDescent="0.25">
      <c r="B622" t="s">
        <v>277</v>
      </c>
      <c r="C622" t="s">
        <v>16</v>
      </c>
      <c r="D622" t="s">
        <v>16</v>
      </c>
      <c r="E622" t="s">
        <v>16</v>
      </c>
      <c r="F622" t="s">
        <v>16</v>
      </c>
      <c r="G622" t="s">
        <v>462</v>
      </c>
      <c r="H622" s="18">
        <v>52101.81</v>
      </c>
      <c r="I622" t="s">
        <v>23</v>
      </c>
      <c r="J622" t="s">
        <v>19</v>
      </c>
      <c r="N622" t="s">
        <v>21</v>
      </c>
      <c r="O622" t="s">
        <v>22</v>
      </c>
      <c r="P622" t="s">
        <v>20</v>
      </c>
      <c r="Q622">
        <v>23663</v>
      </c>
      <c r="R622">
        <f t="shared" si="36"/>
        <v>2</v>
      </c>
      <c r="V622">
        <f t="shared" si="37"/>
        <v>23663</v>
      </c>
      <c r="Y622" s="18">
        <f t="shared" si="38"/>
        <v>52101.81</v>
      </c>
      <c r="Z622" s="18">
        <f t="shared" si="39"/>
        <v>0</v>
      </c>
    </row>
    <row r="623" spans="2:26" hidden="1" x14ac:dyDescent="0.25">
      <c r="B623" t="s">
        <v>15</v>
      </c>
      <c r="C623" t="s">
        <v>16</v>
      </c>
      <c r="D623" t="s">
        <v>16</v>
      </c>
      <c r="E623" t="s">
        <v>16</v>
      </c>
      <c r="F623" t="s">
        <v>16</v>
      </c>
      <c r="G623" t="s">
        <v>596</v>
      </c>
      <c r="H623" s="18">
        <v>-2964.79</v>
      </c>
      <c r="J623" t="s">
        <v>19</v>
      </c>
      <c r="N623" t="s">
        <v>21</v>
      </c>
      <c r="O623" t="s">
        <v>22</v>
      </c>
      <c r="P623" t="s">
        <v>20</v>
      </c>
      <c r="Q623">
        <v>27080</v>
      </c>
      <c r="R623">
        <f t="shared" si="36"/>
        <v>2</v>
      </c>
      <c r="V623">
        <f t="shared" si="37"/>
        <v>27080</v>
      </c>
      <c r="Y623" s="18">
        <f t="shared" si="38"/>
        <v>75548.61</v>
      </c>
      <c r="Z623" s="18" t="str">
        <f t="shared" si="39"/>
        <v/>
      </c>
    </row>
    <row r="624" spans="2:26" x14ac:dyDescent="0.25">
      <c r="B624" t="s">
        <v>277</v>
      </c>
      <c r="C624" t="s">
        <v>16</v>
      </c>
      <c r="D624" t="s">
        <v>16</v>
      </c>
      <c r="E624" t="s">
        <v>16</v>
      </c>
      <c r="F624" t="s">
        <v>16</v>
      </c>
      <c r="G624" t="s">
        <v>366</v>
      </c>
      <c r="H624" s="18">
        <v>2109.91</v>
      </c>
      <c r="I624" t="s">
        <v>23</v>
      </c>
      <c r="J624" t="s">
        <v>19</v>
      </c>
      <c r="N624" t="s">
        <v>21</v>
      </c>
      <c r="O624" t="s">
        <v>22</v>
      </c>
      <c r="P624" t="s">
        <v>20</v>
      </c>
      <c r="Q624">
        <v>23559</v>
      </c>
      <c r="R624">
        <f t="shared" si="36"/>
        <v>2</v>
      </c>
      <c r="V624">
        <f t="shared" si="37"/>
        <v>23559</v>
      </c>
      <c r="Y624" s="18">
        <f t="shared" si="38"/>
        <v>2109.91</v>
      </c>
      <c r="Z624" s="18">
        <f t="shared" si="39"/>
        <v>0</v>
      </c>
    </row>
    <row r="625" spans="2:26" hidden="1" x14ac:dyDescent="0.25">
      <c r="B625" t="s">
        <v>277</v>
      </c>
      <c r="C625" t="s">
        <v>16</v>
      </c>
      <c r="D625" t="s">
        <v>16</v>
      </c>
      <c r="E625" t="s">
        <v>16</v>
      </c>
      <c r="F625" t="s">
        <v>16</v>
      </c>
      <c r="G625" t="s">
        <v>661</v>
      </c>
      <c r="H625" s="18">
        <v>75219.31</v>
      </c>
      <c r="I625" t="s">
        <v>23</v>
      </c>
      <c r="J625" t="s">
        <v>19</v>
      </c>
      <c r="N625" t="s">
        <v>21</v>
      </c>
      <c r="O625" t="s">
        <v>22</v>
      </c>
      <c r="P625" t="s">
        <v>20</v>
      </c>
      <c r="Q625">
        <v>27127</v>
      </c>
      <c r="R625">
        <f t="shared" si="36"/>
        <v>2</v>
      </c>
      <c r="V625" t="str">
        <f t="shared" si="37"/>
        <v/>
      </c>
      <c r="W625" s="26" t="s">
        <v>686</v>
      </c>
      <c r="X625" s="15" t="s">
        <v>129</v>
      </c>
      <c r="Y625" s="18" t="str">
        <f t="shared" si="38"/>
        <v/>
      </c>
      <c r="Z625" s="18" t="str">
        <f t="shared" si="39"/>
        <v/>
      </c>
    </row>
    <row r="626" spans="2:26" x14ac:dyDescent="0.25">
      <c r="B626" t="s">
        <v>277</v>
      </c>
      <c r="C626" t="s">
        <v>16</v>
      </c>
      <c r="D626" t="s">
        <v>16</v>
      </c>
      <c r="E626" t="s">
        <v>16</v>
      </c>
      <c r="F626" t="s">
        <v>16</v>
      </c>
      <c r="G626" t="s">
        <v>495</v>
      </c>
      <c r="H626" s="18">
        <v>3111.66</v>
      </c>
      <c r="I626" t="s">
        <v>23</v>
      </c>
      <c r="J626" t="s">
        <v>19</v>
      </c>
      <c r="N626" t="s">
        <v>21</v>
      </c>
      <c r="O626" t="s">
        <v>22</v>
      </c>
      <c r="P626" t="s">
        <v>20</v>
      </c>
      <c r="Q626">
        <v>23562</v>
      </c>
      <c r="R626">
        <f t="shared" si="36"/>
        <v>2</v>
      </c>
      <c r="V626">
        <f t="shared" si="37"/>
        <v>23562</v>
      </c>
      <c r="Y626" s="18">
        <f t="shared" si="38"/>
        <v>3111.66</v>
      </c>
      <c r="Z626" s="18">
        <f t="shared" si="39"/>
        <v>0</v>
      </c>
    </row>
    <row r="627" spans="2:26" hidden="1" x14ac:dyDescent="0.25">
      <c r="B627" t="s">
        <v>15</v>
      </c>
      <c r="C627" t="s">
        <v>16</v>
      </c>
      <c r="D627" t="s">
        <v>16</v>
      </c>
      <c r="E627" t="s">
        <v>16</v>
      </c>
      <c r="F627" t="s">
        <v>16</v>
      </c>
      <c r="G627" t="s">
        <v>485</v>
      </c>
      <c r="H627" s="18">
        <v>-6522.2</v>
      </c>
      <c r="J627" t="s">
        <v>19</v>
      </c>
      <c r="N627" t="s">
        <v>21</v>
      </c>
      <c r="O627" t="s">
        <v>22</v>
      </c>
      <c r="P627" t="s">
        <v>20</v>
      </c>
      <c r="Q627">
        <v>27145</v>
      </c>
      <c r="R627">
        <f t="shared" si="36"/>
        <v>2</v>
      </c>
      <c r="V627">
        <f t="shared" si="37"/>
        <v>27145</v>
      </c>
      <c r="Y627" s="18">
        <f t="shared" si="38"/>
        <v>15623.49</v>
      </c>
      <c r="Z627" s="18" t="str">
        <f t="shared" si="39"/>
        <v/>
      </c>
    </row>
    <row r="628" spans="2:26" hidden="1" x14ac:dyDescent="0.25">
      <c r="B628" t="s">
        <v>15</v>
      </c>
      <c r="C628" t="s">
        <v>16</v>
      </c>
      <c r="D628" t="s">
        <v>16</v>
      </c>
      <c r="E628" t="s">
        <v>16</v>
      </c>
      <c r="F628" t="s">
        <v>16</v>
      </c>
      <c r="G628" t="s">
        <v>287</v>
      </c>
      <c r="H628" s="18">
        <v>-55000</v>
      </c>
      <c r="J628" t="s">
        <v>19</v>
      </c>
      <c r="N628" t="s">
        <v>21</v>
      </c>
      <c r="O628" t="s">
        <v>22</v>
      </c>
      <c r="P628" t="s">
        <v>20</v>
      </c>
      <c r="Q628">
        <v>18545</v>
      </c>
      <c r="R628">
        <f t="shared" si="36"/>
        <v>2</v>
      </c>
      <c r="V628">
        <f t="shared" si="37"/>
        <v>18545</v>
      </c>
      <c r="Y628" s="18">
        <f t="shared" si="38"/>
        <v>55000</v>
      </c>
      <c r="Z628" s="18" t="str">
        <f t="shared" si="39"/>
        <v/>
      </c>
    </row>
    <row r="629" spans="2:26" hidden="1" x14ac:dyDescent="0.25">
      <c r="B629" t="s">
        <v>15</v>
      </c>
      <c r="C629" t="s">
        <v>16</v>
      </c>
      <c r="D629" t="s">
        <v>16</v>
      </c>
      <c r="E629" t="s">
        <v>16</v>
      </c>
      <c r="F629" t="s">
        <v>16</v>
      </c>
      <c r="G629" t="s">
        <v>569</v>
      </c>
      <c r="H629" s="18">
        <v>-2285.67</v>
      </c>
      <c r="J629" t="s">
        <v>19</v>
      </c>
      <c r="N629" t="s">
        <v>21</v>
      </c>
      <c r="O629" t="s">
        <v>22</v>
      </c>
      <c r="P629" t="s">
        <v>20</v>
      </c>
      <c r="Q629">
        <v>23584</v>
      </c>
      <c r="R629">
        <f t="shared" si="36"/>
        <v>2</v>
      </c>
      <c r="V629">
        <f t="shared" si="37"/>
        <v>23584</v>
      </c>
      <c r="Y629" s="18">
        <f t="shared" si="38"/>
        <v>2713.97</v>
      </c>
      <c r="Z629" s="18" t="str">
        <f t="shared" si="39"/>
        <v/>
      </c>
    </row>
    <row r="630" spans="2:26" x14ac:dyDescent="0.25">
      <c r="B630" t="s">
        <v>277</v>
      </c>
      <c r="C630" t="s">
        <v>16</v>
      </c>
      <c r="D630" t="s">
        <v>16</v>
      </c>
      <c r="E630" t="s">
        <v>16</v>
      </c>
      <c r="F630" t="s">
        <v>16</v>
      </c>
      <c r="G630" t="s">
        <v>636</v>
      </c>
      <c r="H630" s="18">
        <v>53550</v>
      </c>
      <c r="I630" t="s">
        <v>23</v>
      </c>
      <c r="J630" t="s">
        <v>19</v>
      </c>
      <c r="N630" t="s">
        <v>21</v>
      </c>
      <c r="O630" t="s">
        <v>22</v>
      </c>
      <c r="P630" t="s">
        <v>20</v>
      </c>
      <c r="Q630">
        <v>9001791600</v>
      </c>
      <c r="R630">
        <f t="shared" si="36"/>
        <v>2</v>
      </c>
      <c r="V630">
        <f t="shared" si="37"/>
        <v>9001791600</v>
      </c>
      <c r="Y630" s="18">
        <f t="shared" si="38"/>
        <v>53550</v>
      </c>
      <c r="Z630" s="18">
        <f t="shared" si="39"/>
        <v>0</v>
      </c>
    </row>
    <row r="631" spans="2:26" hidden="1" x14ac:dyDescent="0.25">
      <c r="B631" t="s">
        <v>15</v>
      </c>
      <c r="C631" t="s">
        <v>16</v>
      </c>
      <c r="D631" t="s">
        <v>16</v>
      </c>
      <c r="E631" t="s">
        <v>16</v>
      </c>
      <c r="F631" t="s">
        <v>16</v>
      </c>
      <c r="G631" t="s">
        <v>662</v>
      </c>
      <c r="H631" s="18">
        <v>-953.02</v>
      </c>
      <c r="J631" t="s">
        <v>19</v>
      </c>
      <c r="N631" t="s">
        <v>21</v>
      </c>
      <c r="O631" t="s">
        <v>22</v>
      </c>
      <c r="P631" t="s">
        <v>20</v>
      </c>
      <c r="Q631">
        <v>27047</v>
      </c>
      <c r="R631">
        <f t="shared" si="36"/>
        <v>2</v>
      </c>
      <c r="V631">
        <f t="shared" si="37"/>
        <v>27047</v>
      </c>
      <c r="Y631" s="18">
        <f t="shared" si="38"/>
        <v>35200</v>
      </c>
      <c r="Z631" s="18" t="str">
        <f t="shared" si="39"/>
        <v/>
      </c>
    </row>
    <row r="632" spans="2:26" hidden="1" x14ac:dyDescent="0.25">
      <c r="B632" t="s">
        <v>15</v>
      </c>
      <c r="C632" t="s">
        <v>16</v>
      </c>
      <c r="D632" t="s">
        <v>16</v>
      </c>
      <c r="E632" t="s">
        <v>16</v>
      </c>
      <c r="F632" t="s">
        <v>16</v>
      </c>
      <c r="G632" t="s">
        <v>626</v>
      </c>
      <c r="H632" s="18">
        <v>-4949.8500000000004</v>
      </c>
      <c r="J632" t="s">
        <v>19</v>
      </c>
      <c r="N632" t="s">
        <v>21</v>
      </c>
      <c r="O632" t="s">
        <v>22</v>
      </c>
      <c r="P632" t="s">
        <v>20</v>
      </c>
      <c r="Q632">
        <v>19368</v>
      </c>
      <c r="R632">
        <f t="shared" si="36"/>
        <v>2</v>
      </c>
      <c r="V632">
        <f t="shared" si="37"/>
        <v>19368</v>
      </c>
      <c r="Y632" s="18">
        <f t="shared" si="38"/>
        <v>126131.63</v>
      </c>
      <c r="Z632" s="18" t="str">
        <f t="shared" si="39"/>
        <v/>
      </c>
    </row>
    <row r="633" spans="2:26" hidden="1" x14ac:dyDescent="0.25">
      <c r="B633" t="s">
        <v>15</v>
      </c>
      <c r="C633" t="s">
        <v>16</v>
      </c>
      <c r="D633" t="s">
        <v>16</v>
      </c>
      <c r="E633" t="s">
        <v>16</v>
      </c>
      <c r="F633" t="s">
        <v>16</v>
      </c>
      <c r="G633" t="s">
        <v>621</v>
      </c>
      <c r="H633" s="18">
        <v>0</v>
      </c>
      <c r="J633" t="s">
        <v>19</v>
      </c>
      <c r="N633" t="s">
        <v>21</v>
      </c>
      <c r="O633" t="s">
        <v>22</v>
      </c>
      <c r="P633" t="s">
        <v>20</v>
      </c>
      <c r="Q633">
        <v>2100680114</v>
      </c>
      <c r="R633">
        <f t="shared" si="36"/>
        <v>10</v>
      </c>
      <c r="V633" t="str">
        <f t="shared" si="37"/>
        <v/>
      </c>
      <c r="W633" s="26" t="s">
        <v>686</v>
      </c>
      <c r="X633" s="15" t="s">
        <v>129</v>
      </c>
      <c r="Y633" s="18" t="str">
        <f t="shared" si="38"/>
        <v/>
      </c>
      <c r="Z633" s="18" t="str">
        <f t="shared" si="39"/>
        <v/>
      </c>
    </row>
    <row r="634" spans="2:26" hidden="1" x14ac:dyDescent="0.25">
      <c r="B634" t="s">
        <v>15</v>
      </c>
      <c r="C634" t="s">
        <v>16</v>
      </c>
      <c r="D634" t="s">
        <v>16</v>
      </c>
      <c r="E634" t="s">
        <v>16</v>
      </c>
      <c r="F634" t="s">
        <v>16</v>
      </c>
      <c r="G634" t="s">
        <v>509</v>
      </c>
      <c r="H634" s="18">
        <v>-833.92</v>
      </c>
      <c r="J634" t="s">
        <v>19</v>
      </c>
      <c r="N634" t="s">
        <v>21</v>
      </c>
      <c r="O634" t="s">
        <v>22</v>
      </c>
      <c r="P634" t="s">
        <v>20</v>
      </c>
      <c r="Q634">
        <v>27078</v>
      </c>
      <c r="R634">
        <f t="shared" si="36"/>
        <v>2</v>
      </c>
      <c r="V634">
        <f t="shared" si="37"/>
        <v>27078</v>
      </c>
      <c r="Y634" s="18">
        <f t="shared" si="38"/>
        <v>21250</v>
      </c>
      <c r="Z634" s="18" t="str">
        <f t="shared" si="39"/>
        <v/>
      </c>
    </row>
    <row r="635" spans="2:26" hidden="1" x14ac:dyDescent="0.25">
      <c r="B635" t="s">
        <v>15</v>
      </c>
      <c r="C635" t="s">
        <v>16</v>
      </c>
      <c r="D635" t="s">
        <v>16</v>
      </c>
      <c r="E635" t="s">
        <v>16</v>
      </c>
      <c r="F635" t="s">
        <v>16</v>
      </c>
      <c r="G635" t="s">
        <v>663</v>
      </c>
      <c r="H635" s="18">
        <v>-117028.65</v>
      </c>
      <c r="J635" t="s">
        <v>19</v>
      </c>
      <c r="N635" t="s">
        <v>21</v>
      </c>
      <c r="O635" t="s">
        <v>22</v>
      </c>
      <c r="P635" t="s">
        <v>20</v>
      </c>
      <c r="Q635">
        <v>23671</v>
      </c>
      <c r="R635">
        <f t="shared" si="36"/>
        <v>2</v>
      </c>
      <c r="V635">
        <f t="shared" si="37"/>
        <v>23671</v>
      </c>
      <c r="Y635" s="18">
        <f t="shared" si="38"/>
        <v>117028.65</v>
      </c>
      <c r="Z635" s="18" t="str">
        <f t="shared" si="39"/>
        <v/>
      </c>
    </row>
    <row r="636" spans="2:26" x14ac:dyDescent="0.25">
      <c r="B636" t="s">
        <v>277</v>
      </c>
      <c r="C636" t="s">
        <v>16</v>
      </c>
      <c r="D636" t="s">
        <v>16</v>
      </c>
      <c r="E636" t="s">
        <v>16</v>
      </c>
      <c r="F636" t="s">
        <v>16</v>
      </c>
      <c r="G636" t="s">
        <v>350</v>
      </c>
      <c r="H636" s="18">
        <v>2171.1799999999998</v>
      </c>
      <c r="I636" t="s">
        <v>23</v>
      </c>
      <c r="J636" t="s">
        <v>19</v>
      </c>
      <c r="N636" t="s">
        <v>21</v>
      </c>
      <c r="O636" t="s">
        <v>22</v>
      </c>
      <c r="P636" t="s">
        <v>20</v>
      </c>
      <c r="Q636">
        <v>23583</v>
      </c>
      <c r="R636">
        <f t="shared" si="36"/>
        <v>2</v>
      </c>
      <c r="V636">
        <f t="shared" si="37"/>
        <v>23583</v>
      </c>
      <c r="Y636" s="18">
        <f t="shared" si="38"/>
        <v>2171.1799999999998</v>
      </c>
      <c r="Z636" s="18">
        <f t="shared" si="39"/>
        <v>0</v>
      </c>
    </row>
    <row r="637" spans="2:26" hidden="1" x14ac:dyDescent="0.25">
      <c r="B637" t="s">
        <v>15</v>
      </c>
      <c r="C637" t="s">
        <v>16</v>
      </c>
      <c r="D637" t="s">
        <v>16</v>
      </c>
      <c r="E637" t="s">
        <v>16</v>
      </c>
      <c r="F637" t="s">
        <v>16</v>
      </c>
      <c r="G637" t="s">
        <v>664</v>
      </c>
      <c r="H637" s="18">
        <v>-2478.9499999999998</v>
      </c>
      <c r="J637" t="s">
        <v>19</v>
      </c>
      <c r="N637" t="s">
        <v>21</v>
      </c>
      <c r="O637" t="s">
        <v>22</v>
      </c>
      <c r="P637" t="s">
        <v>20</v>
      </c>
      <c r="Q637">
        <v>27060</v>
      </c>
      <c r="R637">
        <f t="shared" si="36"/>
        <v>2</v>
      </c>
      <c r="V637">
        <f t="shared" si="37"/>
        <v>27060</v>
      </c>
      <c r="Y637" s="18">
        <f t="shared" si="38"/>
        <v>63168.38</v>
      </c>
      <c r="Z637" s="18" t="str">
        <f t="shared" si="39"/>
        <v/>
      </c>
    </row>
    <row r="638" spans="2:26" hidden="1" x14ac:dyDescent="0.25">
      <c r="B638" t="s">
        <v>15</v>
      </c>
      <c r="C638" t="s">
        <v>16</v>
      </c>
      <c r="D638" t="s">
        <v>16</v>
      </c>
      <c r="E638" t="s">
        <v>16</v>
      </c>
      <c r="F638" t="s">
        <v>16</v>
      </c>
      <c r="G638" t="s">
        <v>618</v>
      </c>
      <c r="H638" s="18">
        <v>0</v>
      </c>
      <c r="J638" t="s">
        <v>19</v>
      </c>
      <c r="N638" t="s">
        <v>21</v>
      </c>
      <c r="O638" t="s">
        <v>22</v>
      </c>
      <c r="P638" t="s">
        <v>20</v>
      </c>
      <c r="Q638">
        <v>2100680114</v>
      </c>
      <c r="R638">
        <f t="shared" si="36"/>
        <v>10</v>
      </c>
      <c r="V638" t="str">
        <f t="shared" si="37"/>
        <v/>
      </c>
      <c r="W638" s="26" t="s">
        <v>686</v>
      </c>
      <c r="X638" s="15" t="s">
        <v>129</v>
      </c>
      <c r="Y638" s="18" t="str">
        <f t="shared" si="38"/>
        <v/>
      </c>
      <c r="Z638" s="18" t="str">
        <f t="shared" si="39"/>
        <v/>
      </c>
    </row>
    <row r="639" spans="2:26" hidden="1" x14ac:dyDescent="0.25">
      <c r="B639" t="s">
        <v>15</v>
      </c>
      <c r="C639" t="s">
        <v>16</v>
      </c>
      <c r="D639" t="s">
        <v>16</v>
      </c>
      <c r="E639" t="s">
        <v>16</v>
      </c>
      <c r="F639" t="s">
        <v>16</v>
      </c>
      <c r="G639" t="s">
        <v>616</v>
      </c>
      <c r="H639" s="18">
        <v>-706.09</v>
      </c>
      <c r="J639" t="s">
        <v>19</v>
      </c>
      <c r="N639" t="s">
        <v>21</v>
      </c>
      <c r="O639" t="s">
        <v>22</v>
      </c>
      <c r="P639" t="s">
        <v>20</v>
      </c>
      <c r="Q639">
        <v>1010263</v>
      </c>
      <c r="R639">
        <f t="shared" si="36"/>
        <v>2</v>
      </c>
      <c r="V639" t="str">
        <f t="shared" si="37"/>
        <v/>
      </c>
      <c r="W639" s="26" t="s">
        <v>686</v>
      </c>
      <c r="X639" s="15" t="s">
        <v>129</v>
      </c>
      <c r="Y639" s="18" t="str">
        <f t="shared" si="38"/>
        <v/>
      </c>
      <c r="Z639" s="18" t="str">
        <f t="shared" si="39"/>
        <v/>
      </c>
    </row>
    <row r="640" spans="2:26" hidden="1" x14ac:dyDescent="0.25">
      <c r="B640" t="s">
        <v>15</v>
      </c>
      <c r="C640" t="s">
        <v>16</v>
      </c>
      <c r="D640" t="s">
        <v>16</v>
      </c>
      <c r="E640" t="s">
        <v>16</v>
      </c>
      <c r="F640" t="s">
        <v>16</v>
      </c>
      <c r="G640" t="s">
        <v>646</v>
      </c>
      <c r="H640" s="18">
        <v>-21328.34</v>
      </c>
      <c r="J640" t="s">
        <v>19</v>
      </c>
      <c r="N640" t="s">
        <v>21</v>
      </c>
      <c r="O640" t="s">
        <v>22</v>
      </c>
      <c r="P640" t="s">
        <v>20</v>
      </c>
      <c r="Q640">
        <v>26994</v>
      </c>
      <c r="R640">
        <f t="shared" si="36"/>
        <v>2</v>
      </c>
      <c r="V640">
        <f t="shared" si="37"/>
        <v>26994</v>
      </c>
      <c r="Y640" s="18">
        <f t="shared" si="38"/>
        <v>543487.18000000005</v>
      </c>
      <c r="Z640" s="18" t="str">
        <f t="shared" si="39"/>
        <v/>
      </c>
    </row>
    <row r="641" spans="2:26" hidden="1" x14ac:dyDescent="0.25">
      <c r="B641" t="s">
        <v>15</v>
      </c>
      <c r="C641" t="s">
        <v>16</v>
      </c>
      <c r="D641" t="s">
        <v>16</v>
      </c>
      <c r="E641" t="s">
        <v>16</v>
      </c>
      <c r="F641" t="s">
        <v>16</v>
      </c>
      <c r="G641" t="s">
        <v>492</v>
      </c>
      <c r="H641" s="18">
        <v>-6.49</v>
      </c>
      <c r="J641" t="s">
        <v>19</v>
      </c>
      <c r="N641" t="s">
        <v>21</v>
      </c>
      <c r="O641" t="s">
        <v>22</v>
      </c>
      <c r="P641" t="s">
        <v>20</v>
      </c>
      <c r="Q641">
        <v>23655</v>
      </c>
      <c r="R641">
        <f t="shared" si="36"/>
        <v>2</v>
      </c>
      <c r="V641">
        <f t="shared" si="37"/>
        <v>23655</v>
      </c>
      <c r="Y641" s="18">
        <f t="shared" si="38"/>
        <v>243.99</v>
      </c>
      <c r="Z641" s="18" t="str">
        <f t="shared" si="39"/>
        <v/>
      </c>
    </row>
    <row r="642" spans="2:26" x14ac:dyDescent="0.25">
      <c r="B642" t="s">
        <v>277</v>
      </c>
      <c r="C642" t="s">
        <v>16</v>
      </c>
      <c r="D642" t="s">
        <v>16</v>
      </c>
      <c r="E642" t="s">
        <v>16</v>
      </c>
      <c r="F642" t="s">
        <v>16</v>
      </c>
      <c r="G642" t="s">
        <v>593</v>
      </c>
      <c r="H642" s="18">
        <v>1934.71</v>
      </c>
      <c r="I642" t="s">
        <v>23</v>
      </c>
      <c r="J642" t="s">
        <v>19</v>
      </c>
      <c r="N642" t="s">
        <v>21</v>
      </c>
      <c r="O642" t="s">
        <v>22</v>
      </c>
      <c r="P642" t="s">
        <v>20</v>
      </c>
      <c r="Q642">
        <v>23607</v>
      </c>
      <c r="R642">
        <f t="shared" si="36"/>
        <v>2</v>
      </c>
      <c r="V642">
        <f t="shared" si="37"/>
        <v>23607</v>
      </c>
      <c r="Y642" s="18">
        <f t="shared" si="38"/>
        <v>1934.71</v>
      </c>
      <c r="Z642" s="18">
        <f t="shared" si="39"/>
        <v>0</v>
      </c>
    </row>
    <row r="643" spans="2:26" hidden="1" x14ac:dyDescent="0.25">
      <c r="B643" t="s">
        <v>15</v>
      </c>
      <c r="C643" t="s">
        <v>16</v>
      </c>
      <c r="D643" t="s">
        <v>16</v>
      </c>
      <c r="E643" t="s">
        <v>16</v>
      </c>
      <c r="F643" t="s">
        <v>16</v>
      </c>
      <c r="G643" t="s">
        <v>530</v>
      </c>
      <c r="H643" s="18">
        <v>-6171.04</v>
      </c>
      <c r="J643" t="s">
        <v>19</v>
      </c>
      <c r="N643" t="s">
        <v>21</v>
      </c>
      <c r="O643" t="s">
        <v>22</v>
      </c>
      <c r="P643" t="s">
        <v>20</v>
      </c>
      <c r="Q643">
        <v>27153</v>
      </c>
      <c r="R643">
        <f t="shared" si="36"/>
        <v>2</v>
      </c>
      <c r="V643" t="str">
        <f t="shared" si="37"/>
        <v/>
      </c>
      <c r="W643" s="26" t="s">
        <v>686</v>
      </c>
      <c r="X643" s="15" t="s">
        <v>129</v>
      </c>
      <c r="Y643" s="18" t="str">
        <f t="shared" si="38"/>
        <v/>
      </c>
      <c r="Z643" s="18" t="str">
        <f t="shared" si="39"/>
        <v/>
      </c>
    </row>
    <row r="644" spans="2:26" hidden="1" x14ac:dyDescent="0.25">
      <c r="B644" t="s">
        <v>15</v>
      </c>
      <c r="C644" t="s">
        <v>16</v>
      </c>
      <c r="D644" t="s">
        <v>16</v>
      </c>
      <c r="E644" t="s">
        <v>16</v>
      </c>
      <c r="F644" t="s">
        <v>16</v>
      </c>
      <c r="G644" t="s">
        <v>489</v>
      </c>
      <c r="H644" s="18">
        <v>-8074.39</v>
      </c>
      <c r="J644" t="s">
        <v>19</v>
      </c>
      <c r="N644" t="s">
        <v>21</v>
      </c>
      <c r="O644" t="s">
        <v>22</v>
      </c>
      <c r="P644" t="s">
        <v>20</v>
      </c>
      <c r="Q644">
        <v>23519</v>
      </c>
      <c r="R644">
        <f t="shared" si="36"/>
        <v>2</v>
      </c>
      <c r="V644">
        <f t="shared" si="37"/>
        <v>23519</v>
      </c>
      <c r="Y644" s="18">
        <f t="shared" si="38"/>
        <v>12026.39</v>
      </c>
      <c r="Z644" s="18" t="str">
        <f t="shared" si="39"/>
        <v/>
      </c>
    </row>
    <row r="645" spans="2:26" hidden="1" x14ac:dyDescent="0.25">
      <c r="B645" t="s">
        <v>15</v>
      </c>
      <c r="C645" t="s">
        <v>16</v>
      </c>
      <c r="D645" t="s">
        <v>16</v>
      </c>
      <c r="E645" t="s">
        <v>16</v>
      </c>
      <c r="F645" t="s">
        <v>16</v>
      </c>
      <c r="G645" t="s">
        <v>665</v>
      </c>
      <c r="H645" s="18">
        <v>-73215.61</v>
      </c>
      <c r="J645" t="s">
        <v>19</v>
      </c>
      <c r="N645" t="s">
        <v>21</v>
      </c>
      <c r="O645" t="s">
        <v>22</v>
      </c>
      <c r="P645" t="s">
        <v>20</v>
      </c>
      <c r="Q645">
        <v>7400</v>
      </c>
      <c r="R645">
        <f t="shared" si="36"/>
        <v>2</v>
      </c>
      <c r="V645">
        <f t="shared" si="37"/>
        <v>7400</v>
      </c>
      <c r="Y645" s="18">
        <f t="shared" si="38"/>
        <v>112274.95</v>
      </c>
      <c r="Z645" s="18" t="str">
        <f t="shared" si="39"/>
        <v/>
      </c>
    </row>
    <row r="646" spans="2:26" x14ac:dyDescent="0.25">
      <c r="B646" t="s">
        <v>277</v>
      </c>
      <c r="C646" t="s">
        <v>16</v>
      </c>
      <c r="D646" t="s">
        <v>16</v>
      </c>
      <c r="E646" t="s">
        <v>16</v>
      </c>
      <c r="F646" t="s">
        <v>16</v>
      </c>
      <c r="G646" t="s">
        <v>308</v>
      </c>
      <c r="H646" s="18">
        <v>26578.67</v>
      </c>
      <c r="I646" t="s">
        <v>23</v>
      </c>
      <c r="J646" t="s">
        <v>19</v>
      </c>
      <c r="N646" t="s">
        <v>21</v>
      </c>
      <c r="O646" t="s">
        <v>22</v>
      </c>
      <c r="P646" t="s">
        <v>20</v>
      </c>
      <c r="Q646">
        <v>23487</v>
      </c>
      <c r="R646">
        <f t="shared" si="36"/>
        <v>2</v>
      </c>
      <c r="V646">
        <f t="shared" si="37"/>
        <v>23487</v>
      </c>
      <c r="Y646" s="18">
        <f t="shared" si="38"/>
        <v>26578.67</v>
      </c>
      <c r="Z646" s="18">
        <f t="shared" si="39"/>
        <v>0</v>
      </c>
    </row>
    <row r="647" spans="2:26" x14ac:dyDescent="0.25">
      <c r="B647" t="s">
        <v>277</v>
      </c>
      <c r="C647" t="s">
        <v>16</v>
      </c>
      <c r="D647" t="s">
        <v>16</v>
      </c>
      <c r="E647" t="s">
        <v>16</v>
      </c>
      <c r="F647" t="s">
        <v>16</v>
      </c>
      <c r="G647" t="s">
        <v>517</v>
      </c>
      <c r="H647" s="18">
        <v>107786.11</v>
      </c>
      <c r="I647" t="s">
        <v>23</v>
      </c>
      <c r="J647" t="s">
        <v>19</v>
      </c>
      <c r="N647" t="s">
        <v>21</v>
      </c>
      <c r="O647" t="s">
        <v>22</v>
      </c>
      <c r="P647" t="s">
        <v>20</v>
      </c>
      <c r="Q647">
        <v>23997</v>
      </c>
      <c r="R647">
        <f t="shared" si="36"/>
        <v>2</v>
      </c>
      <c r="V647">
        <f t="shared" si="37"/>
        <v>23997</v>
      </c>
      <c r="Y647" s="18">
        <f t="shared" si="38"/>
        <v>107786.11</v>
      </c>
      <c r="Z647" s="18">
        <f t="shared" si="39"/>
        <v>0</v>
      </c>
    </row>
    <row r="648" spans="2:26" hidden="1" x14ac:dyDescent="0.25">
      <c r="B648" t="s">
        <v>15</v>
      </c>
      <c r="C648" t="s">
        <v>16</v>
      </c>
      <c r="D648" t="s">
        <v>16</v>
      </c>
      <c r="E648" t="s">
        <v>16</v>
      </c>
      <c r="F648" t="s">
        <v>16</v>
      </c>
      <c r="G648" t="s">
        <v>306</v>
      </c>
      <c r="H648" s="18">
        <v>-640.87</v>
      </c>
      <c r="J648" t="s">
        <v>19</v>
      </c>
      <c r="N648" t="s">
        <v>21</v>
      </c>
      <c r="O648" t="s">
        <v>22</v>
      </c>
      <c r="P648" t="s">
        <v>20</v>
      </c>
      <c r="Q648">
        <v>19502</v>
      </c>
      <c r="R648">
        <f t="shared" si="36"/>
        <v>2</v>
      </c>
      <c r="V648">
        <f t="shared" si="37"/>
        <v>19502</v>
      </c>
      <c r="Y648" s="18">
        <f t="shared" si="38"/>
        <v>16330.68</v>
      </c>
      <c r="Z648" s="18" t="str">
        <f t="shared" si="39"/>
        <v/>
      </c>
    </row>
    <row r="649" spans="2:26" hidden="1" x14ac:dyDescent="0.25">
      <c r="B649" t="s">
        <v>15</v>
      </c>
      <c r="C649" t="s">
        <v>16</v>
      </c>
      <c r="D649" t="s">
        <v>16</v>
      </c>
      <c r="E649" t="s">
        <v>16</v>
      </c>
      <c r="F649" t="s">
        <v>16</v>
      </c>
      <c r="G649" t="s">
        <v>334</v>
      </c>
      <c r="H649" s="18">
        <v>-182897.49</v>
      </c>
      <c r="J649" t="s">
        <v>19</v>
      </c>
      <c r="N649" t="s">
        <v>21</v>
      </c>
      <c r="O649" t="s">
        <v>22</v>
      </c>
      <c r="P649" t="s">
        <v>20</v>
      </c>
      <c r="Q649">
        <v>25698</v>
      </c>
      <c r="R649">
        <f t="shared" si="36"/>
        <v>2</v>
      </c>
      <c r="V649">
        <f t="shared" si="37"/>
        <v>25698</v>
      </c>
      <c r="Y649" s="18">
        <f t="shared" si="38"/>
        <v>312134.84999999998</v>
      </c>
      <c r="Z649" s="18" t="str">
        <f t="shared" si="39"/>
        <v/>
      </c>
    </row>
    <row r="650" spans="2:26" x14ac:dyDescent="0.25">
      <c r="B650" t="s">
        <v>277</v>
      </c>
      <c r="C650" t="s">
        <v>16</v>
      </c>
      <c r="D650" t="s">
        <v>16</v>
      </c>
      <c r="E650" t="s">
        <v>16</v>
      </c>
      <c r="F650" t="s">
        <v>16</v>
      </c>
      <c r="G650" t="s">
        <v>666</v>
      </c>
      <c r="H650" s="18">
        <v>39497.14</v>
      </c>
      <c r="I650" t="s">
        <v>23</v>
      </c>
      <c r="J650" t="s">
        <v>19</v>
      </c>
      <c r="N650" t="s">
        <v>21</v>
      </c>
      <c r="O650" t="s">
        <v>22</v>
      </c>
      <c r="P650" t="s">
        <v>20</v>
      </c>
      <c r="Q650" t="s">
        <v>667</v>
      </c>
      <c r="R650">
        <f t="shared" ref="R650:R713" si="40">COUNTIF($Q$9:$Q$816,Q650)</f>
        <v>2</v>
      </c>
      <c r="V650" t="str">
        <f t="shared" ref="V650:V713" si="41">IFERROR(VLOOKUP(Q650,$C$823:$C$1253,1,FALSE),"")</f>
        <v>9001054885a</v>
      </c>
      <c r="Y650" s="18">
        <f t="shared" ref="Y650:Y713" si="42">IFERROR(VLOOKUP(Q650,$C$823:$D$1253,2,FALSE),"")</f>
        <v>39497.14</v>
      </c>
      <c r="Z650" s="18">
        <f t="shared" ref="Z650:Z713" si="43">IFERROR(IF(RIGHT(B650,6)="TYVA02","",H650-Y650),"")</f>
        <v>0</v>
      </c>
    </row>
    <row r="651" spans="2:26" hidden="1" x14ac:dyDescent="0.25">
      <c r="B651" t="s">
        <v>15</v>
      </c>
      <c r="C651" t="s">
        <v>16</v>
      </c>
      <c r="D651" t="s">
        <v>16</v>
      </c>
      <c r="E651" t="s">
        <v>16</v>
      </c>
      <c r="F651" t="s">
        <v>16</v>
      </c>
      <c r="G651" t="s">
        <v>404</v>
      </c>
      <c r="H651" s="18">
        <v>-10944</v>
      </c>
      <c r="J651" t="s">
        <v>19</v>
      </c>
      <c r="N651" t="s">
        <v>21</v>
      </c>
      <c r="O651" t="s">
        <v>22</v>
      </c>
      <c r="P651" t="s">
        <v>20</v>
      </c>
      <c r="Q651">
        <v>23565</v>
      </c>
      <c r="R651">
        <f t="shared" si="40"/>
        <v>2</v>
      </c>
      <c r="V651">
        <f t="shared" si="41"/>
        <v>23565</v>
      </c>
      <c r="Y651" s="18">
        <f t="shared" si="42"/>
        <v>13718.19</v>
      </c>
      <c r="Z651" s="18" t="str">
        <f t="shared" si="43"/>
        <v/>
      </c>
    </row>
    <row r="652" spans="2:26" x14ac:dyDescent="0.25">
      <c r="B652" t="s">
        <v>277</v>
      </c>
      <c r="C652" t="s">
        <v>16</v>
      </c>
      <c r="D652" t="s">
        <v>16</v>
      </c>
      <c r="E652" t="s">
        <v>16</v>
      </c>
      <c r="F652" t="s">
        <v>16</v>
      </c>
      <c r="G652" t="s">
        <v>474</v>
      </c>
      <c r="H652" s="18">
        <v>21948.35</v>
      </c>
      <c r="I652" t="s">
        <v>23</v>
      </c>
      <c r="J652" t="s">
        <v>19</v>
      </c>
      <c r="N652" t="s">
        <v>21</v>
      </c>
      <c r="O652" t="s">
        <v>22</v>
      </c>
      <c r="P652" t="s">
        <v>20</v>
      </c>
      <c r="Q652">
        <v>23657</v>
      </c>
      <c r="R652">
        <f t="shared" si="40"/>
        <v>2</v>
      </c>
      <c r="V652">
        <f t="shared" si="41"/>
        <v>23657</v>
      </c>
      <c r="Y652" s="18">
        <f t="shared" si="42"/>
        <v>21948.35</v>
      </c>
      <c r="Z652" s="18">
        <f t="shared" si="43"/>
        <v>0</v>
      </c>
    </row>
    <row r="653" spans="2:26" hidden="1" x14ac:dyDescent="0.25">
      <c r="B653" t="s">
        <v>15</v>
      </c>
      <c r="C653" t="s">
        <v>16</v>
      </c>
      <c r="D653" t="s">
        <v>16</v>
      </c>
      <c r="E653" t="s">
        <v>16</v>
      </c>
      <c r="F653" t="s">
        <v>16</v>
      </c>
      <c r="G653" t="s">
        <v>657</v>
      </c>
      <c r="H653" s="18">
        <v>-23830.62</v>
      </c>
      <c r="J653" t="s">
        <v>19</v>
      </c>
      <c r="N653" t="s">
        <v>21</v>
      </c>
      <c r="O653" t="s">
        <v>22</v>
      </c>
      <c r="P653" t="s">
        <v>20</v>
      </c>
      <c r="Q653">
        <v>25516</v>
      </c>
      <c r="R653">
        <f t="shared" si="40"/>
        <v>2</v>
      </c>
      <c r="V653">
        <f t="shared" si="41"/>
        <v>25516</v>
      </c>
      <c r="Y653" s="18">
        <f t="shared" si="42"/>
        <v>77909.8</v>
      </c>
      <c r="Z653" s="18" t="str">
        <f t="shared" si="43"/>
        <v/>
      </c>
    </row>
    <row r="654" spans="2:26" x14ac:dyDescent="0.25">
      <c r="B654" t="s">
        <v>277</v>
      </c>
      <c r="C654" t="s">
        <v>16</v>
      </c>
      <c r="D654" t="s">
        <v>16</v>
      </c>
      <c r="E654" t="s">
        <v>16</v>
      </c>
      <c r="F654" t="s">
        <v>16</v>
      </c>
      <c r="G654" t="s">
        <v>481</v>
      </c>
      <c r="H654" s="18">
        <v>74898.63</v>
      </c>
      <c r="I654" t="s">
        <v>23</v>
      </c>
      <c r="J654" t="s">
        <v>19</v>
      </c>
      <c r="N654" t="s">
        <v>21</v>
      </c>
      <c r="O654" t="s">
        <v>22</v>
      </c>
      <c r="P654" t="s">
        <v>20</v>
      </c>
      <c r="Q654">
        <v>27125</v>
      </c>
      <c r="R654">
        <f t="shared" si="40"/>
        <v>2</v>
      </c>
      <c r="V654">
        <f t="shared" si="41"/>
        <v>27125</v>
      </c>
      <c r="Y654" s="18">
        <f t="shared" si="42"/>
        <v>72500</v>
      </c>
      <c r="Z654" s="18">
        <f t="shared" si="43"/>
        <v>2398.6300000000047</v>
      </c>
    </row>
    <row r="655" spans="2:26" hidden="1" x14ac:dyDescent="0.25">
      <c r="B655" t="s">
        <v>15</v>
      </c>
      <c r="C655" t="s">
        <v>16</v>
      </c>
      <c r="D655" t="s">
        <v>16</v>
      </c>
      <c r="E655" t="s">
        <v>16</v>
      </c>
      <c r="F655" t="s">
        <v>16</v>
      </c>
      <c r="G655" t="s">
        <v>445</v>
      </c>
      <c r="H655" s="18">
        <v>-3586.83</v>
      </c>
      <c r="J655" t="s">
        <v>19</v>
      </c>
      <c r="N655" t="s">
        <v>21</v>
      </c>
      <c r="O655" t="s">
        <v>22</v>
      </c>
      <c r="P655" t="s">
        <v>20</v>
      </c>
      <c r="Q655">
        <v>8038196907</v>
      </c>
      <c r="R655">
        <f t="shared" si="40"/>
        <v>2</v>
      </c>
      <c r="V655">
        <f t="shared" si="41"/>
        <v>8038196907</v>
      </c>
      <c r="Y655" s="18">
        <f t="shared" si="42"/>
        <v>91399.360000000001</v>
      </c>
      <c r="Z655" s="18" t="str">
        <f t="shared" si="43"/>
        <v/>
      </c>
    </row>
    <row r="656" spans="2:26" hidden="1" x14ac:dyDescent="0.25">
      <c r="B656" t="s">
        <v>15</v>
      </c>
      <c r="C656" t="s">
        <v>16</v>
      </c>
      <c r="D656" t="s">
        <v>16</v>
      </c>
      <c r="E656" t="s">
        <v>16</v>
      </c>
      <c r="F656" t="s">
        <v>16</v>
      </c>
      <c r="G656" t="s">
        <v>628</v>
      </c>
      <c r="H656" s="18">
        <v>-362.8</v>
      </c>
      <c r="J656" t="s">
        <v>19</v>
      </c>
      <c r="N656" t="s">
        <v>21</v>
      </c>
      <c r="O656" t="s">
        <v>22</v>
      </c>
      <c r="P656" t="s">
        <v>20</v>
      </c>
      <c r="Q656">
        <v>23623</v>
      </c>
      <c r="R656">
        <f t="shared" si="40"/>
        <v>2</v>
      </c>
      <c r="V656">
        <f t="shared" si="41"/>
        <v>23623</v>
      </c>
      <c r="Y656" s="18">
        <f t="shared" si="42"/>
        <v>615.88</v>
      </c>
      <c r="Z656" s="18" t="str">
        <f t="shared" si="43"/>
        <v/>
      </c>
    </row>
    <row r="657" spans="2:26" x14ac:dyDescent="0.25">
      <c r="B657" t="s">
        <v>277</v>
      </c>
      <c r="C657" t="s">
        <v>16</v>
      </c>
      <c r="D657" t="s">
        <v>16</v>
      </c>
      <c r="E657" t="s">
        <v>16</v>
      </c>
      <c r="F657" t="s">
        <v>16</v>
      </c>
      <c r="G657" t="s">
        <v>386</v>
      </c>
      <c r="H657" s="18">
        <v>825.48</v>
      </c>
      <c r="I657" t="s">
        <v>23</v>
      </c>
      <c r="J657" t="s">
        <v>19</v>
      </c>
      <c r="N657" t="s">
        <v>21</v>
      </c>
      <c r="O657" t="s">
        <v>22</v>
      </c>
      <c r="P657" t="s">
        <v>20</v>
      </c>
      <c r="Q657">
        <v>23608</v>
      </c>
      <c r="R657">
        <f t="shared" si="40"/>
        <v>2</v>
      </c>
      <c r="V657">
        <f t="shared" si="41"/>
        <v>23608</v>
      </c>
      <c r="Y657" s="18">
        <f t="shared" si="42"/>
        <v>825.48</v>
      </c>
      <c r="Z657" s="18">
        <f t="shared" si="43"/>
        <v>0</v>
      </c>
    </row>
    <row r="658" spans="2:26" hidden="1" x14ac:dyDescent="0.25">
      <c r="B658" t="s">
        <v>15</v>
      </c>
      <c r="C658" t="s">
        <v>16</v>
      </c>
      <c r="D658" t="s">
        <v>16</v>
      </c>
      <c r="E658" t="s">
        <v>16</v>
      </c>
      <c r="F658" t="s">
        <v>16</v>
      </c>
      <c r="G658" t="s">
        <v>557</v>
      </c>
      <c r="H658" s="18">
        <v>-1919.17</v>
      </c>
      <c r="J658" t="s">
        <v>19</v>
      </c>
      <c r="N658" t="s">
        <v>21</v>
      </c>
      <c r="O658" t="s">
        <v>22</v>
      </c>
      <c r="P658" t="s">
        <v>20</v>
      </c>
      <c r="Q658">
        <v>23582</v>
      </c>
      <c r="R658">
        <f t="shared" si="40"/>
        <v>2</v>
      </c>
      <c r="V658">
        <f t="shared" si="41"/>
        <v>23582</v>
      </c>
      <c r="Y658" s="18">
        <f t="shared" si="42"/>
        <v>2172.25</v>
      </c>
      <c r="Z658" s="18" t="str">
        <f t="shared" si="43"/>
        <v/>
      </c>
    </row>
    <row r="659" spans="2:26" x14ac:dyDescent="0.25">
      <c r="B659" t="s">
        <v>277</v>
      </c>
      <c r="C659" t="s">
        <v>16</v>
      </c>
      <c r="D659" t="s">
        <v>16</v>
      </c>
      <c r="E659" t="s">
        <v>16</v>
      </c>
      <c r="F659" t="s">
        <v>16</v>
      </c>
      <c r="G659" t="s">
        <v>668</v>
      </c>
      <c r="H659" s="18">
        <v>38092.01</v>
      </c>
      <c r="I659" t="s">
        <v>23</v>
      </c>
      <c r="J659" t="s">
        <v>19</v>
      </c>
      <c r="N659" t="s">
        <v>21</v>
      </c>
      <c r="O659" t="s">
        <v>22</v>
      </c>
      <c r="P659" t="s">
        <v>20</v>
      </c>
      <c r="Q659">
        <v>23949</v>
      </c>
      <c r="R659">
        <f t="shared" si="40"/>
        <v>2</v>
      </c>
      <c r="V659">
        <f t="shared" si="41"/>
        <v>23949</v>
      </c>
      <c r="Y659" s="18">
        <f t="shared" si="42"/>
        <v>38092.01</v>
      </c>
      <c r="Z659" s="18">
        <f t="shared" si="43"/>
        <v>0</v>
      </c>
    </row>
    <row r="660" spans="2:26" hidden="1" x14ac:dyDescent="0.25">
      <c r="B660" t="s">
        <v>15</v>
      </c>
      <c r="C660" t="s">
        <v>16</v>
      </c>
      <c r="D660" t="s">
        <v>16</v>
      </c>
      <c r="E660" t="s">
        <v>16</v>
      </c>
      <c r="F660" t="s">
        <v>16</v>
      </c>
      <c r="G660" t="s">
        <v>556</v>
      </c>
      <c r="H660" s="18">
        <v>-13854.59</v>
      </c>
      <c r="J660" t="s">
        <v>19</v>
      </c>
      <c r="N660" t="s">
        <v>21</v>
      </c>
      <c r="O660" t="s">
        <v>22</v>
      </c>
      <c r="P660" t="s">
        <v>20</v>
      </c>
      <c r="Q660">
        <v>23604</v>
      </c>
      <c r="R660">
        <f t="shared" si="40"/>
        <v>2</v>
      </c>
      <c r="V660">
        <f t="shared" si="41"/>
        <v>23604</v>
      </c>
      <c r="Y660" s="18">
        <f t="shared" si="42"/>
        <v>16122.61</v>
      </c>
      <c r="Z660" s="18" t="str">
        <f t="shared" si="43"/>
        <v/>
      </c>
    </row>
    <row r="661" spans="2:26" hidden="1" x14ac:dyDescent="0.25">
      <c r="B661" t="s">
        <v>15</v>
      </c>
      <c r="C661" t="s">
        <v>16</v>
      </c>
      <c r="D661" t="s">
        <v>16</v>
      </c>
      <c r="E661" t="s">
        <v>16</v>
      </c>
      <c r="F661" t="s">
        <v>16</v>
      </c>
      <c r="G661" t="s">
        <v>566</v>
      </c>
      <c r="H661" s="18">
        <v>-2290.2600000000002</v>
      </c>
      <c r="J661" t="s">
        <v>19</v>
      </c>
      <c r="N661" t="s">
        <v>21</v>
      </c>
      <c r="O661" t="s">
        <v>22</v>
      </c>
      <c r="P661" t="s">
        <v>20</v>
      </c>
      <c r="Q661">
        <v>25602</v>
      </c>
      <c r="R661">
        <f t="shared" si="40"/>
        <v>2</v>
      </c>
      <c r="V661">
        <f t="shared" si="41"/>
        <v>25602</v>
      </c>
      <c r="Y661" s="18">
        <f t="shared" si="42"/>
        <v>58360.32</v>
      </c>
      <c r="Z661" s="18" t="str">
        <f t="shared" si="43"/>
        <v/>
      </c>
    </row>
    <row r="662" spans="2:26" hidden="1" x14ac:dyDescent="0.25">
      <c r="B662" t="s">
        <v>15</v>
      </c>
      <c r="C662" t="s">
        <v>16</v>
      </c>
      <c r="D662" t="s">
        <v>16</v>
      </c>
      <c r="E662" t="s">
        <v>16</v>
      </c>
      <c r="F662" t="s">
        <v>16</v>
      </c>
      <c r="G662" t="s">
        <v>512</v>
      </c>
      <c r="H662" s="18">
        <v>-313.35000000000002</v>
      </c>
      <c r="J662" t="s">
        <v>19</v>
      </c>
      <c r="N662" t="s">
        <v>21</v>
      </c>
      <c r="O662" t="s">
        <v>22</v>
      </c>
      <c r="P662" t="s">
        <v>20</v>
      </c>
      <c r="Q662">
        <v>23666</v>
      </c>
      <c r="R662">
        <f t="shared" si="40"/>
        <v>2</v>
      </c>
      <c r="V662">
        <f t="shared" si="41"/>
        <v>23666</v>
      </c>
      <c r="Y662" s="18">
        <f t="shared" si="42"/>
        <v>11780.26</v>
      </c>
      <c r="Z662" s="18" t="str">
        <f t="shared" si="43"/>
        <v/>
      </c>
    </row>
    <row r="663" spans="2:26" hidden="1" x14ac:dyDescent="0.25">
      <c r="B663" t="s">
        <v>15</v>
      </c>
      <c r="C663" t="s">
        <v>16</v>
      </c>
      <c r="D663" t="s">
        <v>16</v>
      </c>
      <c r="E663" t="s">
        <v>16</v>
      </c>
      <c r="F663" t="s">
        <v>16</v>
      </c>
      <c r="G663" t="s">
        <v>669</v>
      </c>
      <c r="H663" s="18">
        <v>-50277.59</v>
      </c>
      <c r="J663" t="s">
        <v>19</v>
      </c>
      <c r="N663" t="s">
        <v>21</v>
      </c>
      <c r="O663" t="s">
        <v>22</v>
      </c>
      <c r="P663" t="s">
        <v>20</v>
      </c>
      <c r="Q663">
        <v>23516</v>
      </c>
      <c r="R663">
        <f t="shared" si="40"/>
        <v>2</v>
      </c>
      <c r="V663">
        <f t="shared" si="41"/>
        <v>23516</v>
      </c>
      <c r="Y663" s="18">
        <f t="shared" si="42"/>
        <v>112516.79</v>
      </c>
      <c r="Z663" s="18" t="str">
        <f t="shared" si="43"/>
        <v/>
      </c>
    </row>
    <row r="664" spans="2:26" x14ac:dyDescent="0.25">
      <c r="B664" t="s">
        <v>277</v>
      </c>
      <c r="C664" t="s">
        <v>16</v>
      </c>
      <c r="D664" t="s">
        <v>16</v>
      </c>
      <c r="E664" t="s">
        <v>16</v>
      </c>
      <c r="F664" t="s">
        <v>16</v>
      </c>
      <c r="G664" t="s">
        <v>500</v>
      </c>
      <c r="H664" s="18">
        <v>26563.62</v>
      </c>
      <c r="I664" t="s">
        <v>23</v>
      </c>
      <c r="J664" t="s">
        <v>19</v>
      </c>
      <c r="N664" t="s">
        <v>21</v>
      </c>
      <c r="O664" t="s">
        <v>22</v>
      </c>
      <c r="P664" t="s">
        <v>20</v>
      </c>
      <c r="Q664">
        <v>23494</v>
      </c>
      <c r="R664">
        <f t="shared" si="40"/>
        <v>2</v>
      </c>
      <c r="V664">
        <f t="shared" si="41"/>
        <v>23494</v>
      </c>
      <c r="Y664" s="18">
        <f t="shared" si="42"/>
        <v>26563.62</v>
      </c>
      <c r="Z664" s="18">
        <f t="shared" si="43"/>
        <v>0</v>
      </c>
    </row>
    <row r="665" spans="2:26" hidden="1" x14ac:dyDescent="0.25">
      <c r="B665" t="s">
        <v>15</v>
      </c>
      <c r="C665" t="s">
        <v>16</v>
      </c>
      <c r="D665" t="s">
        <v>16</v>
      </c>
      <c r="E665" t="s">
        <v>16</v>
      </c>
      <c r="F665" t="s">
        <v>16</v>
      </c>
      <c r="G665" t="s">
        <v>661</v>
      </c>
      <c r="H665" s="18">
        <v>-2000.83</v>
      </c>
      <c r="J665" t="s">
        <v>19</v>
      </c>
      <c r="N665" t="s">
        <v>21</v>
      </c>
      <c r="O665" t="s">
        <v>22</v>
      </c>
      <c r="P665" t="s">
        <v>20</v>
      </c>
      <c r="Q665">
        <v>27127</v>
      </c>
      <c r="R665">
        <f t="shared" si="40"/>
        <v>2</v>
      </c>
      <c r="V665" t="str">
        <f t="shared" si="41"/>
        <v/>
      </c>
      <c r="W665" s="26" t="s">
        <v>686</v>
      </c>
      <c r="X665" s="15" t="s">
        <v>129</v>
      </c>
      <c r="Y665" s="18" t="str">
        <f t="shared" si="42"/>
        <v/>
      </c>
      <c r="Z665" s="18" t="str">
        <f t="shared" si="43"/>
        <v/>
      </c>
    </row>
    <row r="666" spans="2:26" hidden="1" x14ac:dyDescent="0.25">
      <c r="B666" t="s">
        <v>15</v>
      </c>
      <c r="C666" t="s">
        <v>16</v>
      </c>
      <c r="D666" t="s">
        <v>16</v>
      </c>
      <c r="E666" t="s">
        <v>16</v>
      </c>
      <c r="F666" t="s">
        <v>16</v>
      </c>
      <c r="G666" t="s">
        <v>670</v>
      </c>
      <c r="H666" s="18">
        <v>-148893.92000000001</v>
      </c>
      <c r="J666" t="s">
        <v>19</v>
      </c>
      <c r="N666" t="s">
        <v>21</v>
      </c>
      <c r="O666" t="s">
        <v>22</v>
      </c>
      <c r="P666" t="s">
        <v>20</v>
      </c>
      <c r="Q666">
        <v>25691</v>
      </c>
      <c r="R666">
        <f t="shared" si="40"/>
        <v>2</v>
      </c>
      <c r="V666">
        <f t="shared" si="41"/>
        <v>25691</v>
      </c>
      <c r="Y666" s="18">
        <f t="shared" si="42"/>
        <v>211423.79</v>
      </c>
      <c r="Z666" s="18" t="str">
        <f t="shared" si="43"/>
        <v/>
      </c>
    </row>
    <row r="667" spans="2:26" x14ac:dyDescent="0.25">
      <c r="B667" t="s">
        <v>277</v>
      </c>
      <c r="C667" t="s">
        <v>16</v>
      </c>
      <c r="D667" t="s">
        <v>16</v>
      </c>
      <c r="E667" t="s">
        <v>16</v>
      </c>
      <c r="F667" t="s">
        <v>16</v>
      </c>
      <c r="G667" t="s">
        <v>502</v>
      </c>
      <c r="H667" s="18">
        <v>96.74</v>
      </c>
      <c r="I667" t="s">
        <v>23</v>
      </c>
      <c r="J667" t="s">
        <v>19</v>
      </c>
      <c r="N667" t="s">
        <v>21</v>
      </c>
      <c r="O667" t="s">
        <v>22</v>
      </c>
      <c r="P667" t="s">
        <v>20</v>
      </c>
      <c r="Q667">
        <v>23634</v>
      </c>
      <c r="R667">
        <f t="shared" si="40"/>
        <v>2</v>
      </c>
      <c r="V667">
        <f t="shared" si="41"/>
        <v>23634</v>
      </c>
      <c r="Y667" s="18">
        <f t="shared" si="42"/>
        <v>96.74</v>
      </c>
      <c r="Z667" s="18">
        <f t="shared" si="43"/>
        <v>0</v>
      </c>
    </row>
    <row r="668" spans="2:26" x14ac:dyDescent="0.25">
      <c r="B668" t="s">
        <v>277</v>
      </c>
      <c r="C668" t="s">
        <v>16</v>
      </c>
      <c r="D668" t="s">
        <v>16</v>
      </c>
      <c r="E668" t="s">
        <v>16</v>
      </c>
      <c r="F668" t="s">
        <v>16</v>
      </c>
      <c r="G668" t="s">
        <v>598</v>
      </c>
      <c r="H668" s="18">
        <v>90114.69</v>
      </c>
      <c r="I668" t="s">
        <v>23</v>
      </c>
      <c r="J668" t="s">
        <v>19</v>
      </c>
      <c r="N668" t="s">
        <v>21</v>
      </c>
      <c r="O668" t="s">
        <v>22</v>
      </c>
      <c r="P668" t="s">
        <v>20</v>
      </c>
      <c r="Q668">
        <v>25704</v>
      </c>
      <c r="R668">
        <f t="shared" si="40"/>
        <v>2</v>
      </c>
      <c r="V668">
        <f t="shared" si="41"/>
        <v>25704</v>
      </c>
      <c r="Y668" s="18">
        <f t="shared" si="42"/>
        <v>90114.69</v>
      </c>
      <c r="Z668" s="18">
        <f t="shared" si="43"/>
        <v>0</v>
      </c>
    </row>
    <row r="669" spans="2:26" hidden="1" x14ac:dyDescent="0.25">
      <c r="B669" t="s">
        <v>15</v>
      </c>
      <c r="C669" t="s">
        <v>16</v>
      </c>
      <c r="D669" t="s">
        <v>16</v>
      </c>
      <c r="E669" t="s">
        <v>16</v>
      </c>
      <c r="F669" t="s">
        <v>16</v>
      </c>
      <c r="G669" t="s">
        <v>555</v>
      </c>
      <c r="H669" s="18">
        <v>-9388.7199999999993</v>
      </c>
      <c r="J669" t="s">
        <v>19</v>
      </c>
      <c r="N669" t="s">
        <v>21</v>
      </c>
      <c r="O669" t="s">
        <v>22</v>
      </c>
      <c r="P669" t="s">
        <v>20</v>
      </c>
      <c r="Q669">
        <v>27157</v>
      </c>
      <c r="R669">
        <f t="shared" si="40"/>
        <v>2</v>
      </c>
      <c r="V669" t="str">
        <f t="shared" si="41"/>
        <v/>
      </c>
      <c r="W669" s="26" t="s">
        <v>686</v>
      </c>
      <c r="X669" s="15" t="s">
        <v>129</v>
      </c>
      <c r="Y669" s="18" t="str">
        <f t="shared" si="42"/>
        <v/>
      </c>
      <c r="Z669" s="18" t="str">
        <f t="shared" si="43"/>
        <v/>
      </c>
    </row>
    <row r="670" spans="2:26" hidden="1" x14ac:dyDescent="0.25">
      <c r="B670" t="s">
        <v>15</v>
      </c>
      <c r="C670" t="s">
        <v>16</v>
      </c>
      <c r="D670" t="s">
        <v>16</v>
      </c>
      <c r="E670" t="s">
        <v>16</v>
      </c>
      <c r="F670" t="s">
        <v>16</v>
      </c>
      <c r="G670" t="s">
        <v>671</v>
      </c>
      <c r="H670" s="18">
        <v>-1831.56</v>
      </c>
      <c r="J670" t="s">
        <v>19</v>
      </c>
      <c r="N670" t="s">
        <v>21</v>
      </c>
      <c r="O670" t="s">
        <v>22</v>
      </c>
      <c r="P670" t="s">
        <v>20</v>
      </c>
      <c r="Q670">
        <v>23597</v>
      </c>
      <c r="R670">
        <f t="shared" si="40"/>
        <v>2</v>
      </c>
      <c r="V670">
        <f t="shared" si="41"/>
        <v>23597</v>
      </c>
      <c r="Y670" s="18">
        <f t="shared" si="42"/>
        <v>2172.25</v>
      </c>
      <c r="Z670" s="18" t="str">
        <f t="shared" si="43"/>
        <v/>
      </c>
    </row>
    <row r="671" spans="2:26" hidden="1" x14ac:dyDescent="0.25">
      <c r="B671" t="s">
        <v>15</v>
      </c>
      <c r="C671" t="s">
        <v>16</v>
      </c>
      <c r="D671" t="s">
        <v>16</v>
      </c>
      <c r="E671" t="s">
        <v>16</v>
      </c>
      <c r="F671" t="s">
        <v>16</v>
      </c>
      <c r="G671" t="s">
        <v>369</v>
      </c>
      <c r="H671" s="18">
        <v>-14832.02</v>
      </c>
      <c r="J671" t="s">
        <v>19</v>
      </c>
      <c r="N671" t="s">
        <v>21</v>
      </c>
      <c r="O671" t="s">
        <v>22</v>
      </c>
      <c r="P671" t="s">
        <v>20</v>
      </c>
      <c r="Q671">
        <v>23490</v>
      </c>
      <c r="R671">
        <f t="shared" si="40"/>
        <v>2</v>
      </c>
      <c r="V671">
        <f t="shared" si="41"/>
        <v>23490</v>
      </c>
      <c r="Y671" s="18">
        <f t="shared" si="42"/>
        <v>22229.86</v>
      </c>
      <c r="Z671" s="18" t="str">
        <f t="shared" si="43"/>
        <v/>
      </c>
    </row>
    <row r="672" spans="2:26" hidden="1" x14ac:dyDescent="0.25">
      <c r="B672" t="s">
        <v>15</v>
      </c>
      <c r="C672" t="s">
        <v>16</v>
      </c>
      <c r="D672" t="s">
        <v>16</v>
      </c>
      <c r="E672" t="s">
        <v>16</v>
      </c>
      <c r="F672" t="s">
        <v>16</v>
      </c>
      <c r="G672" t="s">
        <v>594</v>
      </c>
      <c r="H672" s="18">
        <v>-72557.88</v>
      </c>
      <c r="J672" t="s">
        <v>19</v>
      </c>
      <c r="N672" t="s">
        <v>21</v>
      </c>
      <c r="O672" t="s">
        <v>22</v>
      </c>
      <c r="P672" t="s">
        <v>20</v>
      </c>
      <c r="Q672">
        <v>2090</v>
      </c>
      <c r="R672">
        <f t="shared" si="40"/>
        <v>2</v>
      </c>
      <c r="V672">
        <f t="shared" si="41"/>
        <v>2090</v>
      </c>
      <c r="Y672" s="18">
        <f t="shared" si="42"/>
        <v>72558.429999999993</v>
      </c>
      <c r="Z672" s="18" t="str">
        <f t="shared" si="43"/>
        <v/>
      </c>
    </row>
    <row r="673" spans="2:26" hidden="1" x14ac:dyDescent="0.25">
      <c r="B673" t="s">
        <v>15</v>
      </c>
      <c r="C673" t="s">
        <v>16</v>
      </c>
      <c r="D673" t="s">
        <v>16</v>
      </c>
      <c r="E673" t="s">
        <v>16</v>
      </c>
      <c r="F673" t="s">
        <v>16</v>
      </c>
      <c r="G673" t="s">
        <v>672</v>
      </c>
      <c r="H673" s="18">
        <v>-31.7</v>
      </c>
      <c r="J673" t="s">
        <v>19</v>
      </c>
      <c r="N673" t="s">
        <v>21</v>
      </c>
      <c r="O673" t="s">
        <v>22</v>
      </c>
      <c r="P673" t="s">
        <v>20</v>
      </c>
      <c r="Q673">
        <v>23629</v>
      </c>
      <c r="R673">
        <f t="shared" si="40"/>
        <v>2</v>
      </c>
      <c r="V673">
        <f t="shared" si="41"/>
        <v>23629</v>
      </c>
      <c r="Y673" s="18">
        <f t="shared" si="42"/>
        <v>119.31</v>
      </c>
      <c r="Z673" s="18" t="str">
        <f t="shared" si="43"/>
        <v/>
      </c>
    </row>
    <row r="674" spans="2:26" x14ac:dyDescent="0.25">
      <c r="B674" t="s">
        <v>277</v>
      </c>
      <c r="C674" t="s">
        <v>16</v>
      </c>
      <c r="D674" t="s">
        <v>16</v>
      </c>
      <c r="E674" t="s">
        <v>16</v>
      </c>
      <c r="F674" t="s">
        <v>16</v>
      </c>
      <c r="G674" t="s">
        <v>357</v>
      </c>
      <c r="H674" s="18">
        <v>44680.3</v>
      </c>
      <c r="I674" t="s">
        <v>23</v>
      </c>
      <c r="J674" t="s">
        <v>19</v>
      </c>
      <c r="N674" t="s">
        <v>21</v>
      </c>
      <c r="O674" t="s">
        <v>22</v>
      </c>
      <c r="P674" t="s">
        <v>20</v>
      </c>
      <c r="Q674">
        <v>23792</v>
      </c>
      <c r="R674">
        <f t="shared" si="40"/>
        <v>2</v>
      </c>
      <c r="V674">
        <f t="shared" si="41"/>
        <v>23792</v>
      </c>
      <c r="Y674" s="18">
        <f t="shared" si="42"/>
        <v>44680.3</v>
      </c>
      <c r="Z674" s="18">
        <f t="shared" si="43"/>
        <v>0</v>
      </c>
    </row>
    <row r="675" spans="2:26" hidden="1" x14ac:dyDescent="0.25">
      <c r="B675" t="s">
        <v>15</v>
      </c>
      <c r="C675" t="s">
        <v>16</v>
      </c>
      <c r="D675" t="s">
        <v>16</v>
      </c>
      <c r="E675" t="s">
        <v>16</v>
      </c>
      <c r="F675" t="s">
        <v>16</v>
      </c>
      <c r="G675" t="s">
        <v>448</v>
      </c>
      <c r="H675" s="18">
        <v>-27438.84</v>
      </c>
      <c r="J675" t="s">
        <v>19</v>
      </c>
      <c r="N675" t="s">
        <v>21</v>
      </c>
      <c r="O675" t="s">
        <v>22</v>
      </c>
      <c r="P675" t="s">
        <v>20</v>
      </c>
      <c r="Q675">
        <v>2100094299</v>
      </c>
      <c r="R675">
        <f t="shared" si="40"/>
        <v>2</v>
      </c>
      <c r="V675">
        <f t="shared" si="41"/>
        <v>2100094299</v>
      </c>
      <c r="Y675" s="18">
        <f t="shared" si="42"/>
        <v>57711.58</v>
      </c>
      <c r="Z675" s="18" t="str">
        <f t="shared" si="43"/>
        <v/>
      </c>
    </row>
    <row r="676" spans="2:26" hidden="1" x14ac:dyDescent="0.25">
      <c r="B676" t="s">
        <v>15</v>
      </c>
      <c r="C676" t="s">
        <v>16</v>
      </c>
      <c r="D676" t="s">
        <v>16</v>
      </c>
      <c r="E676" t="s">
        <v>16</v>
      </c>
      <c r="F676" t="s">
        <v>16</v>
      </c>
      <c r="G676" t="s">
        <v>601</v>
      </c>
      <c r="H676" s="18">
        <v>-31.7</v>
      </c>
      <c r="J676" t="s">
        <v>19</v>
      </c>
      <c r="N676" t="s">
        <v>21</v>
      </c>
      <c r="O676" t="s">
        <v>22</v>
      </c>
      <c r="P676" t="s">
        <v>20</v>
      </c>
      <c r="Q676">
        <v>23628</v>
      </c>
      <c r="R676">
        <f t="shared" si="40"/>
        <v>2</v>
      </c>
      <c r="V676">
        <f t="shared" si="41"/>
        <v>23628</v>
      </c>
      <c r="Y676" s="18">
        <f t="shared" si="42"/>
        <v>119.31</v>
      </c>
      <c r="Z676" s="18" t="str">
        <f t="shared" si="43"/>
        <v/>
      </c>
    </row>
    <row r="677" spans="2:26" x14ac:dyDescent="0.25">
      <c r="B677" t="s">
        <v>277</v>
      </c>
      <c r="C677" t="s">
        <v>16</v>
      </c>
      <c r="D677" t="s">
        <v>16</v>
      </c>
      <c r="E677" t="s">
        <v>16</v>
      </c>
      <c r="F677" t="s">
        <v>16</v>
      </c>
      <c r="G677" t="s">
        <v>662</v>
      </c>
      <c r="H677" s="18">
        <v>35827.79</v>
      </c>
      <c r="I677" t="s">
        <v>23</v>
      </c>
      <c r="J677" t="s">
        <v>19</v>
      </c>
      <c r="N677" t="s">
        <v>21</v>
      </c>
      <c r="O677" t="s">
        <v>22</v>
      </c>
      <c r="P677" t="s">
        <v>20</v>
      </c>
      <c r="Q677">
        <v>27047</v>
      </c>
      <c r="R677">
        <f t="shared" si="40"/>
        <v>2</v>
      </c>
      <c r="V677">
        <f t="shared" si="41"/>
        <v>27047</v>
      </c>
      <c r="Y677" s="18">
        <f t="shared" si="42"/>
        <v>35200</v>
      </c>
      <c r="Z677" s="18">
        <f t="shared" si="43"/>
        <v>627.79000000000087</v>
      </c>
    </row>
    <row r="678" spans="2:26" x14ac:dyDescent="0.25">
      <c r="B678" t="s">
        <v>277</v>
      </c>
      <c r="C678" t="s">
        <v>16</v>
      </c>
      <c r="D678" t="s">
        <v>16</v>
      </c>
      <c r="E678" t="s">
        <v>16</v>
      </c>
      <c r="F678" t="s">
        <v>16</v>
      </c>
      <c r="G678" t="s">
        <v>434</v>
      </c>
      <c r="H678" s="18">
        <v>76636.149999999994</v>
      </c>
      <c r="I678" t="s">
        <v>23</v>
      </c>
      <c r="J678" t="s">
        <v>19</v>
      </c>
      <c r="N678" t="s">
        <v>21</v>
      </c>
      <c r="O678" t="s">
        <v>22</v>
      </c>
      <c r="P678" t="s">
        <v>20</v>
      </c>
      <c r="Q678">
        <v>23507</v>
      </c>
      <c r="R678">
        <f t="shared" si="40"/>
        <v>2</v>
      </c>
      <c r="V678">
        <f t="shared" si="41"/>
        <v>23507</v>
      </c>
      <c r="Y678" s="18">
        <f t="shared" si="42"/>
        <v>76636.149999999994</v>
      </c>
      <c r="Z678" s="18">
        <f t="shared" si="43"/>
        <v>0</v>
      </c>
    </row>
    <row r="679" spans="2:26" x14ac:dyDescent="0.25">
      <c r="B679" t="s">
        <v>277</v>
      </c>
      <c r="C679" t="s">
        <v>16</v>
      </c>
      <c r="D679" t="s">
        <v>16</v>
      </c>
      <c r="E679" t="s">
        <v>16</v>
      </c>
      <c r="F679" t="s">
        <v>16</v>
      </c>
      <c r="G679" t="s">
        <v>570</v>
      </c>
      <c r="H679" s="18">
        <v>368.67</v>
      </c>
      <c r="I679" t="s">
        <v>23</v>
      </c>
      <c r="J679" t="s">
        <v>19</v>
      </c>
      <c r="N679" t="s">
        <v>21</v>
      </c>
      <c r="O679" t="s">
        <v>22</v>
      </c>
      <c r="P679" t="s">
        <v>20</v>
      </c>
      <c r="Q679">
        <v>23642</v>
      </c>
      <c r="R679">
        <f t="shared" si="40"/>
        <v>2</v>
      </c>
      <c r="V679">
        <f t="shared" si="41"/>
        <v>23642</v>
      </c>
      <c r="Y679" s="18">
        <f t="shared" si="42"/>
        <v>368.67</v>
      </c>
      <c r="Z679" s="18">
        <f t="shared" si="43"/>
        <v>0</v>
      </c>
    </row>
    <row r="680" spans="2:26" x14ac:dyDescent="0.25">
      <c r="B680" t="s">
        <v>277</v>
      </c>
      <c r="C680" t="s">
        <v>16</v>
      </c>
      <c r="D680" t="s">
        <v>16</v>
      </c>
      <c r="E680" t="s">
        <v>16</v>
      </c>
      <c r="F680" t="s">
        <v>16</v>
      </c>
      <c r="G680" t="s">
        <v>431</v>
      </c>
      <c r="H680" s="18">
        <v>1859.47</v>
      </c>
      <c r="I680" t="s">
        <v>23</v>
      </c>
      <c r="J680" t="s">
        <v>19</v>
      </c>
      <c r="N680" t="s">
        <v>21</v>
      </c>
      <c r="O680" t="s">
        <v>22</v>
      </c>
      <c r="P680" t="s">
        <v>20</v>
      </c>
      <c r="Q680">
        <v>23588</v>
      </c>
      <c r="R680">
        <f t="shared" si="40"/>
        <v>2</v>
      </c>
      <c r="V680">
        <f t="shared" si="41"/>
        <v>23588</v>
      </c>
      <c r="Y680" s="18">
        <f t="shared" si="42"/>
        <v>1859.47</v>
      </c>
      <c r="Z680" s="18">
        <f t="shared" si="43"/>
        <v>0</v>
      </c>
    </row>
    <row r="681" spans="2:26" x14ac:dyDescent="0.25">
      <c r="B681" t="s">
        <v>277</v>
      </c>
      <c r="C681" t="s">
        <v>16</v>
      </c>
      <c r="D681" t="s">
        <v>16</v>
      </c>
      <c r="E681" t="s">
        <v>16</v>
      </c>
      <c r="F681" t="s">
        <v>16</v>
      </c>
      <c r="G681" t="s">
        <v>540</v>
      </c>
      <c r="H681" s="18">
        <v>1892.79</v>
      </c>
      <c r="I681" t="s">
        <v>23</v>
      </c>
      <c r="J681" t="s">
        <v>19</v>
      </c>
      <c r="N681" t="s">
        <v>21</v>
      </c>
      <c r="O681" t="s">
        <v>22</v>
      </c>
      <c r="P681" t="s">
        <v>20</v>
      </c>
      <c r="Q681">
        <v>23612</v>
      </c>
      <c r="R681">
        <f t="shared" si="40"/>
        <v>2</v>
      </c>
      <c r="V681">
        <f t="shared" si="41"/>
        <v>23612</v>
      </c>
      <c r="Y681" s="18">
        <f t="shared" si="42"/>
        <v>1892.79</v>
      </c>
      <c r="Z681" s="18">
        <f t="shared" si="43"/>
        <v>0</v>
      </c>
    </row>
    <row r="682" spans="2:26" x14ac:dyDescent="0.25">
      <c r="B682" t="s">
        <v>277</v>
      </c>
      <c r="C682" t="s">
        <v>16</v>
      </c>
      <c r="D682" t="s">
        <v>16</v>
      </c>
      <c r="E682" t="s">
        <v>16</v>
      </c>
      <c r="F682" t="s">
        <v>16</v>
      </c>
      <c r="G682" t="s">
        <v>669</v>
      </c>
      <c r="H682" s="18">
        <v>112516.79</v>
      </c>
      <c r="I682" t="s">
        <v>23</v>
      </c>
      <c r="J682" t="s">
        <v>19</v>
      </c>
      <c r="N682" t="s">
        <v>21</v>
      </c>
      <c r="O682" t="s">
        <v>22</v>
      </c>
      <c r="P682" t="s">
        <v>20</v>
      </c>
      <c r="Q682">
        <v>23516</v>
      </c>
      <c r="R682">
        <f t="shared" si="40"/>
        <v>2</v>
      </c>
      <c r="V682">
        <f t="shared" si="41"/>
        <v>23516</v>
      </c>
      <c r="Y682" s="18">
        <f t="shared" si="42"/>
        <v>112516.79</v>
      </c>
      <c r="Z682" s="18">
        <f t="shared" si="43"/>
        <v>0</v>
      </c>
    </row>
    <row r="683" spans="2:26" hidden="1" x14ac:dyDescent="0.25">
      <c r="B683" t="s">
        <v>15</v>
      </c>
      <c r="C683" t="s">
        <v>16</v>
      </c>
      <c r="D683" t="s">
        <v>16</v>
      </c>
      <c r="E683" t="s">
        <v>16</v>
      </c>
      <c r="F683" t="s">
        <v>16</v>
      </c>
      <c r="G683" t="s">
        <v>651</v>
      </c>
      <c r="H683" s="18">
        <v>-1690.69</v>
      </c>
      <c r="J683" t="s">
        <v>19</v>
      </c>
      <c r="N683" t="s">
        <v>21</v>
      </c>
      <c r="O683" t="s">
        <v>22</v>
      </c>
      <c r="P683" t="s">
        <v>20</v>
      </c>
      <c r="Q683">
        <v>26501</v>
      </c>
      <c r="R683">
        <f t="shared" si="40"/>
        <v>2</v>
      </c>
      <c r="V683">
        <f t="shared" si="41"/>
        <v>26501</v>
      </c>
      <c r="Y683" s="18">
        <f t="shared" si="42"/>
        <v>43081.95</v>
      </c>
      <c r="Z683" s="18" t="str">
        <f t="shared" si="43"/>
        <v/>
      </c>
    </row>
    <row r="684" spans="2:26" hidden="1" x14ac:dyDescent="0.25">
      <c r="B684" t="s">
        <v>15</v>
      </c>
      <c r="C684" t="s">
        <v>16</v>
      </c>
      <c r="D684" t="s">
        <v>16</v>
      </c>
      <c r="E684" t="s">
        <v>16</v>
      </c>
      <c r="F684" t="s">
        <v>16</v>
      </c>
      <c r="G684" t="s">
        <v>578</v>
      </c>
      <c r="H684" s="18">
        <v>-8960.43</v>
      </c>
      <c r="J684" t="s">
        <v>19</v>
      </c>
      <c r="N684" t="s">
        <v>21</v>
      </c>
      <c r="O684" t="s">
        <v>22</v>
      </c>
      <c r="P684" t="s">
        <v>20</v>
      </c>
      <c r="Q684">
        <v>26777</v>
      </c>
      <c r="R684">
        <f t="shared" si="40"/>
        <v>2</v>
      </c>
      <c r="V684">
        <f t="shared" si="41"/>
        <v>26777</v>
      </c>
      <c r="Y684" s="18">
        <f t="shared" si="42"/>
        <v>131200</v>
      </c>
      <c r="Z684" s="18" t="str">
        <f t="shared" si="43"/>
        <v/>
      </c>
    </row>
    <row r="685" spans="2:26" x14ac:dyDescent="0.25">
      <c r="B685" t="s">
        <v>277</v>
      </c>
      <c r="C685" t="s">
        <v>16</v>
      </c>
      <c r="D685" t="s">
        <v>16</v>
      </c>
      <c r="E685" t="s">
        <v>16</v>
      </c>
      <c r="F685" t="s">
        <v>16</v>
      </c>
      <c r="G685" t="s">
        <v>673</v>
      </c>
      <c r="H685" s="18">
        <v>4605.12</v>
      </c>
      <c r="I685" t="s">
        <v>23</v>
      </c>
      <c r="J685" t="s">
        <v>19</v>
      </c>
      <c r="N685" t="s">
        <v>21</v>
      </c>
      <c r="O685" t="s">
        <v>22</v>
      </c>
      <c r="P685" t="s">
        <v>20</v>
      </c>
      <c r="Q685">
        <v>19371</v>
      </c>
      <c r="R685">
        <f t="shared" si="40"/>
        <v>2</v>
      </c>
      <c r="V685">
        <f t="shared" si="41"/>
        <v>19371</v>
      </c>
      <c r="Y685" s="18">
        <f t="shared" si="42"/>
        <v>4605.12</v>
      </c>
      <c r="Z685" s="18">
        <f t="shared" si="43"/>
        <v>0</v>
      </c>
    </row>
    <row r="686" spans="2:26" hidden="1" x14ac:dyDescent="0.25">
      <c r="B686" t="s">
        <v>15</v>
      </c>
      <c r="C686" t="s">
        <v>16</v>
      </c>
      <c r="D686" t="s">
        <v>16</v>
      </c>
      <c r="E686" t="s">
        <v>16</v>
      </c>
      <c r="F686" t="s">
        <v>16</v>
      </c>
      <c r="G686" t="s">
        <v>314</v>
      </c>
      <c r="H686" s="18">
        <v>-1159.3800000000001</v>
      </c>
      <c r="J686" t="s">
        <v>19</v>
      </c>
      <c r="N686" t="s">
        <v>21</v>
      </c>
      <c r="O686" t="s">
        <v>22</v>
      </c>
      <c r="P686" t="s">
        <v>20</v>
      </c>
      <c r="Q686">
        <v>9002212320</v>
      </c>
      <c r="R686">
        <f t="shared" si="40"/>
        <v>2</v>
      </c>
      <c r="V686">
        <f t="shared" si="41"/>
        <v>9002212320</v>
      </c>
      <c r="Y686" s="18">
        <f t="shared" si="42"/>
        <v>29543.32</v>
      </c>
      <c r="Z686" s="18" t="str">
        <f t="shared" si="43"/>
        <v/>
      </c>
    </row>
    <row r="687" spans="2:26" hidden="1" x14ac:dyDescent="0.25">
      <c r="B687" t="s">
        <v>15</v>
      </c>
      <c r="C687" t="s">
        <v>16</v>
      </c>
      <c r="D687" t="s">
        <v>16</v>
      </c>
      <c r="E687" t="s">
        <v>16</v>
      </c>
      <c r="F687" t="s">
        <v>16</v>
      </c>
      <c r="G687" t="s">
        <v>525</v>
      </c>
      <c r="H687" s="18">
        <v>-20264.98</v>
      </c>
      <c r="J687" t="s">
        <v>19</v>
      </c>
      <c r="N687" t="s">
        <v>21</v>
      </c>
      <c r="O687" t="s">
        <v>22</v>
      </c>
      <c r="P687" t="s">
        <v>20</v>
      </c>
      <c r="Q687">
        <v>23511</v>
      </c>
      <c r="R687">
        <f t="shared" si="40"/>
        <v>2</v>
      </c>
      <c r="V687">
        <f t="shared" si="41"/>
        <v>23511</v>
      </c>
      <c r="Y687" s="18">
        <f t="shared" si="42"/>
        <v>58363.86</v>
      </c>
      <c r="Z687" s="18" t="str">
        <f t="shared" si="43"/>
        <v/>
      </c>
    </row>
    <row r="688" spans="2:26" x14ac:dyDescent="0.25">
      <c r="B688" t="s">
        <v>277</v>
      </c>
      <c r="C688" t="s">
        <v>16</v>
      </c>
      <c r="D688" t="s">
        <v>16</v>
      </c>
      <c r="E688" t="s">
        <v>16</v>
      </c>
      <c r="F688" t="s">
        <v>16</v>
      </c>
      <c r="G688" t="s">
        <v>523</v>
      </c>
      <c r="H688" s="18">
        <v>26563.62</v>
      </c>
      <c r="I688" t="s">
        <v>23</v>
      </c>
      <c r="J688" t="s">
        <v>19</v>
      </c>
      <c r="N688" t="s">
        <v>21</v>
      </c>
      <c r="O688" t="s">
        <v>22</v>
      </c>
      <c r="P688" t="s">
        <v>20</v>
      </c>
      <c r="Q688">
        <v>23496</v>
      </c>
      <c r="R688">
        <f t="shared" si="40"/>
        <v>2</v>
      </c>
      <c r="V688">
        <f t="shared" si="41"/>
        <v>23496</v>
      </c>
      <c r="Y688" s="18">
        <f t="shared" si="42"/>
        <v>26563.62</v>
      </c>
      <c r="Z688" s="18">
        <f t="shared" si="43"/>
        <v>0</v>
      </c>
    </row>
    <row r="689" spans="2:26" x14ac:dyDescent="0.25">
      <c r="B689" t="s">
        <v>277</v>
      </c>
      <c r="C689" t="s">
        <v>16</v>
      </c>
      <c r="D689" t="s">
        <v>16</v>
      </c>
      <c r="E689" t="s">
        <v>16</v>
      </c>
      <c r="F689" t="s">
        <v>16</v>
      </c>
      <c r="G689" t="s">
        <v>282</v>
      </c>
      <c r="H689" s="18">
        <v>266.56</v>
      </c>
      <c r="I689" t="s">
        <v>23</v>
      </c>
      <c r="J689" t="s">
        <v>19</v>
      </c>
      <c r="N689" t="s">
        <v>21</v>
      </c>
      <c r="O689" t="s">
        <v>22</v>
      </c>
      <c r="P689" t="s">
        <v>20</v>
      </c>
      <c r="Q689">
        <v>23645</v>
      </c>
      <c r="R689">
        <f t="shared" si="40"/>
        <v>2</v>
      </c>
      <c r="V689">
        <f t="shared" si="41"/>
        <v>23645</v>
      </c>
      <c r="Y689" s="18">
        <f t="shared" si="42"/>
        <v>266.56</v>
      </c>
      <c r="Z689" s="18">
        <f t="shared" si="43"/>
        <v>0</v>
      </c>
    </row>
    <row r="690" spans="2:26" x14ac:dyDescent="0.25">
      <c r="B690" t="s">
        <v>277</v>
      </c>
      <c r="C690" t="s">
        <v>16</v>
      </c>
      <c r="D690" t="s">
        <v>16</v>
      </c>
      <c r="E690" t="s">
        <v>16</v>
      </c>
      <c r="F690" t="s">
        <v>16</v>
      </c>
      <c r="G690" t="s">
        <v>653</v>
      </c>
      <c r="H690" s="18">
        <v>29022.67</v>
      </c>
      <c r="I690" t="s">
        <v>23</v>
      </c>
      <c r="J690" t="s">
        <v>19</v>
      </c>
      <c r="N690" t="s">
        <v>21</v>
      </c>
      <c r="O690" t="s">
        <v>22</v>
      </c>
      <c r="P690" t="s">
        <v>20</v>
      </c>
      <c r="Q690">
        <v>7400469164</v>
      </c>
      <c r="R690">
        <f t="shared" si="40"/>
        <v>2</v>
      </c>
      <c r="V690">
        <f t="shared" si="41"/>
        <v>7400469164</v>
      </c>
      <c r="Y690" s="18">
        <f t="shared" si="42"/>
        <v>29022.67</v>
      </c>
      <c r="Z690" s="18">
        <f t="shared" si="43"/>
        <v>0</v>
      </c>
    </row>
    <row r="691" spans="2:26" hidden="1" x14ac:dyDescent="0.25">
      <c r="B691" t="s">
        <v>15</v>
      </c>
      <c r="C691" t="s">
        <v>16</v>
      </c>
      <c r="D691" t="s">
        <v>16</v>
      </c>
      <c r="E691" t="s">
        <v>16</v>
      </c>
      <c r="F691" t="s">
        <v>16</v>
      </c>
      <c r="G691" t="s">
        <v>292</v>
      </c>
      <c r="H691" s="18">
        <v>-180612.34</v>
      </c>
      <c r="J691" t="s">
        <v>19</v>
      </c>
      <c r="N691" t="s">
        <v>21</v>
      </c>
      <c r="O691" t="s">
        <v>22</v>
      </c>
      <c r="P691" t="s">
        <v>20</v>
      </c>
      <c r="Q691">
        <v>23669</v>
      </c>
      <c r="R691">
        <f t="shared" si="40"/>
        <v>2</v>
      </c>
      <c r="V691">
        <f t="shared" si="41"/>
        <v>23669</v>
      </c>
      <c r="Y691" s="18">
        <f t="shared" si="42"/>
        <v>180612.34</v>
      </c>
      <c r="Z691" s="18" t="str">
        <f t="shared" si="43"/>
        <v/>
      </c>
    </row>
    <row r="692" spans="2:26" x14ac:dyDescent="0.25">
      <c r="B692" t="s">
        <v>277</v>
      </c>
      <c r="C692" t="s">
        <v>16</v>
      </c>
      <c r="D692" t="s">
        <v>16</v>
      </c>
      <c r="E692" t="s">
        <v>16</v>
      </c>
      <c r="F692" t="s">
        <v>16</v>
      </c>
      <c r="G692" t="s">
        <v>674</v>
      </c>
      <c r="H692" s="18">
        <v>10722.57</v>
      </c>
      <c r="I692" t="s">
        <v>23</v>
      </c>
      <c r="J692" t="s">
        <v>19</v>
      </c>
      <c r="N692" t="s">
        <v>21</v>
      </c>
      <c r="O692" t="s">
        <v>22</v>
      </c>
      <c r="P692" t="s">
        <v>20</v>
      </c>
      <c r="Q692">
        <v>23536</v>
      </c>
      <c r="R692">
        <f t="shared" si="40"/>
        <v>2</v>
      </c>
      <c r="V692">
        <f t="shared" si="41"/>
        <v>23536</v>
      </c>
      <c r="Y692" s="18">
        <f t="shared" si="42"/>
        <v>10722.57</v>
      </c>
      <c r="Z692" s="18">
        <f t="shared" si="43"/>
        <v>0</v>
      </c>
    </row>
    <row r="693" spans="2:26" x14ac:dyDescent="0.25">
      <c r="B693" t="s">
        <v>277</v>
      </c>
      <c r="C693" t="s">
        <v>16</v>
      </c>
      <c r="D693" t="s">
        <v>16</v>
      </c>
      <c r="E693" t="s">
        <v>16</v>
      </c>
      <c r="F693" t="s">
        <v>16</v>
      </c>
      <c r="G693" t="s">
        <v>625</v>
      </c>
      <c r="H693" s="18">
        <v>141372.85999999999</v>
      </c>
      <c r="I693" t="s">
        <v>23</v>
      </c>
      <c r="J693" t="s">
        <v>19</v>
      </c>
      <c r="N693" t="s">
        <v>21</v>
      </c>
      <c r="O693" t="s">
        <v>22</v>
      </c>
      <c r="P693" t="s">
        <v>20</v>
      </c>
      <c r="Q693">
        <v>26510</v>
      </c>
      <c r="R693">
        <f t="shared" si="40"/>
        <v>2</v>
      </c>
      <c r="V693">
        <f t="shared" si="41"/>
        <v>26510</v>
      </c>
      <c r="Y693" s="18">
        <f t="shared" si="42"/>
        <v>141372.85999999999</v>
      </c>
      <c r="Z693" s="18">
        <f t="shared" si="43"/>
        <v>0</v>
      </c>
    </row>
    <row r="694" spans="2:26" hidden="1" x14ac:dyDescent="0.25">
      <c r="B694" t="s">
        <v>15</v>
      </c>
      <c r="C694" t="s">
        <v>16</v>
      </c>
      <c r="D694" t="s">
        <v>16</v>
      </c>
      <c r="E694" t="s">
        <v>16</v>
      </c>
      <c r="F694" t="s">
        <v>16</v>
      </c>
      <c r="G694" t="s">
        <v>675</v>
      </c>
      <c r="H694" s="18">
        <v>-123821.26</v>
      </c>
      <c r="J694" t="s">
        <v>19</v>
      </c>
      <c r="N694" t="s">
        <v>21</v>
      </c>
      <c r="O694" t="s">
        <v>22</v>
      </c>
      <c r="P694" t="s">
        <v>20</v>
      </c>
      <c r="Q694">
        <v>23702</v>
      </c>
      <c r="R694">
        <f t="shared" si="40"/>
        <v>2</v>
      </c>
      <c r="V694">
        <f t="shared" si="41"/>
        <v>23702</v>
      </c>
      <c r="Y694" s="18">
        <f t="shared" si="42"/>
        <v>123821.27</v>
      </c>
      <c r="Z694" s="18" t="str">
        <f t="shared" si="43"/>
        <v/>
      </c>
    </row>
    <row r="695" spans="2:26" x14ac:dyDescent="0.25">
      <c r="B695" t="s">
        <v>277</v>
      </c>
      <c r="C695" t="s">
        <v>16</v>
      </c>
      <c r="D695" t="s">
        <v>16</v>
      </c>
      <c r="E695" t="s">
        <v>16</v>
      </c>
      <c r="F695" t="s">
        <v>16</v>
      </c>
      <c r="G695" t="s">
        <v>638</v>
      </c>
      <c r="H695" s="18">
        <v>4276.79</v>
      </c>
      <c r="I695" t="s">
        <v>23</v>
      </c>
      <c r="J695" t="s">
        <v>19</v>
      </c>
      <c r="N695" t="s">
        <v>21</v>
      </c>
      <c r="O695" t="s">
        <v>22</v>
      </c>
      <c r="P695" t="s">
        <v>20</v>
      </c>
      <c r="Q695">
        <v>23579</v>
      </c>
      <c r="R695">
        <f t="shared" si="40"/>
        <v>2</v>
      </c>
      <c r="V695">
        <f t="shared" si="41"/>
        <v>23579</v>
      </c>
      <c r="Y695" s="18">
        <f t="shared" si="42"/>
        <v>4276.79</v>
      </c>
      <c r="Z695" s="18">
        <f t="shared" si="43"/>
        <v>0</v>
      </c>
    </row>
    <row r="696" spans="2:26" hidden="1" x14ac:dyDescent="0.25">
      <c r="B696" t="s">
        <v>15</v>
      </c>
      <c r="C696" t="s">
        <v>16</v>
      </c>
      <c r="D696" t="s">
        <v>16</v>
      </c>
      <c r="E696" t="s">
        <v>16</v>
      </c>
      <c r="F696" t="s">
        <v>16</v>
      </c>
      <c r="G696" t="s">
        <v>313</v>
      </c>
      <c r="H696" s="18">
        <v>-11463.51</v>
      </c>
      <c r="J696" t="s">
        <v>19</v>
      </c>
      <c r="N696" t="s">
        <v>21</v>
      </c>
      <c r="O696" t="s">
        <v>22</v>
      </c>
      <c r="P696" t="s">
        <v>20</v>
      </c>
      <c r="Q696">
        <v>23501</v>
      </c>
      <c r="R696">
        <f t="shared" si="40"/>
        <v>2</v>
      </c>
      <c r="V696">
        <f t="shared" si="41"/>
        <v>23501</v>
      </c>
      <c r="Y696" s="18">
        <f t="shared" si="42"/>
        <v>19026.830000000002</v>
      </c>
      <c r="Z696" s="18" t="str">
        <f t="shared" si="43"/>
        <v/>
      </c>
    </row>
    <row r="697" spans="2:26" hidden="1" x14ac:dyDescent="0.25">
      <c r="B697" t="s">
        <v>15</v>
      </c>
      <c r="C697" t="s">
        <v>16</v>
      </c>
      <c r="D697" t="s">
        <v>16</v>
      </c>
      <c r="E697" t="s">
        <v>16</v>
      </c>
      <c r="F697" t="s">
        <v>16</v>
      </c>
      <c r="G697" t="s">
        <v>408</v>
      </c>
      <c r="H697" s="18">
        <v>-18824.87</v>
      </c>
      <c r="J697" t="s">
        <v>19</v>
      </c>
      <c r="N697" t="s">
        <v>21</v>
      </c>
      <c r="O697" t="s">
        <v>22</v>
      </c>
      <c r="P697" t="s">
        <v>20</v>
      </c>
      <c r="Q697">
        <v>23522</v>
      </c>
      <c r="R697">
        <f t="shared" si="40"/>
        <v>2</v>
      </c>
      <c r="V697">
        <f t="shared" si="41"/>
        <v>23522</v>
      </c>
      <c r="Y697" s="18">
        <f t="shared" si="42"/>
        <v>25385.59</v>
      </c>
      <c r="Z697" s="18" t="str">
        <f t="shared" si="43"/>
        <v/>
      </c>
    </row>
    <row r="698" spans="2:26" hidden="1" x14ac:dyDescent="0.25">
      <c r="B698" t="s">
        <v>15</v>
      </c>
      <c r="C698" t="s">
        <v>16</v>
      </c>
      <c r="D698" t="s">
        <v>16</v>
      </c>
      <c r="E698" t="s">
        <v>16</v>
      </c>
      <c r="F698" t="s">
        <v>16</v>
      </c>
      <c r="G698" t="s">
        <v>374</v>
      </c>
      <c r="H698" s="18">
        <v>-1431.17</v>
      </c>
      <c r="J698" t="s">
        <v>19</v>
      </c>
      <c r="N698" t="s">
        <v>21</v>
      </c>
      <c r="O698" t="s">
        <v>22</v>
      </c>
      <c r="P698" t="s">
        <v>20</v>
      </c>
      <c r="Q698">
        <v>23591</v>
      </c>
      <c r="R698">
        <f t="shared" si="40"/>
        <v>2</v>
      </c>
      <c r="V698">
        <f t="shared" si="41"/>
        <v>23591</v>
      </c>
      <c r="Y698" s="18">
        <f t="shared" si="42"/>
        <v>1859.47</v>
      </c>
      <c r="Z698" s="18" t="str">
        <f t="shared" si="43"/>
        <v/>
      </c>
    </row>
    <row r="699" spans="2:26" x14ac:dyDescent="0.25">
      <c r="B699" t="s">
        <v>277</v>
      </c>
      <c r="C699" t="s">
        <v>16</v>
      </c>
      <c r="D699" t="s">
        <v>16</v>
      </c>
      <c r="E699" t="s">
        <v>16</v>
      </c>
      <c r="F699" t="s">
        <v>16</v>
      </c>
      <c r="G699" t="s">
        <v>672</v>
      </c>
      <c r="H699" s="18">
        <v>119.31</v>
      </c>
      <c r="I699" t="s">
        <v>23</v>
      </c>
      <c r="J699" t="s">
        <v>19</v>
      </c>
      <c r="N699" t="s">
        <v>21</v>
      </c>
      <c r="O699" t="s">
        <v>22</v>
      </c>
      <c r="P699" t="s">
        <v>20</v>
      </c>
      <c r="Q699">
        <v>23629</v>
      </c>
      <c r="R699">
        <f t="shared" si="40"/>
        <v>2</v>
      </c>
      <c r="V699">
        <f t="shared" si="41"/>
        <v>23629</v>
      </c>
      <c r="Y699" s="18">
        <f t="shared" si="42"/>
        <v>119.31</v>
      </c>
      <c r="Z699" s="18">
        <f t="shared" si="43"/>
        <v>0</v>
      </c>
    </row>
    <row r="700" spans="2:26" x14ac:dyDescent="0.25">
      <c r="B700" t="s">
        <v>277</v>
      </c>
      <c r="C700" t="s">
        <v>16</v>
      </c>
      <c r="D700" t="s">
        <v>16</v>
      </c>
      <c r="E700" t="s">
        <v>16</v>
      </c>
      <c r="F700" t="s">
        <v>16</v>
      </c>
      <c r="G700" t="s">
        <v>522</v>
      </c>
      <c r="H700" s="18">
        <v>117420.65</v>
      </c>
      <c r="I700" t="s">
        <v>23</v>
      </c>
      <c r="J700" t="s">
        <v>19</v>
      </c>
      <c r="N700" t="s">
        <v>21</v>
      </c>
      <c r="O700" t="s">
        <v>22</v>
      </c>
      <c r="P700" t="s">
        <v>20</v>
      </c>
      <c r="Q700">
        <v>16976</v>
      </c>
      <c r="R700">
        <f t="shared" si="40"/>
        <v>2</v>
      </c>
      <c r="V700">
        <f t="shared" si="41"/>
        <v>16976</v>
      </c>
      <c r="Y700" s="18">
        <f t="shared" si="42"/>
        <v>117420.65</v>
      </c>
      <c r="Z700" s="18">
        <f t="shared" si="43"/>
        <v>0</v>
      </c>
    </row>
    <row r="701" spans="2:26" x14ac:dyDescent="0.25">
      <c r="B701" t="s">
        <v>277</v>
      </c>
      <c r="C701" t="s">
        <v>16</v>
      </c>
      <c r="D701" t="s">
        <v>16</v>
      </c>
      <c r="E701" t="s">
        <v>16</v>
      </c>
      <c r="F701" t="s">
        <v>16</v>
      </c>
      <c r="G701" t="s">
        <v>585</v>
      </c>
      <c r="H701" s="18">
        <v>3081439.91</v>
      </c>
      <c r="I701" t="s">
        <v>23</v>
      </c>
      <c r="J701" t="s">
        <v>19</v>
      </c>
      <c r="N701" t="s">
        <v>21</v>
      </c>
      <c r="O701" t="s">
        <v>22</v>
      </c>
      <c r="P701" t="s">
        <v>20</v>
      </c>
      <c r="Q701">
        <v>23348</v>
      </c>
      <c r="R701">
        <f t="shared" si="40"/>
        <v>2</v>
      </c>
      <c r="V701">
        <f t="shared" si="41"/>
        <v>23348</v>
      </c>
      <c r="Y701" s="18">
        <f t="shared" si="42"/>
        <v>3081439.91</v>
      </c>
      <c r="Z701" s="18">
        <f t="shared" si="43"/>
        <v>0</v>
      </c>
    </row>
    <row r="702" spans="2:26" hidden="1" x14ac:dyDescent="0.25">
      <c r="B702" t="s">
        <v>15</v>
      </c>
      <c r="C702" t="s">
        <v>16</v>
      </c>
      <c r="D702" t="s">
        <v>16</v>
      </c>
      <c r="E702" t="s">
        <v>16</v>
      </c>
      <c r="F702" t="s">
        <v>16</v>
      </c>
      <c r="G702" t="s">
        <v>590</v>
      </c>
      <c r="H702" s="18">
        <v>-90433.48</v>
      </c>
      <c r="J702" t="s">
        <v>19</v>
      </c>
      <c r="N702" t="s">
        <v>21</v>
      </c>
      <c r="O702" t="s">
        <v>22</v>
      </c>
      <c r="P702" t="s">
        <v>20</v>
      </c>
      <c r="Q702">
        <v>23872</v>
      </c>
      <c r="R702">
        <f t="shared" si="40"/>
        <v>2</v>
      </c>
      <c r="V702">
        <f t="shared" si="41"/>
        <v>23872</v>
      </c>
      <c r="Y702" s="18">
        <f t="shared" si="42"/>
        <v>166611.76</v>
      </c>
      <c r="Z702" s="18" t="str">
        <f t="shared" si="43"/>
        <v/>
      </c>
    </row>
    <row r="703" spans="2:26" x14ac:dyDescent="0.25">
      <c r="B703" t="s">
        <v>277</v>
      </c>
      <c r="C703" t="s">
        <v>16</v>
      </c>
      <c r="D703" t="s">
        <v>16</v>
      </c>
      <c r="E703" t="s">
        <v>16</v>
      </c>
      <c r="F703" t="s">
        <v>16</v>
      </c>
      <c r="G703" t="s">
        <v>600</v>
      </c>
      <c r="H703" s="18">
        <v>13435.51</v>
      </c>
      <c r="I703" t="s">
        <v>23</v>
      </c>
      <c r="J703" t="s">
        <v>19</v>
      </c>
      <c r="N703" t="s">
        <v>21</v>
      </c>
      <c r="O703" t="s">
        <v>22</v>
      </c>
      <c r="P703" t="s">
        <v>20</v>
      </c>
      <c r="Q703">
        <v>23605</v>
      </c>
      <c r="R703">
        <f t="shared" si="40"/>
        <v>2</v>
      </c>
      <c r="V703">
        <f t="shared" si="41"/>
        <v>23605</v>
      </c>
      <c r="Y703" s="18">
        <f t="shared" si="42"/>
        <v>13435.51</v>
      </c>
      <c r="Z703" s="18">
        <f t="shared" si="43"/>
        <v>0</v>
      </c>
    </row>
    <row r="704" spans="2:26" hidden="1" x14ac:dyDescent="0.25">
      <c r="B704" t="s">
        <v>15</v>
      </c>
      <c r="C704" t="s">
        <v>16</v>
      </c>
      <c r="D704" t="s">
        <v>16</v>
      </c>
      <c r="E704" t="s">
        <v>16</v>
      </c>
      <c r="F704" t="s">
        <v>16</v>
      </c>
      <c r="G704" t="s">
        <v>586</v>
      </c>
      <c r="H704" s="18">
        <v>-6426.13</v>
      </c>
      <c r="J704" t="s">
        <v>19</v>
      </c>
      <c r="N704" t="s">
        <v>21</v>
      </c>
      <c r="O704" t="s">
        <v>22</v>
      </c>
      <c r="P704" t="s">
        <v>20</v>
      </c>
      <c r="Q704">
        <v>23527</v>
      </c>
      <c r="R704">
        <f t="shared" si="40"/>
        <v>2</v>
      </c>
      <c r="V704">
        <f t="shared" si="41"/>
        <v>23527</v>
      </c>
      <c r="Y704" s="18">
        <f t="shared" si="42"/>
        <v>10290.530000000001</v>
      </c>
      <c r="Z704" s="18" t="str">
        <f t="shared" si="43"/>
        <v/>
      </c>
    </row>
    <row r="705" spans="2:26" x14ac:dyDescent="0.25">
      <c r="B705" t="s">
        <v>277</v>
      </c>
      <c r="C705" t="s">
        <v>16</v>
      </c>
      <c r="D705" t="s">
        <v>16</v>
      </c>
      <c r="E705" t="s">
        <v>16</v>
      </c>
      <c r="F705" t="s">
        <v>16</v>
      </c>
      <c r="G705" t="s">
        <v>671</v>
      </c>
      <c r="H705" s="18">
        <v>2172.25</v>
      </c>
      <c r="I705" t="s">
        <v>23</v>
      </c>
      <c r="J705" t="s">
        <v>19</v>
      </c>
      <c r="N705" t="s">
        <v>21</v>
      </c>
      <c r="O705" t="s">
        <v>22</v>
      </c>
      <c r="P705" t="s">
        <v>20</v>
      </c>
      <c r="Q705">
        <v>23597</v>
      </c>
      <c r="R705">
        <f t="shared" si="40"/>
        <v>2</v>
      </c>
      <c r="V705">
        <f t="shared" si="41"/>
        <v>23597</v>
      </c>
      <c r="Y705" s="18">
        <f t="shared" si="42"/>
        <v>2172.25</v>
      </c>
      <c r="Z705" s="18">
        <f t="shared" si="43"/>
        <v>0</v>
      </c>
    </row>
    <row r="706" spans="2:26" hidden="1" x14ac:dyDescent="0.25">
      <c r="B706" t="s">
        <v>15</v>
      </c>
      <c r="C706" t="s">
        <v>16</v>
      </c>
      <c r="D706" t="s">
        <v>16</v>
      </c>
      <c r="E706" t="s">
        <v>16</v>
      </c>
      <c r="F706" t="s">
        <v>16</v>
      </c>
      <c r="G706" t="s">
        <v>676</v>
      </c>
      <c r="H706" s="18">
        <v>-59.19</v>
      </c>
      <c r="J706" t="s">
        <v>19</v>
      </c>
      <c r="N706" t="s">
        <v>21</v>
      </c>
      <c r="O706" t="s">
        <v>22</v>
      </c>
      <c r="P706" t="s">
        <v>20</v>
      </c>
      <c r="Q706">
        <v>23624</v>
      </c>
      <c r="R706">
        <f t="shared" si="40"/>
        <v>2</v>
      </c>
      <c r="V706">
        <f t="shared" si="41"/>
        <v>23624</v>
      </c>
      <c r="Y706" s="18">
        <f t="shared" si="42"/>
        <v>740.57</v>
      </c>
      <c r="Z706" s="18" t="str">
        <f t="shared" si="43"/>
        <v/>
      </c>
    </row>
    <row r="707" spans="2:26" x14ac:dyDescent="0.25">
      <c r="B707" t="s">
        <v>277</v>
      </c>
      <c r="C707" t="s">
        <v>16</v>
      </c>
      <c r="D707" t="s">
        <v>16</v>
      </c>
      <c r="E707" t="s">
        <v>16</v>
      </c>
      <c r="F707" t="s">
        <v>16</v>
      </c>
      <c r="G707" t="s">
        <v>675</v>
      </c>
      <c r="H707" s="18">
        <v>123821.27</v>
      </c>
      <c r="I707" t="s">
        <v>23</v>
      </c>
      <c r="J707" t="s">
        <v>19</v>
      </c>
      <c r="N707" t="s">
        <v>21</v>
      </c>
      <c r="O707" t="s">
        <v>22</v>
      </c>
      <c r="P707" t="s">
        <v>20</v>
      </c>
      <c r="Q707">
        <v>23702</v>
      </c>
      <c r="R707">
        <f t="shared" si="40"/>
        <v>2</v>
      </c>
      <c r="V707">
        <f t="shared" si="41"/>
        <v>23702</v>
      </c>
      <c r="Y707" s="18">
        <f t="shared" si="42"/>
        <v>123821.27</v>
      </c>
      <c r="Z707" s="18">
        <f t="shared" si="43"/>
        <v>0</v>
      </c>
    </row>
    <row r="708" spans="2:26" hidden="1" x14ac:dyDescent="0.25">
      <c r="B708" t="s">
        <v>277</v>
      </c>
      <c r="C708" t="s">
        <v>16</v>
      </c>
      <c r="D708" t="s">
        <v>16</v>
      </c>
      <c r="E708" t="s">
        <v>16</v>
      </c>
      <c r="F708" t="s">
        <v>16</v>
      </c>
      <c r="G708" t="s">
        <v>449</v>
      </c>
      <c r="H708" s="18">
        <v>79884.41</v>
      </c>
      <c r="I708" t="s">
        <v>23</v>
      </c>
      <c r="J708" t="s">
        <v>19</v>
      </c>
      <c r="N708" t="s">
        <v>21</v>
      </c>
      <c r="O708" t="s">
        <v>22</v>
      </c>
      <c r="P708" t="s">
        <v>20</v>
      </c>
      <c r="Q708">
        <v>27096</v>
      </c>
      <c r="R708">
        <f t="shared" si="40"/>
        <v>2</v>
      </c>
      <c r="V708" t="str">
        <f t="shared" si="41"/>
        <v/>
      </c>
      <c r="W708" s="26" t="s">
        <v>686</v>
      </c>
      <c r="X708" s="15" t="s">
        <v>129</v>
      </c>
      <c r="Y708" s="18" t="str">
        <f t="shared" si="42"/>
        <v/>
      </c>
      <c r="Z708" s="18" t="str">
        <f t="shared" si="43"/>
        <v/>
      </c>
    </row>
    <row r="709" spans="2:26" hidden="1" x14ac:dyDescent="0.25">
      <c r="B709" t="s">
        <v>15</v>
      </c>
      <c r="C709" t="s">
        <v>16</v>
      </c>
      <c r="D709" t="s">
        <v>16</v>
      </c>
      <c r="E709" t="s">
        <v>16</v>
      </c>
      <c r="F709" t="s">
        <v>16</v>
      </c>
      <c r="G709" t="s">
        <v>677</v>
      </c>
      <c r="H709" s="18">
        <v>-146.16999999999999</v>
      </c>
      <c r="J709" t="s">
        <v>19</v>
      </c>
      <c r="N709" t="s">
        <v>21</v>
      </c>
      <c r="O709" t="s">
        <v>22</v>
      </c>
      <c r="P709" t="s">
        <v>20</v>
      </c>
      <c r="Q709">
        <v>23640</v>
      </c>
      <c r="R709">
        <f t="shared" si="40"/>
        <v>2</v>
      </c>
      <c r="V709">
        <f t="shared" si="41"/>
        <v>23640</v>
      </c>
      <c r="Y709" s="18">
        <f t="shared" si="42"/>
        <v>321.38</v>
      </c>
      <c r="Z709" s="18" t="str">
        <f t="shared" si="43"/>
        <v/>
      </c>
    </row>
    <row r="710" spans="2:26" hidden="1" x14ac:dyDescent="0.25">
      <c r="B710" t="s">
        <v>15</v>
      </c>
      <c r="C710" t="s">
        <v>16</v>
      </c>
      <c r="D710" t="s">
        <v>16</v>
      </c>
      <c r="E710" t="s">
        <v>16</v>
      </c>
      <c r="F710" t="s">
        <v>16</v>
      </c>
      <c r="G710" t="s">
        <v>456</v>
      </c>
      <c r="H710" s="18">
        <v>-5689.11</v>
      </c>
      <c r="J710" t="s">
        <v>19</v>
      </c>
      <c r="N710" t="s">
        <v>21</v>
      </c>
      <c r="O710" t="s">
        <v>22</v>
      </c>
      <c r="P710" t="s">
        <v>20</v>
      </c>
      <c r="Q710">
        <v>27115</v>
      </c>
      <c r="R710">
        <f t="shared" si="40"/>
        <v>2</v>
      </c>
      <c r="V710">
        <f t="shared" si="41"/>
        <v>27115</v>
      </c>
      <c r="Y710" s="18">
        <f t="shared" si="42"/>
        <v>95874.62</v>
      </c>
      <c r="Z710" s="18" t="str">
        <f t="shared" si="43"/>
        <v/>
      </c>
    </row>
    <row r="711" spans="2:26" x14ac:dyDescent="0.25">
      <c r="B711" t="s">
        <v>277</v>
      </c>
      <c r="C711" t="s">
        <v>16</v>
      </c>
      <c r="D711" t="s">
        <v>16</v>
      </c>
      <c r="E711" t="s">
        <v>16</v>
      </c>
      <c r="F711" t="s">
        <v>16</v>
      </c>
      <c r="G711" t="s">
        <v>367</v>
      </c>
      <c r="H711" s="18">
        <v>87385.9</v>
      </c>
      <c r="I711" t="s">
        <v>23</v>
      </c>
      <c r="J711" t="s">
        <v>19</v>
      </c>
      <c r="N711" t="s">
        <v>21</v>
      </c>
      <c r="O711" t="s">
        <v>22</v>
      </c>
      <c r="P711" t="s">
        <v>20</v>
      </c>
      <c r="Q711">
        <v>23485</v>
      </c>
      <c r="R711">
        <f t="shared" si="40"/>
        <v>2</v>
      </c>
      <c r="V711">
        <f t="shared" si="41"/>
        <v>23485</v>
      </c>
      <c r="Y711" s="18">
        <f t="shared" si="42"/>
        <v>87385.9</v>
      </c>
      <c r="Z711" s="18">
        <f t="shared" si="43"/>
        <v>0</v>
      </c>
    </row>
    <row r="712" spans="2:26" x14ac:dyDescent="0.25">
      <c r="B712" t="s">
        <v>277</v>
      </c>
      <c r="C712" t="s">
        <v>16</v>
      </c>
      <c r="D712" t="s">
        <v>16</v>
      </c>
      <c r="E712" t="s">
        <v>16</v>
      </c>
      <c r="F712" t="s">
        <v>16</v>
      </c>
      <c r="G712" t="s">
        <v>634</v>
      </c>
      <c r="H712" s="18">
        <v>345610.4</v>
      </c>
      <c r="I712" t="s">
        <v>23</v>
      </c>
      <c r="J712" t="s">
        <v>19</v>
      </c>
      <c r="N712" t="s">
        <v>21</v>
      </c>
      <c r="O712" t="s">
        <v>22</v>
      </c>
      <c r="P712" t="s">
        <v>20</v>
      </c>
      <c r="Q712">
        <v>23535</v>
      </c>
      <c r="R712">
        <f t="shared" si="40"/>
        <v>2</v>
      </c>
      <c r="V712">
        <f t="shared" si="41"/>
        <v>23535</v>
      </c>
      <c r="Y712" s="18">
        <f t="shared" si="42"/>
        <v>345610.4</v>
      </c>
      <c r="Z712" s="18">
        <f t="shared" si="43"/>
        <v>0</v>
      </c>
    </row>
    <row r="713" spans="2:26" x14ac:dyDescent="0.25">
      <c r="B713" t="s">
        <v>277</v>
      </c>
      <c r="C713" t="s">
        <v>16</v>
      </c>
      <c r="D713" t="s">
        <v>16</v>
      </c>
      <c r="E713" t="s">
        <v>16</v>
      </c>
      <c r="F713" t="s">
        <v>16</v>
      </c>
      <c r="G713" t="s">
        <v>655</v>
      </c>
      <c r="H713" s="18">
        <v>166340.79</v>
      </c>
      <c r="I713" t="s">
        <v>23</v>
      </c>
      <c r="J713" t="s">
        <v>19</v>
      </c>
      <c r="N713" t="s">
        <v>21</v>
      </c>
      <c r="O713" t="s">
        <v>22</v>
      </c>
      <c r="P713" t="s">
        <v>20</v>
      </c>
      <c r="Q713">
        <v>23358</v>
      </c>
      <c r="R713">
        <f t="shared" si="40"/>
        <v>2</v>
      </c>
      <c r="V713">
        <f t="shared" si="41"/>
        <v>23358</v>
      </c>
      <c r="Y713" s="18">
        <f t="shared" si="42"/>
        <v>166340.79</v>
      </c>
      <c r="Z713" s="18">
        <f t="shared" si="43"/>
        <v>0</v>
      </c>
    </row>
    <row r="714" spans="2:26" hidden="1" x14ac:dyDescent="0.25">
      <c r="B714" t="s">
        <v>15</v>
      </c>
      <c r="C714" t="s">
        <v>16</v>
      </c>
      <c r="D714" t="s">
        <v>16</v>
      </c>
      <c r="E714" t="s">
        <v>16</v>
      </c>
      <c r="F714" t="s">
        <v>16</v>
      </c>
      <c r="G714" t="s">
        <v>674</v>
      </c>
      <c r="H714" s="18">
        <v>-8873.11</v>
      </c>
      <c r="J714" t="s">
        <v>19</v>
      </c>
      <c r="N714" t="s">
        <v>21</v>
      </c>
      <c r="O714" t="s">
        <v>22</v>
      </c>
      <c r="P714" t="s">
        <v>20</v>
      </c>
      <c r="Q714">
        <v>23536</v>
      </c>
      <c r="R714">
        <f t="shared" ref="R714:R777" si="44">COUNTIF($Q$9:$Q$816,Q714)</f>
        <v>2</v>
      </c>
      <c r="V714">
        <f t="shared" ref="V714:V777" si="45">IFERROR(VLOOKUP(Q714,$C$823:$C$1253,1,FALSE),"")</f>
        <v>23536</v>
      </c>
      <c r="Y714" s="18">
        <f t="shared" ref="Y714:Y777" si="46">IFERROR(VLOOKUP(Q714,$C$823:$D$1253,2,FALSE),"")</f>
        <v>10722.57</v>
      </c>
      <c r="Z714" s="18" t="str">
        <f t="shared" ref="Z714:Z777" si="47">IFERROR(IF(RIGHT(B714,6)="TYVA02","",H714-Y714),"")</f>
        <v/>
      </c>
    </row>
    <row r="715" spans="2:26" x14ac:dyDescent="0.25">
      <c r="B715" t="s">
        <v>277</v>
      </c>
      <c r="C715" t="s">
        <v>16</v>
      </c>
      <c r="D715" t="s">
        <v>16</v>
      </c>
      <c r="E715" t="s">
        <v>16</v>
      </c>
      <c r="F715" t="s">
        <v>16</v>
      </c>
      <c r="G715" t="s">
        <v>678</v>
      </c>
      <c r="H715" s="18">
        <v>2145.2399999999998</v>
      </c>
      <c r="I715" t="s">
        <v>23</v>
      </c>
      <c r="J715" t="s">
        <v>19</v>
      </c>
      <c r="N715" t="s">
        <v>21</v>
      </c>
      <c r="O715" t="s">
        <v>22</v>
      </c>
      <c r="P715" t="s">
        <v>20</v>
      </c>
      <c r="Q715">
        <v>69025102</v>
      </c>
      <c r="R715">
        <f t="shared" si="44"/>
        <v>2</v>
      </c>
      <c r="V715">
        <f t="shared" si="45"/>
        <v>69025102</v>
      </c>
      <c r="Y715" s="18">
        <f t="shared" si="46"/>
        <v>2145.2399999999998</v>
      </c>
      <c r="Z715" s="18">
        <f t="shared" si="47"/>
        <v>0</v>
      </c>
    </row>
    <row r="716" spans="2:26" x14ac:dyDescent="0.25">
      <c r="B716" t="s">
        <v>277</v>
      </c>
      <c r="C716" t="s">
        <v>16</v>
      </c>
      <c r="D716" t="s">
        <v>16</v>
      </c>
      <c r="E716" t="s">
        <v>16</v>
      </c>
      <c r="F716" t="s">
        <v>16</v>
      </c>
      <c r="G716" t="s">
        <v>436</v>
      </c>
      <c r="H716" s="18">
        <v>88552.35</v>
      </c>
      <c r="I716" t="s">
        <v>23</v>
      </c>
      <c r="J716" t="s">
        <v>19</v>
      </c>
      <c r="N716" t="s">
        <v>21</v>
      </c>
      <c r="O716" t="s">
        <v>22</v>
      </c>
      <c r="P716" t="s">
        <v>20</v>
      </c>
      <c r="Q716">
        <v>2100789953</v>
      </c>
      <c r="R716">
        <f t="shared" si="44"/>
        <v>2</v>
      </c>
      <c r="V716">
        <f t="shared" si="45"/>
        <v>2100789953</v>
      </c>
      <c r="Y716" s="18">
        <f t="shared" si="46"/>
        <v>88552.35</v>
      </c>
      <c r="Z716" s="18">
        <f t="shared" si="47"/>
        <v>0</v>
      </c>
    </row>
    <row r="717" spans="2:26" x14ac:dyDescent="0.25">
      <c r="B717" t="s">
        <v>277</v>
      </c>
      <c r="C717" t="s">
        <v>16</v>
      </c>
      <c r="D717" t="s">
        <v>16</v>
      </c>
      <c r="E717" t="s">
        <v>16</v>
      </c>
      <c r="F717" t="s">
        <v>16</v>
      </c>
      <c r="G717" t="s">
        <v>425</v>
      </c>
      <c r="H717" s="18">
        <v>20448.849999999999</v>
      </c>
      <c r="I717" t="s">
        <v>23</v>
      </c>
      <c r="J717" t="s">
        <v>19</v>
      </c>
      <c r="N717" t="s">
        <v>21</v>
      </c>
      <c r="O717" t="s">
        <v>22</v>
      </c>
      <c r="P717" t="s">
        <v>20</v>
      </c>
      <c r="Q717">
        <v>23534</v>
      </c>
      <c r="R717">
        <f t="shared" si="44"/>
        <v>2</v>
      </c>
      <c r="V717">
        <f t="shared" si="45"/>
        <v>23534</v>
      </c>
      <c r="Y717" s="18">
        <f t="shared" si="46"/>
        <v>20448.849999999999</v>
      </c>
      <c r="Z717" s="18">
        <f t="shared" si="47"/>
        <v>0</v>
      </c>
    </row>
    <row r="718" spans="2:26" x14ac:dyDescent="0.25">
      <c r="B718" t="s">
        <v>277</v>
      </c>
      <c r="C718" t="s">
        <v>16</v>
      </c>
      <c r="D718" t="s">
        <v>16</v>
      </c>
      <c r="E718" t="s">
        <v>16</v>
      </c>
      <c r="F718" t="s">
        <v>16</v>
      </c>
      <c r="G718" t="s">
        <v>679</v>
      </c>
      <c r="H718" s="18">
        <v>52622.67</v>
      </c>
      <c r="I718" t="s">
        <v>23</v>
      </c>
      <c r="J718" t="s">
        <v>19</v>
      </c>
      <c r="N718" t="s">
        <v>21</v>
      </c>
      <c r="O718" t="s">
        <v>22</v>
      </c>
      <c r="P718" t="s">
        <v>20</v>
      </c>
      <c r="Q718">
        <v>23659</v>
      </c>
      <c r="R718">
        <f t="shared" si="44"/>
        <v>2</v>
      </c>
      <c r="V718">
        <f t="shared" si="45"/>
        <v>23659</v>
      </c>
      <c r="Y718" s="18">
        <f t="shared" si="46"/>
        <v>52622.67</v>
      </c>
      <c r="Z718" s="18">
        <f t="shared" si="47"/>
        <v>0</v>
      </c>
    </row>
    <row r="719" spans="2:26" x14ac:dyDescent="0.25">
      <c r="B719" t="s">
        <v>277</v>
      </c>
      <c r="C719" t="s">
        <v>16</v>
      </c>
      <c r="D719" t="s">
        <v>16</v>
      </c>
      <c r="E719" t="s">
        <v>16</v>
      </c>
      <c r="F719" t="s">
        <v>16</v>
      </c>
      <c r="G719" t="s">
        <v>519</v>
      </c>
      <c r="H719" s="18">
        <v>129819.38</v>
      </c>
      <c r="I719" t="s">
        <v>23</v>
      </c>
      <c r="J719" t="s">
        <v>19</v>
      </c>
      <c r="N719" t="s">
        <v>21</v>
      </c>
      <c r="O719" t="s">
        <v>22</v>
      </c>
      <c r="P719" t="s">
        <v>20</v>
      </c>
      <c r="Q719">
        <v>16870</v>
      </c>
      <c r="R719">
        <f t="shared" si="44"/>
        <v>2</v>
      </c>
      <c r="V719">
        <f t="shared" si="45"/>
        <v>16870</v>
      </c>
      <c r="Y719" s="18">
        <f t="shared" si="46"/>
        <v>129819.38</v>
      </c>
      <c r="Z719" s="18">
        <f t="shared" si="47"/>
        <v>0</v>
      </c>
    </row>
    <row r="720" spans="2:26" x14ac:dyDescent="0.25">
      <c r="B720" t="s">
        <v>277</v>
      </c>
      <c r="C720" t="s">
        <v>16</v>
      </c>
      <c r="D720" t="s">
        <v>16</v>
      </c>
      <c r="E720" t="s">
        <v>16</v>
      </c>
      <c r="F720" t="s">
        <v>16</v>
      </c>
      <c r="G720" t="s">
        <v>676</v>
      </c>
      <c r="H720" s="18">
        <v>740.57</v>
      </c>
      <c r="I720" t="s">
        <v>23</v>
      </c>
      <c r="J720" t="s">
        <v>19</v>
      </c>
      <c r="N720" t="s">
        <v>21</v>
      </c>
      <c r="O720" t="s">
        <v>22</v>
      </c>
      <c r="P720" t="s">
        <v>20</v>
      </c>
      <c r="Q720">
        <v>23624</v>
      </c>
      <c r="R720">
        <f t="shared" si="44"/>
        <v>2</v>
      </c>
      <c r="V720">
        <f t="shared" si="45"/>
        <v>23624</v>
      </c>
      <c r="Y720" s="18">
        <f t="shared" si="46"/>
        <v>740.57</v>
      </c>
      <c r="Z720" s="18">
        <f t="shared" si="47"/>
        <v>0</v>
      </c>
    </row>
    <row r="721" spans="2:26" x14ac:dyDescent="0.25">
      <c r="B721" t="s">
        <v>277</v>
      </c>
      <c r="C721" t="s">
        <v>16</v>
      </c>
      <c r="D721" t="s">
        <v>16</v>
      </c>
      <c r="E721" t="s">
        <v>16</v>
      </c>
      <c r="F721" t="s">
        <v>16</v>
      </c>
      <c r="G721" t="s">
        <v>632</v>
      </c>
      <c r="H721" s="18">
        <v>410029.89</v>
      </c>
      <c r="I721" t="s">
        <v>23</v>
      </c>
      <c r="J721" t="s">
        <v>19</v>
      </c>
      <c r="N721" t="s">
        <v>21</v>
      </c>
      <c r="O721" t="s">
        <v>22</v>
      </c>
      <c r="P721" t="s">
        <v>20</v>
      </c>
      <c r="Q721">
        <v>25687</v>
      </c>
      <c r="R721">
        <f t="shared" si="44"/>
        <v>2</v>
      </c>
      <c r="V721">
        <f t="shared" si="45"/>
        <v>25687</v>
      </c>
      <c r="Y721" s="18">
        <f t="shared" si="46"/>
        <v>410029.89</v>
      </c>
      <c r="Z721" s="18">
        <f t="shared" si="47"/>
        <v>0</v>
      </c>
    </row>
    <row r="722" spans="2:26" hidden="1" x14ac:dyDescent="0.25">
      <c r="B722" t="s">
        <v>15</v>
      </c>
      <c r="C722" t="s">
        <v>16</v>
      </c>
      <c r="D722" t="s">
        <v>16</v>
      </c>
      <c r="E722" t="s">
        <v>16</v>
      </c>
      <c r="F722" t="s">
        <v>16</v>
      </c>
      <c r="G722" t="s">
        <v>652</v>
      </c>
      <c r="H722" s="18">
        <v>-88.66</v>
      </c>
      <c r="J722" t="s">
        <v>19</v>
      </c>
      <c r="N722" t="s">
        <v>21</v>
      </c>
      <c r="O722" t="s">
        <v>22</v>
      </c>
      <c r="P722" t="s">
        <v>20</v>
      </c>
      <c r="Q722">
        <v>23647</v>
      </c>
      <c r="R722">
        <f t="shared" si="44"/>
        <v>2</v>
      </c>
      <c r="V722">
        <f t="shared" si="45"/>
        <v>23647</v>
      </c>
      <c r="Y722" s="18">
        <f t="shared" si="46"/>
        <v>176.27</v>
      </c>
      <c r="Z722" s="18" t="str">
        <f t="shared" si="47"/>
        <v/>
      </c>
    </row>
    <row r="723" spans="2:26" hidden="1" x14ac:dyDescent="0.25">
      <c r="B723" t="s">
        <v>15</v>
      </c>
      <c r="C723" t="s">
        <v>16</v>
      </c>
      <c r="D723" t="s">
        <v>16</v>
      </c>
      <c r="E723" t="s">
        <v>16</v>
      </c>
      <c r="F723" t="s">
        <v>16</v>
      </c>
      <c r="G723" t="s">
        <v>583</v>
      </c>
      <c r="H723" s="18">
        <v>-121217.75</v>
      </c>
      <c r="J723" t="s">
        <v>19</v>
      </c>
      <c r="N723" t="s">
        <v>21</v>
      </c>
      <c r="O723" t="s">
        <v>22</v>
      </c>
      <c r="P723" t="s">
        <v>20</v>
      </c>
      <c r="Q723">
        <v>25682</v>
      </c>
      <c r="R723">
        <f t="shared" si="44"/>
        <v>2</v>
      </c>
      <c r="V723">
        <f t="shared" si="45"/>
        <v>25682</v>
      </c>
      <c r="Y723" s="18">
        <f t="shared" si="46"/>
        <v>237182.22</v>
      </c>
      <c r="Z723" s="18" t="str">
        <f t="shared" si="47"/>
        <v/>
      </c>
    </row>
    <row r="724" spans="2:26" hidden="1" x14ac:dyDescent="0.25">
      <c r="B724" t="s">
        <v>15</v>
      </c>
      <c r="C724" t="s">
        <v>16</v>
      </c>
      <c r="D724" t="s">
        <v>16</v>
      </c>
      <c r="E724" t="s">
        <v>16</v>
      </c>
      <c r="F724" t="s">
        <v>16</v>
      </c>
      <c r="G724" t="s">
        <v>398</v>
      </c>
      <c r="H724" s="18">
        <v>-36700.5</v>
      </c>
      <c r="J724" t="s">
        <v>19</v>
      </c>
      <c r="N724" t="s">
        <v>21</v>
      </c>
      <c r="O724" t="s">
        <v>22</v>
      </c>
      <c r="P724" t="s">
        <v>20</v>
      </c>
      <c r="Q724">
        <v>18102</v>
      </c>
      <c r="R724">
        <f t="shared" si="44"/>
        <v>2</v>
      </c>
      <c r="V724">
        <f t="shared" si="45"/>
        <v>18102</v>
      </c>
      <c r="Y724" s="18">
        <f t="shared" si="46"/>
        <v>36700.5</v>
      </c>
      <c r="Z724" s="18" t="str">
        <f t="shared" si="47"/>
        <v/>
      </c>
    </row>
    <row r="725" spans="2:26" x14ac:dyDescent="0.25">
      <c r="B725" t="s">
        <v>277</v>
      </c>
      <c r="C725" t="s">
        <v>16</v>
      </c>
      <c r="D725" t="s">
        <v>16</v>
      </c>
      <c r="E725" t="s">
        <v>16</v>
      </c>
      <c r="F725" t="s">
        <v>16</v>
      </c>
      <c r="G725" t="s">
        <v>656</v>
      </c>
      <c r="H725" s="18">
        <v>81905.600000000006</v>
      </c>
      <c r="I725" t="s">
        <v>23</v>
      </c>
      <c r="J725" t="s">
        <v>19</v>
      </c>
      <c r="N725" t="s">
        <v>21</v>
      </c>
      <c r="O725" t="s">
        <v>22</v>
      </c>
      <c r="P725" t="s">
        <v>20</v>
      </c>
      <c r="Q725">
        <v>27081</v>
      </c>
      <c r="R725">
        <f t="shared" si="44"/>
        <v>2</v>
      </c>
      <c r="V725">
        <f t="shared" si="45"/>
        <v>27081</v>
      </c>
      <c r="Y725" s="18">
        <f t="shared" si="46"/>
        <v>81905.600000000006</v>
      </c>
      <c r="Z725" s="18">
        <f t="shared" si="47"/>
        <v>0</v>
      </c>
    </row>
    <row r="726" spans="2:26" hidden="1" x14ac:dyDescent="0.25">
      <c r="B726" t="s">
        <v>15</v>
      </c>
      <c r="C726" t="s">
        <v>16</v>
      </c>
      <c r="D726" t="s">
        <v>16</v>
      </c>
      <c r="E726" t="s">
        <v>16</v>
      </c>
      <c r="F726" t="s">
        <v>16</v>
      </c>
      <c r="G726" t="s">
        <v>482</v>
      </c>
      <c r="H726" s="18">
        <v>-1821.36</v>
      </c>
      <c r="J726" t="s">
        <v>19</v>
      </c>
      <c r="N726" t="s">
        <v>21</v>
      </c>
      <c r="O726" t="s">
        <v>22</v>
      </c>
      <c r="P726" t="s">
        <v>20</v>
      </c>
      <c r="Q726">
        <v>23551</v>
      </c>
      <c r="R726">
        <f t="shared" si="44"/>
        <v>2</v>
      </c>
      <c r="V726">
        <f t="shared" si="45"/>
        <v>23551</v>
      </c>
      <c r="Y726" s="18">
        <f t="shared" si="46"/>
        <v>2074.44</v>
      </c>
      <c r="Z726" s="18" t="str">
        <f t="shared" si="47"/>
        <v/>
      </c>
    </row>
    <row r="727" spans="2:26" x14ac:dyDescent="0.25">
      <c r="B727" t="s">
        <v>277</v>
      </c>
      <c r="C727" t="s">
        <v>16</v>
      </c>
      <c r="D727" t="s">
        <v>16</v>
      </c>
      <c r="E727" t="s">
        <v>16</v>
      </c>
      <c r="F727" t="s">
        <v>16</v>
      </c>
      <c r="G727" t="s">
        <v>677</v>
      </c>
      <c r="H727" s="18">
        <v>321.38</v>
      </c>
      <c r="I727" t="s">
        <v>23</v>
      </c>
      <c r="J727" t="s">
        <v>19</v>
      </c>
      <c r="N727" t="s">
        <v>21</v>
      </c>
      <c r="O727" t="s">
        <v>22</v>
      </c>
      <c r="P727" t="s">
        <v>20</v>
      </c>
      <c r="Q727">
        <v>23640</v>
      </c>
      <c r="R727">
        <f t="shared" si="44"/>
        <v>2</v>
      </c>
      <c r="V727">
        <f t="shared" si="45"/>
        <v>23640</v>
      </c>
      <c r="Y727" s="18">
        <f t="shared" si="46"/>
        <v>321.38</v>
      </c>
      <c r="Z727" s="18">
        <f t="shared" si="47"/>
        <v>0</v>
      </c>
    </row>
    <row r="728" spans="2:26" hidden="1" x14ac:dyDescent="0.25">
      <c r="B728" t="s">
        <v>15</v>
      </c>
      <c r="C728" t="s">
        <v>16</v>
      </c>
      <c r="D728" t="s">
        <v>16</v>
      </c>
      <c r="E728" t="s">
        <v>16</v>
      </c>
      <c r="F728" t="s">
        <v>16</v>
      </c>
      <c r="G728" t="s">
        <v>392</v>
      </c>
      <c r="H728" s="18">
        <v>-49738.77</v>
      </c>
      <c r="J728" t="s">
        <v>19</v>
      </c>
      <c r="N728" t="s">
        <v>21</v>
      </c>
      <c r="O728" t="s">
        <v>22</v>
      </c>
      <c r="P728" t="s">
        <v>20</v>
      </c>
      <c r="Q728">
        <v>2100176174</v>
      </c>
      <c r="R728">
        <f t="shared" si="44"/>
        <v>2</v>
      </c>
      <c r="V728">
        <f t="shared" si="45"/>
        <v>2100176174</v>
      </c>
      <c r="Y728" s="18">
        <f t="shared" si="46"/>
        <v>96900</v>
      </c>
      <c r="Z728" s="18" t="str">
        <f t="shared" si="47"/>
        <v/>
      </c>
    </row>
    <row r="729" spans="2:26" x14ac:dyDescent="0.25">
      <c r="B729" t="s">
        <v>277</v>
      </c>
      <c r="C729" t="s">
        <v>16</v>
      </c>
      <c r="D729" t="s">
        <v>16</v>
      </c>
      <c r="E729" t="s">
        <v>16</v>
      </c>
      <c r="F729" t="s">
        <v>16</v>
      </c>
      <c r="G729" t="s">
        <v>422</v>
      </c>
      <c r="H729" s="18">
        <v>620743.29</v>
      </c>
      <c r="I729" t="s">
        <v>23</v>
      </c>
      <c r="J729" t="s">
        <v>19</v>
      </c>
      <c r="N729" t="s">
        <v>21</v>
      </c>
      <c r="O729" t="s">
        <v>22</v>
      </c>
      <c r="P729" t="s">
        <v>20</v>
      </c>
      <c r="Q729">
        <v>24738</v>
      </c>
      <c r="R729">
        <f t="shared" si="44"/>
        <v>2</v>
      </c>
      <c r="V729">
        <f t="shared" si="45"/>
        <v>24738</v>
      </c>
      <c r="Y729" s="18">
        <f t="shared" si="46"/>
        <v>620743.29</v>
      </c>
      <c r="Z729" s="18">
        <f t="shared" si="47"/>
        <v>0</v>
      </c>
    </row>
    <row r="730" spans="2:26" x14ac:dyDescent="0.25">
      <c r="B730" t="s">
        <v>277</v>
      </c>
      <c r="C730" t="s">
        <v>16</v>
      </c>
      <c r="D730" t="s">
        <v>16</v>
      </c>
      <c r="E730" t="s">
        <v>16</v>
      </c>
      <c r="F730" t="s">
        <v>16</v>
      </c>
      <c r="G730" t="s">
        <v>680</v>
      </c>
      <c r="H730" s="18">
        <v>36200</v>
      </c>
      <c r="I730" t="s">
        <v>23</v>
      </c>
      <c r="J730" t="s">
        <v>19</v>
      </c>
      <c r="N730" t="s">
        <v>21</v>
      </c>
      <c r="O730" t="s">
        <v>22</v>
      </c>
      <c r="P730" t="s">
        <v>20</v>
      </c>
      <c r="Q730">
        <v>2101349503</v>
      </c>
      <c r="R730">
        <f t="shared" si="44"/>
        <v>2</v>
      </c>
      <c r="V730">
        <f t="shared" si="45"/>
        <v>2101349503</v>
      </c>
      <c r="Y730" s="18">
        <f t="shared" si="46"/>
        <v>36200</v>
      </c>
      <c r="Z730" s="18">
        <f t="shared" si="47"/>
        <v>0</v>
      </c>
    </row>
    <row r="731" spans="2:26" hidden="1" x14ac:dyDescent="0.25">
      <c r="B731" t="s">
        <v>15</v>
      </c>
      <c r="C731" t="s">
        <v>16</v>
      </c>
      <c r="D731" t="s">
        <v>16</v>
      </c>
      <c r="E731" t="s">
        <v>16</v>
      </c>
      <c r="F731" t="s">
        <v>16</v>
      </c>
      <c r="G731" t="s">
        <v>650</v>
      </c>
      <c r="H731" s="18">
        <v>-1646.14</v>
      </c>
      <c r="J731" t="s">
        <v>19</v>
      </c>
      <c r="N731" t="s">
        <v>21</v>
      </c>
      <c r="O731" t="s">
        <v>22</v>
      </c>
      <c r="P731" t="s">
        <v>20</v>
      </c>
      <c r="Q731">
        <v>23561</v>
      </c>
      <c r="R731">
        <f t="shared" si="44"/>
        <v>2</v>
      </c>
      <c r="V731">
        <f t="shared" si="45"/>
        <v>23561</v>
      </c>
      <c r="Y731" s="18">
        <f t="shared" si="46"/>
        <v>2074.44</v>
      </c>
      <c r="Z731" s="18" t="str">
        <f t="shared" si="47"/>
        <v/>
      </c>
    </row>
    <row r="732" spans="2:26" hidden="1" x14ac:dyDescent="0.25">
      <c r="B732" t="s">
        <v>15</v>
      </c>
      <c r="C732" t="s">
        <v>16</v>
      </c>
      <c r="D732" t="s">
        <v>16</v>
      </c>
      <c r="E732" t="s">
        <v>16</v>
      </c>
      <c r="F732" t="s">
        <v>16</v>
      </c>
      <c r="G732" t="s">
        <v>325</v>
      </c>
      <c r="H732" s="18">
        <v>-2139.08</v>
      </c>
      <c r="J732" t="s">
        <v>19</v>
      </c>
      <c r="N732" t="s">
        <v>21</v>
      </c>
      <c r="O732" t="s">
        <v>22</v>
      </c>
      <c r="P732" t="s">
        <v>20</v>
      </c>
      <c r="Q732">
        <v>7400091336</v>
      </c>
      <c r="R732">
        <f t="shared" si="44"/>
        <v>2</v>
      </c>
      <c r="V732">
        <f t="shared" si="45"/>
        <v>7400091336</v>
      </c>
      <c r="Y732" s="18">
        <f t="shared" si="46"/>
        <v>54508</v>
      </c>
      <c r="Z732" s="18" t="str">
        <f t="shared" si="47"/>
        <v/>
      </c>
    </row>
    <row r="733" spans="2:26" hidden="1" x14ac:dyDescent="0.25">
      <c r="B733" t="s">
        <v>15</v>
      </c>
      <c r="C733" t="s">
        <v>16</v>
      </c>
      <c r="D733" t="s">
        <v>16</v>
      </c>
      <c r="E733" t="s">
        <v>16</v>
      </c>
      <c r="F733" t="s">
        <v>16</v>
      </c>
      <c r="G733" t="s">
        <v>289</v>
      </c>
      <c r="H733" s="18">
        <v>-258279.65</v>
      </c>
      <c r="J733" t="s">
        <v>19</v>
      </c>
      <c r="N733" t="s">
        <v>21</v>
      </c>
      <c r="O733" t="s">
        <v>22</v>
      </c>
      <c r="P733" t="s">
        <v>20</v>
      </c>
      <c r="Q733">
        <v>24113</v>
      </c>
      <c r="R733">
        <f t="shared" si="44"/>
        <v>2</v>
      </c>
      <c r="V733">
        <f t="shared" si="45"/>
        <v>24113</v>
      </c>
      <c r="Y733" s="18">
        <f t="shared" si="46"/>
        <v>386525.1</v>
      </c>
      <c r="Z733" s="18" t="str">
        <f t="shared" si="47"/>
        <v/>
      </c>
    </row>
    <row r="734" spans="2:26" hidden="1" x14ac:dyDescent="0.25">
      <c r="B734" t="s">
        <v>15</v>
      </c>
      <c r="C734" t="s">
        <v>16</v>
      </c>
      <c r="D734" t="s">
        <v>16</v>
      </c>
      <c r="E734" t="s">
        <v>16</v>
      </c>
      <c r="F734" t="s">
        <v>16</v>
      </c>
      <c r="G734" t="s">
        <v>679</v>
      </c>
      <c r="H734" s="18">
        <v>-16460.86</v>
      </c>
      <c r="J734" t="s">
        <v>19</v>
      </c>
      <c r="N734" t="s">
        <v>21</v>
      </c>
      <c r="O734" t="s">
        <v>22</v>
      </c>
      <c r="P734" t="s">
        <v>20</v>
      </c>
      <c r="Q734">
        <v>23659</v>
      </c>
      <c r="R734">
        <f t="shared" si="44"/>
        <v>2</v>
      </c>
      <c r="V734">
        <f t="shared" si="45"/>
        <v>23659</v>
      </c>
      <c r="Y734" s="18">
        <f t="shared" si="46"/>
        <v>52622.67</v>
      </c>
      <c r="Z734" s="18" t="str">
        <f t="shared" si="47"/>
        <v/>
      </c>
    </row>
    <row r="735" spans="2:26" hidden="1" x14ac:dyDescent="0.25">
      <c r="B735" t="s">
        <v>15</v>
      </c>
      <c r="C735" t="s">
        <v>16</v>
      </c>
      <c r="D735" t="s">
        <v>16</v>
      </c>
      <c r="E735" t="s">
        <v>16</v>
      </c>
      <c r="F735" t="s">
        <v>16</v>
      </c>
      <c r="G735" t="s">
        <v>301</v>
      </c>
      <c r="H735" s="18">
        <v>-58265.46</v>
      </c>
      <c r="J735" t="s">
        <v>19</v>
      </c>
      <c r="N735" t="s">
        <v>21</v>
      </c>
      <c r="O735" t="s">
        <v>22</v>
      </c>
      <c r="P735" t="s">
        <v>20</v>
      </c>
      <c r="Q735">
        <v>26378</v>
      </c>
      <c r="R735">
        <f t="shared" si="44"/>
        <v>2</v>
      </c>
      <c r="V735">
        <f t="shared" si="45"/>
        <v>26378</v>
      </c>
      <c r="Y735" s="18">
        <f t="shared" si="46"/>
        <v>63813.84</v>
      </c>
      <c r="Z735" s="18" t="str">
        <f t="shared" si="47"/>
        <v/>
      </c>
    </row>
    <row r="736" spans="2:26" x14ac:dyDescent="0.25">
      <c r="B736" t="s">
        <v>277</v>
      </c>
      <c r="C736" t="s">
        <v>16</v>
      </c>
      <c r="D736" t="s">
        <v>16</v>
      </c>
      <c r="E736" t="s">
        <v>16</v>
      </c>
      <c r="F736" t="s">
        <v>16</v>
      </c>
      <c r="G736" t="s">
        <v>665</v>
      </c>
      <c r="H736" s="18">
        <v>112274.95</v>
      </c>
      <c r="I736" t="s">
        <v>23</v>
      </c>
      <c r="J736" t="s">
        <v>19</v>
      </c>
      <c r="N736" t="s">
        <v>21</v>
      </c>
      <c r="O736" t="s">
        <v>22</v>
      </c>
      <c r="P736" t="s">
        <v>20</v>
      </c>
      <c r="Q736">
        <v>7400</v>
      </c>
      <c r="R736">
        <f t="shared" si="44"/>
        <v>2</v>
      </c>
      <c r="V736">
        <f t="shared" si="45"/>
        <v>7400</v>
      </c>
      <c r="Y736" s="18">
        <f t="shared" si="46"/>
        <v>112274.95</v>
      </c>
      <c r="Z736" s="18">
        <f t="shared" si="47"/>
        <v>0</v>
      </c>
    </row>
    <row r="737" spans="2:26" hidden="1" x14ac:dyDescent="0.25">
      <c r="B737" t="s">
        <v>15</v>
      </c>
      <c r="C737" t="s">
        <v>16</v>
      </c>
      <c r="D737" t="s">
        <v>16</v>
      </c>
      <c r="E737" t="s">
        <v>16</v>
      </c>
      <c r="F737" t="s">
        <v>16</v>
      </c>
      <c r="G737" t="s">
        <v>577</v>
      </c>
      <c r="H737" s="18">
        <v>-15657.32</v>
      </c>
      <c r="J737" t="s">
        <v>19</v>
      </c>
      <c r="N737" t="s">
        <v>21</v>
      </c>
      <c r="O737" t="s">
        <v>22</v>
      </c>
      <c r="P737" t="s">
        <v>20</v>
      </c>
      <c r="Q737">
        <v>23495</v>
      </c>
      <c r="R737">
        <f t="shared" si="44"/>
        <v>2</v>
      </c>
      <c r="V737">
        <f t="shared" si="45"/>
        <v>23495</v>
      </c>
      <c r="Y737" s="18">
        <f t="shared" si="46"/>
        <v>22218.04</v>
      </c>
      <c r="Z737" s="18" t="str">
        <f t="shared" si="47"/>
        <v/>
      </c>
    </row>
    <row r="738" spans="2:26" x14ac:dyDescent="0.25">
      <c r="B738" t="s">
        <v>277</v>
      </c>
      <c r="C738" t="s">
        <v>16</v>
      </c>
      <c r="D738" t="s">
        <v>16</v>
      </c>
      <c r="E738" t="s">
        <v>16</v>
      </c>
      <c r="F738" t="s">
        <v>16</v>
      </c>
      <c r="G738" t="s">
        <v>351</v>
      </c>
      <c r="H738" s="18">
        <v>139353.57</v>
      </c>
      <c r="I738" t="s">
        <v>23</v>
      </c>
      <c r="J738" t="s">
        <v>19</v>
      </c>
      <c r="N738" t="s">
        <v>21</v>
      </c>
      <c r="O738" t="s">
        <v>22</v>
      </c>
      <c r="P738" t="s">
        <v>20</v>
      </c>
      <c r="Q738">
        <v>18760</v>
      </c>
      <c r="R738">
        <f t="shared" si="44"/>
        <v>2</v>
      </c>
      <c r="V738">
        <f t="shared" si="45"/>
        <v>18760</v>
      </c>
      <c r="Y738" s="18">
        <f t="shared" si="46"/>
        <v>139353.57</v>
      </c>
      <c r="Z738" s="18">
        <f t="shared" si="47"/>
        <v>0</v>
      </c>
    </row>
    <row r="739" spans="2:26" hidden="1" x14ac:dyDescent="0.25">
      <c r="B739" t="s">
        <v>15</v>
      </c>
      <c r="C739" t="s">
        <v>16</v>
      </c>
      <c r="D739" t="s">
        <v>16</v>
      </c>
      <c r="E739" t="s">
        <v>16</v>
      </c>
      <c r="F739" t="s">
        <v>16</v>
      </c>
      <c r="G739" t="s">
        <v>647</v>
      </c>
      <c r="H739" s="18">
        <v>-958.33</v>
      </c>
      <c r="J739" t="s">
        <v>19</v>
      </c>
      <c r="N739" t="s">
        <v>21</v>
      </c>
      <c r="O739" t="s">
        <v>22</v>
      </c>
      <c r="P739" t="s">
        <v>20</v>
      </c>
      <c r="Q739">
        <v>23611</v>
      </c>
      <c r="R739">
        <f t="shared" si="44"/>
        <v>2</v>
      </c>
      <c r="V739">
        <f t="shared" si="45"/>
        <v>23611</v>
      </c>
      <c r="Y739" s="18">
        <f t="shared" si="46"/>
        <v>1892.79</v>
      </c>
      <c r="Z739" s="18" t="str">
        <f t="shared" si="47"/>
        <v/>
      </c>
    </row>
    <row r="740" spans="2:26" x14ac:dyDescent="0.25">
      <c r="B740" t="s">
        <v>277</v>
      </c>
      <c r="C740" t="s">
        <v>16</v>
      </c>
      <c r="D740" t="s">
        <v>16</v>
      </c>
      <c r="E740" t="s">
        <v>16</v>
      </c>
      <c r="F740" t="s">
        <v>16</v>
      </c>
      <c r="G740" t="s">
        <v>659</v>
      </c>
      <c r="H740" s="18">
        <v>114041.29</v>
      </c>
      <c r="I740" t="s">
        <v>23</v>
      </c>
      <c r="J740" t="s">
        <v>19</v>
      </c>
      <c r="N740" t="s">
        <v>21</v>
      </c>
      <c r="O740" t="s">
        <v>22</v>
      </c>
      <c r="P740" t="s">
        <v>20</v>
      </c>
      <c r="Q740">
        <v>27132</v>
      </c>
      <c r="R740">
        <f t="shared" si="44"/>
        <v>2</v>
      </c>
      <c r="V740">
        <f t="shared" si="45"/>
        <v>27132</v>
      </c>
      <c r="Y740" s="18">
        <f t="shared" si="46"/>
        <v>113790.64</v>
      </c>
      <c r="Z740" s="18">
        <f t="shared" si="47"/>
        <v>250.64999999999418</v>
      </c>
    </row>
    <row r="741" spans="2:26" x14ac:dyDescent="0.25">
      <c r="B741" t="s">
        <v>277</v>
      </c>
      <c r="C741" t="s">
        <v>16</v>
      </c>
      <c r="D741" t="s">
        <v>16</v>
      </c>
      <c r="E741" t="s">
        <v>16</v>
      </c>
      <c r="F741" t="s">
        <v>16</v>
      </c>
      <c r="G741" t="s">
        <v>663</v>
      </c>
      <c r="H741" s="18">
        <v>117028.65</v>
      </c>
      <c r="I741" t="s">
        <v>23</v>
      </c>
      <c r="J741" t="s">
        <v>19</v>
      </c>
      <c r="N741" t="s">
        <v>21</v>
      </c>
      <c r="O741" t="s">
        <v>22</v>
      </c>
      <c r="P741" t="s">
        <v>20</v>
      </c>
      <c r="Q741">
        <v>23671</v>
      </c>
      <c r="R741">
        <f t="shared" si="44"/>
        <v>2</v>
      </c>
      <c r="V741">
        <f t="shared" si="45"/>
        <v>23671</v>
      </c>
      <c r="Y741" s="18">
        <f t="shared" si="46"/>
        <v>117028.65</v>
      </c>
      <c r="Z741" s="18">
        <f t="shared" si="47"/>
        <v>0</v>
      </c>
    </row>
    <row r="742" spans="2:26" hidden="1" x14ac:dyDescent="0.25">
      <c r="B742" t="s">
        <v>15</v>
      </c>
      <c r="C742" t="s">
        <v>16</v>
      </c>
      <c r="D742" t="s">
        <v>16</v>
      </c>
      <c r="E742" t="s">
        <v>16</v>
      </c>
      <c r="F742" t="s">
        <v>16</v>
      </c>
      <c r="G742" t="s">
        <v>678</v>
      </c>
      <c r="H742" s="18">
        <v>-1842.77</v>
      </c>
      <c r="J742" t="s">
        <v>19</v>
      </c>
      <c r="N742" t="s">
        <v>21</v>
      </c>
      <c r="O742" t="s">
        <v>22</v>
      </c>
      <c r="P742" t="s">
        <v>20</v>
      </c>
      <c r="Q742">
        <v>69025102</v>
      </c>
      <c r="R742">
        <f t="shared" si="44"/>
        <v>2</v>
      </c>
      <c r="V742">
        <f t="shared" si="45"/>
        <v>69025102</v>
      </c>
      <c r="Y742" s="18">
        <f t="shared" si="46"/>
        <v>2145.2399999999998</v>
      </c>
      <c r="Z742" s="18" t="str">
        <f t="shared" si="47"/>
        <v/>
      </c>
    </row>
    <row r="743" spans="2:26" x14ac:dyDescent="0.25">
      <c r="B743" t="s">
        <v>277</v>
      </c>
      <c r="C743" t="s">
        <v>16</v>
      </c>
      <c r="D743" t="s">
        <v>16</v>
      </c>
      <c r="E743" t="s">
        <v>16</v>
      </c>
      <c r="F743" t="s">
        <v>16</v>
      </c>
      <c r="G743" t="s">
        <v>610</v>
      </c>
      <c r="H743" s="18">
        <v>2172.25</v>
      </c>
      <c r="I743" t="s">
        <v>23</v>
      </c>
      <c r="J743" t="s">
        <v>19</v>
      </c>
      <c r="N743" t="s">
        <v>21</v>
      </c>
      <c r="O743" t="s">
        <v>22</v>
      </c>
      <c r="P743" t="s">
        <v>20</v>
      </c>
      <c r="Q743">
        <v>23596</v>
      </c>
      <c r="R743">
        <f t="shared" si="44"/>
        <v>2</v>
      </c>
      <c r="V743">
        <f t="shared" si="45"/>
        <v>23596</v>
      </c>
      <c r="Y743" s="18">
        <f t="shared" si="46"/>
        <v>2172.25</v>
      </c>
      <c r="Z743" s="18">
        <f t="shared" si="47"/>
        <v>0</v>
      </c>
    </row>
    <row r="744" spans="2:26" hidden="1" x14ac:dyDescent="0.25">
      <c r="B744" t="s">
        <v>15</v>
      </c>
      <c r="C744" t="s">
        <v>16</v>
      </c>
      <c r="D744" t="s">
        <v>16</v>
      </c>
      <c r="E744" t="s">
        <v>16</v>
      </c>
      <c r="F744" t="s">
        <v>16</v>
      </c>
      <c r="G744" t="s">
        <v>459</v>
      </c>
      <c r="H744" s="18">
        <v>-8898.9500000000007</v>
      </c>
      <c r="J744" t="s">
        <v>19</v>
      </c>
      <c r="N744" t="s">
        <v>21</v>
      </c>
      <c r="O744" t="s">
        <v>22</v>
      </c>
      <c r="P744" t="s">
        <v>20</v>
      </c>
      <c r="Q744">
        <v>23539</v>
      </c>
      <c r="R744">
        <f t="shared" si="44"/>
        <v>2</v>
      </c>
      <c r="V744">
        <f t="shared" si="45"/>
        <v>23539</v>
      </c>
      <c r="Y744" s="18">
        <f t="shared" si="46"/>
        <v>10748.41</v>
      </c>
      <c r="Z744" s="18" t="str">
        <f t="shared" si="47"/>
        <v/>
      </c>
    </row>
    <row r="745" spans="2:26" hidden="1" x14ac:dyDescent="0.25">
      <c r="B745" t="s">
        <v>277</v>
      </c>
      <c r="C745" t="s">
        <v>16</v>
      </c>
      <c r="D745" t="s">
        <v>16</v>
      </c>
      <c r="E745" t="s">
        <v>16</v>
      </c>
      <c r="F745" t="s">
        <v>16</v>
      </c>
      <c r="G745" t="s">
        <v>633</v>
      </c>
      <c r="H745" s="18">
        <v>130000</v>
      </c>
      <c r="I745" t="s">
        <v>23</v>
      </c>
      <c r="J745" t="s">
        <v>19</v>
      </c>
      <c r="N745" t="s">
        <v>21</v>
      </c>
      <c r="O745" t="s">
        <v>22</v>
      </c>
      <c r="P745" t="s">
        <v>20</v>
      </c>
      <c r="Q745">
        <v>27116</v>
      </c>
      <c r="R745">
        <f t="shared" si="44"/>
        <v>2</v>
      </c>
      <c r="V745" t="str">
        <f t="shared" si="45"/>
        <v/>
      </c>
      <c r="W745" s="26" t="s">
        <v>686</v>
      </c>
      <c r="X745" s="15" t="s">
        <v>129</v>
      </c>
      <c r="Y745" s="18" t="str">
        <f t="shared" si="46"/>
        <v/>
      </c>
      <c r="Z745" s="18" t="str">
        <f t="shared" si="47"/>
        <v/>
      </c>
    </row>
    <row r="746" spans="2:26" hidden="1" x14ac:dyDescent="0.25">
      <c r="B746" t="s">
        <v>15</v>
      </c>
      <c r="C746" t="s">
        <v>16</v>
      </c>
      <c r="D746" t="s">
        <v>16</v>
      </c>
      <c r="E746" t="s">
        <v>16</v>
      </c>
      <c r="F746" t="s">
        <v>16</v>
      </c>
      <c r="G746" t="s">
        <v>505</v>
      </c>
      <c r="H746" s="18">
        <v>-8898.9500000000007</v>
      </c>
      <c r="J746" t="s">
        <v>19</v>
      </c>
      <c r="N746" t="s">
        <v>21</v>
      </c>
      <c r="O746" t="s">
        <v>22</v>
      </c>
      <c r="P746" t="s">
        <v>20</v>
      </c>
      <c r="Q746">
        <v>23538</v>
      </c>
      <c r="R746">
        <f t="shared" si="44"/>
        <v>2</v>
      </c>
      <c r="V746">
        <f t="shared" si="45"/>
        <v>23538</v>
      </c>
      <c r="Y746" s="18">
        <f t="shared" si="46"/>
        <v>10748.41</v>
      </c>
      <c r="Z746" s="18" t="str">
        <f t="shared" si="47"/>
        <v/>
      </c>
    </row>
    <row r="747" spans="2:26" hidden="1" x14ac:dyDescent="0.25">
      <c r="B747" t="s">
        <v>277</v>
      </c>
      <c r="C747" t="s">
        <v>16</v>
      </c>
      <c r="D747" t="s">
        <v>16</v>
      </c>
      <c r="E747" t="s">
        <v>16</v>
      </c>
      <c r="F747" t="s">
        <v>16</v>
      </c>
      <c r="G747" t="s">
        <v>588</v>
      </c>
      <c r="H747" s="18">
        <v>7175.57</v>
      </c>
      <c r="I747" t="s">
        <v>23</v>
      </c>
      <c r="J747" t="s">
        <v>19</v>
      </c>
      <c r="N747" t="s">
        <v>21</v>
      </c>
      <c r="O747" t="s">
        <v>22</v>
      </c>
      <c r="P747" t="s">
        <v>20</v>
      </c>
      <c r="Q747" t="s">
        <v>589</v>
      </c>
      <c r="R747">
        <f t="shared" si="44"/>
        <v>2</v>
      </c>
      <c r="V747" t="str">
        <f t="shared" si="45"/>
        <v/>
      </c>
      <c r="W747" s="26" t="s">
        <v>686</v>
      </c>
      <c r="X747" s="15" t="s">
        <v>129</v>
      </c>
      <c r="Y747" s="18" t="str">
        <f t="shared" si="46"/>
        <v/>
      </c>
      <c r="Z747" s="18" t="str">
        <f t="shared" si="47"/>
        <v/>
      </c>
    </row>
    <row r="748" spans="2:26" x14ac:dyDescent="0.25">
      <c r="B748" t="s">
        <v>277</v>
      </c>
      <c r="C748" t="s">
        <v>16</v>
      </c>
      <c r="D748" t="s">
        <v>16</v>
      </c>
      <c r="E748" t="s">
        <v>16</v>
      </c>
      <c r="F748" t="s">
        <v>16</v>
      </c>
      <c r="G748" t="s">
        <v>488</v>
      </c>
      <c r="H748" s="18">
        <v>90375.27</v>
      </c>
      <c r="I748" t="s">
        <v>23</v>
      </c>
      <c r="J748" t="s">
        <v>19</v>
      </c>
      <c r="N748" t="s">
        <v>21</v>
      </c>
      <c r="O748" t="s">
        <v>22</v>
      </c>
      <c r="P748" t="s">
        <v>20</v>
      </c>
      <c r="Q748">
        <v>25705</v>
      </c>
      <c r="R748">
        <f t="shared" si="44"/>
        <v>2</v>
      </c>
      <c r="V748">
        <f t="shared" si="45"/>
        <v>25705</v>
      </c>
      <c r="Y748" s="18">
        <f t="shared" si="46"/>
        <v>90375.27</v>
      </c>
      <c r="Z748" s="18">
        <f t="shared" si="47"/>
        <v>0</v>
      </c>
    </row>
    <row r="749" spans="2:26" hidden="1" x14ac:dyDescent="0.25">
      <c r="B749" t="s">
        <v>15</v>
      </c>
      <c r="C749" t="s">
        <v>16</v>
      </c>
      <c r="D749" t="s">
        <v>16</v>
      </c>
      <c r="E749" t="s">
        <v>16</v>
      </c>
      <c r="F749" t="s">
        <v>16</v>
      </c>
      <c r="G749" t="s">
        <v>343</v>
      </c>
      <c r="H749" s="18">
        <v>-27477.47</v>
      </c>
      <c r="J749" t="s">
        <v>19</v>
      </c>
      <c r="N749" t="s">
        <v>21</v>
      </c>
      <c r="O749" t="s">
        <v>22</v>
      </c>
      <c r="P749" t="s">
        <v>20</v>
      </c>
      <c r="Q749">
        <v>27168</v>
      </c>
      <c r="R749">
        <f t="shared" si="44"/>
        <v>2</v>
      </c>
      <c r="V749" t="str">
        <f t="shared" si="45"/>
        <v/>
      </c>
      <c r="W749" s="26" t="s">
        <v>686</v>
      </c>
      <c r="X749" s="15" t="s">
        <v>129</v>
      </c>
      <c r="Y749" s="18" t="str">
        <f t="shared" si="46"/>
        <v/>
      </c>
      <c r="Z749" s="18" t="str">
        <f t="shared" si="47"/>
        <v/>
      </c>
    </row>
    <row r="750" spans="2:26" x14ac:dyDescent="0.25">
      <c r="B750" t="s">
        <v>277</v>
      </c>
      <c r="C750" t="s">
        <v>16</v>
      </c>
      <c r="D750" t="s">
        <v>16</v>
      </c>
      <c r="E750" t="s">
        <v>16</v>
      </c>
      <c r="F750" t="s">
        <v>16</v>
      </c>
      <c r="G750" t="s">
        <v>480</v>
      </c>
      <c r="H750" s="18">
        <v>23325.06</v>
      </c>
      <c r="I750" t="s">
        <v>23</v>
      </c>
      <c r="J750" t="s">
        <v>19</v>
      </c>
      <c r="N750" t="s">
        <v>21</v>
      </c>
      <c r="O750" t="s">
        <v>22</v>
      </c>
      <c r="P750" t="s">
        <v>20</v>
      </c>
      <c r="Q750">
        <v>23658</v>
      </c>
      <c r="R750">
        <f t="shared" si="44"/>
        <v>2</v>
      </c>
      <c r="V750">
        <f t="shared" si="45"/>
        <v>23658</v>
      </c>
      <c r="Y750" s="18">
        <f t="shared" si="46"/>
        <v>23325.06</v>
      </c>
      <c r="Z750" s="18">
        <f t="shared" si="47"/>
        <v>0</v>
      </c>
    </row>
    <row r="751" spans="2:26" x14ac:dyDescent="0.25">
      <c r="B751" t="s">
        <v>277</v>
      </c>
      <c r="C751" t="s">
        <v>16</v>
      </c>
      <c r="D751" t="s">
        <v>16</v>
      </c>
      <c r="E751" t="s">
        <v>16</v>
      </c>
      <c r="F751" t="s">
        <v>16</v>
      </c>
      <c r="G751" t="s">
        <v>403</v>
      </c>
      <c r="H751" s="18">
        <v>1860.55</v>
      </c>
      <c r="I751" t="s">
        <v>23</v>
      </c>
      <c r="J751" t="s">
        <v>19</v>
      </c>
      <c r="N751" t="s">
        <v>21</v>
      </c>
      <c r="O751" t="s">
        <v>22</v>
      </c>
      <c r="P751" t="s">
        <v>20</v>
      </c>
      <c r="Q751">
        <v>23610</v>
      </c>
      <c r="R751">
        <f t="shared" si="44"/>
        <v>2</v>
      </c>
      <c r="V751">
        <f t="shared" si="45"/>
        <v>23610</v>
      </c>
      <c r="Y751" s="18">
        <f t="shared" si="46"/>
        <v>1860.55</v>
      </c>
      <c r="Z751" s="18">
        <f t="shared" si="47"/>
        <v>0</v>
      </c>
    </row>
    <row r="752" spans="2:26" x14ac:dyDescent="0.25">
      <c r="B752" t="s">
        <v>277</v>
      </c>
      <c r="C752" t="s">
        <v>16</v>
      </c>
      <c r="D752" t="s">
        <v>16</v>
      </c>
      <c r="E752" t="s">
        <v>16</v>
      </c>
      <c r="F752" t="s">
        <v>16</v>
      </c>
      <c r="G752" t="s">
        <v>599</v>
      </c>
      <c r="H752" s="18">
        <v>30091.39</v>
      </c>
      <c r="I752" t="s">
        <v>23</v>
      </c>
      <c r="J752" t="s">
        <v>19</v>
      </c>
      <c r="N752" t="s">
        <v>21</v>
      </c>
      <c r="O752" t="s">
        <v>22</v>
      </c>
      <c r="P752" t="s">
        <v>20</v>
      </c>
      <c r="Q752">
        <v>2665</v>
      </c>
      <c r="R752">
        <f t="shared" si="44"/>
        <v>2</v>
      </c>
      <c r="V752">
        <f t="shared" si="45"/>
        <v>2665</v>
      </c>
      <c r="Y752" s="18">
        <f t="shared" si="46"/>
        <v>30091.39</v>
      </c>
      <c r="Z752" s="18">
        <f t="shared" si="47"/>
        <v>0</v>
      </c>
    </row>
    <row r="753" spans="2:26" hidden="1" x14ac:dyDescent="0.25">
      <c r="B753" t="s">
        <v>277</v>
      </c>
      <c r="C753" t="s">
        <v>16</v>
      </c>
      <c r="D753" t="s">
        <v>16</v>
      </c>
      <c r="E753" t="s">
        <v>16</v>
      </c>
      <c r="F753" t="s">
        <v>16</v>
      </c>
      <c r="G753" t="s">
        <v>293</v>
      </c>
      <c r="H753" s="18">
        <v>107935.79</v>
      </c>
      <c r="I753" t="s">
        <v>23</v>
      </c>
      <c r="J753" t="s">
        <v>19</v>
      </c>
      <c r="N753" t="s">
        <v>21</v>
      </c>
      <c r="O753" t="s">
        <v>22</v>
      </c>
      <c r="P753" t="s">
        <v>20</v>
      </c>
      <c r="Q753">
        <v>27152</v>
      </c>
      <c r="R753">
        <f t="shared" si="44"/>
        <v>2</v>
      </c>
      <c r="V753" t="str">
        <f t="shared" si="45"/>
        <v/>
      </c>
      <c r="W753" s="26" t="s">
        <v>686</v>
      </c>
      <c r="X753" s="15" t="s">
        <v>129</v>
      </c>
      <c r="Y753" s="18" t="str">
        <f t="shared" si="46"/>
        <v/>
      </c>
      <c r="Z753" s="18" t="str">
        <f t="shared" si="47"/>
        <v/>
      </c>
    </row>
    <row r="754" spans="2:26" x14ac:dyDescent="0.25">
      <c r="B754" t="s">
        <v>277</v>
      </c>
      <c r="C754" t="s">
        <v>16</v>
      </c>
      <c r="D754" t="s">
        <v>16</v>
      </c>
      <c r="E754" t="s">
        <v>16</v>
      </c>
      <c r="F754" t="s">
        <v>16</v>
      </c>
      <c r="G754" t="s">
        <v>642</v>
      </c>
      <c r="H754" s="18">
        <v>454200.9</v>
      </c>
      <c r="I754" t="s">
        <v>23</v>
      </c>
      <c r="J754" t="s">
        <v>19</v>
      </c>
      <c r="N754" t="s">
        <v>21</v>
      </c>
      <c r="O754" t="s">
        <v>22</v>
      </c>
      <c r="P754" t="s">
        <v>20</v>
      </c>
      <c r="Q754">
        <v>23992</v>
      </c>
      <c r="R754">
        <f t="shared" si="44"/>
        <v>2</v>
      </c>
      <c r="V754">
        <f t="shared" si="45"/>
        <v>23992</v>
      </c>
      <c r="Y754" s="18">
        <f t="shared" si="46"/>
        <v>454200.9</v>
      </c>
      <c r="Z754" s="18">
        <f t="shared" si="47"/>
        <v>0</v>
      </c>
    </row>
    <row r="755" spans="2:26" hidden="1" x14ac:dyDescent="0.25">
      <c r="B755" t="s">
        <v>15</v>
      </c>
      <c r="C755" t="s">
        <v>16</v>
      </c>
      <c r="D755" t="s">
        <v>16</v>
      </c>
      <c r="E755" t="s">
        <v>16</v>
      </c>
      <c r="F755" t="s">
        <v>16</v>
      </c>
      <c r="G755" t="s">
        <v>428</v>
      </c>
      <c r="H755" s="18">
        <v>-11463.51</v>
      </c>
      <c r="J755" t="s">
        <v>19</v>
      </c>
      <c r="N755" t="s">
        <v>21</v>
      </c>
      <c r="O755" t="s">
        <v>22</v>
      </c>
      <c r="P755" t="s">
        <v>20</v>
      </c>
      <c r="Q755">
        <v>23503</v>
      </c>
      <c r="R755">
        <f t="shared" si="44"/>
        <v>2</v>
      </c>
      <c r="V755">
        <f t="shared" si="45"/>
        <v>23503</v>
      </c>
      <c r="Y755" s="18">
        <f t="shared" si="46"/>
        <v>19026.830000000002</v>
      </c>
      <c r="Z755" s="18" t="str">
        <f t="shared" si="47"/>
        <v/>
      </c>
    </row>
    <row r="756" spans="2:26" hidden="1" x14ac:dyDescent="0.25">
      <c r="B756" t="s">
        <v>15</v>
      </c>
      <c r="C756" t="s">
        <v>16</v>
      </c>
      <c r="D756" t="s">
        <v>16</v>
      </c>
      <c r="E756" t="s">
        <v>16</v>
      </c>
      <c r="F756" t="s">
        <v>16</v>
      </c>
      <c r="G756" t="s">
        <v>533</v>
      </c>
      <c r="H756" s="18">
        <v>-63042.03</v>
      </c>
      <c r="J756" t="s">
        <v>19</v>
      </c>
      <c r="N756" t="s">
        <v>21</v>
      </c>
      <c r="O756" t="s">
        <v>22</v>
      </c>
      <c r="P756" t="s">
        <v>20</v>
      </c>
      <c r="Q756">
        <v>25689</v>
      </c>
      <c r="R756">
        <f t="shared" si="44"/>
        <v>2</v>
      </c>
      <c r="V756">
        <f t="shared" si="45"/>
        <v>25689</v>
      </c>
      <c r="Y756" s="18">
        <f t="shared" si="46"/>
        <v>96280.9</v>
      </c>
      <c r="Z756" s="18" t="str">
        <f t="shared" si="47"/>
        <v/>
      </c>
    </row>
    <row r="757" spans="2:26" hidden="1" x14ac:dyDescent="0.25">
      <c r="B757" t="s">
        <v>15</v>
      </c>
      <c r="C757" t="s">
        <v>16</v>
      </c>
      <c r="D757" t="s">
        <v>16</v>
      </c>
      <c r="E757" t="s">
        <v>16</v>
      </c>
      <c r="F757" t="s">
        <v>16</v>
      </c>
      <c r="G757" t="s">
        <v>645</v>
      </c>
      <c r="H757" s="18">
        <v>-2768.02</v>
      </c>
      <c r="J757" t="s">
        <v>19</v>
      </c>
      <c r="N757" t="s">
        <v>21</v>
      </c>
      <c r="O757" t="s">
        <v>22</v>
      </c>
      <c r="P757" t="s">
        <v>20</v>
      </c>
      <c r="Q757">
        <v>23599</v>
      </c>
      <c r="R757">
        <f t="shared" si="44"/>
        <v>2</v>
      </c>
      <c r="V757">
        <f t="shared" si="45"/>
        <v>23599</v>
      </c>
      <c r="Y757" s="18">
        <f t="shared" si="46"/>
        <v>4276.79</v>
      </c>
      <c r="Z757" s="18" t="str">
        <f t="shared" si="47"/>
        <v/>
      </c>
    </row>
    <row r="758" spans="2:26" x14ac:dyDescent="0.25">
      <c r="B758" t="s">
        <v>277</v>
      </c>
      <c r="C758" t="s">
        <v>16</v>
      </c>
      <c r="D758" t="s">
        <v>16</v>
      </c>
      <c r="E758" t="s">
        <v>16</v>
      </c>
      <c r="F758" t="s">
        <v>16</v>
      </c>
      <c r="G758" t="s">
        <v>664</v>
      </c>
      <c r="H758" s="18">
        <v>63168.38</v>
      </c>
      <c r="I758" t="s">
        <v>23</v>
      </c>
      <c r="J758" t="s">
        <v>19</v>
      </c>
      <c r="N758" t="s">
        <v>21</v>
      </c>
      <c r="O758" t="s">
        <v>22</v>
      </c>
      <c r="P758" t="s">
        <v>20</v>
      </c>
      <c r="Q758">
        <v>27060</v>
      </c>
      <c r="R758">
        <f t="shared" si="44"/>
        <v>2</v>
      </c>
      <c r="V758">
        <f t="shared" si="45"/>
        <v>27060</v>
      </c>
      <c r="Y758" s="18">
        <f t="shared" si="46"/>
        <v>63168.38</v>
      </c>
      <c r="Z758" s="18">
        <f t="shared" si="47"/>
        <v>0</v>
      </c>
    </row>
    <row r="759" spans="2:26" x14ac:dyDescent="0.25">
      <c r="B759" t="s">
        <v>277</v>
      </c>
      <c r="C759" t="s">
        <v>16</v>
      </c>
      <c r="D759" t="s">
        <v>16</v>
      </c>
      <c r="E759" t="s">
        <v>16</v>
      </c>
      <c r="F759" t="s">
        <v>16</v>
      </c>
      <c r="G759" t="s">
        <v>406</v>
      </c>
      <c r="H759" s="18">
        <v>130292.66</v>
      </c>
      <c r="I759" t="s">
        <v>23</v>
      </c>
      <c r="J759" t="s">
        <v>19</v>
      </c>
      <c r="N759" t="s">
        <v>21</v>
      </c>
      <c r="O759" t="s">
        <v>22</v>
      </c>
      <c r="P759" t="s">
        <v>20</v>
      </c>
      <c r="Q759">
        <v>23484</v>
      </c>
      <c r="R759">
        <f t="shared" si="44"/>
        <v>2</v>
      </c>
      <c r="V759">
        <f t="shared" si="45"/>
        <v>23484</v>
      </c>
      <c r="Y759" s="18">
        <f t="shared" si="46"/>
        <v>130292.66</v>
      </c>
      <c r="Z759" s="18">
        <f t="shared" si="47"/>
        <v>0</v>
      </c>
    </row>
    <row r="760" spans="2:26" hidden="1" x14ac:dyDescent="0.25">
      <c r="B760" t="s">
        <v>15</v>
      </c>
      <c r="C760" t="s">
        <v>16</v>
      </c>
      <c r="D760" t="s">
        <v>16</v>
      </c>
      <c r="E760" t="s">
        <v>16</v>
      </c>
      <c r="F760" t="s">
        <v>16</v>
      </c>
      <c r="G760" t="s">
        <v>475</v>
      </c>
      <c r="H760" s="18">
        <v>-5028.34</v>
      </c>
      <c r="J760" t="s">
        <v>19</v>
      </c>
      <c r="N760" t="s">
        <v>21</v>
      </c>
      <c r="O760" t="s">
        <v>22</v>
      </c>
      <c r="P760" t="s">
        <v>20</v>
      </c>
      <c r="Q760">
        <v>23564</v>
      </c>
      <c r="R760">
        <f t="shared" si="44"/>
        <v>2</v>
      </c>
      <c r="V760">
        <f t="shared" si="45"/>
        <v>23564</v>
      </c>
      <c r="Y760" s="18">
        <f t="shared" si="46"/>
        <v>9145.82</v>
      </c>
      <c r="Z760" s="18" t="str">
        <f t="shared" si="47"/>
        <v/>
      </c>
    </row>
    <row r="761" spans="2:26" x14ac:dyDescent="0.25">
      <c r="B761" t="s">
        <v>277</v>
      </c>
      <c r="C761" t="s">
        <v>16</v>
      </c>
      <c r="D761" t="s">
        <v>16</v>
      </c>
      <c r="E761" t="s">
        <v>16</v>
      </c>
      <c r="F761" t="s">
        <v>16</v>
      </c>
      <c r="G761" t="s">
        <v>617</v>
      </c>
      <c r="H761" s="18">
        <v>136.5</v>
      </c>
      <c r="I761" t="s">
        <v>23</v>
      </c>
      <c r="J761" t="s">
        <v>19</v>
      </c>
      <c r="N761" t="s">
        <v>21</v>
      </c>
      <c r="O761" t="s">
        <v>22</v>
      </c>
      <c r="P761" t="s">
        <v>20</v>
      </c>
      <c r="Q761">
        <v>23633</v>
      </c>
      <c r="R761">
        <f t="shared" si="44"/>
        <v>2</v>
      </c>
      <c r="V761">
        <f t="shared" si="45"/>
        <v>23633</v>
      </c>
      <c r="Y761" s="18">
        <f t="shared" si="46"/>
        <v>136.5</v>
      </c>
      <c r="Z761" s="18">
        <f t="shared" si="47"/>
        <v>0</v>
      </c>
    </row>
    <row r="762" spans="2:26" x14ac:dyDescent="0.25">
      <c r="B762" t="s">
        <v>277</v>
      </c>
      <c r="C762" t="s">
        <v>16</v>
      </c>
      <c r="D762" t="s">
        <v>16</v>
      </c>
      <c r="E762" t="s">
        <v>16</v>
      </c>
      <c r="F762" t="s">
        <v>16</v>
      </c>
      <c r="G762" t="s">
        <v>478</v>
      </c>
      <c r="H762" s="18">
        <v>381890.11</v>
      </c>
      <c r="I762" t="s">
        <v>23</v>
      </c>
      <c r="J762" t="s">
        <v>19</v>
      </c>
      <c r="N762" t="s">
        <v>21</v>
      </c>
      <c r="O762" t="s">
        <v>22</v>
      </c>
      <c r="P762" t="s">
        <v>20</v>
      </c>
      <c r="Q762">
        <v>24279</v>
      </c>
      <c r="R762">
        <f t="shared" si="44"/>
        <v>2</v>
      </c>
      <c r="V762">
        <f t="shared" si="45"/>
        <v>24279</v>
      </c>
      <c r="Y762" s="18">
        <f t="shared" si="46"/>
        <v>381890.11</v>
      </c>
      <c r="Z762" s="18">
        <f t="shared" si="47"/>
        <v>0</v>
      </c>
    </row>
    <row r="763" spans="2:26" x14ac:dyDescent="0.25">
      <c r="B763" t="s">
        <v>277</v>
      </c>
      <c r="C763" t="s">
        <v>16</v>
      </c>
      <c r="D763" t="s">
        <v>16</v>
      </c>
      <c r="E763" t="s">
        <v>16</v>
      </c>
      <c r="F763" t="s">
        <v>16</v>
      </c>
      <c r="G763" t="s">
        <v>487</v>
      </c>
      <c r="H763" s="18">
        <v>44795.76</v>
      </c>
      <c r="I763" t="s">
        <v>23</v>
      </c>
      <c r="J763" t="s">
        <v>19</v>
      </c>
      <c r="N763" t="s">
        <v>21</v>
      </c>
      <c r="O763" t="s">
        <v>22</v>
      </c>
      <c r="P763" t="s">
        <v>20</v>
      </c>
      <c r="Q763">
        <v>27045</v>
      </c>
      <c r="R763">
        <f t="shared" si="44"/>
        <v>2</v>
      </c>
      <c r="V763">
        <f t="shared" si="45"/>
        <v>27045</v>
      </c>
      <c r="Y763" s="18">
        <f t="shared" si="46"/>
        <v>44795.76</v>
      </c>
      <c r="Z763" s="18">
        <f t="shared" si="47"/>
        <v>0</v>
      </c>
    </row>
    <row r="764" spans="2:26" hidden="1" x14ac:dyDescent="0.25">
      <c r="B764" t="s">
        <v>15</v>
      </c>
      <c r="C764" t="s">
        <v>16</v>
      </c>
      <c r="D764" t="s">
        <v>16</v>
      </c>
      <c r="E764" t="s">
        <v>16</v>
      </c>
      <c r="F764" t="s">
        <v>16</v>
      </c>
      <c r="G764" t="s">
        <v>611</v>
      </c>
      <c r="H764" s="18">
        <v>-2381.09</v>
      </c>
      <c r="J764" t="s">
        <v>19</v>
      </c>
      <c r="N764" t="s">
        <v>21</v>
      </c>
      <c r="O764" t="s">
        <v>22</v>
      </c>
      <c r="P764" t="s">
        <v>20</v>
      </c>
      <c r="Q764">
        <v>23660</v>
      </c>
      <c r="R764">
        <f t="shared" si="44"/>
        <v>2</v>
      </c>
      <c r="V764">
        <f t="shared" si="45"/>
        <v>23660</v>
      </c>
      <c r="Y764" s="18">
        <f t="shared" si="46"/>
        <v>44013.41</v>
      </c>
      <c r="Z764" s="18" t="str">
        <f t="shared" si="47"/>
        <v/>
      </c>
    </row>
    <row r="765" spans="2:26" x14ac:dyDescent="0.25">
      <c r="B765" t="s">
        <v>277</v>
      </c>
      <c r="C765" t="s">
        <v>16</v>
      </c>
      <c r="D765" t="s">
        <v>16</v>
      </c>
      <c r="E765" t="s">
        <v>16</v>
      </c>
      <c r="F765" t="s">
        <v>16</v>
      </c>
      <c r="G765" t="s">
        <v>381</v>
      </c>
      <c r="H765" s="18">
        <v>68269.14</v>
      </c>
      <c r="I765" t="s">
        <v>23</v>
      </c>
      <c r="J765" t="s">
        <v>19</v>
      </c>
      <c r="N765" t="s">
        <v>21</v>
      </c>
      <c r="O765" t="s">
        <v>22</v>
      </c>
      <c r="P765" t="s">
        <v>20</v>
      </c>
      <c r="Q765">
        <v>17261</v>
      </c>
      <c r="R765">
        <f t="shared" si="44"/>
        <v>2</v>
      </c>
      <c r="V765">
        <f t="shared" si="45"/>
        <v>17261</v>
      </c>
      <c r="Y765" s="18">
        <f t="shared" si="46"/>
        <v>68269.14</v>
      </c>
      <c r="Z765" s="18">
        <f t="shared" si="47"/>
        <v>0</v>
      </c>
    </row>
    <row r="766" spans="2:26" hidden="1" x14ac:dyDescent="0.25">
      <c r="B766" t="s">
        <v>15</v>
      </c>
      <c r="C766" t="s">
        <v>16</v>
      </c>
      <c r="D766" t="s">
        <v>16</v>
      </c>
      <c r="E766" t="s">
        <v>16</v>
      </c>
      <c r="F766" t="s">
        <v>16</v>
      </c>
      <c r="G766" t="s">
        <v>518</v>
      </c>
      <c r="H766" s="18">
        <v>-140.26</v>
      </c>
      <c r="J766" t="s">
        <v>19</v>
      </c>
      <c r="N766" t="s">
        <v>21</v>
      </c>
      <c r="O766" t="s">
        <v>22</v>
      </c>
      <c r="P766" t="s">
        <v>20</v>
      </c>
      <c r="Q766">
        <v>23638</v>
      </c>
      <c r="R766">
        <f t="shared" si="44"/>
        <v>2</v>
      </c>
      <c r="V766">
        <f t="shared" si="45"/>
        <v>23638</v>
      </c>
      <c r="Y766" s="18">
        <f t="shared" si="46"/>
        <v>227.87</v>
      </c>
      <c r="Z766" s="18" t="str">
        <f t="shared" si="47"/>
        <v/>
      </c>
    </row>
    <row r="767" spans="2:26" hidden="1" x14ac:dyDescent="0.25">
      <c r="B767" t="s">
        <v>15</v>
      </c>
      <c r="C767" t="s">
        <v>16</v>
      </c>
      <c r="D767" t="s">
        <v>16</v>
      </c>
      <c r="E767" t="s">
        <v>16</v>
      </c>
      <c r="F767" t="s">
        <v>16</v>
      </c>
      <c r="G767" t="s">
        <v>660</v>
      </c>
      <c r="H767" s="18">
        <v>-8480.39</v>
      </c>
      <c r="J767" t="s">
        <v>19</v>
      </c>
      <c r="N767" t="s">
        <v>21</v>
      </c>
      <c r="O767" t="s">
        <v>22</v>
      </c>
      <c r="P767" t="s">
        <v>20</v>
      </c>
      <c r="Q767">
        <v>23543</v>
      </c>
      <c r="R767">
        <f t="shared" si="44"/>
        <v>2</v>
      </c>
      <c r="V767">
        <f t="shared" si="45"/>
        <v>23543</v>
      </c>
      <c r="Y767" s="18">
        <f t="shared" si="46"/>
        <v>10748.41</v>
      </c>
      <c r="Z767" s="18" t="str">
        <f t="shared" si="47"/>
        <v/>
      </c>
    </row>
    <row r="768" spans="2:26" x14ac:dyDescent="0.25">
      <c r="B768" t="s">
        <v>277</v>
      </c>
      <c r="C768" t="s">
        <v>16</v>
      </c>
      <c r="D768" t="s">
        <v>16</v>
      </c>
      <c r="E768" t="s">
        <v>16</v>
      </c>
      <c r="F768" t="s">
        <v>16</v>
      </c>
      <c r="G768" t="s">
        <v>412</v>
      </c>
      <c r="H768" s="18">
        <v>13435.51</v>
      </c>
      <c r="I768" t="s">
        <v>23</v>
      </c>
      <c r="J768" t="s">
        <v>19</v>
      </c>
      <c r="N768" t="s">
        <v>21</v>
      </c>
      <c r="O768" t="s">
        <v>22</v>
      </c>
      <c r="P768" t="s">
        <v>20</v>
      </c>
      <c r="Q768">
        <v>23544</v>
      </c>
      <c r="R768">
        <f t="shared" si="44"/>
        <v>2</v>
      </c>
      <c r="V768">
        <f t="shared" si="45"/>
        <v>23544</v>
      </c>
      <c r="Y768" s="18">
        <f t="shared" si="46"/>
        <v>13435.51</v>
      </c>
      <c r="Z768" s="18">
        <f t="shared" si="47"/>
        <v>0</v>
      </c>
    </row>
    <row r="769" spans="2:26" hidden="1" x14ac:dyDescent="0.25">
      <c r="B769" t="s">
        <v>15</v>
      </c>
      <c r="C769" t="s">
        <v>16</v>
      </c>
      <c r="D769" t="s">
        <v>16</v>
      </c>
      <c r="E769" t="s">
        <v>16</v>
      </c>
      <c r="F769" t="s">
        <v>16</v>
      </c>
      <c r="G769" t="s">
        <v>365</v>
      </c>
      <c r="H769" s="18">
        <v>-35700.26</v>
      </c>
      <c r="J769" t="s">
        <v>19</v>
      </c>
      <c r="N769" t="s">
        <v>21</v>
      </c>
      <c r="O769" t="s">
        <v>22</v>
      </c>
      <c r="P769" t="s">
        <v>20</v>
      </c>
      <c r="Q769">
        <v>19594</v>
      </c>
      <c r="R769">
        <f t="shared" si="44"/>
        <v>2</v>
      </c>
      <c r="V769">
        <f t="shared" si="45"/>
        <v>19594</v>
      </c>
      <c r="Y769" s="18">
        <f t="shared" si="46"/>
        <v>77248.66</v>
      </c>
      <c r="Z769" s="18" t="str">
        <f t="shared" si="47"/>
        <v/>
      </c>
    </row>
    <row r="770" spans="2:26" x14ac:dyDescent="0.25">
      <c r="B770" t="s">
        <v>277</v>
      </c>
      <c r="C770" t="s">
        <v>16</v>
      </c>
      <c r="D770" t="s">
        <v>16</v>
      </c>
      <c r="E770" t="s">
        <v>16</v>
      </c>
      <c r="F770" t="s">
        <v>16</v>
      </c>
      <c r="G770" t="s">
        <v>340</v>
      </c>
      <c r="H770" s="18">
        <v>13435.51</v>
      </c>
      <c r="I770" t="s">
        <v>23</v>
      </c>
      <c r="J770" t="s">
        <v>19</v>
      </c>
      <c r="N770" t="s">
        <v>21</v>
      </c>
      <c r="O770" t="s">
        <v>22</v>
      </c>
      <c r="P770" t="s">
        <v>20</v>
      </c>
      <c r="Q770">
        <v>23568</v>
      </c>
      <c r="R770">
        <f t="shared" si="44"/>
        <v>2</v>
      </c>
      <c r="V770">
        <f t="shared" si="45"/>
        <v>23568</v>
      </c>
      <c r="Y770" s="18">
        <f t="shared" si="46"/>
        <v>13435.51</v>
      </c>
      <c r="Z770" s="18">
        <f t="shared" si="47"/>
        <v>0</v>
      </c>
    </row>
    <row r="771" spans="2:26" x14ac:dyDescent="0.25">
      <c r="B771" t="s">
        <v>277</v>
      </c>
      <c r="C771" t="s">
        <v>16</v>
      </c>
      <c r="D771" t="s">
        <v>16</v>
      </c>
      <c r="E771" t="s">
        <v>16</v>
      </c>
      <c r="F771" t="s">
        <v>16</v>
      </c>
      <c r="G771" t="s">
        <v>670</v>
      </c>
      <c r="H771" s="18">
        <v>211423.79</v>
      </c>
      <c r="I771" t="s">
        <v>23</v>
      </c>
      <c r="J771" t="s">
        <v>19</v>
      </c>
      <c r="N771" t="s">
        <v>21</v>
      </c>
      <c r="O771" t="s">
        <v>22</v>
      </c>
      <c r="P771" t="s">
        <v>20</v>
      </c>
      <c r="Q771">
        <v>25691</v>
      </c>
      <c r="R771">
        <f t="shared" si="44"/>
        <v>2</v>
      </c>
      <c r="V771">
        <f t="shared" si="45"/>
        <v>25691</v>
      </c>
      <c r="Y771" s="18">
        <f t="shared" si="46"/>
        <v>211423.79</v>
      </c>
      <c r="Z771" s="18">
        <f t="shared" si="47"/>
        <v>0</v>
      </c>
    </row>
    <row r="772" spans="2:26" x14ac:dyDescent="0.25">
      <c r="B772" t="s">
        <v>277</v>
      </c>
      <c r="C772" t="s">
        <v>16</v>
      </c>
      <c r="D772" t="s">
        <v>16</v>
      </c>
      <c r="E772" t="s">
        <v>16</v>
      </c>
      <c r="F772" t="s">
        <v>16</v>
      </c>
      <c r="G772" t="s">
        <v>641</v>
      </c>
      <c r="H772" s="18">
        <v>2713.97</v>
      </c>
      <c r="I772" t="s">
        <v>23</v>
      </c>
      <c r="J772" t="s">
        <v>19</v>
      </c>
      <c r="N772" t="s">
        <v>21</v>
      </c>
      <c r="O772" t="s">
        <v>22</v>
      </c>
      <c r="P772" t="s">
        <v>20</v>
      </c>
      <c r="Q772">
        <v>23585</v>
      </c>
      <c r="R772">
        <f t="shared" si="44"/>
        <v>2</v>
      </c>
      <c r="V772">
        <f t="shared" si="45"/>
        <v>23585</v>
      </c>
      <c r="Y772" s="18">
        <f t="shared" si="46"/>
        <v>2713.97</v>
      </c>
      <c r="Z772" s="18">
        <f t="shared" si="47"/>
        <v>0</v>
      </c>
    </row>
    <row r="773" spans="2:26" hidden="1" x14ac:dyDescent="0.25">
      <c r="B773" t="s">
        <v>15</v>
      </c>
      <c r="C773" t="s">
        <v>16</v>
      </c>
      <c r="D773" t="s">
        <v>16</v>
      </c>
      <c r="E773" t="s">
        <v>16</v>
      </c>
      <c r="F773" t="s">
        <v>16</v>
      </c>
      <c r="G773" t="s">
        <v>309</v>
      </c>
      <c r="H773" s="18">
        <v>-14092.35</v>
      </c>
      <c r="J773" t="s">
        <v>19</v>
      </c>
      <c r="N773" t="s">
        <v>21</v>
      </c>
      <c r="O773" t="s">
        <v>22</v>
      </c>
      <c r="P773" t="s">
        <v>20</v>
      </c>
      <c r="Q773">
        <v>23530</v>
      </c>
      <c r="R773">
        <f t="shared" si="44"/>
        <v>2</v>
      </c>
      <c r="V773">
        <f t="shared" si="45"/>
        <v>23530</v>
      </c>
      <c r="Y773" s="18">
        <f t="shared" si="46"/>
        <v>20653.07</v>
      </c>
      <c r="Z773" s="18" t="str">
        <f t="shared" si="47"/>
        <v/>
      </c>
    </row>
    <row r="774" spans="2:26" hidden="1" x14ac:dyDescent="0.25">
      <c r="B774" t="s">
        <v>15</v>
      </c>
      <c r="C774" t="s">
        <v>16</v>
      </c>
      <c r="D774" t="s">
        <v>16</v>
      </c>
      <c r="E774" t="s">
        <v>16</v>
      </c>
      <c r="F774" t="s">
        <v>16</v>
      </c>
      <c r="G774" t="s">
        <v>563</v>
      </c>
      <c r="H774" s="18">
        <v>-1918.1</v>
      </c>
      <c r="J774" t="s">
        <v>19</v>
      </c>
      <c r="N774" t="s">
        <v>21</v>
      </c>
      <c r="O774" t="s">
        <v>22</v>
      </c>
      <c r="P774" t="s">
        <v>20</v>
      </c>
      <c r="Q774">
        <v>23586</v>
      </c>
      <c r="R774">
        <f t="shared" si="44"/>
        <v>2</v>
      </c>
      <c r="V774">
        <f t="shared" si="45"/>
        <v>23586</v>
      </c>
      <c r="Y774" s="18">
        <f t="shared" si="46"/>
        <v>2171.1799999999998</v>
      </c>
      <c r="Z774" s="18" t="str">
        <f t="shared" si="47"/>
        <v/>
      </c>
    </row>
    <row r="775" spans="2:26" hidden="1" x14ac:dyDescent="0.25">
      <c r="B775" t="s">
        <v>15</v>
      </c>
      <c r="C775" t="s">
        <v>16</v>
      </c>
      <c r="D775" t="s">
        <v>16</v>
      </c>
      <c r="E775" t="s">
        <v>16</v>
      </c>
      <c r="F775" t="s">
        <v>16</v>
      </c>
      <c r="G775" t="s">
        <v>483</v>
      </c>
      <c r="H775" s="18">
        <v>-14666.54</v>
      </c>
      <c r="J775" t="s">
        <v>19</v>
      </c>
      <c r="N775" t="s">
        <v>21</v>
      </c>
      <c r="O775" t="s">
        <v>22</v>
      </c>
      <c r="P775" t="s">
        <v>20</v>
      </c>
      <c r="Q775">
        <v>23486</v>
      </c>
      <c r="R775">
        <f t="shared" si="44"/>
        <v>2</v>
      </c>
      <c r="V775">
        <f t="shared" si="45"/>
        <v>23486</v>
      </c>
      <c r="Y775" s="18">
        <f t="shared" si="46"/>
        <v>22229.86</v>
      </c>
      <c r="Z775" s="18" t="str">
        <f t="shared" si="47"/>
        <v/>
      </c>
    </row>
    <row r="776" spans="2:26" hidden="1" x14ac:dyDescent="0.25">
      <c r="B776" t="s">
        <v>15</v>
      </c>
      <c r="C776" t="s">
        <v>16</v>
      </c>
      <c r="D776" t="s">
        <v>16</v>
      </c>
      <c r="E776" t="s">
        <v>16</v>
      </c>
      <c r="F776" t="s">
        <v>16</v>
      </c>
      <c r="G776" t="s">
        <v>560</v>
      </c>
      <c r="H776" s="18">
        <v>-157565.92000000001</v>
      </c>
      <c r="J776" t="s">
        <v>19</v>
      </c>
      <c r="N776" t="s">
        <v>21</v>
      </c>
      <c r="O776" t="s">
        <v>22</v>
      </c>
      <c r="P776" t="s">
        <v>20</v>
      </c>
      <c r="Q776">
        <v>25693</v>
      </c>
      <c r="R776">
        <f t="shared" si="44"/>
        <v>2</v>
      </c>
      <c r="V776">
        <f t="shared" si="45"/>
        <v>25693</v>
      </c>
      <c r="Y776" s="18">
        <f t="shared" si="46"/>
        <v>273442.05</v>
      </c>
      <c r="Z776" s="18" t="str">
        <f t="shared" si="47"/>
        <v/>
      </c>
    </row>
    <row r="777" spans="2:26" hidden="1" x14ac:dyDescent="0.25">
      <c r="B777" t="s">
        <v>15</v>
      </c>
      <c r="C777" t="s">
        <v>16</v>
      </c>
      <c r="D777" t="s">
        <v>16</v>
      </c>
      <c r="E777" t="s">
        <v>16</v>
      </c>
      <c r="F777" t="s">
        <v>16</v>
      </c>
      <c r="G777" t="s">
        <v>298</v>
      </c>
      <c r="H777" s="18">
        <v>-468.22</v>
      </c>
      <c r="J777" t="s">
        <v>19</v>
      </c>
      <c r="N777" t="s">
        <v>21</v>
      </c>
      <c r="O777" t="s">
        <v>22</v>
      </c>
      <c r="P777" t="s">
        <v>20</v>
      </c>
      <c r="Q777">
        <v>27109</v>
      </c>
      <c r="R777">
        <f t="shared" si="44"/>
        <v>2</v>
      </c>
      <c r="V777">
        <f t="shared" si="45"/>
        <v>27109</v>
      </c>
      <c r="Y777" s="18">
        <f t="shared" si="46"/>
        <v>11931.23</v>
      </c>
      <c r="Z777" s="18" t="str">
        <f t="shared" si="47"/>
        <v/>
      </c>
    </row>
    <row r="778" spans="2:26" hidden="1" x14ac:dyDescent="0.25">
      <c r="B778" t="s">
        <v>15</v>
      </c>
      <c r="C778" t="s">
        <v>16</v>
      </c>
      <c r="D778" t="s">
        <v>16</v>
      </c>
      <c r="E778" t="s">
        <v>16</v>
      </c>
      <c r="F778" t="s">
        <v>16</v>
      </c>
      <c r="G778" t="s">
        <v>539</v>
      </c>
      <c r="H778" s="18">
        <v>-663.48</v>
      </c>
      <c r="J778" t="s">
        <v>19</v>
      </c>
      <c r="N778" t="s">
        <v>21</v>
      </c>
      <c r="O778" t="s">
        <v>22</v>
      </c>
      <c r="P778" t="s">
        <v>20</v>
      </c>
      <c r="Q778">
        <v>23598</v>
      </c>
      <c r="R778">
        <f t="shared" ref="R778:R816" si="48">COUNTIF($Q$9:$Q$816,Q778)</f>
        <v>2</v>
      </c>
      <c r="V778">
        <f t="shared" ref="V778:V816" si="49">IFERROR(VLOOKUP(Q778,$C$823:$C$1253,1,FALSE),"")</f>
        <v>23598</v>
      </c>
      <c r="Y778" s="18">
        <f t="shared" ref="Y778:Y816" si="50">IFERROR(VLOOKUP(Q778,$C$823:$D$1253,2,FALSE),"")</f>
        <v>2172.25</v>
      </c>
      <c r="Z778" s="18" t="str">
        <f t="shared" ref="Z778:Z816" si="51">IFERROR(IF(RIGHT(B778,6)="TYVA02","",H778-Y778),"")</f>
        <v/>
      </c>
    </row>
    <row r="779" spans="2:26" x14ac:dyDescent="0.25">
      <c r="B779" t="s">
        <v>277</v>
      </c>
      <c r="C779" t="s">
        <v>16</v>
      </c>
      <c r="D779" t="s">
        <v>16</v>
      </c>
      <c r="E779" t="s">
        <v>16</v>
      </c>
      <c r="F779" t="s">
        <v>16</v>
      </c>
      <c r="G779" t="s">
        <v>630</v>
      </c>
      <c r="H779" s="18">
        <v>10511.91</v>
      </c>
      <c r="I779" t="s">
        <v>23</v>
      </c>
      <c r="J779" t="s">
        <v>19</v>
      </c>
      <c r="N779" t="s">
        <v>21</v>
      </c>
      <c r="O779" t="s">
        <v>22</v>
      </c>
      <c r="P779" t="s">
        <v>20</v>
      </c>
      <c r="Q779">
        <v>27144</v>
      </c>
      <c r="R779">
        <f t="shared" si="48"/>
        <v>2</v>
      </c>
      <c r="V779">
        <f t="shared" si="49"/>
        <v>27144</v>
      </c>
      <c r="Y779" s="18">
        <f t="shared" si="50"/>
        <v>10080.68</v>
      </c>
      <c r="Z779" s="18">
        <f t="shared" si="51"/>
        <v>431.22999999999956</v>
      </c>
    </row>
    <row r="780" spans="2:26" x14ac:dyDescent="0.25">
      <c r="B780" t="s">
        <v>277</v>
      </c>
      <c r="C780" t="s">
        <v>16</v>
      </c>
      <c r="D780" t="s">
        <v>16</v>
      </c>
      <c r="E780" t="s">
        <v>16</v>
      </c>
      <c r="F780" t="s">
        <v>16</v>
      </c>
      <c r="G780" t="s">
        <v>521</v>
      </c>
      <c r="H780" s="18">
        <v>9028.2999999999993</v>
      </c>
      <c r="I780" t="s">
        <v>23</v>
      </c>
      <c r="J780" t="s">
        <v>19</v>
      </c>
      <c r="N780" t="s">
        <v>21</v>
      </c>
      <c r="O780" t="s">
        <v>22</v>
      </c>
      <c r="P780" t="s">
        <v>20</v>
      </c>
      <c r="Q780">
        <v>27043</v>
      </c>
      <c r="R780">
        <f t="shared" si="48"/>
        <v>2</v>
      </c>
      <c r="V780">
        <f t="shared" si="49"/>
        <v>27043</v>
      </c>
      <c r="Y780" s="18">
        <f t="shared" si="50"/>
        <v>9028.2999999999993</v>
      </c>
      <c r="Z780" s="18">
        <f t="shared" si="51"/>
        <v>0</v>
      </c>
    </row>
    <row r="781" spans="2:26" hidden="1" x14ac:dyDescent="0.25">
      <c r="B781" t="s">
        <v>15</v>
      </c>
      <c r="C781" t="s">
        <v>16</v>
      </c>
      <c r="D781" t="s">
        <v>16</v>
      </c>
      <c r="E781" t="s">
        <v>16</v>
      </c>
      <c r="F781" t="s">
        <v>16</v>
      </c>
      <c r="G781" t="s">
        <v>575</v>
      </c>
      <c r="H781" s="18">
        <v>-39808.32</v>
      </c>
      <c r="J781" t="s">
        <v>19</v>
      </c>
      <c r="N781" t="s">
        <v>21</v>
      </c>
      <c r="O781" t="s">
        <v>22</v>
      </c>
      <c r="P781" t="s">
        <v>20</v>
      </c>
      <c r="Q781">
        <v>23664</v>
      </c>
      <c r="R781">
        <f t="shared" si="48"/>
        <v>2</v>
      </c>
      <c r="V781">
        <f t="shared" si="49"/>
        <v>23664</v>
      </c>
      <c r="Y781" s="18">
        <f t="shared" si="50"/>
        <v>44013.41</v>
      </c>
      <c r="Z781" s="18" t="str">
        <f t="shared" si="51"/>
        <v/>
      </c>
    </row>
    <row r="782" spans="2:26" x14ac:dyDescent="0.25">
      <c r="B782" t="s">
        <v>277</v>
      </c>
      <c r="C782" t="s">
        <v>16</v>
      </c>
      <c r="D782" t="s">
        <v>16</v>
      </c>
      <c r="E782" t="s">
        <v>16</v>
      </c>
      <c r="F782" t="s">
        <v>16</v>
      </c>
      <c r="G782" t="s">
        <v>496</v>
      </c>
      <c r="H782" s="18">
        <v>111404.84</v>
      </c>
      <c r="I782" t="s">
        <v>23</v>
      </c>
      <c r="J782" t="s">
        <v>19</v>
      </c>
      <c r="N782" t="s">
        <v>21</v>
      </c>
      <c r="O782" t="s">
        <v>22</v>
      </c>
      <c r="P782" t="s">
        <v>20</v>
      </c>
      <c r="Q782">
        <v>23518</v>
      </c>
      <c r="R782">
        <f t="shared" si="48"/>
        <v>2</v>
      </c>
      <c r="V782">
        <f t="shared" si="49"/>
        <v>23518</v>
      </c>
      <c r="Y782" s="18">
        <f t="shared" si="50"/>
        <v>111404.84</v>
      </c>
      <c r="Z782" s="18">
        <f t="shared" si="51"/>
        <v>0</v>
      </c>
    </row>
    <row r="783" spans="2:26" hidden="1" x14ac:dyDescent="0.25">
      <c r="B783" t="s">
        <v>15</v>
      </c>
      <c r="C783" t="s">
        <v>16</v>
      </c>
      <c r="D783" t="s">
        <v>16</v>
      </c>
      <c r="E783" t="s">
        <v>16</v>
      </c>
      <c r="F783" t="s">
        <v>16</v>
      </c>
      <c r="G783" t="s">
        <v>333</v>
      </c>
      <c r="H783" s="18">
        <v>-64218.48</v>
      </c>
      <c r="J783" t="s">
        <v>19</v>
      </c>
      <c r="N783" t="s">
        <v>21</v>
      </c>
      <c r="O783" t="s">
        <v>22</v>
      </c>
      <c r="P783" t="s">
        <v>20</v>
      </c>
      <c r="Q783">
        <v>23667</v>
      </c>
      <c r="R783">
        <f t="shared" si="48"/>
        <v>2</v>
      </c>
      <c r="V783">
        <f t="shared" si="49"/>
        <v>23667</v>
      </c>
      <c r="Y783" s="18">
        <f t="shared" si="50"/>
        <v>64390</v>
      </c>
      <c r="Z783" s="18" t="str">
        <f t="shared" si="51"/>
        <v/>
      </c>
    </row>
    <row r="784" spans="2:26" hidden="1" x14ac:dyDescent="0.25">
      <c r="B784" t="s">
        <v>15</v>
      </c>
      <c r="C784" t="s">
        <v>16</v>
      </c>
      <c r="D784" t="s">
        <v>16</v>
      </c>
      <c r="E784" t="s">
        <v>16</v>
      </c>
      <c r="F784" t="s">
        <v>16</v>
      </c>
      <c r="G784" t="s">
        <v>673</v>
      </c>
      <c r="H784" s="18">
        <v>-180.72</v>
      </c>
      <c r="J784" t="s">
        <v>19</v>
      </c>
      <c r="N784" t="s">
        <v>21</v>
      </c>
      <c r="O784" t="s">
        <v>22</v>
      </c>
      <c r="P784" t="s">
        <v>20</v>
      </c>
      <c r="Q784">
        <v>19371</v>
      </c>
      <c r="R784">
        <f t="shared" si="48"/>
        <v>2</v>
      </c>
      <c r="V784">
        <f t="shared" si="49"/>
        <v>19371</v>
      </c>
      <c r="Y784" s="18">
        <f t="shared" si="50"/>
        <v>4605.12</v>
      </c>
      <c r="Z784" s="18" t="str">
        <f t="shared" si="51"/>
        <v/>
      </c>
    </row>
    <row r="785" spans="2:26" hidden="1" x14ac:dyDescent="0.25">
      <c r="B785" t="s">
        <v>15</v>
      </c>
      <c r="C785" t="s">
        <v>16</v>
      </c>
      <c r="D785" t="s">
        <v>16</v>
      </c>
      <c r="E785" t="s">
        <v>16</v>
      </c>
      <c r="F785" t="s">
        <v>16</v>
      </c>
      <c r="G785" t="s">
        <v>603</v>
      </c>
      <c r="H785" s="18">
        <v>-1856.83</v>
      </c>
      <c r="J785" t="s">
        <v>19</v>
      </c>
      <c r="N785" t="s">
        <v>21</v>
      </c>
      <c r="O785" t="s">
        <v>22</v>
      </c>
      <c r="P785" t="s">
        <v>20</v>
      </c>
      <c r="Q785">
        <v>23556</v>
      </c>
      <c r="R785">
        <f t="shared" si="48"/>
        <v>2</v>
      </c>
      <c r="V785">
        <f t="shared" si="49"/>
        <v>23556</v>
      </c>
      <c r="Y785" s="18">
        <f t="shared" si="50"/>
        <v>2109.91</v>
      </c>
      <c r="Z785" s="18" t="str">
        <f t="shared" si="51"/>
        <v/>
      </c>
    </row>
    <row r="786" spans="2:26" x14ac:dyDescent="0.25">
      <c r="B786" t="s">
        <v>277</v>
      </c>
      <c r="C786" t="s">
        <v>16</v>
      </c>
      <c r="D786" t="s">
        <v>16</v>
      </c>
      <c r="E786" t="s">
        <v>16</v>
      </c>
      <c r="F786" t="s">
        <v>16</v>
      </c>
      <c r="G786" t="s">
        <v>541</v>
      </c>
      <c r="H786" s="18">
        <v>279975.7</v>
      </c>
      <c r="I786" t="s">
        <v>23</v>
      </c>
      <c r="J786" t="s">
        <v>19</v>
      </c>
      <c r="N786" t="s">
        <v>21</v>
      </c>
      <c r="O786" t="s">
        <v>22</v>
      </c>
      <c r="P786" t="s">
        <v>20</v>
      </c>
      <c r="Q786">
        <v>19283</v>
      </c>
      <c r="R786">
        <f t="shared" si="48"/>
        <v>2</v>
      </c>
      <c r="V786">
        <f t="shared" si="49"/>
        <v>19283</v>
      </c>
      <c r="Y786" s="18">
        <f t="shared" si="50"/>
        <v>279975.7</v>
      </c>
      <c r="Z786" s="18">
        <f t="shared" si="51"/>
        <v>0</v>
      </c>
    </row>
    <row r="787" spans="2:26" hidden="1" x14ac:dyDescent="0.25">
      <c r="B787" t="s">
        <v>15</v>
      </c>
      <c r="C787" t="s">
        <v>16</v>
      </c>
      <c r="D787" t="s">
        <v>16</v>
      </c>
      <c r="E787" t="s">
        <v>16</v>
      </c>
      <c r="F787" t="s">
        <v>16</v>
      </c>
      <c r="G787" t="s">
        <v>467</v>
      </c>
      <c r="H787" s="18">
        <v>-1983.12</v>
      </c>
      <c r="J787" t="s">
        <v>19</v>
      </c>
      <c r="N787" t="s">
        <v>21</v>
      </c>
      <c r="O787" t="s">
        <v>22</v>
      </c>
      <c r="P787" t="s">
        <v>20</v>
      </c>
      <c r="Q787">
        <v>23592</v>
      </c>
      <c r="R787">
        <f t="shared" si="48"/>
        <v>2</v>
      </c>
      <c r="V787">
        <f t="shared" si="49"/>
        <v>23592</v>
      </c>
      <c r="Y787" s="18">
        <f t="shared" si="50"/>
        <v>2323.81</v>
      </c>
      <c r="Z787" s="18" t="str">
        <f t="shared" si="51"/>
        <v/>
      </c>
    </row>
    <row r="788" spans="2:26" hidden="1" x14ac:dyDescent="0.25">
      <c r="B788" t="s">
        <v>15</v>
      </c>
      <c r="C788" t="s">
        <v>16</v>
      </c>
      <c r="D788" t="s">
        <v>16</v>
      </c>
      <c r="E788" t="s">
        <v>16</v>
      </c>
      <c r="F788" t="s">
        <v>16</v>
      </c>
      <c r="G788" t="s">
        <v>562</v>
      </c>
      <c r="H788" s="18">
        <v>-21377.9</v>
      </c>
      <c r="J788" t="s">
        <v>19</v>
      </c>
      <c r="N788" t="s">
        <v>21</v>
      </c>
      <c r="O788" t="s">
        <v>22</v>
      </c>
      <c r="P788" t="s">
        <v>20</v>
      </c>
      <c r="Q788">
        <v>27171</v>
      </c>
      <c r="R788">
        <f t="shared" si="48"/>
        <v>2</v>
      </c>
      <c r="V788" t="str">
        <f t="shared" si="49"/>
        <v/>
      </c>
      <c r="W788" s="26" t="s">
        <v>686</v>
      </c>
      <c r="X788" s="15" t="s">
        <v>129</v>
      </c>
      <c r="Y788" s="18" t="str">
        <f t="shared" si="50"/>
        <v/>
      </c>
      <c r="Z788" s="18" t="str">
        <f t="shared" si="51"/>
        <v/>
      </c>
    </row>
    <row r="789" spans="2:26" hidden="1" x14ac:dyDescent="0.25">
      <c r="B789" t="s">
        <v>15</v>
      </c>
      <c r="C789" t="s">
        <v>16</v>
      </c>
      <c r="D789" t="s">
        <v>16</v>
      </c>
      <c r="E789" t="s">
        <v>16</v>
      </c>
      <c r="F789" t="s">
        <v>16</v>
      </c>
      <c r="G789" t="s">
        <v>461</v>
      </c>
      <c r="H789" s="18">
        <v>-16460.86</v>
      </c>
      <c r="J789" t="s">
        <v>19</v>
      </c>
      <c r="N789" t="s">
        <v>21</v>
      </c>
      <c r="O789" t="s">
        <v>22</v>
      </c>
      <c r="P789" t="s">
        <v>20</v>
      </c>
      <c r="Q789">
        <v>23661</v>
      </c>
      <c r="R789">
        <f t="shared" si="48"/>
        <v>2</v>
      </c>
      <c r="V789">
        <f t="shared" si="49"/>
        <v>23661</v>
      </c>
      <c r="Y789" s="18">
        <f t="shared" si="50"/>
        <v>52622.67</v>
      </c>
      <c r="Z789" s="18" t="str">
        <f t="shared" si="51"/>
        <v/>
      </c>
    </row>
    <row r="790" spans="2:26" hidden="1" x14ac:dyDescent="0.25">
      <c r="B790" t="s">
        <v>15</v>
      </c>
      <c r="C790" t="s">
        <v>16</v>
      </c>
      <c r="D790" t="s">
        <v>16</v>
      </c>
      <c r="E790" t="s">
        <v>16</v>
      </c>
      <c r="F790" t="s">
        <v>16</v>
      </c>
      <c r="G790" t="s">
        <v>614</v>
      </c>
      <c r="H790" s="18">
        <v>-22641.97</v>
      </c>
      <c r="J790" t="s">
        <v>19</v>
      </c>
      <c r="N790" t="s">
        <v>21</v>
      </c>
      <c r="O790" t="s">
        <v>22</v>
      </c>
      <c r="P790" t="s">
        <v>20</v>
      </c>
      <c r="Q790">
        <v>26536</v>
      </c>
      <c r="R790">
        <f t="shared" si="48"/>
        <v>2</v>
      </c>
      <c r="V790">
        <f t="shared" si="49"/>
        <v>26536</v>
      </c>
      <c r="Y790" s="18">
        <f t="shared" si="50"/>
        <v>102071.41</v>
      </c>
      <c r="Z790" s="18" t="str">
        <f t="shared" si="51"/>
        <v/>
      </c>
    </row>
    <row r="791" spans="2:26" hidden="1" x14ac:dyDescent="0.25">
      <c r="B791" t="s">
        <v>15</v>
      </c>
      <c r="C791" t="s">
        <v>16</v>
      </c>
      <c r="D791" t="s">
        <v>16</v>
      </c>
      <c r="E791" t="s">
        <v>16</v>
      </c>
      <c r="F791" t="s">
        <v>16</v>
      </c>
      <c r="G791" t="s">
        <v>666</v>
      </c>
      <c r="H791" s="18">
        <v>-20273.88</v>
      </c>
      <c r="J791" t="s">
        <v>19</v>
      </c>
      <c r="N791" t="s">
        <v>21</v>
      </c>
      <c r="O791" t="s">
        <v>22</v>
      </c>
      <c r="P791" t="s">
        <v>20</v>
      </c>
      <c r="Q791" t="s">
        <v>667</v>
      </c>
      <c r="R791">
        <f t="shared" si="48"/>
        <v>2</v>
      </c>
      <c r="V791" t="str">
        <f t="shared" si="49"/>
        <v>9001054885a</v>
      </c>
      <c r="Y791" s="18">
        <f t="shared" si="50"/>
        <v>39497.14</v>
      </c>
      <c r="Z791" s="18" t="str">
        <f t="shared" si="51"/>
        <v/>
      </c>
    </row>
    <row r="792" spans="2:26" x14ac:dyDescent="0.25">
      <c r="B792" t="s">
        <v>277</v>
      </c>
      <c r="C792" t="s">
        <v>16</v>
      </c>
      <c r="D792" t="s">
        <v>16</v>
      </c>
      <c r="E792" t="s">
        <v>16</v>
      </c>
      <c r="F792" t="s">
        <v>16</v>
      </c>
      <c r="G792" t="s">
        <v>612</v>
      </c>
      <c r="H792" s="18">
        <v>6415.73</v>
      </c>
      <c r="I792" t="s">
        <v>23</v>
      </c>
      <c r="J792" t="s">
        <v>19</v>
      </c>
      <c r="N792" t="s">
        <v>21</v>
      </c>
      <c r="O792" t="s">
        <v>22</v>
      </c>
      <c r="P792" t="s">
        <v>20</v>
      </c>
      <c r="Q792">
        <v>23578</v>
      </c>
      <c r="R792">
        <f t="shared" si="48"/>
        <v>2</v>
      </c>
      <c r="V792">
        <f t="shared" si="49"/>
        <v>23578</v>
      </c>
      <c r="Y792" s="18">
        <f t="shared" si="50"/>
        <v>6415.73</v>
      </c>
      <c r="Z792" s="18">
        <f t="shared" si="51"/>
        <v>0</v>
      </c>
    </row>
    <row r="793" spans="2:26" x14ac:dyDescent="0.25">
      <c r="B793" t="s">
        <v>277</v>
      </c>
      <c r="C793" t="s">
        <v>16</v>
      </c>
      <c r="D793" t="s">
        <v>16</v>
      </c>
      <c r="E793" t="s">
        <v>16</v>
      </c>
      <c r="F793" t="s">
        <v>16</v>
      </c>
      <c r="G793" t="s">
        <v>627</v>
      </c>
      <c r="H793" s="18">
        <v>0</v>
      </c>
      <c r="I793" t="s">
        <v>23</v>
      </c>
      <c r="J793" t="s">
        <v>19</v>
      </c>
      <c r="N793" t="s">
        <v>21</v>
      </c>
      <c r="O793" t="s">
        <v>22</v>
      </c>
      <c r="P793" t="s">
        <v>20</v>
      </c>
      <c r="Q793">
        <v>12024</v>
      </c>
      <c r="R793">
        <f t="shared" si="48"/>
        <v>2</v>
      </c>
      <c r="V793">
        <f t="shared" si="49"/>
        <v>12024</v>
      </c>
      <c r="Y793" s="18">
        <f t="shared" si="50"/>
        <v>0</v>
      </c>
      <c r="Z793" s="18">
        <f t="shared" si="51"/>
        <v>0</v>
      </c>
    </row>
    <row r="794" spans="2:26" hidden="1" x14ac:dyDescent="0.25">
      <c r="B794" t="s">
        <v>15</v>
      </c>
      <c r="C794" t="s">
        <v>16</v>
      </c>
      <c r="D794" t="s">
        <v>16</v>
      </c>
      <c r="E794" t="s">
        <v>16</v>
      </c>
      <c r="F794" t="s">
        <v>16</v>
      </c>
      <c r="G794" t="s">
        <v>680</v>
      </c>
      <c r="H794" s="18">
        <v>-17005.63</v>
      </c>
      <c r="J794" t="s">
        <v>19</v>
      </c>
      <c r="N794" t="s">
        <v>21</v>
      </c>
      <c r="O794" t="s">
        <v>22</v>
      </c>
      <c r="P794" t="s">
        <v>20</v>
      </c>
      <c r="Q794">
        <v>2101349503</v>
      </c>
      <c r="R794">
        <f t="shared" si="48"/>
        <v>2</v>
      </c>
      <c r="V794">
        <f t="shared" si="49"/>
        <v>2101349503</v>
      </c>
      <c r="Y794" s="18">
        <f t="shared" si="50"/>
        <v>36200</v>
      </c>
      <c r="Z794" s="18" t="str">
        <f t="shared" si="51"/>
        <v/>
      </c>
    </row>
    <row r="795" spans="2:26" x14ac:dyDescent="0.25">
      <c r="B795" t="s">
        <v>277</v>
      </c>
      <c r="C795" t="s">
        <v>16</v>
      </c>
      <c r="D795" t="s">
        <v>16</v>
      </c>
      <c r="E795" t="s">
        <v>16</v>
      </c>
      <c r="F795" t="s">
        <v>16</v>
      </c>
      <c r="G795" t="s">
        <v>658</v>
      </c>
      <c r="H795" s="18">
        <v>2323.81</v>
      </c>
      <c r="I795" t="s">
        <v>23</v>
      </c>
      <c r="J795" t="s">
        <v>19</v>
      </c>
      <c r="N795" t="s">
        <v>21</v>
      </c>
      <c r="O795" t="s">
        <v>22</v>
      </c>
      <c r="P795" t="s">
        <v>20</v>
      </c>
      <c r="Q795">
        <v>23590</v>
      </c>
      <c r="R795">
        <f t="shared" si="48"/>
        <v>2</v>
      </c>
      <c r="V795">
        <f t="shared" si="49"/>
        <v>23590</v>
      </c>
      <c r="Y795" s="18">
        <f t="shared" si="50"/>
        <v>2323.81</v>
      </c>
      <c r="Z795" s="18">
        <f t="shared" si="51"/>
        <v>0</v>
      </c>
    </row>
    <row r="796" spans="2:26" hidden="1" x14ac:dyDescent="0.25">
      <c r="B796" t="s">
        <v>15</v>
      </c>
      <c r="C796" t="s">
        <v>16</v>
      </c>
      <c r="D796" t="s">
        <v>16</v>
      </c>
      <c r="E796" t="s">
        <v>16</v>
      </c>
      <c r="F796" t="s">
        <v>16</v>
      </c>
      <c r="G796" t="s">
        <v>499</v>
      </c>
      <c r="H796" s="18">
        <v>-8892.74</v>
      </c>
      <c r="J796" t="s">
        <v>19</v>
      </c>
      <c r="N796" t="s">
        <v>21</v>
      </c>
      <c r="O796" t="s">
        <v>22</v>
      </c>
      <c r="P796" t="s">
        <v>20</v>
      </c>
      <c r="Q796">
        <v>23550</v>
      </c>
      <c r="R796">
        <f t="shared" si="48"/>
        <v>2</v>
      </c>
      <c r="V796">
        <f t="shared" si="49"/>
        <v>23550</v>
      </c>
      <c r="Y796" s="18">
        <f t="shared" si="50"/>
        <v>9145.82</v>
      </c>
      <c r="Z796" s="18" t="str">
        <f t="shared" si="51"/>
        <v/>
      </c>
    </row>
    <row r="797" spans="2:26" hidden="1" x14ac:dyDescent="0.25">
      <c r="B797" t="s">
        <v>15</v>
      </c>
      <c r="C797" t="s">
        <v>16</v>
      </c>
      <c r="D797" t="s">
        <v>16</v>
      </c>
      <c r="E797" t="s">
        <v>16</v>
      </c>
      <c r="F797" t="s">
        <v>16</v>
      </c>
      <c r="G797" t="s">
        <v>543</v>
      </c>
      <c r="H797" s="18">
        <v>-144190</v>
      </c>
      <c r="J797" t="s">
        <v>19</v>
      </c>
      <c r="N797" t="s">
        <v>21</v>
      </c>
      <c r="O797" t="s">
        <v>22</v>
      </c>
      <c r="P797" t="s">
        <v>20</v>
      </c>
      <c r="Q797">
        <v>24166</v>
      </c>
      <c r="R797">
        <f t="shared" si="48"/>
        <v>2</v>
      </c>
      <c r="V797">
        <f t="shared" si="49"/>
        <v>24166</v>
      </c>
      <c r="Y797" s="18">
        <f t="shared" si="50"/>
        <v>389003.7</v>
      </c>
      <c r="Z797" s="18" t="str">
        <f t="shared" si="51"/>
        <v/>
      </c>
    </row>
    <row r="798" spans="2:26" hidden="1" x14ac:dyDescent="0.25">
      <c r="B798" t="s">
        <v>15</v>
      </c>
      <c r="C798" t="s">
        <v>16</v>
      </c>
      <c r="D798" t="s">
        <v>16</v>
      </c>
      <c r="E798" t="s">
        <v>16</v>
      </c>
      <c r="F798" t="s">
        <v>16</v>
      </c>
      <c r="G798" t="s">
        <v>284</v>
      </c>
      <c r="H798" s="18">
        <v>-1606.39</v>
      </c>
      <c r="J798" t="s">
        <v>19</v>
      </c>
      <c r="N798" t="s">
        <v>21</v>
      </c>
      <c r="O798" t="s">
        <v>22</v>
      </c>
      <c r="P798" t="s">
        <v>20</v>
      </c>
      <c r="Q798">
        <v>23587</v>
      </c>
      <c r="R798">
        <f t="shared" si="48"/>
        <v>2</v>
      </c>
      <c r="V798">
        <f t="shared" si="49"/>
        <v>23587</v>
      </c>
      <c r="Y798" s="18">
        <f t="shared" si="50"/>
        <v>1859.47</v>
      </c>
      <c r="Z798" s="18" t="str">
        <f t="shared" si="51"/>
        <v/>
      </c>
    </row>
    <row r="799" spans="2:26" x14ac:dyDescent="0.25">
      <c r="B799" t="s">
        <v>277</v>
      </c>
      <c r="C799" t="s">
        <v>16</v>
      </c>
      <c r="D799" t="s">
        <v>16</v>
      </c>
      <c r="E799" t="s">
        <v>16</v>
      </c>
      <c r="F799" t="s">
        <v>16</v>
      </c>
      <c r="G799" t="s">
        <v>537</v>
      </c>
      <c r="H799" s="18">
        <v>19453.12</v>
      </c>
      <c r="I799" t="s">
        <v>23</v>
      </c>
      <c r="J799" t="s">
        <v>19</v>
      </c>
      <c r="N799" t="s">
        <v>21</v>
      </c>
      <c r="O799" t="s">
        <v>22</v>
      </c>
      <c r="P799" t="s">
        <v>20</v>
      </c>
      <c r="Q799">
        <v>2435</v>
      </c>
      <c r="R799">
        <f t="shared" si="48"/>
        <v>2</v>
      </c>
      <c r="V799">
        <f t="shared" si="49"/>
        <v>2435</v>
      </c>
      <c r="Y799" s="18">
        <f t="shared" si="50"/>
        <v>19453.12</v>
      </c>
      <c r="Z799" s="18">
        <f t="shared" si="51"/>
        <v>0</v>
      </c>
    </row>
    <row r="800" spans="2:26" hidden="1" x14ac:dyDescent="0.25">
      <c r="B800" t="s">
        <v>15</v>
      </c>
      <c r="C800" t="s">
        <v>16</v>
      </c>
      <c r="D800" t="s">
        <v>16</v>
      </c>
      <c r="E800" t="s">
        <v>16</v>
      </c>
      <c r="F800" t="s">
        <v>16</v>
      </c>
      <c r="G800" t="s">
        <v>640</v>
      </c>
      <c r="H800" s="18">
        <v>-38503.93</v>
      </c>
      <c r="J800" t="s">
        <v>19</v>
      </c>
      <c r="N800" t="s">
        <v>21</v>
      </c>
      <c r="O800" t="s">
        <v>22</v>
      </c>
      <c r="P800" t="s">
        <v>20</v>
      </c>
      <c r="Q800">
        <v>23674</v>
      </c>
      <c r="R800">
        <f t="shared" si="48"/>
        <v>2</v>
      </c>
      <c r="V800">
        <f t="shared" si="49"/>
        <v>23674</v>
      </c>
      <c r="Y800" s="18">
        <f t="shared" si="50"/>
        <v>38503.94</v>
      </c>
      <c r="Z800" s="18" t="str">
        <f t="shared" si="51"/>
        <v/>
      </c>
    </row>
    <row r="801" spans="2:26" hidden="1" x14ac:dyDescent="0.25">
      <c r="B801" t="s">
        <v>15</v>
      </c>
      <c r="C801" t="s">
        <v>16</v>
      </c>
      <c r="D801" t="s">
        <v>16</v>
      </c>
      <c r="E801" t="s">
        <v>16</v>
      </c>
      <c r="F801" t="s">
        <v>16</v>
      </c>
      <c r="G801" t="s">
        <v>648</v>
      </c>
      <c r="H801" s="18">
        <v>-37.07</v>
      </c>
      <c r="J801" t="s">
        <v>19</v>
      </c>
      <c r="N801" t="s">
        <v>21</v>
      </c>
      <c r="O801" t="s">
        <v>22</v>
      </c>
      <c r="P801" t="s">
        <v>20</v>
      </c>
      <c r="Q801">
        <v>23649</v>
      </c>
      <c r="R801">
        <f t="shared" si="48"/>
        <v>2</v>
      </c>
      <c r="V801">
        <f t="shared" si="49"/>
        <v>23649</v>
      </c>
      <c r="Y801" s="18">
        <f t="shared" si="50"/>
        <v>124.68</v>
      </c>
      <c r="Z801" s="18" t="str">
        <f t="shared" si="51"/>
        <v/>
      </c>
    </row>
    <row r="802" spans="2:26" x14ac:dyDescent="0.25">
      <c r="B802" t="s">
        <v>277</v>
      </c>
      <c r="C802" t="s">
        <v>16</v>
      </c>
      <c r="D802" t="s">
        <v>16</v>
      </c>
      <c r="E802" t="s">
        <v>16</v>
      </c>
      <c r="F802" t="s">
        <v>16</v>
      </c>
      <c r="G802" t="s">
        <v>513</v>
      </c>
      <c r="H802" s="18">
        <v>25134.080000000002</v>
      </c>
      <c r="I802" t="s">
        <v>23</v>
      </c>
      <c r="J802" t="s">
        <v>19</v>
      </c>
      <c r="N802" t="s">
        <v>21</v>
      </c>
      <c r="O802" t="s">
        <v>22</v>
      </c>
      <c r="P802" t="s">
        <v>20</v>
      </c>
      <c r="Q802">
        <v>23526</v>
      </c>
      <c r="R802">
        <f t="shared" si="48"/>
        <v>2</v>
      </c>
      <c r="V802">
        <f t="shared" si="49"/>
        <v>23526</v>
      </c>
      <c r="Y802" s="18">
        <f t="shared" si="50"/>
        <v>25134.080000000002</v>
      </c>
      <c r="Z802" s="18">
        <f t="shared" si="51"/>
        <v>0</v>
      </c>
    </row>
    <row r="803" spans="2:26" x14ac:dyDescent="0.25">
      <c r="B803" t="s">
        <v>277</v>
      </c>
      <c r="C803" t="s">
        <v>16</v>
      </c>
      <c r="D803" t="s">
        <v>16</v>
      </c>
      <c r="E803" t="s">
        <v>16</v>
      </c>
      <c r="F803" t="s">
        <v>16</v>
      </c>
      <c r="G803" t="s">
        <v>654</v>
      </c>
      <c r="H803" s="18">
        <v>92399.98</v>
      </c>
      <c r="I803" t="s">
        <v>23</v>
      </c>
      <c r="J803" t="s">
        <v>19</v>
      </c>
      <c r="N803" t="s">
        <v>21</v>
      </c>
      <c r="O803" t="s">
        <v>22</v>
      </c>
      <c r="P803" t="s">
        <v>20</v>
      </c>
      <c r="Q803">
        <v>25703</v>
      </c>
      <c r="R803">
        <f t="shared" si="48"/>
        <v>2</v>
      </c>
      <c r="V803">
        <f t="shared" si="49"/>
        <v>25703</v>
      </c>
      <c r="Y803" s="18">
        <f t="shared" si="50"/>
        <v>92399.98</v>
      </c>
      <c r="Z803" s="18">
        <f t="shared" si="51"/>
        <v>0</v>
      </c>
    </row>
    <row r="804" spans="2:26" x14ac:dyDescent="0.25">
      <c r="B804" t="s">
        <v>277</v>
      </c>
      <c r="C804" t="s">
        <v>16</v>
      </c>
      <c r="D804" t="s">
        <v>16</v>
      </c>
      <c r="E804" t="s">
        <v>16</v>
      </c>
      <c r="F804" t="s">
        <v>16</v>
      </c>
      <c r="G804" t="s">
        <v>582</v>
      </c>
      <c r="H804" s="18">
        <v>77909.8</v>
      </c>
      <c r="I804" t="s">
        <v>23</v>
      </c>
      <c r="J804" t="s">
        <v>19</v>
      </c>
      <c r="N804" t="s">
        <v>21</v>
      </c>
      <c r="O804" t="s">
        <v>22</v>
      </c>
      <c r="P804" t="s">
        <v>20</v>
      </c>
      <c r="Q804">
        <v>23668</v>
      </c>
      <c r="R804">
        <f t="shared" si="48"/>
        <v>2</v>
      </c>
      <c r="V804">
        <f t="shared" si="49"/>
        <v>23668</v>
      </c>
      <c r="Y804" s="18">
        <f t="shared" si="50"/>
        <v>77909.8</v>
      </c>
      <c r="Z804" s="18">
        <f t="shared" si="51"/>
        <v>0</v>
      </c>
    </row>
    <row r="805" spans="2:26" hidden="1" x14ac:dyDescent="0.25">
      <c r="B805" t="s">
        <v>15</v>
      </c>
      <c r="C805" t="s">
        <v>16</v>
      </c>
      <c r="D805" t="s">
        <v>16</v>
      </c>
      <c r="E805" t="s">
        <v>16</v>
      </c>
      <c r="F805" t="s">
        <v>16</v>
      </c>
      <c r="G805" t="s">
        <v>551</v>
      </c>
      <c r="H805" s="18">
        <v>-2469</v>
      </c>
      <c r="J805" t="s">
        <v>19</v>
      </c>
      <c r="N805" t="s">
        <v>21</v>
      </c>
      <c r="O805" t="s">
        <v>22</v>
      </c>
      <c r="P805" t="s">
        <v>20</v>
      </c>
      <c r="Q805">
        <v>27061</v>
      </c>
      <c r="R805">
        <f t="shared" si="48"/>
        <v>2</v>
      </c>
      <c r="V805">
        <f t="shared" si="49"/>
        <v>27061</v>
      </c>
      <c r="Y805" s="18">
        <f t="shared" si="50"/>
        <v>62914.92</v>
      </c>
      <c r="Z805" s="18" t="str">
        <f t="shared" si="51"/>
        <v/>
      </c>
    </row>
    <row r="806" spans="2:26" hidden="1" x14ac:dyDescent="0.25">
      <c r="B806" t="s">
        <v>15</v>
      </c>
      <c r="C806" t="s">
        <v>16</v>
      </c>
      <c r="D806" t="s">
        <v>16</v>
      </c>
      <c r="E806" t="s">
        <v>16</v>
      </c>
      <c r="F806" t="s">
        <v>16</v>
      </c>
      <c r="G806" t="s">
        <v>387</v>
      </c>
      <c r="H806" s="18">
        <v>-8314.91</v>
      </c>
      <c r="J806" t="s">
        <v>19</v>
      </c>
      <c r="N806" t="s">
        <v>21</v>
      </c>
      <c r="O806" t="s">
        <v>22</v>
      </c>
      <c r="P806" t="s">
        <v>20</v>
      </c>
      <c r="Q806">
        <v>23573</v>
      </c>
      <c r="R806">
        <f t="shared" si="48"/>
        <v>2</v>
      </c>
      <c r="V806">
        <f t="shared" si="49"/>
        <v>23573</v>
      </c>
      <c r="Y806" s="18">
        <f t="shared" si="50"/>
        <v>10748.41</v>
      </c>
      <c r="Z806" s="18" t="str">
        <f t="shared" si="51"/>
        <v/>
      </c>
    </row>
    <row r="807" spans="2:26" x14ac:dyDescent="0.25">
      <c r="B807" t="s">
        <v>277</v>
      </c>
      <c r="C807" t="s">
        <v>16</v>
      </c>
      <c r="D807" t="s">
        <v>16</v>
      </c>
      <c r="E807" t="s">
        <v>16</v>
      </c>
      <c r="F807" t="s">
        <v>16</v>
      </c>
      <c r="G807" t="s">
        <v>415</v>
      </c>
      <c r="H807" s="18">
        <v>93094</v>
      </c>
      <c r="I807" t="s">
        <v>23</v>
      </c>
      <c r="J807" t="s">
        <v>19</v>
      </c>
      <c r="N807" t="s">
        <v>21</v>
      </c>
      <c r="O807" t="s">
        <v>22</v>
      </c>
      <c r="P807" t="s">
        <v>20</v>
      </c>
      <c r="Q807">
        <v>25680</v>
      </c>
      <c r="R807">
        <f t="shared" si="48"/>
        <v>2</v>
      </c>
      <c r="V807">
        <f t="shared" si="49"/>
        <v>25680</v>
      </c>
      <c r="Y807" s="18">
        <f t="shared" si="50"/>
        <v>93094</v>
      </c>
      <c r="Z807" s="18">
        <f t="shared" si="51"/>
        <v>0</v>
      </c>
    </row>
    <row r="808" spans="2:26" x14ac:dyDescent="0.25">
      <c r="B808" t="s">
        <v>277</v>
      </c>
      <c r="C808" t="s">
        <v>16</v>
      </c>
      <c r="D808" t="s">
        <v>16</v>
      </c>
      <c r="E808" t="s">
        <v>16</v>
      </c>
      <c r="F808" t="s">
        <v>16</v>
      </c>
      <c r="G808" t="s">
        <v>584</v>
      </c>
      <c r="H808" s="18">
        <v>64531.29</v>
      </c>
      <c r="I808" t="s">
        <v>23</v>
      </c>
      <c r="J808" t="s">
        <v>19</v>
      </c>
      <c r="N808" t="s">
        <v>21</v>
      </c>
      <c r="O808" t="s">
        <v>22</v>
      </c>
      <c r="P808" t="s">
        <v>20</v>
      </c>
      <c r="Q808">
        <v>27106</v>
      </c>
      <c r="R808">
        <f t="shared" si="48"/>
        <v>2</v>
      </c>
      <c r="V808">
        <f t="shared" si="49"/>
        <v>27106</v>
      </c>
      <c r="Y808" s="18">
        <f t="shared" si="50"/>
        <v>64295.5</v>
      </c>
      <c r="Z808" s="18">
        <f t="shared" si="51"/>
        <v>235.79000000000087</v>
      </c>
    </row>
    <row r="809" spans="2:26" hidden="1" x14ac:dyDescent="0.25">
      <c r="B809" t="s">
        <v>15</v>
      </c>
      <c r="C809" t="s">
        <v>16</v>
      </c>
      <c r="D809" t="s">
        <v>16</v>
      </c>
      <c r="E809" t="s">
        <v>16</v>
      </c>
      <c r="F809" t="s">
        <v>16</v>
      </c>
      <c r="G809" t="s">
        <v>514</v>
      </c>
      <c r="H809" s="18">
        <v>-96.22</v>
      </c>
      <c r="J809" t="s">
        <v>19</v>
      </c>
      <c r="N809" t="s">
        <v>21</v>
      </c>
      <c r="O809" t="s">
        <v>22</v>
      </c>
      <c r="P809" t="s">
        <v>20</v>
      </c>
      <c r="Q809">
        <v>23625</v>
      </c>
      <c r="R809">
        <f t="shared" si="48"/>
        <v>2</v>
      </c>
      <c r="V809">
        <f t="shared" si="49"/>
        <v>23625</v>
      </c>
      <c r="Y809" s="18">
        <f t="shared" si="50"/>
        <v>524.52</v>
      </c>
      <c r="Z809" s="18" t="str">
        <f t="shared" si="51"/>
        <v/>
      </c>
    </row>
    <row r="810" spans="2:26" hidden="1" x14ac:dyDescent="0.25">
      <c r="B810" t="s">
        <v>15</v>
      </c>
      <c r="C810" t="s">
        <v>16</v>
      </c>
      <c r="D810" t="s">
        <v>16</v>
      </c>
      <c r="E810" t="s">
        <v>16</v>
      </c>
      <c r="F810" t="s">
        <v>16</v>
      </c>
      <c r="G810" t="s">
        <v>546</v>
      </c>
      <c r="H810" s="18">
        <v>-3363.96</v>
      </c>
      <c r="J810" t="s">
        <v>19</v>
      </c>
      <c r="N810" t="s">
        <v>21</v>
      </c>
      <c r="O810" t="s">
        <v>22</v>
      </c>
      <c r="P810" t="s">
        <v>20</v>
      </c>
      <c r="Q810">
        <v>27146</v>
      </c>
      <c r="R810">
        <f t="shared" si="48"/>
        <v>2</v>
      </c>
      <c r="V810">
        <f t="shared" si="49"/>
        <v>27146</v>
      </c>
      <c r="Y810" s="18">
        <f t="shared" si="50"/>
        <v>33150</v>
      </c>
      <c r="Z810" s="18" t="str">
        <f t="shared" si="51"/>
        <v/>
      </c>
    </row>
    <row r="811" spans="2:26" x14ac:dyDescent="0.25">
      <c r="B811" t="s">
        <v>277</v>
      </c>
      <c r="C811" t="s">
        <v>16</v>
      </c>
      <c r="D811" t="s">
        <v>16</v>
      </c>
      <c r="E811" t="s">
        <v>16</v>
      </c>
      <c r="F811" t="s">
        <v>16</v>
      </c>
      <c r="G811" t="s">
        <v>561</v>
      </c>
      <c r="H811" s="18">
        <v>2802889.59</v>
      </c>
      <c r="I811" t="s">
        <v>23</v>
      </c>
      <c r="J811" t="s">
        <v>19</v>
      </c>
      <c r="N811" t="s">
        <v>21</v>
      </c>
      <c r="O811" t="s">
        <v>22</v>
      </c>
      <c r="P811" t="s">
        <v>20</v>
      </c>
      <c r="Q811">
        <v>27118</v>
      </c>
      <c r="R811">
        <f t="shared" si="48"/>
        <v>2</v>
      </c>
      <c r="V811">
        <f t="shared" si="49"/>
        <v>27118</v>
      </c>
      <c r="Y811" s="18">
        <f t="shared" si="50"/>
        <v>2802889.59</v>
      </c>
      <c r="Z811" s="18">
        <f t="shared" si="51"/>
        <v>0</v>
      </c>
    </row>
    <row r="812" spans="2:26" hidden="1" x14ac:dyDescent="0.25">
      <c r="B812" t="s">
        <v>15</v>
      </c>
      <c r="C812" t="s">
        <v>16</v>
      </c>
      <c r="D812" t="s">
        <v>16</v>
      </c>
      <c r="E812" t="s">
        <v>16</v>
      </c>
      <c r="F812" t="s">
        <v>16</v>
      </c>
      <c r="G812" t="s">
        <v>668</v>
      </c>
      <c r="H812" s="18">
        <v>-15445.21</v>
      </c>
      <c r="J812" t="s">
        <v>19</v>
      </c>
      <c r="N812" t="s">
        <v>21</v>
      </c>
      <c r="O812" t="s">
        <v>22</v>
      </c>
      <c r="P812" t="s">
        <v>20</v>
      </c>
      <c r="Q812">
        <v>23949</v>
      </c>
      <c r="R812">
        <f t="shared" si="48"/>
        <v>2</v>
      </c>
      <c r="V812">
        <f t="shared" si="49"/>
        <v>23949</v>
      </c>
      <c r="Y812" s="18">
        <f t="shared" si="50"/>
        <v>38092.01</v>
      </c>
      <c r="Z812" s="18" t="str">
        <f t="shared" si="51"/>
        <v/>
      </c>
    </row>
    <row r="813" spans="2:26" x14ac:dyDescent="0.25">
      <c r="B813" t="s">
        <v>277</v>
      </c>
      <c r="C813" t="s">
        <v>16</v>
      </c>
      <c r="D813" t="s">
        <v>16</v>
      </c>
      <c r="E813" t="s">
        <v>16</v>
      </c>
      <c r="F813" t="s">
        <v>16</v>
      </c>
      <c r="G813" t="s">
        <v>681</v>
      </c>
      <c r="H813" s="18">
        <v>17027.63</v>
      </c>
      <c r="I813" t="s">
        <v>23</v>
      </c>
      <c r="J813" t="s">
        <v>19</v>
      </c>
      <c r="N813" t="s">
        <v>21</v>
      </c>
      <c r="O813" t="s">
        <v>22</v>
      </c>
      <c r="P813" t="s">
        <v>20</v>
      </c>
      <c r="Q813">
        <v>23500</v>
      </c>
      <c r="R813">
        <f t="shared" si="48"/>
        <v>2</v>
      </c>
      <c r="V813">
        <f t="shared" si="49"/>
        <v>23500</v>
      </c>
      <c r="Y813" s="18">
        <f t="shared" si="50"/>
        <v>17027.63</v>
      </c>
      <c r="Z813" s="18">
        <f t="shared" si="51"/>
        <v>0</v>
      </c>
    </row>
    <row r="814" spans="2:26" x14ac:dyDescent="0.25">
      <c r="B814" t="s">
        <v>277</v>
      </c>
      <c r="C814" t="s">
        <v>16</v>
      </c>
      <c r="D814" t="s">
        <v>16</v>
      </c>
      <c r="E814" t="s">
        <v>16</v>
      </c>
      <c r="F814" t="s">
        <v>16</v>
      </c>
      <c r="G814" t="s">
        <v>649</v>
      </c>
      <c r="H814" s="18">
        <v>4276.79</v>
      </c>
      <c r="I814" t="s">
        <v>23</v>
      </c>
      <c r="J814" t="s">
        <v>19</v>
      </c>
      <c r="N814" t="s">
        <v>21</v>
      </c>
      <c r="O814" t="s">
        <v>22</v>
      </c>
      <c r="P814" t="s">
        <v>20</v>
      </c>
      <c r="Q814">
        <v>23600</v>
      </c>
      <c r="R814">
        <f t="shared" si="48"/>
        <v>2</v>
      </c>
      <c r="V814">
        <f t="shared" si="49"/>
        <v>23600</v>
      </c>
      <c r="Y814" s="18">
        <f t="shared" si="50"/>
        <v>4276.79</v>
      </c>
      <c r="Z814" s="18">
        <f t="shared" si="51"/>
        <v>0</v>
      </c>
    </row>
    <row r="815" spans="2:26" hidden="1" x14ac:dyDescent="0.25">
      <c r="B815" t="s">
        <v>15</v>
      </c>
      <c r="C815" t="s">
        <v>16</v>
      </c>
      <c r="D815" t="s">
        <v>16</v>
      </c>
      <c r="E815" t="s">
        <v>16</v>
      </c>
      <c r="F815" t="s">
        <v>16</v>
      </c>
      <c r="G815" t="s">
        <v>395</v>
      </c>
      <c r="H815" s="18">
        <v>-27416.41</v>
      </c>
      <c r="J815" t="s">
        <v>19</v>
      </c>
      <c r="N815" t="s">
        <v>21</v>
      </c>
      <c r="O815" t="s">
        <v>22</v>
      </c>
      <c r="P815" t="s">
        <v>20</v>
      </c>
      <c r="Q815">
        <v>27169</v>
      </c>
      <c r="R815">
        <f t="shared" si="48"/>
        <v>2</v>
      </c>
      <c r="V815" t="str">
        <f t="shared" si="49"/>
        <v/>
      </c>
      <c r="W815" s="26" t="s">
        <v>686</v>
      </c>
      <c r="X815" s="15" t="s">
        <v>129</v>
      </c>
      <c r="Y815" s="18" t="str">
        <f t="shared" si="50"/>
        <v/>
      </c>
      <c r="Z815" s="18" t="str">
        <f t="shared" si="51"/>
        <v/>
      </c>
    </row>
    <row r="816" spans="2:26" hidden="1" x14ac:dyDescent="0.25">
      <c r="B816" t="s">
        <v>15</v>
      </c>
      <c r="C816" t="s">
        <v>16</v>
      </c>
      <c r="D816" t="s">
        <v>16</v>
      </c>
      <c r="E816" t="s">
        <v>16</v>
      </c>
      <c r="F816" t="s">
        <v>16</v>
      </c>
      <c r="G816" t="s">
        <v>681</v>
      </c>
      <c r="H816" s="18">
        <v>-10048.35</v>
      </c>
      <c r="J816" t="s">
        <v>19</v>
      </c>
      <c r="N816" t="s">
        <v>21</v>
      </c>
      <c r="O816" t="s">
        <v>22</v>
      </c>
      <c r="P816" t="s">
        <v>20</v>
      </c>
      <c r="Q816">
        <v>23500</v>
      </c>
      <c r="R816">
        <f t="shared" si="48"/>
        <v>2</v>
      </c>
      <c r="V816">
        <f t="shared" si="49"/>
        <v>23500</v>
      </c>
      <c r="Y816" s="18">
        <f t="shared" si="50"/>
        <v>17027.63</v>
      </c>
      <c r="Z816" s="18" t="str">
        <f t="shared" si="51"/>
        <v/>
      </c>
    </row>
    <row r="820" spans="2:15" x14ac:dyDescent="0.25">
      <c r="D820" s="18">
        <f>SUBTOTAL(9,D823:D1253)</f>
        <v>19505893.819999982</v>
      </c>
    </row>
    <row r="821" spans="2:15" x14ac:dyDescent="0.25">
      <c r="B821" s="40">
        <v>45627</v>
      </c>
    </row>
    <row r="822" spans="2:15" x14ac:dyDescent="0.25">
      <c r="B822" s="10" t="s">
        <v>0</v>
      </c>
      <c r="C822" s="10" t="s">
        <v>274</v>
      </c>
      <c r="D822" s="10" t="s">
        <v>12</v>
      </c>
      <c r="E822" s="10" t="s">
        <v>5</v>
      </c>
      <c r="F822" s="10" t="s">
        <v>109</v>
      </c>
      <c r="G822" s="10" t="s">
        <v>7</v>
      </c>
      <c r="H822" s="10" t="s">
        <v>8</v>
      </c>
      <c r="I822" s="10" t="s">
        <v>112</v>
      </c>
      <c r="J822" s="10" t="s">
        <v>13</v>
      </c>
      <c r="K822" s="10" t="s">
        <v>14</v>
      </c>
      <c r="L822" s="10" t="s">
        <v>11</v>
      </c>
      <c r="M822" s="10" t="s">
        <v>127</v>
      </c>
    </row>
    <row r="823" spans="2:15" x14ac:dyDescent="0.25">
      <c r="B823" t="s">
        <v>277</v>
      </c>
      <c r="C823" s="41">
        <v>27036</v>
      </c>
      <c r="D823" s="18">
        <v>16929.830000000002</v>
      </c>
      <c r="E823" t="s">
        <v>23</v>
      </c>
      <c r="F823" t="s">
        <v>19</v>
      </c>
      <c r="G823" t="s">
        <v>29</v>
      </c>
      <c r="J823" t="s">
        <v>21</v>
      </c>
      <c r="K823" t="s">
        <v>22</v>
      </c>
      <c r="L823" t="s">
        <v>20</v>
      </c>
      <c r="M823" s="20" t="s">
        <v>682</v>
      </c>
      <c r="N823" s="15" t="s">
        <v>129</v>
      </c>
      <c r="O823">
        <f>VLOOKUP(C823,$Q$9:$Q$816,1,FALSE)</f>
        <v>27036</v>
      </c>
    </row>
    <row r="824" spans="2:15" x14ac:dyDescent="0.25">
      <c r="B824" t="s">
        <v>277</v>
      </c>
      <c r="C824" s="41">
        <v>26381</v>
      </c>
      <c r="D824" s="18">
        <v>136285.5</v>
      </c>
      <c r="E824" t="s">
        <v>23</v>
      </c>
      <c r="F824" t="s">
        <v>19</v>
      </c>
      <c r="G824" t="s">
        <v>29</v>
      </c>
      <c r="J824" t="s">
        <v>21</v>
      </c>
      <c r="K824" t="s">
        <v>22</v>
      </c>
      <c r="L824" t="s">
        <v>20</v>
      </c>
      <c r="O824">
        <f t="shared" ref="O824:O887" si="52">VLOOKUP(C824,$Q$9:$Q$816,1,FALSE)</f>
        <v>26381</v>
      </c>
    </row>
    <row r="825" spans="2:15" x14ac:dyDescent="0.25">
      <c r="B825" t="s">
        <v>277</v>
      </c>
      <c r="C825" s="41">
        <v>23511</v>
      </c>
      <c r="D825" s="18">
        <v>58363.86</v>
      </c>
      <c r="E825" t="s">
        <v>23</v>
      </c>
      <c r="F825" t="s">
        <v>19</v>
      </c>
      <c r="G825" t="s">
        <v>29</v>
      </c>
      <c r="J825" t="s">
        <v>21</v>
      </c>
      <c r="K825" t="s">
        <v>22</v>
      </c>
      <c r="L825" t="s">
        <v>20</v>
      </c>
      <c r="O825">
        <f t="shared" si="52"/>
        <v>23511</v>
      </c>
    </row>
    <row r="826" spans="2:15" x14ac:dyDescent="0.25">
      <c r="B826" t="s">
        <v>277</v>
      </c>
      <c r="C826" s="41">
        <v>23508</v>
      </c>
      <c r="D826" s="18">
        <v>76636.149999999994</v>
      </c>
      <c r="E826" t="s">
        <v>23</v>
      </c>
      <c r="F826" t="s">
        <v>19</v>
      </c>
      <c r="G826" t="s">
        <v>29</v>
      </c>
      <c r="J826" t="s">
        <v>21</v>
      </c>
      <c r="K826" t="s">
        <v>22</v>
      </c>
      <c r="L826" t="s">
        <v>20</v>
      </c>
      <c r="O826">
        <f t="shared" si="52"/>
        <v>23508</v>
      </c>
    </row>
    <row r="827" spans="2:15" x14ac:dyDescent="0.25">
      <c r="B827" t="s">
        <v>277</v>
      </c>
      <c r="C827" s="41">
        <v>23506</v>
      </c>
      <c r="D827" s="18">
        <v>22523.29</v>
      </c>
      <c r="E827" t="s">
        <v>23</v>
      </c>
      <c r="F827" t="s">
        <v>19</v>
      </c>
      <c r="G827" t="s">
        <v>29</v>
      </c>
      <c r="J827" t="s">
        <v>21</v>
      </c>
      <c r="K827" t="s">
        <v>22</v>
      </c>
      <c r="L827" t="s">
        <v>20</v>
      </c>
      <c r="O827">
        <f t="shared" si="52"/>
        <v>23506</v>
      </c>
    </row>
    <row r="828" spans="2:15" x14ac:dyDescent="0.25">
      <c r="B828" t="s">
        <v>277</v>
      </c>
      <c r="C828" s="41">
        <v>25698</v>
      </c>
      <c r="D828" s="18">
        <v>312134.84999999998</v>
      </c>
      <c r="E828" t="s">
        <v>23</v>
      </c>
      <c r="F828" t="s">
        <v>19</v>
      </c>
      <c r="G828" t="s">
        <v>29</v>
      </c>
      <c r="J828" t="s">
        <v>21</v>
      </c>
      <c r="K828" t="s">
        <v>22</v>
      </c>
      <c r="L828" t="s">
        <v>20</v>
      </c>
      <c r="O828">
        <f t="shared" si="52"/>
        <v>25698</v>
      </c>
    </row>
    <row r="829" spans="2:15" x14ac:dyDescent="0.25">
      <c r="B829" t="s">
        <v>277</v>
      </c>
      <c r="C829" s="41">
        <v>7351</v>
      </c>
      <c r="D829" s="18">
        <v>156026.29999999999</v>
      </c>
      <c r="E829" t="s">
        <v>23</v>
      </c>
      <c r="F829" t="s">
        <v>19</v>
      </c>
      <c r="G829" t="s">
        <v>29</v>
      </c>
      <c r="J829" t="s">
        <v>21</v>
      </c>
      <c r="K829" t="s">
        <v>22</v>
      </c>
      <c r="L829" t="s">
        <v>20</v>
      </c>
      <c r="O829">
        <f t="shared" si="52"/>
        <v>7351</v>
      </c>
    </row>
    <row r="830" spans="2:15" x14ac:dyDescent="0.25">
      <c r="B830" t="s">
        <v>277</v>
      </c>
      <c r="C830" s="41">
        <v>27103</v>
      </c>
      <c r="D830" s="18">
        <v>26761.919999999998</v>
      </c>
      <c r="E830" t="s">
        <v>23</v>
      </c>
      <c r="F830" t="s">
        <v>19</v>
      </c>
      <c r="G830" t="s">
        <v>29</v>
      </c>
      <c r="J830" t="s">
        <v>21</v>
      </c>
      <c r="K830" t="s">
        <v>22</v>
      </c>
      <c r="L830" t="s">
        <v>20</v>
      </c>
      <c r="O830">
        <f t="shared" si="52"/>
        <v>27103</v>
      </c>
    </row>
    <row r="831" spans="2:15" x14ac:dyDescent="0.25">
      <c r="B831" t="s">
        <v>277</v>
      </c>
      <c r="C831" s="41">
        <v>23522</v>
      </c>
      <c r="D831" s="18">
        <v>25385.59</v>
      </c>
      <c r="E831" t="s">
        <v>23</v>
      </c>
      <c r="F831" t="s">
        <v>19</v>
      </c>
      <c r="G831" t="s">
        <v>29</v>
      </c>
      <c r="J831" t="s">
        <v>21</v>
      </c>
      <c r="K831" t="s">
        <v>22</v>
      </c>
      <c r="L831" t="s">
        <v>20</v>
      </c>
      <c r="O831">
        <f t="shared" si="52"/>
        <v>23522</v>
      </c>
    </row>
    <row r="832" spans="2:15" x14ac:dyDescent="0.25">
      <c r="B832" t="s">
        <v>277</v>
      </c>
      <c r="C832" s="41">
        <v>3221</v>
      </c>
      <c r="D832" s="18">
        <v>10970.09</v>
      </c>
      <c r="E832" t="s">
        <v>23</v>
      </c>
      <c r="F832" t="s">
        <v>19</v>
      </c>
      <c r="G832" t="s">
        <v>29</v>
      </c>
      <c r="J832" t="s">
        <v>21</v>
      </c>
      <c r="K832" t="s">
        <v>22</v>
      </c>
      <c r="L832" t="s">
        <v>20</v>
      </c>
      <c r="O832">
        <f t="shared" si="52"/>
        <v>3221</v>
      </c>
    </row>
    <row r="833" spans="2:15" x14ac:dyDescent="0.25">
      <c r="B833" t="s">
        <v>277</v>
      </c>
      <c r="C833" s="41">
        <v>2090</v>
      </c>
      <c r="D833" s="18">
        <v>72558.429999999993</v>
      </c>
      <c r="E833" t="s">
        <v>23</v>
      </c>
      <c r="F833" t="s">
        <v>19</v>
      </c>
      <c r="G833" t="s">
        <v>29</v>
      </c>
      <c r="J833" t="s">
        <v>21</v>
      </c>
      <c r="K833" t="s">
        <v>22</v>
      </c>
      <c r="L833" t="s">
        <v>20</v>
      </c>
      <c r="O833">
        <f t="shared" si="52"/>
        <v>2090</v>
      </c>
    </row>
    <row r="834" spans="2:15" x14ac:dyDescent="0.25">
      <c r="B834" t="s">
        <v>277</v>
      </c>
      <c r="C834" s="41">
        <v>23643</v>
      </c>
      <c r="D834" s="18">
        <v>334.28</v>
      </c>
      <c r="E834" t="s">
        <v>23</v>
      </c>
      <c r="F834" t="s">
        <v>19</v>
      </c>
      <c r="G834" t="s">
        <v>29</v>
      </c>
      <c r="J834" t="s">
        <v>21</v>
      </c>
      <c r="K834" t="s">
        <v>22</v>
      </c>
      <c r="L834" t="s">
        <v>20</v>
      </c>
      <c r="O834">
        <f t="shared" si="52"/>
        <v>23643</v>
      </c>
    </row>
    <row r="835" spans="2:15" x14ac:dyDescent="0.25">
      <c r="B835" t="s">
        <v>277</v>
      </c>
      <c r="C835" s="41">
        <v>23565</v>
      </c>
      <c r="D835" s="18">
        <v>13718.19</v>
      </c>
      <c r="E835" t="s">
        <v>23</v>
      </c>
      <c r="F835" t="s">
        <v>19</v>
      </c>
      <c r="G835" t="s">
        <v>29</v>
      </c>
      <c r="J835" t="s">
        <v>21</v>
      </c>
      <c r="K835" t="s">
        <v>22</v>
      </c>
      <c r="L835" t="s">
        <v>20</v>
      </c>
      <c r="O835">
        <f t="shared" si="52"/>
        <v>23565</v>
      </c>
    </row>
    <row r="836" spans="2:15" x14ac:dyDescent="0.25">
      <c r="B836" t="s">
        <v>277</v>
      </c>
      <c r="C836" s="41">
        <v>24308</v>
      </c>
      <c r="D836" s="18">
        <v>7564.67</v>
      </c>
      <c r="E836" t="s">
        <v>23</v>
      </c>
      <c r="F836" t="s">
        <v>19</v>
      </c>
      <c r="G836" t="s">
        <v>29</v>
      </c>
      <c r="J836" t="s">
        <v>21</v>
      </c>
      <c r="K836" t="s">
        <v>22</v>
      </c>
      <c r="L836" t="s">
        <v>20</v>
      </c>
      <c r="O836" t="e">
        <f t="shared" si="52"/>
        <v>#N/A</v>
      </c>
    </row>
    <row r="837" spans="2:15" x14ac:dyDescent="0.25">
      <c r="B837" t="s">
        <v>277</v>
      </c>
      <c r="C837" s="41">
        <v>23613</v>
      </c>
      <c r="D837" s="18">
        <v>1860.55</v>
      </c>
      <c r="E837" t="s">
        <v>23</v>
      </c>
      <c r="F837" t="s">
        <v>19</v>
      </c>
      <c r="G837" t="s">
        <v>29</v>
      </c>
      <c r="J837" t="s">
        <v>21</v>
      </c>
      <c r="K837" t="s">
        <v>22</v>
      </c>
      <c r="L837" t="s">
        <v>20</v>
      </c>
      <c r="O837">
        <f t="shared" si="52"/>
        <v>23613</v>
      </c>
    </row>
    <row r="838" spans="2:15" x14ac:dyDescent="0.25">
      <c r="B838" t="s">
        <v>277</v>
      </c>
      <c r="C838" s="41">
        <v>19370</v>
      </c>
      <c r="D838" s="18">
        <v>2818.7</v>
      </c>
      <c r="E838" t="s">
        <v>23</v>
      </c>
      <c r="F838" t="s">
        <v>19</v>
      </c>
      <c r="G838" t="s">
        <v>29</v>
      </c>
      <c r="J838" t="s">
        <v>21</v>
      </c>
      <c r="K838" t="s">
        <v>22</v>
      </c>
      <c r="L838" t="s">
        <v>20</v>
      </c>
      <c r="O838">
        <f t="shared" si="52"/>
        <v>19370</v>
      </c>
    </row>
    <row r="839" spans="2:15" x14ac:dyDescent="0.25">
      <c r="B839" t="s">
        <v>277</v>
      </c>
      <c r="C839" s="41">
        <v>23562</v>
      </c>
      <c r="D839" s="18">
        <v>3111.66</v>
      </c>
      <c r="E839" t="s">
        <v>23</v>
      </c>
      <c r="F839" t="s">
        <v>19</v>
      </c>
      <c r="G839" t="s">
        <v>29</v>
      </c>
      <c r="J839" t="s">
        <v>21</v>
      </c>
      <c r="K839" t="s">
        <v>22</v>
      </c>
      <c r="L839" t="s">
        <v>20</v>
      </c>
      <c r="O839">
        <f t="shared" si="52"/>
        <v>23562</v>
      </c>
    </row>
    <row r="840" spans="2:15" x14ac:dyDescent="0.25">
      <c r="B840" t="s">
        <v>277</v>
      </c>
      <c r="C840" s="41">
        <v>25688</v>
      </c>
      <c r="D840" s="18">
        <v>99248.05</v>
      </c>
      <c r="E840" t="s">
        <v>23</v>
      </c>
      <c r="F840" t="s">
        <v>19</v>
      </c>
      <c r="G840" t="s">
        <v>29</v>
      </c>
      <c r="J840" t="s">
        <v>21</v>
      </c>
      <c r="K840" t="s">
        <v>22</v>
      </c>
      <c r="L840" t="s">
        <v>20</v>
      </c>
      <c r="O840">
        <f t="shared" si="52"/>
        <v>25688</v>
      </c>
    </row>
    <row r="841" spans="2:15" x14ac:dyDescent="0.25">
      <c r="B841" t="s">
        <v>277</v>
      </c>
      <c r="C841" s="41">
        <v>23490</v>
      </c>
      <c r="D841" s="18">
        <v>22229.86</v>
      </c>
      <c r="E841" t="s">
        <v>23</v>
      </c>
      <c r="F841" t="s">
        <v>19</v>
      </c>
      <c r="G841" t="s">
        <v>29</v>
      </c>
      <c r="J841" t="s">
        <v>21</v>
      </c>
      <c r="K841" t="s">
        <v>22</v>
      </c>
      <c r="L841" t="s">
        <v>20</v>
      </c>
      <c r="O841">
        <f t="shared" si="52"/>
        <v>23490</v>
      </c>
    </row>
    <row r="842" spans="2:15" x14ac:dyDescent="0.25">
      <c r="B842" t="s">
        <v>277</v>
      </c>
      <c r="C842" s="41">
        <v>27113</v>
      </c>
      <c r="D842" s="18">
        <v>52815.41</v>
      </c>
      <c r="E842" t="s">
        <v>23</v>
      </c>
      <c r="F842" t="s">
        <v>19</v>
      </c>
      <c r="G842" t="s">
        <v>29</v>
      </c>
      <c r="J842" t="s">
        <v>21</v>
      </c>
      <c r="K842" t="s">
        <v>22</v>
      </c>
      <c r="L842" t="s">
        <v>20</v>
      </c>
      <c r="O842" t="e">
        <f t="shared" si="52"/>
        <v>#N/A</v>
      </c>
    </row>
    <row r="843" spans="2:15" x14ac:dyDescent="0.25">
      <c r="B843" t="s">
        <v>277</v>
      </c>
      <c r="C843" s="41">
        <v>23575</v>
      </c>
      <c r="D843" s="18">
        <v>13435.51</v>
      </c>
      <c r="E843" t="s">
        <v>23</v>
      </c>
      <c r="F843" t="s">
        <v>19</v>
      </c>
      <c r="G843" t="s">
        <v>29</v>
      </c>
      <c r="J843" t="s">
        <v>21</v>
      </c>
      <c r="K843" t="s">
        <v>22</v>
      </c>
      <c r="L843" t="s">
        <v>20</v>
      </c>
      <c r="O843">
        <f t="shared" si="52"/>
        <v>23575</v>
      </c>
    </row>
    <row r="844" spans="2:15" x14ac:dyDescent="0.25">
      <c r="B844" t="s">
        <v>277</v>
      </c>
      <c r="C844" s="41">
        <v>23653</v>
      </c>
      <c r="D844" s="18">
        <v>346.1</v>
      </c>
      <c r="E844" t="s">
        <v>23</v>
      </c>
      <c r="F844" t="s">
        <v>19</v>
      </c>
      <c r="G844" t="s">
        <v>29</v>
      </c>
      <c r="J844" t="s">
        <v>21</v>
      </c>
      <c r="K844" t="s">
        <v>22</v>
      </c>
      <c r="L844" t="s">
        <v>20</v>
      </c>
      <c r="O844">
        <f t="shared" si="52"/>
        <v>23653</v>
      </c>
    </row>
    <row r="845" spans="2:15" x14ac:dyDescent="0.25">
      <c r="B845" t="s">
        <v>277</v>
      </c>
      <c r="C845" s="41">
        <v>23487</v>
      </c>
      <c r="D845" s="18">
        <v>26578.67</v>
      </c>
      <c r="E845" t="s">
        <v>23</v>
      </c>
      <c r="F845" t="s">
        <v>19</v>
      </c>
      <c r="G845" t="s">
        <v>29</v>
      </c>
      <c r="J845" t="s">
        <v>21</v>
      </c>
      <c r="K845" t="s">
        <v>22</v>
      </c>
      <c r="L845" t="s">
        <v>20</v>
      </c>
      <c r="O845">
        <f t="shared" si="52"/>
        <v>23487</v>
      </c>
    </row>
    <row r="846" spans="2:15" x14ac:dyDescent="0.25">
      <c r="B846" t="s">
        <v>277</v>
      </c>
      <c r="C846" s="41">
        <v>23581</v>
      </c>
      <c r="D846" s="18">
        <v>3257.84</v>
      </c>
      <c r="E846" t="s">
        <v>23</v>
      </c>
      <c r="F846" t="s">
        <v>19</v>
      </c>
      <c r="G846" t="s">
        <v>29</v>
      </c>
      <c r="J846" t="s">
        <v>21</v>
      </c>
      <c r="K846" t="s">
        <v>22</v>
      </c>
      <c r="L846" t="s">
        <v>20</v>
      </c>
      <c r="O846">
        <f t="shared" si="52"/>
        <v>23581</v>
      </c>
    </row>
    <row r="847" spans="2:15" x14ac:dyDescent="0.25">
      <c r="B847" t="s">
        <v>277</v>
      </c>
      <c r="C847" s="41">
        <v>23489</v>
      </c>
      <c r="D847" s="18">
        <v>26578.67</v>
      </c>
      <c r="E847" t="s">
        <v>23</v>
      </c>
      <c r="F847" t="s">
        <v>19</v>
      </c>
      <c r="G847" t="s">
        <v>29</v>
      </c>
      <c r="J847" t="s">
        <v>21</v>
      </c>
      <c r="K847" t="s">
        <v>22</v>
      </c>
      <c r="L847" t="s">
        <v>20</v>
      </c>
      <c r="O847">
        <f t="shared" si="52"/>
        <v>23489</v>
      </c>
    </row>
    <row r="848" spans="2:15" x14ac:dyDescent="0.25">
      <c r="B848" t="s">
        <v>277</v>
      </c>
      <c r="C848" s="41">
        <v>25691</v>
      </c>
      <c r="D848" s="18">
        <v>211423.79</v>
      </c>
      <c r="E848" t="s">
        <v>23</v>
      </c>
      <c r="F848" t="s">
        <v>19</v>
      </c>
      <c r="G848" t="s">
        <v>29</v>
      </c>
      <c r="J848" t="s">
        <v>21</v>
      </c>
      <c r="K848" t="s">
        <v>22</v>
      </c>
      <c r="L848" t="s">
        <v>20</v>
      </c>
      <c r="O848">
        <f t="shared" si="52"/>
        <v>25691</v>
      </c>
    </row>
    <row r="849" spans="2:15" x14ac:dyDescent="0.25">
      <c r="B849" t="s">
        <v>277</v>
      </c>
      <c r="C849" s="41">
        <v>23603</v>
      </c>
      <c r="D849" s="18">
        <v>10748.41</v>
      </c>
      <c r="E849" t="s">
        <v>23</v>
      </c>
      <c r="F849" t="s">
        <v>19</v>
      </c>
      <c r="G849" t="s">
        <v>29</v>
      </c>
      <c r="J849" t="s">
        <v>21</v>
      </c>
      <c r="K849" t="s">
        <v>22</v>
      </c>
      <c r="L849" t="s">
        <v>20</v>
      </c>
      <c r="O849">
        <f t="shared" si="52"/>
        <v>23603</v>
      </c>
    </row>
    <row r="850" spans="2:15" x14ac:dyDescent="0.25">
      <c r="B850" t="s">
        <v>277</v>
      </c>
      <c r="C850" s="41">
        <v>23949</v>
      </c>
      <c r="D850" s="18">
        <v>38092.01</v>
      </c>
      <c r="E850" t="s">
        <v>23</v>
      </c>
      <c r="F850" t="s">
        <v>19</v>
      </c>
      <c r="G850" t="s">
        <v>29</v>
      </c>
      <c r="J850" t="s">
        <v>21</v>
      </c>
      <c r="K850" t="s">
        <v>22</v>
      </c>
      <c r="L850" t="s">
        <v>20</v>
      </c>
      <c r="O850">
        <f t="shared" si="52"/>
        <v>23949</v>
      </c>
    </row>
    <row r="851" spans="2:15" x14ac:dyDescent="0.25">
      <c r="B851" t="s">
        <v>277</v>
      </c>
      <c r="C851" s="41">
        <v>23997</v>
      </c>
      <c r="D851" s="18">
        <v>107786.11</v>
      </c>
      <c r="E851" t="s">
        <v>23</v>
      </c>
      <c r="F851" t="s">
        <v>19</v>
      </c>
      <c r="G851" t="s">
        <v>29</v>
      </c>
      <c r="J851" t="s">
        <v>21</v>
      </c>
      <c r="K851" t="s">
        <v>22</v>
      </c>
      <c r="L851" t="s">
        <v>20</v>
      </c>
      <c r="O851">
        <f t="shared" si="52"/>
        <v>23997</v>
      </c>
    </row>
    <row r="852" spans="2:15" x14ac:dyDescent="0.25">
      <c r="B852" t="s">
        <v>277</v>
      </c>
      <c r="C852" s="41">
        <v>18558</v>
      </c>
      <c r="D852" s="18">
        <v>77552.13</v>
      </c>
      <c r="E852" t="s">
        <v>23</v>
      </c>
      <c r="F852" t="s">
        <v>19</v>
      </c>
      <c r="G852" t="s">
        <v>29</v>
      </c>
      <c r="J852" t="s">
        <v>21</v>
      </c>
      <c r="K852" t="s">
        <v>22</v>
      </c>
      <c r="L852" t="s">
        <v>20</v>
      </c>
      <c r="O852" t="e">
        <f t="shared" si="52"/>
        <v>#N/A</v>
      </c>
    </row>
    <row r="853" spans="2:15" x14ac:dyDescent="0.25">
      <c r="B853" t="s">
        <v>277</v>
      </c>
      <c r="C853" s="41">
        <v>26984</v>
      </c>
      <c r="D853" s="18">
        <v>23163.43</v>
      </c>
      <c r="E853" t="s">
        <v>23</v>
      </c>
      <c r="F853" t="s">
        <v>19</v>
      </c>
      <c r="G853" t="s">
        <v>29</v>
      </c>
      <c r="J853" t="s">
        <v>21</v>
      </c>
      <c r="K853" t="s">
        <v>22</v>
      </c>
      <c r="L853" t="s">
        <v>20</v>
      </c>
      <c r="O853">
        <f t="shared" si="52"/>
        <v>26984</v>
      </c>
    </row>
    <row r="854" spans="2:15" x14ac:dyDescent="0.25">
      <c r="B854" t="s">
        <v>277</v>
      </c>
      <c r="C854" s="41">
        <v>8264</v>
      </c>
      <c r="D854" s="18">
        <v>42107.6</v>
      </c>
      <c r="E854" t="s">
        <v>23</v>
      </c>
      <c r="F854" t="s">
        <v>19</v>
      </c>
      <c r="G854" t="s">
        <v>29</v>
      </c>
      <c r="J854" t="s">
        <v>21</v>
      </c>
      <c r="K854" t="s">
        <v>22</v>
      </c>
      <c r="L854" t="s">
        <v>20</v>
      </c>
      <c r="O854">
        <f t="shared" si="52"/>
        <v>8264</v>
      </c>
    </row>
    <row r="855" spans="2:15" x14ac:dyDescent="0.25">
      <c r="B855" t="s">
        <v>277</v>
      </c>
      <c r="C855" s="41">
        <v>27132</v>
      </c>
      <c r="D855" s="18">
        <v>113790.64</v>
      </c>
      <c r="E855" t="s">
        <v>23</v>
      </c>
      <c r="F855" t="s">
        <v>19</v>
      </c>
      <c r="G855" t="s">
        <v>29</v>
      </c>
      <c r="J855" t="s">
        <v>21</v>
      </c>
      <c r="K855" t="s">
        <v>22</v>
      </c>
      <c r="L855" t="s">
        <v>20</v>
      </c>
      <c r="O855">
        <f t="shared" si="52"/>
        <v>27132</v>
      </c>
    </row>
    <row r="856" spans="2:15" x14ac:dyDescent="0.25">
      <c r="B856" t="s">
        <v>277</v>
      </c>
      <c r="C856" s="41">
        <v>26051</v>
      </c>
      <c r="D856" s="18">
        <v>67539.990000000005</v>
      </c>
      <c r="E856" t="s">
        <v>23</v>
      </c>
      <c r="F856" t="s">
        <v>19</v>
      </c>
      <c r="G856" t="s">
        <v>29</v>
      </c>
      <c r="J856" t="s">
        <v>21</v>
      </c>
      <c r="K856" t="s">
        <v>22</v>
      </c>
      <c r="L856" t="s">
        <v>20</v>
      </c>
      <c r="O856">
        <f t="shared" si="52"/>
        <v>26051</v>
      </c>
    </row>
    <row r="857" spans="2:15" x14ac:dyDescent="0.25">
      <c r="B857" t="s">
        <v>277</v>
      </c>
      <c r="C857" s="41">
        <v>23665</v>
      </c>
      <c r="D857" s="18">
        <v>11085.91</v>
      </c>
      <c r="E857" t="s">
        <v>23</v>
      </c>
      <c r="F857" t="s">
        <v>19</v>
      </c>
      <c r="G857" t="s">
        <v>29</v>
      </c>
      <c r="J857" t="s">
        <v>21</v>
      </c>
      <c r="K857" t="s">
        <v>22</v>
      </c>
      <c r="L857" t="s">
        <v>20</v>
      </c>
      <c r="O857">
        <f t="shared" si="52"/>
        <v>23665</v>
      </c>
    </row>
    <row r="858" spans="2:15" x14ac:dyDescent="0.25">
      <c r="B858" t="s">
        <v>277</v>
      </c>
      <c r="C858" s="41">
        <v>8009161420</v>
      </c>
      <c r="D858" s="18">
        <v>80000</v>
      </c>
      <c r="E858" t="s">
        <v>23</v>
      </c>
      <c r="F858" t="s">
        <v>19</v>
      </c>
      <c r="G858" t="s">
        <v>29</v>
      </c>
      <c r="J858" t="s">
        <v>21</v>
      </c>
      <c r="K858" t="s">
        <v>22</v>
      </c>
      <c r="L858" t="s">
        <v>20</v>
      </c>
      <c r="O858">
        <f t="shared" si="52"/>
        <v>8009161420</v>
      </c>
    </row>
    <row r="859" spans="2:15" x14ac:dyDescent="0.25">
      <c r="B859" t="s">
        <v>277</v>
      </c>
      <c r="C859" s="41">
        <v>18272</v>
      </c>
      <c r="D859" s="18">
        <v>20702.96</v>
      </c>
      <c r="E859" t="s">
        <v>23</v>
      </c>
      <c r="F859" t="s">
        <v>19</v>
      </c>
      <c r="G859" t="s">
        <v>29</v>
      </c>
      <c r="J859" t="s">
        <v>21</v>
      </c>
      <c r="K859" t="s">
        <v>22</v>
      </c>
      <c r="L859" t="s">
        <v>20</v>
      </c>
      <c r="O859">
        <f t="shared" si="52"/>
        <v>18272</v>
      </c>
    </row>
    <row r="860" spans="2:15" x14ac:dyDescent="0.25">
      <c r="B860" t="s">
        <v>277</v>
      </c>
      <c r="C860" s="41">
        <v>23938</v>
      </c>
      <c r="D860" s="18">
        <v>149171.75</v>
      </c>
      <c r="E860" t="s">
        <v>23</v>
      </c>
      <c r="F860" t="s">
        <v>19</v>
      </c>
      <c r="G860" t="s">
        <v>29</v>
      </c>
      <c r="J860" t="s">
        <v>21</v>
      </c>
      <c r="K860" t="s">
        <v>22</v>
      </c>
      <c r="L860" t="s">
        <v>20</v>
      </c>
      <c r="O860">
        <f t="shared" si="52"/>
        <v>23938</v>
      </c>
    </row>
    <row r="861" spans="2:15" x14ac:dyDescent="0.25">
      <c r="B861" t="s">
        <v>277</v>
      </c>
      <c r="C861" s="41">
        <v>25516</v>
      </c>
      <c r="D861" s="18">
        <v>77909.8</v>
      </c>
      <c r="E861" t="s">
        <v>23</v>
      </c>
      <c r="F861" t="s">
        <v>19</v>
      </c>
      <c r="G861" t="s">
        <v>29</v>
      </c>
      <c r="J861" t="s">
        <v>21</v>
      </c>
      <c r="K861" t="s">
        <v>22</v>
      </c>
      <c r="L861" t="s">
        <v>20</v>
      </c>
      <c r="O861">
        <f t="shared" si="52"/>
        <v>25516</v>
      </c>
    </row>
    <row r="862" spans="2:15" x14ac:dyDescent="0.25">
      <c r="B862" t="s">
        <v>277</v>
      </c>
      <c r="C862" s="41">
        <v>24313</v>
      </c>
      <c r="D862" s="18">
        <v>7564.67</v>
      </c>
      <c r="E862" t="s">
        <v>23</v>
      </c>
      <c r="F862" t="s">
        <v>19</v>
      </c>
      <c r="G862" t="s">
        <v>29</v>
      </c>
      <c r="J862" t="s">
        <v>21</v>
      </c>
      <c r="K862" t="s">
        <v>22</v>
      </c>
      <c r="L862" t="s">
        <v>20</v>
      </c>
      <c r="O862" t="e">
        <f t="shared" si="52"/>
        <v>#N/A</v>
      </c>
    </row>
    <row r="863" spans="2:15" x14ac:dyDescent="0.25">
      <c r="B863" t="s">
        <v>277</v>
      </c>
      <c r="C863" s="41">
        <v>23608</v>
      </c>
      <c r="D863" s="18">
        <v>825.48</v>
      </c>
      <c r="E863" t="s">
        <v>23</v>
      </c>
      <c r="F863" t="s">
        <v>19</v>
      </c>
      <c r="G863" t="s">
        <v>29</v>
      </c>
      <c r="J863" t="s">
        <v>21</v>
      </c>
      <c r="K863" t="s">
        <v>22</v>
      </c>
      <c r="L863" t="s">
        <v>20</v>
      </c>
      <c r="O863">
        <f t="shared" si="52"/>
        <v>23608</v>
      </c>
    </row>
    <row r="864" spans="2:15" x14ac:dyDescent="0.25">
      <c r="B864" t="s">
        <v>277</v>
      </c>
      <c r="C864" s="41">
        <v>23584</v>
      </c>
      <c r="D864" s="18">
        <v>2713.97</v>
      </c>
      <c r="E864" t="s">
        <v>23</v>
      </c>
      <c r="F864" t="s">
        <v>19</v>
      </c>
      <c r="G864" t="s">
        <v>29</v>
      </c>
      <c r="J864" t="s">
        <v>21</v>
      </c>
      <c r="K864" t="s">
        <v>22</v>
      </c>
      <c r="L864" t="s">
        <v>20</v>
      </c>
      <c r="O864">
        <f t="shared" si="52"/>
        <v>23584</v>
      </c>
    </row>
    <row r="865" spans="2:15" x14ac:dyDescent="0.25">
      <c r="B865" t="s">
        <v>277</v>
      </c>
      <c r="C865" s="41">
        <v>7400325342</v>
      </c>
      <c r="D865" s="18">
        <v>77638.94</v>
      </c>
      <c r="E865" t="s">
        <v>23</v>
      </c>
      <c r="F865" t="s">
        <v>19</v>
      </c>
      <c r="G865" t="s">
        <v>29</v>
      </c>
      <c r="J865" t="s">
        <v>21</v>
      </c>
      <c r="K865" t="s">
        <v>22</v>
      </c>
      <c r="L865" t="s">
        <v>20</v>
      </c>
      <c r="O865">
        <f t="shared" si="52"/>
        <v>7400325342</v>
      </c>
    </row>
    <row r="866" spans="2:15" x14ac:dyDescent="0.25">
      <c r="B866" t="s">
        <v>277</v>
      </c>
      <c r="C866" s="41">
        <v>23658</v>
      </c>
      <c r="D866" s="18">
        <v>23325.06</v>
      </c>
      <c r="E866" t="s">
        <v>23</v>
      </c>
      <c r="F866" t="s">
        <v>19</v>
      </c>
      <c r="G866" t="s">
        <v>29</v>
      </c>
      <c r="J866" t="s">
        <v>21</v>
      </c>
      <c r="K866" t="s">
        <v>22</v>
      </c>
      <c r="L866" t="s">
        <v>20</v>
      </c>
      <c r="O866">
        <f t="shared" si="52"/>
        <v>23658</v>
      </c>
    </row>
    <row r="867" spans="2:15" x14ac:dyDescent="0.25">
      <c r="B867" t="s">
        <v>277</v>
      </c>
      <c r="C867" s="41">
        <v>23537</v>
      </c>
      <c r="D867" s="18">
        <v>13435.51</v>
      </c>
      <c r="E867" t="s">
        <v>23</v>
      </c>
      <c r="F867" t="s">
        <v>19</v>
      </c>
      <c r="G867" t="s">
        <v>29</v>
      </c>
      <c r="J867" t="s">
        <v>21</v>
      </c>
      <c r="K867" t="s">
        <v>22</v>
      </c>
      <c r="L867" t="s">
        <v>20</v>
      </c>
      <c r="O867">
        <f t="shared" si="52"/>
        <v>23537</v>
      </c>
    </row>
    <row r="868" spans="2:15" x14ac:dyDescent="0.25">
      <c r="B868" t="s">
        <v>277</v>
      </c>
      <c r="C868" s="41">
        <v>23611</v>
      </c>
      <c r="D868" s="18">
        <v>1892.79</v>
      </c>
      <c r="E868" t="s">
        <v>23</v>
      </c>
      <c r="F868" t="s">
        <v>19</v>
      </c>
      <c r="G868" t="s">
        <v>29</v>
      </c>
      <c r="J868" t="s">
        <v>21</v>
      </c>
      <c r="K868" t="s">
        <v>22</v>
      </c>
      <c r="L868" t="s">
        <v>20</v>
      </c>
      <c r="O868">
        <f t="shared" si="52"/>
        <v>23611</v>
      </c>
    </row>
    <row r="869" spans="2:15" x14ac:dyDescent="0.25">
      <c r="B869" t="s">
        <v>277</v>
      </c>
      <c r="C869" s="41">
        <v>7400258484</v>
      </c>
      <c r="D869" s="18">
        <v>53685.7</v>
      </c>
      <c r="E869" t="s">
        <v>23</v>
      </c>
      <c r="F869" t="s">
        <v>19</v>
      </c>
      <c r="G869" t="s">
        <v>29</v>
      </c>
      <c r="J869" t="s">
        <v>21</v>
      </c>
      <c r="K869" t="s">
        <v>22</v>
      </c>
      <c r="L869" t="s">
        <v>20</v>
      </c>
      <c r="O869">
        <f t="shared" si="52"/>
        <v>7400258484</v>
      </c>
    </row>
    <row r="870" spans="2:15" x14ac:dyDescent="0.25">
      <c r="B870" t="s">
        <v>277</v>
      </c>
      <c r="C870" s="41">
        <v>25683</v>
      </c>
      <c r="D870" s="18">
        <v>171686.94</v>
      </c>
      <c r="E870" t="s">
        <v>23</v>
      </c>
      <c r="F870" t="s">
        <v>19</v>
      </c>
      <c r="G870" t="s">
        <v>29</v>
      </c>
      <c r="J870" t="s">
        <v>21</v>
      </c>
      <c r="K870" t="s">
        <v>22</v>
      </c>
      <c r="L870" t="s">
        <v>20</v>
      </c>
      <c r="O870">
        <f t="shared" si="52"/>
        <v>25683</v>
      </c>
    </row>
    <row r="871" spans="2:15" x14ac:dyDescent="0.25">
      <c r="B871" t="s">
        <v>277</v>
      </c>
      <c r="C871" s="41">
        <v>23530</v>
      </c>
      <c r="D871" s="18">
        <v>20653.07</v>
      </c>
      <c r="E871" t="s">
        <v>23</v>
      </c>
      <c r="F871" t="s">
        <v>19</v>
      </c>
      <c r="G871" t="s">
        <v>29</v>
      </c>
      <c r="J871" t="s">
        <v>21</v>
      </c>
      <c r="K871" t="s">
        <v>22</v>
      </c>
      <c r="L871" t="s">
        <v>20</v>
      </c>
      <c r="O871">
        <f t="shared" si="52"/>
        <v>23530</v>
      </c>
    </row>
    <row r="872" spans="2:15" x14ac:dyDescent="0.25">
      <c r="B872" t="s">
        <v>277</v>
      </c>
      <c r="C872" s="41">
        <v>23560</v>
      </c>
      <c r="D872" s="18">
        <v>1687.5</v>
      </c>
      <c r="E872" t="s">
        <v>23</v>
      </c>
      <c r="F872" t="s">
        <v>19</v>
      </c>
      <c r="G872" t="s">
        <v>29</v>
      </c>
      <c r="J872" t="s">
        <v>21</v>
      </c>
      <c r="K872" t="s">
        <v>22</v>
      </c>
      <c r="L872" t="s">
        <v>20</v>
      </c>
      <c r="O872">
        <f t="shared" si="52"/>
        <v>23560</v>
      </c>
    </row>
    <row r="873" spans="2:15" x14ac:dyDescent="0.25">
      <c r="B873" t="s">
        <v>277</v>
      </c>
      <c r="C873" s="41">
        <v>23594</v>
      </c>
      <c r="D873" s="18">
        <v>2171.1799999999998</v>
      </c>
      <c r="E873" t="s">
        <v>23</v>
      </c>
      <c r="F873" t="s">
        <v>19</v>
      </c>
      <c r="G873" t="s">
        <v>29</v>
      </c>
      <c r="J873" t="s">
        <v>21</v>
      </c>
      <c r="K873" t="s">
        <v>22</v>
      </c>
      <c r="L873" t="s">
        <v>20</v>
      </c>
      <c r="O873">
        <f t="shared" si="52"/>
        <v>23594</v>
      </c>
    </row>
    <row r="874" spans="2:15" x14ac:dyDescent="0.25">
      <c r="B874" t="s">
        <v>277</v>
      </c>
      <c r="C874" s="41">
        <v>27047</v>
      </c>
      <c r="D874" s="18">
        <v>35200</v>
      </c>
      <c r="E874" t="s">
        <v>23</v>
      </c>
      <c r="F874" t="s">
        <v>19</v>
      </c>
      <c r="G874" t="s">
        <v>29</v>
      </c>
      <c r="J874" t="s">
        <v>21</v>
      </c>
      <c r="K874" t="s">
        <v>22</v>
      </c>
      <c r="L874" t="s">
        <v>20</v>
      </c>
      <c r="O874">
        <f t="shared" si="52"/>
        <v>27047</v>
      </c>
    </row>
    <row r="875" spans="2:15" x14ac:dyDescent="0.25">
      <c r="B875" t="s">
        <v>277</v>
      </c>
      <c r="C875" s="41">
        <v>27106</v>
      </c>
      <c r="D875" s="18">
        <v>64295.5</v>
      </c>
      <c r="E875" t="s">
        <v>23</v>
      </c>
      <c r="F875" t="s">
        <v>19</v>
      </c>
      <c r="G875" t="s">
        <v>29</v>
      </c>
      <c r="J875" t="s">
        <v>21</v>
      </c>
      <c r="K875" t="s">
        <v>22</v>
      </c>
      <c r="L875" t="s">
        <v>20</v>
      </c>
      <c r="O875">
        <f t="shared" si="52"/>
        <v>27106</v>
      </c>
    </row>
    <row r="876" spans="2:15" x14ac:dyDescent="0.25">
      <c r="B876" t="s">
        <v>277</v>
      </c>
      <c r="C876" s="41">
        <v>23601</v>
      </c>
      <c r="D876" s="18">
        <v>4276.79</v>
      </c>
      <c r="E876" t="s">
        <v>23</v>
      </c>
      <c r="F876" t="s">
        <v>19</v>
      </c>
      <c r="G876" t="s">
        <v>29</v>
      </c>
      <c r="J876" t="s">
        <v>21</v>
      </c>
      <c r="K876" t="s">
        <v>22</v>
      </c>
      <c r="L876" t="s">
        <v>20</v>
      </c>
      <c r="O876">
        <f t="shared" si="52"/>
        <v>23601</v>
      </c>
    </row>
    <row r="877" spans="2:15" x14ac:dyDescent="0.25">
      <c r="B877" t="s">
        <v>277</v>
      </c>
      <c r="C877" s="41">
        <v>23485</v>
      </c>
      <c r="D877" s="18">
        <v>87385.9</v>
      </c>
      <c r="E877" t="s">
        <v>23</v>
      </c>
      <c r="F877" t="s">
        <v>19</v>
      </c>
      <c r="G877" t="s">
        <v>29</v>
      </c>
      <c r="J877" t="s">
        <v>21</v>
      </c>
      <c r="K877" t="s">
        <v>22</v>
      </c>
      <c r="L877" t="s">
        <v>20</v>
      </c>
      <c r="O877">
        <f t="shared" si="52"/>
        <v>23485</v>
      </c>
    </row>
    <row r="878" spans="2:15" x14ac:dyDescent="0.25">
      <c r="B878" t="s">
        <v>277</v>
      </c>
      <c r="C878" s="41">
        <v>27122</v>
      </c>
      <c r="D878" s="18">
        <v>34235.79</v>
      </c>
      <c r="E878" t="s">
        <v>23</v>
      </c>
      <c r="F878" t="s">
        <v>19</v>
      </c>
      <c r="G878" t="s">
        <v>29</v>
      </c>
      <c r="J878" t="s">
        <v>21</v>
      </c>
      <c r="K878" t="s">
        <v>22</v>
      </c>
      <c r="L878" t="s">
        <v>20</v>
      </c>
      <c r="O878" t="e">
        <f t="shared" si="52"/>
        <v>#N/A</v>
      </c>
    </row>
    <row r="879" spans="2:15" x14ac:dyDescent="0.25">
      <c r="B879" t="s">
        <v>277</v>
      </c>
      <c r="C879" s="41">
        <v>23553</v>
      </c>
      <c r="D879" s="18">
        <v>2593.59</v>
      </c>
      <c r="E879" t="s">
        <v>23</v>
      </c>
      <c r="F879" t="s">
        <v>19</v>
      </c>
      <c r="G879" t="s">
        <v>29</v>
      </c>
      <c r="J879" t="s">
        <v>21</v>
      </c>
      <c r="K879" t="s">
        <v>22</v>
      </c>
      <c r="L879" t="s">
        <v>20</v>
      </c>
      <c r="O879">
        <f t="shared" si="52"/>
        <v>23553</v>
      </c>
    </row>
    <row r="880" spans="2:15" x14ac:dyDescent="0.25">
      <c r="B880" t="s">
        <v>277</v>
      </c>
      <c r="C880" s="41">
        <v>27074</v>
      </c>
      <c r="D880" s="18">
        <v>31058</v>
      </c>
      <c r="E880" t="s">
        <v>23</v>
      </c>
      <c r="F880" t="s">
        <v>19</v>
      </c>
      <c r="G880" t="s">
        <v>29</v>
      </c>
      <c r="J880" t="s">
        <v>21</v>
      </c>
      <c r="K880" t="s">
        <v>22</v>
      </c>
      <c r="L880" t="s">
        <v>20</v>
      </c>
      <c r="O880">
        <f t="shared" si="52"/>
        <v>27074</v>
      </c>
    </row>
    <row r="881" spans="2:15" x14ac:dyDescent="0.25">
      <c r="B881" t="s">
        <v>277</v>
      </c>
      <c r="C881" s="41">
        <v>23632</v>
      </c>
      <c r="D881" s="18">
        <v>280.52999999999997</v>
      </c>
      <c r="E881" t="s">
        <v>23</v>
      </c>
      <c r="F881" t="s">
        <v>19</v>
      </c>
      <c r="G881" t="s">
        <v>29</v>
      </c>
      <c r="J881" t="s">
        <v>21</v>
      </c>
      <c r="K881" t="s">
        <v>22</v>
      </c>
      <c r="L881" t="s">
        <v>20</v>
      </c>
      <c r="O881">
        <f t="shared" si="52"/>
        <v>23632</v>
      </c>
    </row>
    <row r="882" spans="2:15" x14ac:dyDescent="0.25">
      <c r="B882" t="s">
        <v>277</v>
      </c>
      <c r="C882" s="41" t="s">
        <v>667</v>
      </c>
      <c r="D882" s="18">
        <v>39497.14</v>
      </c>
      <c r="E882" t="s">
        <v>23</v>
      </c>
      <c r="F882" t="s">
        <v>19</v>
      </c>
      <c r="G882" t="s">
        <v>29</v>
      </c>
      <c r="J882" t="s">
        <v>21</v>
      </c>
      <c r="K882" t="s">
        <v>22</v>
      </c>
      <c r="L882" t="s">
        <v>20</v>
      </c>
      <c r="O882" t="str">
        <f t="shared" si="52"/>
        <v>9001054885a</v>
      </c>
    </row>
    <row r="883" spans="2:15" x14ac:dyDescent="0.25">
      <c r="B883" t="s">
        <v>277</v>
      </c>
      <c r="C883" s="41">
        <v>23595</v>
      </c>
      <c r="D883" s="18">
        <v>2171.1799999999998</v>
      </c>
      <c r="E883" t="s">
        <v>23</v>
      </c>
      <c r="F883" t="s">
        <v>19</v>
      </c>
      <c r="G883" t="s">
        <v>29</v>
      </c>
      <c r="J883" t="s">
        <v>21</v>
      </c>
      <c r="K883" t="s">
        <v>22</v>
      </c>
      <c r="L883" t="s">
        <v>20</v>
      </c>
      <c r="O883">
        <f t="shared" si="52"/>
        <v>23595</v>
      </c>
    </row>
    <row r="884" spans="2:15" x14ac:dyDescent="0.25">
      <c r="B884" t="s">
        <v>277</v>
      </c>
      <c r="C884" s="41">
        <v>23647</v>
      </c>
      <c r="D884" s="18">
        <v>176.27</v>
      </c>
      <c r="E884" t="s">
        <v>23</v>
      </c>
      <c r="F884" t="s">
        <v>19</v>
      </c>
      <c r="G884" t="s">
        <v>29</v>
      </c>
      <c r="J884" t="s">
        <v>21</v>
      </c>
      <c r="K884" t="s">
        <v>22</v>
      </c>
      <c r="L884" t="s">
        <v>20</v>
      </c>
      <c r="O884">
        <f t="shared" si="52"/>
        <v>23647</v>
      </c>
    </row>
    <row r="885" spans="2:15" x14ac:dyDescent="0.25">
      <c r="B885" t="s">
        <v>277</v>
      </c>
      <c r="C885" s="41">
        <v>23649</v>
      </c>
      <c r="D885" s="18">
        <v>124.68</v>
      </c>
      <c r="E885" t="s">
        <v>23</v>
      </c>
      <c r="F885" t="s">
        <v>19</v>
      </c>
      <c r="G885" t="s">
        <v>29</v>
      </c>
      <c r="J885" t="s">
        <v>21</v>
      </c>
      <c r="K885" t="s">
        <v>22</v>
      </c>
      <c r="L885" t="s">
        <v>20</v>
      </c>
      <c r="O885">
        <f t="shared" si="52"/>
        <v>23649</v>
      </c>
    </row>
    <row r="886" spans="2:15" x14ac:dyDescent="0.25">
      <c r="B886" t="s">
        <v>277</v>
      </c>
      <c r="C886" s="41">
        <v>23348</v>
      </c>
      <c r="D886" s="18">
        <v>3081439.91</v>
      </c>
      <c r="E886" t="s">
        <v>23</v>
      </c>
      <c r="F886" t="s">
        <v>19</v>
      </c>
      <c r="G886" t="s">
        <v>29</v>
      </c>
      <c r="J886" t="s">
        <v>21</v>
      </c>
      <c r="K886" t="s">
        <v>22</v>
      </c>
      <c r="L886" t="s">
        <v>20</v>
      </c>
      <c r="O886">
        <f t="shared" si="52"/>
        <v>23348</v>
      </c>
    </row>
    <row r="887" spans="2:15" x14ac:dyDescent="0.25">
      <c r="B887" t="s">
        <v>277</v>
      </c>
      <c r="C887" s="41">
        <v>23526</v>
      </c>
      <c r="D887" s="18">
        <v>25134.080000000002</v>
      </c>
      <c r="E887" t="s">
        <v>23</v>
      </c>
      <c r="F887" t="s">
        <v>19</v>
      </c>
      <c r="G887" t="s">
        <v>29</v>
      </c>
      <c r="J887" t="s">
        <v>21</v>
      </c>
      <c r="K887" t="s">
        <v>22</v>
      </c>
      <c r="L887" t="s">
        <v>20</v>
      </c>
      <c r="O887">
        <f t="shared" si="52"/>
        <v>23526</v>
      </c>
    </row>
    <row r="888" spans="2:15" x14ac:dyDescent="0.25">
      <c r="B888" t="s">
        <v>277</v>
      </c>
      <c r="C888" s="41">
        <v>19503</v>
      </c>
      <c r="D888" s="18">
        <v>2097.34</v>
      </c>
      <c r="E888" t="s">
        <v>23</v>
      </c>
      <c r="F888" t="s">
        <v>19</v>
      </c>
      <c r="G888" t="s">
        <v>29</v>
      </c>
      <c r="J888" t="s">
        <v>21</v>
      </c>
      <c r="K888" t="s">
        <v>22</v>
      </c>
      <c r="L888" t="s">
        <v>20</v>
      </c>
      <c r="O888">
        <f t="shared" ref="O888:O951" si="53">VLOOKUP(C888,$Q$9:$Q$816,1,FALSE)</f>
        <v>19503</v>
      </c>
    </row>
    <row r="889" spans="2:15" x14ac:dyDescent="0.25">
      <c r="B889" t="s">
        <v>277</v>
      </c>
      <c r="C889" s="41">
        <v>23582</v>
      </c>
      <c r="D889" s="18">
        <v>2172.25</v>
      </c>
      <c r="E889" t="s">
        <v>23</v>
      </c>
      <c r="F889" t="s">
        <v>19</v>
      </c>
      <c r="G889" t="s">
        <v>29</v>
      </c>
      <c r="J889" t="s">
        <v>21</v>
      </c>
      <c r="K889" t="s">
        <v>22</v>
      </c>
      <c r="L889" t="s">
        <v>20</v>
      </c>
      <c r="O889">
        <f t="shared" si="53"/>
        <v>23582</v>
      </c>
    </row>
    <row r="890" spans="2:15" x14ac:dyDescent="0.25">
      <c r="B890" t="s">
        <v>277</v>
      </c>
      <c r="C890" s="41">
        <v>25692</v>
      </c>
      <c r="D890" s="18">
        <v>111417.18</v>
      </c>
      <c r="E890" t="s">
        <v>23</v>
      </c>
      <c r="F890" t="s">
        <v>19</v>
      </c>
      <c r="G890" t="s">
        <v>29</v>
      </c>
      <c r="J890" t="s">
        <v>21</v>
      </c>
      <c r="K890" t="s">
        <v>22</v>
      </c>
      <c r="L890" t="s">
        <v>20</v>
      </c>
      <c r="O890">
        <f t="shared" si="53"/>
        <v>25692</v>
      </c>
    </row>
    <row r="891" spans="2:15" x14ac:dyDescent="0.25">
      <c r="B891" t="s">
        <v>277</v>
      </c>
      <c r="C891" s="41">
        <v>7400403925</v>
      </c>
      <c r="D891" s="18">
        <v>23699.82</v>
      </c>
      <c r="E891" t="s">
        <v>23</v>
      </c>
      <c r="F891" t="s">
        <v>19</v>
      </c>
      <c r="G891" t="s">
        <v>29</v>
      </c>
      <c r="J891" t="s">
        <v>21</v>
      </c>
      <c r="K891" t="s">
        <v>22</v>
      </c>
      <c r="L891" t="s">
        <v>20</v>
      </c>
      <c r="O891">
        <f t="shared" si="53"/>
        <v>7400403925</v>
      </c>
    </row>
    <row r="892" spans="2:15" x14ac:dyDescent="0.25">
      <c r="B892" t="s">
        <v>277</v>
      </c>
      <c r="C892" s="41">
        <v>19061</v>
      </c>
      <c r="D892" s="18">
        <v>82013.759999999995</v>
      </c>
      <c r="E892" t="s">
        <v>23</v>
      </c>
      <c r="F892" t="s">
        <v>19</v>
      </c>
      <c r="G892" t="s">
        <v>29</v>
      </c>
      <c r="J892" t="s">
        <v>21</v>
      </c>
      <c r="K892" t="s">
        <v>22</v>
      </c>
      <c r="L892" t="s">
        <v>20</v>
      </c>
      <c r="O892">
        <f t="shared" si="53"/>
        <v>19061</v>
      </c>
    </row>
    <row r="893" spans="2:15" x14ac:dyDescent="0.25">
      <c r="B893" t="s">
        <v>277</v>
      </c>
      <c r="C893" s="41">
        <v>24019</v>
      </c>
      <c r="D893" s="18">
        <v>55379.199999999997</v>
      </c>
      <c r="E893" t="s">
        <v>23</v>
      </c>
      <c r="F893" t="s">
        <v>19</v>
      </c>
      <c r="G893" t="s">
        <v>29</v>
      </c>
      <c r="J893" t="s">
        <v>21</v>
      </c>
      <c r="K893" t="s">
        <v>22</v>
      </c>
      <c r="L893" t="s">
        <v>20</v>
      </c>
      <c r="O893">
        <f t="shared" si="53"/>
        <v>24019</v>
      </c>
    </row>
    <row r="894" spans="2:15" x14ac:dyDescent="0.25">
      <c r="B894" t="s">
        <v>277</v>
      </c>
      <c r="C894" s="41">
        <v>23502</v>
      </c>
      <c r="D894" s="18">
        <v>22749.01</v>
      </c>
      <c r="E894" t="s">
        <v>23</v>
      </c>
      <c r="F894" t="s">
        <v>19</v>
      </c>
      <c r="G894" t="s">
        <v>29</v>
      </c>
      <c r="J894" t="s">
        <v>21</v>
      </c>
      <c r="K894" t="s">
        <v>22</v>
      </c>
      <c r="L894" t="s">
        <v>20</v>
      </c>
      <c r="O894">
        <f t="shared" si="53"/>
        <v>23502</v>
      </c>
    </row>
    <row r="895" spans="2:15" x14ac:dyDescent="0.25">
      <c r="B895" t="s">
        <v>277</v>
      </c>
      <c r="C895" s="41">
        <v>26989</v>
      </c>
      <c r="D895" s="18">
        <v>77072.94</v>
      </c>
      <c r="E895" t="s">
        <v>23</v>
      </c>
      <c r="F895" t="s">
        <v>19</v>
      </c>
      <c r="G895" t="s">
        <v>29</v>
      </c>
      <c r="J895" t="s">
        <v>21</v>
      </c>
      <c r="K895" t="s">
        <v>22</v>
      </c>
      <c r="L895" t="s">
        <v>20</v>
      </c>
      <c r="O895" t="e">
        <f t="shared" si="53"/>
        <v>#N/A</v>
      </c>
    </row>
    <row r="896" spans="2:15" x14ac:dyDescent="0.25">
      <c r="B896" t="s">
        <v>277</v>
      </c>
      <c r="C896" s="41">
        <v>19594</v>
      </c>
      <c r="D896" s="18">
        <v>77248.66</v>
      </c>
      <c r="E896" t="s">
        <v>23</v>
      </c>
      <c r="F896" t="s">
        <v>19</v>
      </c>
      <c r="G896" t="s">
        <v>29</v>
      </c>
      <c r="J896" t="s">
        <v>21</v>
      </c>
      <c r="K896" t="s">
        <v>22</v>
      </c>
      <c r="L896" t="s">
        <v>20</v>
      </c>
      <c r="O896">
        <f t="shared" si="53"/>
        <v>19594</v>
      </c>
    </row>
    <row r="897" spans="2:15" x14ac:dyDescent="0.25">
      <c r="B897" t="s">
        <v>277</v>
      </c>
      <c r="C897" s="41">
        <v>23791</v>
      </c>
      <c r="D897" s="18">
        <v>84441.23</v>
      </c>
      <c r="E897" t="s">
        <v>23</v>
      </c>
      <c r="F897" t="s">
        <v>19</v>
      </c>
      <c r="G897" t="s">
        <v>29</v>
      </c>
      <c r="J897" t="s">
        <v>21</v>
      </c>
      <c r="K897" t="s">
        <v>22</v>
      </c>
      <c r="L897" t="s">
        <v>20</v>
      </c>
      <c r="O897">
        <f t="shared" si="53"/>
        <v>23791</v>
      </c>
    </row>
    <row r="898" spans="2:15" x14ac:dyDescent="0.25">
      <c r="B898" t="s">
        <v>277</v>
      </c>
      <c r="C898" s="41">
        <v>24376</v>
      </c>
      <c r="D898" s="18">
        <v>9118</v>
      </c>
      <c r="E898" t="s">
        <v>23</v>
      </c>
      <c r="F898" t="s">
        <v>19</v>
      </c>
      <c r="G898" t="s">
        <v>29</v>
      </c>
      <c r="J898" t="s">
        <v>21</v>
      </c>
      <c r="K898" t="s">
        <v>22</v>
      </c>
      <c r="L898" t="s">
        <v>20</v>
      </c>
      <c r="O898" t="e">
        <f t="shared" si="53"/>
        <v>#N/A</v>
      </c>
    </row>
    <row r="899" spans="2:15" x14ac:dyDescent="0.25">
      <c r="B899" t="s">
        <v>277</v>
      </c>
      <c r="C899" s="41">
        <v>27035</v>
      </c>
      <c r="D899" s="18">
        <v>96877.63</v>
      </c>
      <c r="E899" t="s">
        <v>23</v>
      </c>
      <c r="F899" t="s">
        <v>19</v>
      </c>
      <c r="G899" t="s">
        <v>29</v>
      </c>
      <c r="J899" t="s">
        <v>21</v>
      </c>
      <c r="K899" t="s">
        <v>22</v>
      </c>
      <c r="L899" t="s">
        <v>20</v>
      </c>
      <c r="O899" t="e">
        <f t="shared" si="53"/>
        <v>#N/A</v>
      </c>
    </row>
    <row r="900" spans="2:15" x14ac:dyDescent="0.25">
      <c r="B900" t="s">
        <v>277</v>
      </c>
      <c r="C900" s="41">
        <v>7400469164</v>
      </c>
      <c r="D900" s="18">
        <v>29022.67</v>
      </c>
      <c r="E900" t="s">
        <v>23</v>
      </c>
      <c r="F900" t="s">
        <v>19</v>
      </c>
      <c r="G900" t="s">
        <v>29</v>
      </c>
      <c r="J900" t="s">
        <v>21</v>
      </c>
      <c r="K900" t="s">
        <v>22</v>
      </c>
      <c r="L900" t="s">
        <v>20</v>
      </c>
      <c r="O900">
        <f t="shared" si="53"/>
        <v>7400469164</v>
      </c>
    </row>
    <row r="901" spans="2:15" x14ac:dyDescent="0.25">
      <c r="B901" t="s">
        <v>277</v>
      </c>
      <c r="C901" s="41">
        <v>23505</v>
      </c>
      <c r="D901" s="18">
        <v>19026.830000000002</v>
      </c>
      <c r="E901" t="s">
        <v>23</v>
      </c>
      <c r="F901" t="s">
        <v>19</v>
      </c>
      <c r="G901" t="s">
        <v>29</v>
      </c>
      <c r="J901" t="s">
        <v>21</v>
      </c>
      <c r="K901" t="s">
        <v>22</v>
      </c>
      <c r="L901" t="s">
        <v>20</v>
      </c>
      <c r="O901">
        <f t="shared" si="53"/>
        <v>23505</v>
      </c>
    </row>
    <row r="902" spans="2:15" x14ac:dyDescent="0.25">
      <c r="B902" t="s">
        <v>277</v>
      </c>
      <c r="C902" s="41">
        <v>23555</v>
      </c>
      <c r="D902" s="18">
        <v>2296.14</v>
      </c>
      <c r="E902" t="s">
        <v>23</v>
      </c>
      <c r="F902" t="s">
        <v>19</v>
      </c>
      <c r="G902" t="s">
        <v>29</v>
      </c>
      <c r="J902" t="s">
        <v>21</v>
      </c>
      <c r="K902" t="s">
        <v>22</v>
      </c>
      <c r="L902" t="s">
        <v>20</v>
      </c>
      <c r="O902">
        <f t="shared" si="53"/>
        <v>23555</v>
      </c>
    </row>
    <row r="903" spans="2:15" x14ac:dyDescent="0.25">
      <c r="B903" t="s">
        <v>277</v>
      </c>
      <c r="C903" s="41">
        <v>24366</v>
      </c>
      <c r="D903" s="18">
        <v>9117.99</v>
      </c>
      <c r="E903" t="s">
        <v>23</v>
      </c>
      <c r="F903" t="s">
        <v>19</v>
      </c>
      <c r="G903" t="s">
        <v>29</v>
      </c>
      <c r="J903" t="s">
        <v>21</v>
      </c>
      <c r="K903" t="s">
        <v>22</v>
      </c>
      <c r="L903" t="s">
        <v>20</v>
      </c>
      <c r="O903" t="e">
        <f t="shared" si="53"/>
        <v>#N/A</v>
      </c>
    </row>
    <row r="904" spans="2:15" x14ac:dyDescent="0.25">
      <c r="B904" t="s">
        <v>277</v>
      </c>
      <c r="C904" s="41">
        <v>2611001226</v>
      </c>
      <c r="D904" s="18">
        <v>138191.62</v>
      </c>
      <c r="E904" t="s">
        <v>23</v>
      </c>
      <c r="F904" t="s">
        <v>19</v>
      </c>
      <c r="G904" t="s">
        <v>29</v>
      </c>
      <c r="J904" t="s">
        <v>21</v>
      </c>
      <c r="K904" t="s">
        <v>22</v>
      </c>
      <c r="L904" t="s">
        <v>20</v>
      </c>
      <c r="O904">
        <f t="shared" si="53"/>
        <v>2611001226</v>
      </c>
    </row>
    <row r="905" spans="2:15" x14ac:dyDescent="0.25">
      <c r="B905" t="s">
        <v>277</v>
      </c>
      <c r="C905" s="41">
        <v>23607</v>
      </c>
      <c r="D905" s="18">
        <v>1934.71</v>
      </c>
      <c r="E905" t="s">
        <v>23</v>
      </c>
      <c r="F905" t="s">
        <v>19</v>
      </c>
      <c r="G905" t="s">
        <v>29</v>
      </c>
      <c r="J905" t="s">
        <v>21</v>
      </c>
      <c r="K905" t="s">
        <v>22</v>
      </c>
      <c r="L905" t="s">
        <v>20</v>
      </c>
      <c r="O905">
        <f t="shared" si="53"/>
        <v>23607</v>
      </c>
    </row>
    <row r="906" spans="2:15" x14ac:dyDescent="0.25">
      <c r="B906" t="s">
        <v>277</v>
      </c>
      <c r="C906" s="41">
        <v>23358</v>
      </c>
      <c r="D906" s="18">
        <v>166340.79</v>
      </c>
      <c r="E906" t="s">
        <v>23</v>
      </c>
      <c r="F906" t="s">
        <v>19</v>
      </c>
      <c r="G906" t="s">
        <v>29</v>
      </c>
      <c r="J906" t="s">
        <v>21</v>
      </c>
      <c r="K906" t="s">
        <v>22</v>
      </c>
      <c r="L906" t="s">
        <v>20</v>
      </c>
      <c r="O906">
        <f t="shared" si="53"/>
        <v>23358</v>
      </c>
    </row>
    <row r="907" spans="2:15" x14ac:dyDescent="0.25">
      <c r="B907" t="s">
        <v>277</v>
      </c>
      <c r="C907" s="41">
        <v>24305</v>
      </c>
      <c r="D907" s="18">
        <v>8089.41</v>
      </c>
      <c r="E907" t="s">
        <v>23</v>
      </c>
      <c r="F907" t="s">
        <v>19</v>
      </c>
      <c r="G907" t="s">
        <v>29</v>
      </c>
      <c r="J907" t="s">
        <v>21</v>
      </c>
      <c r="K907" t="s">
        <v>22</v>
      </c>
      <c r="L907" t="s">
        <v>20</v>
      </c>
      <c r="O907" t="e">
        <f t="shared" si="53"/>
        <v>#N/A</v>
      </c>
    </row>
    <row r="908" spans="2:15" x14ac:dyDescent="0.25">
      <c r="B908" t="s">
        <v>277</v>
      </c>
      <c r="C908" s="41">
        <v>23538</v>
      </c>
      <c r="D908" s="18">
        <v>10748.41</v>
      </c>
      <c r="E908" t="s">
        <v>23</v>
      </c>
      <c r="F908" t="s">
        <v>19</v>
      </c>
      <c r="G908" t="s">
        <v>29</v>
      </c>
      <c r="J908" t="s">
        <v>21</v>
      </c>
      <c r="K908" t="s">
        <v>22</v>
      </c>
      <c r="L908" t="s">
        <v>20</v>
      </c>
      <c r="O908">
        <f t="shared" si="53"/>
        <v>23538</v>
      </c>
    </row>
    <row r="909" spans="2:15" x14ac:dyDescent="0.25">
      <c r="B909" t="s">
        <v>277</v>
      </c>
      <c r="C909" s="41">
        <v>9002212320</v>
      </c>
      <c r="D909" s="18">
        <v>29543.32</v>
      </c>
      <c r="E909" t="s">
        <v>23</v>
      </c>
      <c r="F909" t="s">
        <v>19</v>
      </c>
      <c r="G909" t="s">
        <v>29</v>
      </c>
      <c r="J909" t="s">
        <v>21</v>
      </c>
      <c r="K909" t="s">
        <v>22</v>
      </c>
      <c r="L909" t="s">
        <v>20</v>
      </c>
      <c r="O909">
        <f t="shared" si="53"/>
        <v>9002212320</v>
      </c>
    </row>
    <row r="910" spans="2:15" x14ac:dyDescent="0.25">
      <c r="B910" t="s">
        <v>277</v>
      </c>
      <c r="C910" s="41">
        <v>23566</v>
      </c>
      <c r="D910" s="18">
        <v>9145.82</v>
      </c>
      <c r="E910" t="s">
        <v>23</v>
      </c>
      <c r="F910" t="s">
        <v>19</v>
      </c>
      <c r="G910" t="s">
        <v>29</v>
      </c>
      <c r="J910" t="s">
        <v>21</v>
      </c>
      <c r="K910" t="s">
        <v>22</v>
      </c>
      <c r="L910" t="s">
        <v>20</v>
      </c>
      <c r="O910">
        <f t="shared" si="53"/>
        <v>23566</v>
      </c>
    </row>
    <row r="911" spans="2:15" x14ac:dyDescent="0.25">
      <c r="B911" t="s">
        <v>277</v>
      </c>
      <c r="C911" s="41">
        <v>16870</v>
      </c>
      <c r="D911" s="18">
        <v>129819.38</v>
      </c>
      <c r="E911" t="s">
        <v>23</v>
      </c>
      <c r="F911" t="s">
        <v>19</v>
      </c>
      <c r="G911" t="s">
        <v>29</v>
      </c>
      <c r="J911" t="s">
        <v>21</v>
      </c>
      <c r="K911" t="s">
        <v>22</v>
      </c>
      <c r="L911" t="s">
        <v>20</v>
      </c>
      <c r="O911">
        <f t="shared" si="53"/>
        <v>16870</v>
      </c>
    </row>
    <row r="912" spans="2:15" x14ac:dyDescent="0.25">
      <c r="B912" t="s">
        <v>277</v>
      </c>
      <c r="C912" s="41">
        <v>25682</v>
      </c>
      <c r="D912" s="18">
        <v>237182.22</v>
      </c>
      <c r="E912" t="s">
        <v>23</v>
      </c>
      <c r="F912" t="s">
        <v>19</v>
      </c>
      <c r="G912" t="s">
        <v>29</v>
      </c>
      <c r="J912" t="s">
        <v>21</v>
      </c>
      <c r="K912" t="s">
        <v>22</v>
      </c>
      <c r="L912" t="s">
        <v>20</v>
      </c>
      <c r="O912">
        <f t="shared" si="53"/>
        <v>25682</v>
      </c>
    </row>
    <row r="913" spans="2:15" x14ac:dyDescent="0.25">
      <c r="B913" t="s">
        <v>277</v>
      </c>
      <c r="C913" s="41">
        <v>23563</v>
      </c>
      <c r="D913" s="18">
        <v>2074.44</v>
      </c>
      <c r="E913" t="s">
        <v>23</v>
      </c>
      <c r="F913" t="s">
        <v>19</v>
      </c>
      <c r="G913" t="s">
        <v>29</v>
      </c>
      <c r="J913" t="s">
        <v>21</v>
      </c>
      <c r="K913" t="s">
        <v>22</v>
      </c>
      <c r="L913" t="s">
        <v>20</v>
      </c>
      <c r="O913">
        <f t="shared" si="53"/>
        <v>23563</v>
      </c>
    </row>
    <row r="914" spans="2:15" x14ac:dyDescent="0.25">
      <c r="B914" t="s">
        <v>277</v>
      </c>
      <c r="C914" s="41">
        <v>25687</v>
      </c>
      <c r="D914" s="18">
        <v>410029.89</v>
      </c>
      <c r="E914" t="s">
        <v>23</v>
      </c>
      <c r="F914" t="s">
        <v>19</v>
      </c>
      <c r="G914" t="s">
        <v>29</v>
      </c>
      <c r="J914" t="s">
        <v>21</v>
      </c>
      <c r="K914" t="s">
        <v>22</v>
      </c>
      <c r="L914" t="s">
        <v>20</v>
      </c>
      <c r="O914">
        <f t="shared" si="53"/>
        <v>25687</v>
      </c>
    </row>
    <row r="915" spans="2:15" x14ac:dyDescent="0.25">
      <c r="B915" t="s">
        <v>277</v>
      </c>
      <c r="C915" s="41">
        <v>10158242</v>
      </c>
      <c r="D915" s="18">
        <v>13053.84</v>
      </c>
      <c r="E915" t="s">
        <v>23</v>
      </c>
      <c r="F915" t="s">
        <v>19</v>
      </c>
      <c r="G915" t="s">
        <v>29</v>
      </c>
      <c r="J915" t="s">
        <v>21</v>
      </c>
      <c r="K915" t="s">
        <v>22</v>
      </c>
      <c r="L915" t="s">
        <v>20</v>
      </c>
      <c r="O915" t="e">
        <f t="shared" si="53"/>
        <v>#N/A</v>
      </c>
    </row>
    <row r="916" spans="2:15" x14ac:dyDescent="0.25">
      <c r="B916" t="s">
        <v>277</v>
      </c>
      <c r="C916" s="41">
        <v>23580</v>
      </c>
      <c r="D916" s="18">
        <v>2172.25</v>
      </c>
      <c r="E916" t="s">
        <v>23</v>
      </c>
      <c r="F916" t="s">
        <v>19</v>
      </c>
      <c r="G916" t="s">
        <v>29</v>
      </c>
      <c r="J916" t="s">
        <v>21</v>
      </c>
      <c r="K916" t="s">
        <v>22</v>
      </c>
      <c r="L916" t="s">
        <v>20</v>
      </c>
      <c r="O916">
        <f t="shared" si="53"/>
        <v>23580</v>
      </c>
    </row>
    <row r="917" spans="2:15" x14ac:dyDescent="0.25">
      <c r="B917" t="s">
        <v>277</v>
      </c>
      <c r="C917" s="41">
        <v>23652</v>
      </c>
      <c r="D917" s="18">
        <v>293.43</v>
      </c>
      <c r="E917" t="s">
        <v>23</v>
      </c>
      <c r="F917" t="s">
        <v>19</v>
      </c>
      <c r="G917" t="s">
        <v>29</v>
      </c>
      <c r="J917" t="s">
        <v>21</v>
      </c>
      <c r="K917" t="s">
        <v>22</v>
      </c>
      <c r="L917" t="s">
        <v>20</v>
      </c>
      <c r="O917">
        <f t="shared" si="53"/>
        <v>23652</v>
      </c>
    </row>
    <row r="918" spans="2:15" x14ac:dyDescent="0.25">
      <c r="B918" t="s">
        <v>277</v>
      </c>
      <c r="C918" s="41">
        <v>8038196907</v>
      </c>
      <c r="D918" s="18">
        <v>91399.360000000001</v>
      </c>
      <c r="E918" t="s">
        <v>23</v>
      </c>
      <c r="F918" t="s">
        <v>19</v>
      </c>
      <c r="G918" t="s">
        <v>29</v>
      </c>
      <c r="J918" t="s">
        <v>21</v>
      </c>
      <c r="K918" t="s">
        <v>22</v>
      </c>
      <c r="L918" t="s">
        <v>20</v>
      </c>
      <c r="O918">
        <f t="shared" si="53"/>
        <v>8038196907</v>
      </c>
    </row>
    <row r="919" spans="2:15" x14ac:dyDescent="0.25">
      <c r="B919" t="s">
        <v>277</v>
      </c>
      <c r="C919" s="41">
        <v>8030275314</v>
      </c>
      <c r="D919" s="18">
        <v>46361.68</v>
      </c>
      <c r="E919" t="s">
        <v>23</v>
      </c>
      <c r="F919" t="s">
        <v>19</v>
      </c>
      <c r="G919" t="s">
        <v>29</v>
      </c>
      <c r="J919" t="s">
        <v>21</v>
      </c>
      <c r="K919" t="s">
        <v>22</v>
      </c>
      <c r="L919" t="s">
        <v>20</v>
      </c>
      <c r="O919">
        <f t="shared" si="53"/>
        <v>8030275314</v>
      </c>
    </row>
    <row r="920" spans="2:15" x14ac:dyDescent="0.25">
      <c r="B920" t="s">
        <v>277</v>
      </c>
      <c r="C920" s="41">
        <v>24113</v>
      </c>
      <c r="D920" s="18">
        <v>386525.1</v>
      </c>
      <c r="E920" t="s">
        <v>23</v>
      </c>
      <c r="F920" t="s">
        <v>19</v>
      </c>
      <c r="G920" t="s">
        <v>29</v>
      </c>
      <c r="J920" t="s">
        <v>21</v>
      </c>
      <c r="K920" t="s">
        <v>22</v>
      </c>
      <c r="L920" t="s">
        <v>20</v>
      </c>
      <c r="O920">
        <f t="shared" si="53"/>
        <v>24113</v>
      </c>
    </row>
    <row r="921" spans="2:15" x14ac:dyDescent="0.25">
      <c r="B921" t="s">
        <v>277</v>
      </c>
      <c r="C921" s="41">
        <v>23500</v>
      </c>
      <c r="D921" s="18">
        <v>17027.63</v>
      </c>
      <c r="E921" t="s">
        <v>23</v>
      </c>
      <c r="F921" t="s">
        <v>19</v>
      </c>
      <c r="G921" t="s">
        <v>29</v>
      </c>
      <c r="J921" t="s">
        <v>21</v>
      </c>
      <c r="K921" t="s">
        <v>22</v>
      </c>
      <c r="L921" t="s">
        <v>20</v>
      </c>
      <c r="O921">
        <f t="shared" si="53"/>
        <v>23500</v>
      </c>
    </row>
    <row r="922" spans="2:15" x14ac:dyDescent="0.25">
      <c r="B922" t="s">
        <v>277</v>
      </c>
      <c r="C922" s="41">
        <v>24374</v>
      </c>
      <c r="D922" s="18">
        <v>9117.99</v>
      </c>
      <c r="E922" t="s">
        <v>23</v>
      </c>
      <c r="F922" t="s">
        <v>19</v>
      </c>
      <c r="G922" t="s">
        <v>29</v>
      </c>
      <c r="J922" t="s">
        <v>21</v>
      </c>
      <c r="K922" t="s">
        <v>22</v>
      </c>
      <c r="L922" t="s">
        <v>20</v>
      </c>
      <c r="O922" t="e">
        <f t="shared" si="53"/>
        <v>#N/A</v>
      </c>
    </row>
    <row r="923" spans="2:15" x14ac:dyDescent="0.25">
      <c r="B923" t="s">
        <v>277</v>
      </c>
      <c r="C923" s="41">
        <v>1000597</v>
      </c>
      <c r="D923" s="18">
        <v>75219.31</v>
      </c>
      <c r="E923" t="s">
        <v>23</v>
      </c>
      <c r="F923" t="s">
        <v>19</v>
      </c>
      <c r="G923" t="s">
        <v>29</v>
      </c>
      <c r="J923" t="s">
        <v>21</v>
      </c>
      <c r="K923" t="s">
        <v>22</v>
      </c>
      <c r="L923" t="s">
        <v>20</v>
      </c>
      <c r="O923" t="e">
        <f t="shared" si="53"/>
        <v>#N/A</v>
      </c>
    </row>
    <row r="924" spans="2:15" x14ac:dyDescent="0.25">
      <c r="B924" t="s">
        <v>277</v>
      </c>
      <c r="C924" s="41">
        <v>25701</v>
      </c>
      <c r="D924" s="18">
        <v>97846.99</v>
      </c>
      <c r="E924" t="s">
        <v>23</v>
      </c>
      <c r="F924" t="s">
        <v>19</v>
      </c>
      <c r="G924" t="s">
        <v>29</v>
      </c>
      <c r="J924" t="s">
        <v>21</v>
      </c>
      <c r="K924" t="s">
        <v>22</v>
      </c>
      <c r="L924" t="s">
        <v>20</v>
      </c>
      <c r="O924">
        <f t="shared" si="53"/>
        <v>25701</v>
      </c>
    </row>
    <row r="925" spans="2:15" x14ac:dyDescent="0.25">
      <c r="B925" t="s">
        <v>277</v>
      </c>
      <c r="C925" s="41">
        <v>23631</v>
      </c>
      <c r="D925" s="18">
        <v>111.78</v>
      </c>
      <c r="E925" t="s">
        <v>23</v>
      </c>
      <c r="F925" t="s">
        <v>19</v>
      </c>
      <c r="G925" t="s">
        <v>29</v>
      </c>
      <c r="J925" t="s">
        <v>21</v>
      </c>
      <c r="K925" t="s">
        <v>22</v>
      </c>
      <c r="L925" t="s">
        <v>20</v>
      </c>
      <c r="O925">
        <f t="shared" si="53"/>
        <v>23631</v>
      </c>
    </row>
    <row r="926" spans="2:15" x14ac:dyDescent="0.25">
      <c r="B926" t="s">
        <v>277</v>
      </c>
      <c r="C926" s="41">
        <v>23666</v>
      </c>
      <c r="D926" s="18">
        <v>11780.26</v>
      </c>
      <c r="E926" t="s">
        <v>23</v>
      </c>
      <c r="F926" t="s">
        <v>19</v>
      </c>
      <c r="G926" t="s">
        <v>29</v>
      </c>
      <c r="J926" t="s">
        <v>21</v>
      </c>
      <c r="K926" t="s">
        <v>22</v>
      </c>
      <c r="L926" t="s">
        <v>20</v>
      </c>
      <c r="O926">
        <f t="shared" si="53"/>
        <v>23666</v>
      </c>
    </row>
    <row r="927" spans="2:15" x14ac:dyDescent="0.25">
      <c r="B927" t="s">
        <v>277</v>
      </c>
      <c r="C927" s="41">
        <v>23636</v>
      </c>
      <c r="D927" s="18">
        <v>91.36</v>
      </c>
      <c r="E927" t="s">
        <v>23</v>
      </c>
      <c r="F927" t="s">
        <v>19</v>
      </c>
      <c r="G927" t="s">
        <v>29</v>
      </c>
      <c r="J927" t="s">
        <v>21</v>
      </c>
      <c r="K927" t="s">
        <v>22</v>
      </c>
      <c r="L927" t="s">
        <v>20</v>
      </c>
      <c r="O927">
        <f t="shared" si="53"/>
        <v>23636</v>
      </c>
    </row>
    <row r="928" spans="2:15" x14ac:dyDescent="0.25">
      <c r="B928" t="s">
        <v>277</v>
      </c>
      <c r="C928" s="41">
        <v>2101349503</v>
      </c>
      <c r="D928" s="18">
        <v>36200</v>
      </c>
      <c r="E928" t="s">
        <v>23</v>
      </c>
      <c r="F928" t="s">
        <v>19</v>
      </c>
      <c r="G928" t="s">
        <v>29</v>
      </c>
      <c r="J928" t="s">
        <v>21</v>
      </c>
      <c r="K928" t="s">
        <v>22</v>
      </c>
      <c r="L928" t="s">
        <v>20</v>
      </c>
      <c r="O928">
        <f t="shared" si="53"/>
        <v>2101349503</v>
      </c>
    </row>
    <row r="929" spans="2:15" x14ac:dyDescent="0.25">
      <c r="B929" t="s">
        <v>277</v>
      </c>
      <c r="C929" s="41">
        <v>23509</v>
      </c>
      <c r="D929" s="18">
        <v>84160.04</v>
      </c>
      <c r="E929" t="s">
        <v>23</v>
      </c>
      <c r="F929" t="s">
        <v>19</v>
      </c>
      <c r="G929" t="s">
        <v>29</v>
      </c>
      <c r="J929" t="s">
        <v>21</v>
      </c>
      <c r="K929" t="s">
        <v>22</v>
      </c>
      <c r="L929" t="s">
        <v>20</v>
      </c>
      <c r="O929">
        <f t="shared" si="53"/>
        <v>23509</v>
      </c>
    </row>
    <row r="930" spans="2:15" x14ac:dyDescent="0.25">
      <c r="B930" t="s">
        <v>277</v>
      </c>
      <c r="C930" s="41">
        <v>69025101</v>
      </c>
      <c r="D930" s="18">
        <v>30846.26</v>
      </c>
      <c r="E930" t="s">
        <v>23</v>
      </c>
      <c r="F930" t="s">
        <v>19</v>
      </c>
      <c r="G930" t="s">
        <v>29</v>
      </c>
      <c r="J930" t="s">
        <v>21</v>
      </c>
      <c r="K930" t="s">
        <v>22</v>
      </c>
      <c r="L930" t="s">
        <v>20</v>
      </c>
      <c r="O930">
        <f t="shared" si="53"/>
        <v>69025101</v>
      </c>
    </row>
    <row r="931" spans="2:15" x14ac:dyDescent="0.25">
      <c r="B931" t="s">
        <v>277</v>
      </c>
      <c r="C931" s="41">
        <v>23573</v>
      </c>
      <c r="D931" s="18">
        <v>10748.41</v>
      </c>
      <c r="E931" t="s">
        <v>23</v>
      </c>
      <c r="F931" t="s">
        <v>19</v>
      </c>
      <c r="G931" t="s">
        <v>29</v>
      </c>
      <c r="J931" t="s">
        <v>21</v>
      </c>
      <c r="K931" t="s">
        <v>22</v>
      </c>
      <c r="L931" t="s">
        <v>20</v>
      </c>
      <c r="O931">
        <f t="shared" si="53"/>
        <v>23573</v>
      </c>
    </row>
    <row r="932" spans="2:15" x14ac:dyDescent="0.25">
      <c r="B932" t="s">
        <v>277</v>
      </c>
      <c r="C932" s="41">
        <v>23589</v>
      </c>
      <c r="D932" s="18">
        <v>1859.47</v>
      </c>
      <c r="E932" t="s">
        <v>23</v>
      </c>
      <c r="F932" t="s">
        <v>19</v>
      </c>
      <c r="G932" t="s">
        <v>29</v>
      </c>
      <c r="J932" t="s">
        <v>21</v>
      </c>
      <c r="K932" t="s">
        <v>22</v>
      </c>
      <c r="L932" t="s">
        <v>20</v>
      </c>
      <c r="O932">
        <f t="shared" si="53"/>
        <v>23589</v>
      </c>
    </row>
    <row r="933" spans="2:15" x14ac:dyDescent="0.25">
      <c r="B933" t="s">
        <v>277</v>
      </c>
      <c r="C933" s="41">
        <v>23590</v>
      </c>
      <c r="D933" s="18">
        <v>2323.81</v>
      </c>
      <c r="E933" t="s">
        <v>23</v>
      </c>
      <c r="F933" t="s">
        <v>19</v>
      </c>
      <c r="G933" t="s">
        <v>29</v>
      </c>
      <c r="J933" t="s">
        <v>21</v>
      </c>
      <c r="K933" t="s">
        <v>22</v>
      </c>
      <c r="L933" t="s">
        <v>20</v>
      </c>
      <c r="O933">
        <f t="shared" si="53"/>
        <v>23590</v>
      </c>
    </row>
    <row r="934" spans="2:15" x14ac:dyDescent="0.25">
      <c r="B934" t="s">
        <v>277</v>
      </c>
      <c r="C934" s="41">
        <v>23498</v>
      </c>
      <c r="D934" s="18">
        <v>26301.360000000001</v>
      </c>
      <c r="E934" t="s">
        <v>23</v>
      </c>
      <c r="F934" t="s">
        <v>19</v>
      </c>
      <c r="G934" t="s">
        <v>29</v>
      </c>
      <c r="J934" t="s">
        <v>21</v>
      </c>
      <c r="K934" t="s">
        <v>22</v>
      </c>
      <c r="L934" t="s">
        <v>20</v>
      </c>
      <c r="O934">
        <f t="shared" si="53"/>
        <v>23498</v>
      </c>
    </row>
    <row r="935" spans="2:15" x14ac:dyDescent="0.25">
      <c r="B935" t="s">
        <v>277</v>
      </c>
      <c r="C935" s="41">
        <v>25680</v>
      </c>
      <c r="D935" s="18">
        <v>93094</v>
      </c>
      <c r="E935" t="s">
        <v>23</v>
      </c>
      <c r="F935" t="s">
        <v>19</v>
      </c>
      <c r="G935" t="s">
        <v>29</v>
      </c>
      <c r="J935" t="s">
        <v>21</v>
      </c>
      <c r="K935" t="s">
        <v>22</v>
      </c>
      <c r="L935" t="s">
        <v>20</v>
      </c>
      <c r="O935">
        <f t="shared" si="53"/>
        <v>25680</v>
      </c>
    </row>
    <row r="936" spans="2:15" x14ac:dyDescent="0.25">
      <c r="B936" t="s">
        <v>277</v>
      </c>
      <c r="C936" s="41">
        <v>9002370446</v>
      </c>
      <c r="D936" s="18">
        <v>51057.279999999999</v>
      </c>
      <c r="E936" t="s">
        <v>23</v>
      </c>
      <c r="F936" t="s">
        <v>19</v>
      </c>
      <c r="G936" t="s">
        <v>29</v>
      </c>
      <c r="J936" t="s">
        <v>21</v>
      </c>
      <c r="K936" t="s">
        <v>22</v>
      </c>
      <c r="L936" t="s">
        <v>20</v>
      </c>
      <c r="O936">
        <f t="shared" si="53"/>
        <v>9002370446</v>
      </c>
    </row>
    <row r="937" spans="2:15" x14ac:dyDescent="0.25">
      <c r="B937" t="s">
        <v>277</v>
      </c>
      <c r="C937" s="41">
        <v>24307</v>
      </c>
      <c r="D937" s="18">
        <v>7559.41</v>
      </c>
      <c r="E937" t="s">
        <v>23</v>
      </c>
      <c r="F937" t="s">
        <v>19</v>
      </c>
      <c r="G937" t="s">
        <v>29</v>
      </c>
      <c r="J937" t="s">
        <v>21</v>
      </c>
      <c r="K937" t="s">
        <v>22</v>
      </c>
      <c r="L937" t="s">
        <v>20</v>
      </c>
      <c r="O937" t="e">
        <f t="shared" si="53"/>
        <v>#N/A</v>
      </c>
    </row>
    <row r="938" spans="2:15" x14ac:dyDescent="0.25">
      <c r="B938" t="s">
        <v>277</v>
      </c>
      <c r="C938" s="41">
        <v>23541</v>
      </c>
      <c r="D938" s="18">
        <v>10748.41</v>
      </c>
      <c r="E938" t="s">
        <v>23</v>
      </c>
      <c r="F938" t="s">
        <v>19</v>
      </c>
      <c r="G938" t="s">
        <v>29</v>
      </c>
      <c r="J938" t="s">
        <v>21</v>
      </c>
      <c r="K938" t="s">
        <v>22</v>
      </c>
      <c r="L938" t="s">
        <v>20</v>
      </c>
      <c r="O938">
        <f t="shared" si="53"/>
        <v>23541</v>
      </c>
    </row>
    <row r="939" spans="2:15" x14ac:dyDescent="0.25">
      <c r="B939" t="s">
        <v>277</v>
      </c>
      <c r="C939" s="41">
        <v>23667</v>
      </c>
      <c r="D939" s="18">
        <v>64390</v>
      </c>
      <c r="E939" t="s">
        <v>23</v>
      </c>
      <c r="F939" t="s">
        <v>19</v>
      </c>
      <c r="G939" t="s">
        <v>29</v>
      </c>
      <c r="J939" t="s">
        <v>21</v>
      </c>
      <c r="K939" t="s">
        <v>22</v>
      </c>
      <c r="L939" t="s">
        <v>20</v>
      </c>
      <c r="O939">
        <f t="shared" si="53"/>
        <v>23667</v>
      </c>
    </row>
    <row r="940" spans="2:15" x14ac:dyDescent="0.25">
      <c r="B940" t="s">
        <v>277</v>
      </c>
      <c r="C940" s="41">
        <v>24280</v>
      </c>
      <c r="D940" s="18">
        <v>381743.16</v>
      </c>
      <c r="E940" t="s">
        <v>23</v>
      </c>
      <c r="F940" t="s">
        <v>19</v>
      </c>
      <c r="G940" t="s">
        <v>29</v>
      </c>
      <c r="J940" t="s">
        <v>21</v>
      </c>
      <c r="K940" t="s">
        <v>22</v>
      </c>
      <c r="L940" t="s">
        <v>20</v>
      </c>
      <c r="O940">
        <f t="shared" si="53"/>
        <v>24280</v>
      </c>
    </row>
    <row r="941" spans="2:15" x14ac:dyDescent="0.25">
      <c r="B941" t="s">
        <v>277</v>
      </c>
      <c r="C941" s="41">
        <v>25707</v>
      </c>
      <c r="D941" s="18">
        <v>93614.29</v>
      </c>
      <c r="E941" t="s">
        <v>23</v>
      </c>
      <c r="F941" t="s">
        <v>19</v>
      </c>
      <c r="G941" t="s">
        <v>29</v>
      </c>
      <c r="J941" t="s">
        <v>21</v>
      </c>
      <c r="K941" t="s">
        <v>22</v>
      </c>
      <c r="L941" t="s">
        <v>20</v>
      </c>
      <c r="O941">
        <f t="shared" si="53"/>
        <v>25707</v>
      </c>
    </row>
    <row r="942" spans="2:15" x14ac:dyDescent="0.25">
      <c r="B942" t="s">
        <v>277</v>
      </c>
      <c r="C942" s="41">
        <v>23778</v>
      </c>
      <c r="D942" s="18">
        <v>187286.39999999999</v>
      </c>
      <c r="E942" t="s">
        <v>23</v>
      </c>
      <c r="F942" t="s">
        <v>19</v>
      </c>
      <c r="G942" t="s">
        <v>29</v>
      </c>
      <c r="J942" t="s">
        <v>21</v>
      </c>
      <c r="K942" t="s">
        <v>22</v>
      </c>
      <c r="L942" t="s">
        <v>20</v>
      </c>
      <c r="O942">
        <f t="shared" si="53"/>
        <v>23778</v>
      </c>
    </row>
    <row r="943" spans="2:15" x14ac:dyDescent="0.25">
      <c r="B943" t="s">
        <v>277</v>
      </c>
      <c r="C943" s="41">
        <v>23558</v>
      </c>
      <c r="D943" s="18">
        <v>2109.91</v>
      </c>
      <c r="E943" t="s">
        <v>23</v>
      </c>
      <c r="F943" t="s">
        <v>19</v>
      </c>
      <c r="G943" t="s">
        <v>29</v>
      </c>
      <c r="J943" t="s">
        <v>21</v>
      </c>
      <c r="K943" t="s">
        <v>22</v>
      </c>
      <c r="L943" t="s">
        <v>20</v>
      </c>
      <c r="O943">
        <f t="shared" si="53"/>
        <v>23558</v>
      </c>
    </row>
    <row r="944" spans="2:15" x14ac:dyDescent="0.25">
      <c r="B944" t="s">
        <v>277</v>
      </c>
      <c r="C944" s="41">
        <v>26994</v>
      </c>
      <c r="D944" s="18">
        <v>543487.18000000005</v>
      </c>
      <c r="E944" t="s">
        <v>23</v>
      </c>
      <c r="F944" t="s">
        <v>19</v>
      </c>
      <c r="G944" t="s">
        <v>29</v>
      </c>
      <c r="J944" t="s">
        <v>21</v>
      </c>
      <c r="K944" t="s">
        <v>22</v>
      </c>
      <c r="L944" t="s">
        <v>20</v>
      </c>
      <c r="O944">
        <f t="shared" si="53"/>
        <v>26994</v>
      </c>
    </row>
    <row r="945" spans="2:15" x14ac:dyDescent="0.25">
      <c r="B945" t="s">
        <v>277</v>
      </c>
      <c r="C945" s="41">
        <v>27115</v>
      </c>
      <c r="D945" s="18">
        <v>95874.62</v>
      </c>
      <c r="E945" t="s">
        <v>23</v>
      </c>
      <c r="F945" t="s">
        <v>19</v>
      </c>
      <c r="G945" t="s">
        <v>29</v>
      </c>
      <c r="J945" t="s">
        <v>30</v>
      </c>
      <c r="K945" t="s">
        <v>22</v>
      </c>
      <c r="L945" t="s">
        <v>20</v>
      </c>
      <c r="O945">
        <f t="shared" si="53"/>
        <v>27115</v>
      </c>
    </row>
    <row r="946" spans="2:15" x14ac:dyDescent="0.25">
      <c r="B946" t="s">
        <v>277</v>
      </c>
      <c r="C946" s="41">
        <v>25696</v>
      </c>
      <c r="D946" s="18">
        <v>161631.99</v>
      </c>
      <c r="E946" t="s">
        <v>23</v>
      </c>
      <c r="F946" t="s">
        <v>19</v>
      </c>
      <c r="G946" t="s">
        <v>29</v>
      </c>
      <c r="J946" t="s">
        <v>21</v>
      </c>
      <c r="K946" t="s">
        <v>22</v>
      </c>
      <c r="L946" t="s">
        <v>20</v>
      </c>
      <c r="O946">
        <f t="shared" si="53"/>
        <v>25696</v>
      </c>
    </row>
    <row r="947" spans="2:15" x14ac:dyDescent="0.25">
      <c r="B947" t="s">
        <v>277</v>
      </c>
      <c r="C947" s="41">
        <v>7346</v>
      </c>
      <c r="D947" s="18">
        <v>124344.2</v>
      </c>
      <c r="E947" t="s">
        <v>23</v>
      </c>
      <c r="F947" t="s">
        <v>19</v>
      </c>
      <c r="G947" t="s">
        <v>29</v>
      </c>
      <c r="J947" t="s">
        <v>21</v>
      </c>
      <c r="K947" t="s">
        <v>22</v>
      </c>
      <c r="L947" t="s">
        <v>20</v>
      </c>
      <c r="O947">
        <f t="shared" si="53"/>
        <v>7346</v>
      </c>
    </row>
    <row r="948" spans="2:15" x14ac:dyDescent="0.25">
      <c r="B948" t="s">
        <v>277</v>
      </c>
      <c r="C948" s="41">
        <v>23644</v>
      </c>
      <c r="D948" s="18">
        <v>316</v>
      </c>
      <c r="E948" t="s">
        <v>23</v>
      </c>
      <c r="F948" t="s">
        <v>19</v>
      </c>
      <c r="G948" t="s">
        <v>29</v>
      </c>
      <c r="J948" t="s">
        <v>21</v>
      </c>
      <c r="K948" t="s">
        <v>22</v>
      </c>
      <c r="L948" t="s">
        <v>20</v>
      </c>
      <c r="O948">
        <f t="shared" si="53"/>
        <v>23644</v>
      </c>
    </row>
    <row r="949" spans="2:15" x14ac:dyDescent="0.25">
      <c r="B949" t="s">
        <v>277</v>
      </c>
      <c r="C949" s="41">
        <v>23532</v>
      </c>
      <c r="D949" s="18">
        <v>20653.07</v>
      </c>
      <c r="E949" t="s">
        <v>23</v>
      </c>
      <c r="F949" t="s">
        <v>19</v>
      </c>
      <c r="G949" t="s">
        <v>29</v>
      </c>
      <c r="J949" t="s">
        <v>21</v>
      </c>
      <c r="K949" t="s">
        <v>22</v>
      </c>
      <c r="L949" t="s">
        <v>20</v>
      </c>
      <c r="O949">
        <f t="shared" si="53"/>
        <v>23532</v>
      </c>
    </row>
    <row r="950" spans="2:15" x14ac:dyDescent="0.25">
      <c r="B950" t="s">
        <v>277</v>
      </c>
      <c r="C950" s="41">
        <v>7400356304</v>
      </c>
      <c r="D950" s="18">
        <v>26120.79</v>
      </c>
      <c r="E950" t="s">
        <v>23</v>
      </c>
      <c r="F950" t="s">
        <v>19</v>
      </c>
      <c r="G950" t="s">
        <v>29</v>
      </c>
      <c r="J950" t="s">
        <v>21</v>
      </c>
      <c r="K950" t="s">
        <v>22</v>
      </c>
      <c r="L950" t="s">
        <v>20</v>
      </c>
      <c r="O950">
        <f t="shared" si="53"/>
        <v>7400356304</v>
      </c>
    </row>
    <row r="951" spans="2:15" x14ac:dyDescent="0.25">
      <c r="B951" t="s">
        <v>277</v>
      </c>
      <c r="C951" s="41">
        <v>27078</v>
      </c>
      <c r="D951" s="18">
        <v>21250</v>
      </c>
      <c r="E951" t="s">
        <v>23</v>
      </c>
      <c r="F951" t="s">
        <v>19</v>
      </c>
      <c r="G951" t="s">
        <v>29</v>
      </c>
      <c r="J951" t="s">
        <v>21</v>
      </c>
      <c r="K951" t="s">
        <v>22</v>
      </c>
      <c r="L951" t="s">
        <v>20</v>
      </c>
      <c r="O951">
        <f t="shared" si="53"/>
        <v>27078</v>
      </c>
    </row>
    <row r="952" spans="2:15" x14ac:dyDescent="0.25">
      <c r="B952" t="s">
        <v>277</v>
      </c>
      <c r="C952" s="41">
        <v>24362</v>
      </c>
      <c r="D952" s="18">
        <v>9117.99</v>
      </c>
      <c r="E952" t="s">
        <v>23</v>
      </c>
      <c r="F952" t="s">
        <v>19</v>
      </c>
      <c r="G952" t="s">
        <v>29</v>
      </c>
      <c r="J952" t="s">
        <v>21</v>
      </c>
      <c r="K952" t="s">
        <v>22</v>
      </c>
      <c r="L952" t="s">
        <v>20</v>
      </c>
      <c r="O952" t="e">
        <f t="shared" ref="O952:O1015" si="54">VLOOKUP(C952,$Q$9:$Q$816,1,FALSE)</f>
        <v>#N/A</v>
      </c>
    </row>
    <row r="953" spans="2:15" x14ac:dyDescent="0.25">
      <c r="B953" t="s">
        <v>277</v>
      </c>
      <c r="C953" s="41">
        <v>23501</v>
      </c>
      <c r="D953" s="18">
        <v>19026.830000000002</v>
      </c>
      <c r="E953" t="s">
        <v>23</v>
      </c>
      <c r="F953" t="s">
        <v>19</v>
      </c>
      <c r="G953" t="s">
        <v>29</v>
      </c>
      <c r="J953" t="s">
        <v>21</v>
      </c>
      <c r="K953" t="s">
        <v>22</v>
      </c>
      <c r="L953" t="s">
        <v>20</v>
      </c>
      <c r="O953">
        <f t="shared" si="54"/>
        <v>23501</v>
      </c>
    </row>
    <row r="954" spans="2:15" x14ac:dyDescent="0.25">
      <c r="B954" t="s">
        <v>277</v>
      </c>
      <c r="C954" s="41">
        <v>23627</v>
      </c>
      <c r="D954" s="18">
        <v>167.68</v>
      </c>
      <c r="E954" t="s">
        <v>23</v>
      </c>
      <c r="F954" t="s">
        <v>19</v>
      </c>
      <c r="G954" t="s">
        <v>29</v>
      </c>
      <c r="J954" t="s">
        <v>21</v>
      </c>
      <c r="K954" t="s">
        <v>22</v>
      </c>
      <c r="L954" t="s">
        <v>20</v>
      </c>
      <c r="O954">
        <f t="shared" si="54"/>
        <v>23627</v>
      </c>
    </row>
    <row r="955" spans="2:15" x14ac:dyDescent="0.25">
      <c r="B955" t="s">
        <v>277</v>
      </c>
      <c r="C955" s="41">
        <v>23546</v>
      </c>
      <c r="D955" s="18">
        <v>10748.41</v>
      </c>
      <c r="E955" t="s">
        <v>23</v>
      </c>
      <c r="F955" t="s">
        <v>19</v>
      </c>
      <c r="G955" t="s">
        <v>29</v>
      </c>
      <c r="J955" t="s">
        <v>21</v>
      </c>
      <c r="K955" t="s">
        <v>22</v>
      </c>
      <c r="L955" t="s">
        <v>20</v>
      </c>
      <c r="O955">
        <f t="shared" si="54"/>
        <v>23546</v>
      </c>
    </row>
    <row r="956" spans="2:15" x14ac:dyDescent="0.25">
      <c r="B956" t="s">
        <v>277</v>
      </c>
      <c r="C956" s="41">
        <v>23660</v>
      </c>
      <c r="D956" s="18">
        <v>44013.41</v>
      </c>
      <c r="E956" t="s">
        <v>23</v>
      </c>
      <c r="F956" t="s">
        <v>19</v>
      </c>
      <c r="G956" t="s">
        <v>29</v>
      </c>
      <c r="J956" t="s">
        <v>21</v>
      </c>
      <c r="K956" t="s">
        <v>22</v>
      </c>
      <c r="L956" t="s">
        <v>20</v>
      </c>
      <c r="O956">
        <f t="shared" si="54"/>
        <v>23660</v>
      </c>
    </row>
    <row r="957" spans="2:15" x14ac:dyDescent="0.25">
      <c r="B957" t="s">
        <v>277</v>
      </c>
      <c r="C957" s="41">
        <v>27061</v>
      </c>
      <c r="D957" s="18">
        <v>62914.92</v>
      </c>
      <c r="E957" t="s">
        <v>23</v>
      </c>
      <c r="F957" t="s">
        <v>19</v>
      </c>
      <c r="G957" t="s">
        <v>29</v>
      </c>
      <c r="J957" t="s">
        <v>21</v>
      </c>
      <c r="K957" t="s">
        <v>22</v>
      </c>
      <c r="L957" t="s">
        <v>20</v>
      </c>
      <c r="O957">
        <f t="shared" si="54"/>
        <v>27061</v>
      </c>
    </row>
    <row r="958" spans="2:15" x14ac:dyDescent="0.25">
      <c r="B958" t="s">
        <v>277</v>
      </c>
      <c r="C958" s="41">
        <v>25700</v>
      </c>
      <c r="D958" s="18">
        <v>615569.17000000004</v>
      </c>
      <c r="E958" t="s">
        <v>23</v>
      </c>
      <c r="F958" t="s">
        <v>19</v>
      </c>
      <c r="G958" t="s">
        <v>29</v>
      </c>
      <c r="J958" t="s">
        <v>21</v>
      </c>
      <c r="K958" t="s">
        <v>22</v>
      </c>
      <c r="L958" t="s">
        <v>20</v>
      </c>
      <c r="O958">
        <f t="shared" si="54"/>
        <v>25700</v>
      </c>
    </row>
    <row r="959" spans="2:15" x14ac:dyDescent="0.25">
      <c r="B959" t="s">
        <v>277</v>
      </c>
      <c r="C959" s="41">
        <v>23872</v>
      </c>
      <c r="D959" s="18">
        <v>166611.76</v>
      </c>
      <c r="E959" t="s">
        <v>23</v>
      </c>
      <c r="F959" t="s">
        <v>19</v>
      </c>
      <c r="G959" t="s">
        <v>29</v>
      </c>
      <c r="J959" t="s">
        <v>21</v>
      </c>
      <c r="K959" t="s">
        <v>22</v>
      </c>
      <c r="L959" t="s">
        <v>20</v>
      </c>
      <c r="O959">
        <f t="shared" si="54"/>
        <v>23872</v>
      </c>
    </row>
    <row r="960" spans="2:15" x14ac:dyDescent="0.25">
      <c r="B960" t="s">
        <v>277</v>
      </c>
      <c r="C960" s="41">
        <v>9001811986</v>
      </c>
      <c r="D960" s="18">
        <v>75495.63</v>
      </c>
      <c r="E960" t="s">
        <v>23</v>
      </c>
      <c r="F960" t="s">
        <v>19</v>
      </c>
      <c r="G960" t="s">
        <v>29</v>
      </c>
      <c r="J960" t="s">
        <v>21</v>
      </c>
      <c r="K960" t="s">
        <v>22</v>
      </c>
      <c r="L960" t="s">
        <v>20</v>
      </c>
      <c r="O960">
        <f t="shared" si="54"/>
        <v>9001811986</v>
      </c>
    </row>
    <row r="961" spans="2:15" x14ac:dyDescent="0.25">
      <c r="B961" t="s">
        <v>277</v>
      </c>
      <c r="C961" s="41">
        <v>26679</v>
      </c>
      <c r="D961" s="18">
        <v>40789.5</v>
      </c>
      <c r="E961" t="s">
        <v>23</v>
      </c>
      <c r="F961" t="s">
        <v>19</v>
      </c>
      <c r="G961" t="s">
        <v>29</v>
      </c>
      <c r="J961" t="s">
        <v>30</v>
      </c>
      <c r="K961" t="s">
        <v>22</v>
      </c>
      <c r="L961" t="s">
        <v>20</v>
      </c>
      <c r="O961">
        <f t="shared" si="54"/>
        <v>26679</v>
      </c>
    </row>
    <row r="962" spans="2:15" x14ac:dyDescent="0.25">
      <c r="B962" t="s">
        <v>277</v>
      </c>
      <c r="C962" s="41">
        <v>27125</v>
      </c>
      <c r="D962" s="18">
        <v>72500</v>
      </c>
      <c r="E962" t="s">
        <v>23</v>
      </c>
      <c r="F962" t="s">
        <v>19</v>
      </c>
      <c r="G962" t="s">
        <v>29</v>
      </c>
      <c r="J962" t="s">
        <v>21</v>
      </c>
      <c r="K962" t="s">
        <v>22</v>
      </c>
      <c r="L962" t="s">
        <v>20</v>
      </c>
      <c r="O962">
        <f t="shared" si="54"/>
        <v>27125</v>
      </c>
    </row>
    <row r="963" spans="2:15" x14ac:dyDescent="0.25">
      <c r="B963" t="s">
        <v>277</v>
      </c>
      <c r="C963" s="41">
        <v>9000817157</v>
      </c>
      <c r="D963" s="18">
        <v>70937</v>
      </c>
      <c r="E963" t="s">
        <v>23</v>
      </c>
      <c r="F963" t="s">
        <v>19</v>
      </c>
      <c r="G963" t="s">
        <v>29</v>
      </c>
      <c r="J963" t="s">
        <v>21</v>
      </c>
      <c r="K963" t="s">
        <v>22</v>
      </c>
      <c r="L963" t="s">
        <v>20</v>
      </c>
      <c r="O963">
        <f t="shared" si="54"/>
        <v>9000817157</v>
      </c>
    </row>
    <row r="964" spans="2:15" x14ac:dyDescent="0.25">
      <c r="B964" t="s">
        <v>277</v>
      </c>
      <c r="C964" s="41" t="s">
        <v>16</v>
      </c>
      <c r="D964" s="18">
        <v>2.63</v>
      </c>
      <c r="E964" t="s">
        <v>23</v>
      </c>
      <c r="F964" t="s">
        <v>19</v>
      </c>
      <c r="G964" t="s">
        <v>29</v>
      </c>
      <c r="J964" t="s">
        <v>21</v>
      </c>
      <c r="K964" t="s">
        <v>22</v>
      </c>
      <c r="L964" t="s">
        <v>20</v>
      </c>
      <c r="O964" t="str">
        <f t="shared" si="54"/>
        <v>NULL</v>
      </c>
    </row>
    <row r="965" spans="2:15" x14ac:dyDescent="0.25">
      <c r="B965" t="s">
        <v>277</v>
      </c>
      <c r="C965" s="41">
        <v>24367</v>
      </c>
      <c r="D965" s="18">
        <v>9117.99</v>
      </c>
      <c r="E965" t="s">
        <v>23</v>
      </c>
      <c r="F965" t="s">
        <v>19</v>
      </c>
      <c r="G965" t="s">
        <v>29</v>
      </c>
      <c r="J965" t="s">
        <v>21</v>
      </c>
      <c r="K965" t="s">
        <v>22</v>
      </c>
      <c r="L965" t="s">
        <v>20</v>
      </c>
      <c r="O965" t="e">
        <f t="shared" si="54"/>
        <v>#N/A</v>
      </c>
    </row>
    <row r="966" spans="2:15" x14ac:dyDescent="0.25">
      <c r="B966" t="s">
        <v>277</v>
      </c>
      <c r="C966" s="41">
        <v>26784</v>
      </c>
      <c r="D966" s="18">
        <v>312516.42</v>
      </c>
      <c r="E966" t="s">
        <v>23</v>
      </c>
      <c r="F966" t="s">
        <v>19</v>
      </c>
      <c r="G966" t="s">
        <v>29</v>
      </c>
      <c r="J966" t="s">
        <v>21</v>
      </c>
      <c r="K966" t="s">
        <v>22</v>
      </c>
      <c r="L966" t="s">
        <v>20</v>
      </c>
      <c r="O966">
        <f t="shared" si="54"/>
        <v>26784</v>
      </c>
    </row>
    <row r="967" spans="2:15" x14ac:dyDescent="0.25">
      <c r="B967" t="s">
        <v>277</v>
      </c>
      <c r="C967" s="41">
        <v>25694</v>
      </c>
      <c r="D967" s="18">
        <v>632967.29</v>
      </c>
      <c r="E967" t="s">
        <v>23</v>
      </c>
      <c r="F967" t="s">
        <v>19</v>
      </c>
      <c r="G967" t="s">
        <v>29</v>
      </c>
      <c r="J967" t="s">
        <v>21</v>
      </c>
      <c r="K967" t="s">
        <v>22</v>
      </c>
      <c r="L967" t="s">
        <v>20</v>
      </c>
      <c r="O967">
        <f t="shared" si="54"/>
        <v>25694</v>
      </c>
    </row>
    <row r="968" spans="2:15" x14ac:dyDescent="0.25">
      <c r="B968" t="s">
        <v>277</v>
      </c>
      <c r="C968" s="41">
        <v>7353</v>
      </c>
      <c r="D968" s="18">
        <v>115786.62</v>
      </c>
      <c r="E968" t="s">
        <v>23</v>
      </c>
      <c r="F968" t="s">
        <v>19</v>
      </c>
      <c r="G968" t="s">
        <v>29</v>
      </c>
      <c r="J968" t="s">
        <v>21</v>
      </c>
      <c r="K968" t="s">
        <v>22</v>
      </c>
      <c r="L968" t="s">
        <v>20</v>
      </c>
      <c r="O968">
        <f t="shared" si="54"/>
        <v>7353</v>
      </c>
    </row>
    <row r="969" spans="2:15" x14ac:dyDescent="0.25">
      <c r="B969" t="s">
        <v>277</v>
      </c>
      <c r="C969" s="41">
        <v>23593</v>
      </c>
      <c r="D969" s="18">
        <v>2176.5500000000002</v>
      </c>
      <c r="E969" t="s">
        <v>23</v>
      </c>
      <c r="F969" t="s">
        <v>19</v>
      </c>
      <c r="G969" t="s">
        <v>29</v>
      </c>
      <c r="J969" t="s">
        <v>21</v>
      </c>
      <c r="K969" t="s">
        <v>22</v>
      </c>
      <c r="L969" t="s">
        <v>20</v>
      </c>
      <c r="O969">
        <f t="shared" si="54"/>
        <v>23593</v>
      </c>
    </row>
    <row r="970" spans="2:15" x14ac:dyDescent="0.25">
      <c r="B970" t="s">
        <v>277</v>
      </c>
      <c r="C970" s="41">
        <v>25679</v>
      </c>
      <c r="D970" s="18">
        <v>564943.51</v>
      </c>
      <c r="E970" t="s">
        <v>23</v>
      </c>
      <c r="F970" t="s">
        <v>19</v>
      </c>
      <c r="G970" t="s">
        <v>29</v>
      </c>
      <c r="J970" t="s">
        <v>21</v>
      </c>
      <c r="K970" t="s">
        <v>22</v>
      </c>
      <c r="L970" t="s">
        <v>20</v>
      </c>
      <c r="O970">
        <f t="shared" si="54"/>
        <v>25679</v>
      </c>
    </row>
    <row r="971" spans="2:15" x14ac:dyDescent="0.25">
      <c r="B971" t="s">
        <v>277</v>
      </c>
      <c r="C971" s="41">
        <v>23495</v>
      </c>
      <c r="D971" s="18">
        <v>22218.04</v>
      </c>
      <c r="E971" t="s">
        <v>23</v>
      </c>
      <c r="F971" t="s">
        <v>19</v>
      </c>
      <c r="G971" t="s">
        <v>29</v>
      </c>
      <c r="J971" t="s">
        <v>21</v>
      </c>
      <c r="K971" t="s">
        <v>22</v>
      </c>
      <c r="L971" t="s">
        <v>20</v>
      </c>
      <c r="O971">
        <f t="shared" si="54"/>
        <v>23495</v>
      </c>
    </row>
    <row r="972" spans="2:15" x14ac:dyDescent="0.25">
      <c r="B972" t="s">
        <v>277</v>
      </c>
      <c r="C972" s="41">
        <v>8004061653</v>
      </c>
      <c r="D972" s="18">
        <v>25923.75</v>
      </c>
      <c r="E972" t="s">
        <v>23</v>
      </c>
      <c r="F972" t="s">
        <v>19</v>
      </c>
      <c r="G972" t="s">
        <v>29</v>
      </c>
      <c r="J972" t="s">
        <v>21</v>
      </c>
      <c r="K972" t="s">
        <v>22</v>
      </c>
      <c r="L972" t="s">
        <v>20</v>
      </c>
      <c r="O972" t="e">
        <f t="shared" si="54"/>
        <v>#N/A</v>
      </c>
    </row>
    <row r="973" spans="2:15" x14ac:dyDescent="0.25">
      <c r="B973" t="s">
        <v>277</v>
      </c>
      <c r="C973" s="41">
        <v>23569</v>
      </c>
      <c r="D973" s="18">
        <v>13435.51</v>
      </c>
      <c r="E973" t="s">
        <v>23</v>
      </c>
      <c r="F973" t="s">
        <v>19</v>
      </c>
      <c r="G973" t="s">
        <v>29</v>
      </c>
      <c r="J973" t="s">
        <v>21</v>
      </c>
      <c r="K973" t="s">
        <v>22</v>
      </c>
      <c r="L973" t="s">
        <v>20</v>
      </c>
      <c r="O973">
        <f t="shared" si="54"/>
        <v>23569</v>
      </c>
    </row>
    <row r="974" spans="2:15" x14ac:dyDescent="0.25">
      <c r="B974" t="s">
        <v>277</v>
      </c>
      <c r="C974" s="41">
        <v>27111</v>
      </c>
      <c r="D974" s="18">
        <v>264140.65999999997</v>
      </c>
      <c r="E974" t="s">
        <v>23</v>
      </c>
      <c r="F974" t="s">
        <v>19</v>
      </c>
      <c r="G974" t="s">
        <v>29</v>
      </c>
      <c r="J974" t="s">
        <v>21</v>
      </c>
      <c r="K974" t="s">
        <v>22</v>
      </c>
      <c r="L974" t="s">
        <v>20</v>
      </c>
      <c r="O974" t="e">
        <f t="shared" si="54"/>
        <v>#N/A</v>
      </c>
    </row>
    <row r="975" spans="2:15" x14ac:dyDescent="0.25">
      <c r="B975" t="s">
        <v>277</v>
      </c>
      <c r="C975" s="41">
        <v>23646</v>
      </c>
      <c r="D975" s="18">
        <v>338.57</v>
      </c>
      <c r="E975" t="s">
        <v>23</v>
      </c>
      <c r="F975" t="s">
        <v>19</v>
      </c>
      <c r="G975" t="s">
        <v>29</v>
      </c>
      <c r="J975" t="s">
        <v>21</v>
      </c>
      <c r="K975" t="s">
        <v>22</v>
      </c>
      <c r="L975" t="s">
        <v>20</v>
      </c>
      <c r="O975">
        <f t="shared" si="54"/>
        <v>23646</v>
      </c>
    </row>
    <row r="976" spans="2:15" x14ac:dyDescent="0.25">
      <c r="B976" t="s">
        <v>277</v>
      </c>
      <c r="C976" s="41">
        <v>23529</v>
      </c>
      <c r="D976" s="18">
        <v>17273.77</v>
      </c>
      <c r="E976" t="s">
        <v>23</v>
      </c>
      <c r="F976" t="s">
        <v>19</v>
      </c>
      <c r="G976" t="s">
        <v>29</v>
      </c>
      <c r="J976" t="s">
        <v>21</v>
      </c>
      <c r="K976" t="s">
        <v>22</v>
      </c>
      <c r="L976" t="s">
        <v>20</v>
      </c>
      <c r="O976">
        <f t="shared" si="54"/>
        <v>23529</v>
      </c>
    </row>
    <row r="977" spans="2:15" x14ac:dyDescent="0.25">
      <c r="B977" t="s">
        <v>277</v>
      </c>
      <c r="C977" s="41">
        <v>2100789953</v>
      </c>
      <c r="D977" s="18">
        <v>88552.35</v>
      </c>
      <c r="E977" t="s">
        <v>23</v>
      </c>
      <c r="F977" t="s">
        <v>19</v>
      </c>
      <c r="G977" t="s">
        <v>29</v>
      </c>
      <c r="J977" t="s">
        <v>21</v>
      </c>
      <c r="K977" t="s">
        <v>22</v>
      </c>
      <c r="L977" t="s">
        <v>20</v>
      </c>
      <c r="O977">
        <f t="shared" si="54"/>
        <v>2100789953</v>
      </c>
    </row>
    <row r="978" spans="2:15" x14ac:dyDescent="0.25">
      <c r="B978" t="s">
        <v>277</v>
      </c>
      <c r="C978" s="41">
        <v>23527</v>
      </c>
      <c r="D978" s="18">
        <v>10290.530000000001</v>
      </c>
      <c r="E978" t="s">
        <v>23</v>
      </c>
      <c r="F978" t="s">
        <v>19</v>
      </c>
      <c r="G978" t="s">
        <v>29</v>
      </c>
      <c r="J978" t="s">
        <v>21</v>
      </c>
      <c r="K978" t="s">
        <v>22</v>
      </c>
      <c r="L978" t="s">
        <v>20</v>
      </c>
      <c r="O978">
        <f t="shared" si="54"/>
        <v>23527</v>
      </c>
    </row>
    <row r="979" spans="2:15" x14ac:dyDescent="0.25">
      <c r="B979" t="s">
        <v>277</v>
      </c>
      <c r="C979" s="41">
        <v>23577</v>
      </c>
      <c r="D979" s="18">
        <v>4276.79</v>
      </c>
      <c r="E979" t="s">
        <v>23</v>
      </c>
      <c r="F979" t="s">
        <v>19</v>
      </c>
      <c r="G979" t="s">
        <v>29</v>
      </c>
      <c r="J979" t="s">
        <v>21</v>
      </c>
      <c r="K979" t="s">
        <v>22</v>
      </c>
      <c r="L979" t="s">
        <v>20</v>
      </c>
      <c r="O979">
        <f t="shared" si="54"/>
        <v>23577</v>
      </c>
    </row>
    <row r="980" spans="2:15" x14ac:dyDescent="0.25">
      <c r="B980" t="s">
        <v>277</v>
      </c>
      <c r="C980" s="41">
        <v>27080</v>
      </c>
      <c r="D980" s="18">
        <v>75548.61</v>
      </c>
      <c r="E980" t="s">
        <v>23</v>
      </c>
      <c r="F980" t="s">
        <v>19</v>
      </c>
      <c r="G980" t="s">
        <v>29</v>
      </c>
      <c r="J980" t="s">
        <v>21</v>
      </c>
      <c r="K980" t="s">
        <v>22</v>
      </c>
      <c r="L980" t="s">
        <v>20</v>
      </c>
      <c r="O980">
        <f t="shared" si="54"/>
        <v>27080</v>
      </c>
    </row>
    <row r="981" spans="2:15" x14ac:dyDescent="0.25">
      <c r="B981" t="s">
        <v>277</v>
      </c>
      <c r="C981" s="41">
        <v>26777</v>
      </c>
      <c r="D981" s="18">
        <v>131200</v>
      </c>
      <c r="E981" t="s">
        <v>23</v>
      </c>
      <c r="F981" t="s">
        <v>19</v>
      </c>
      <c r="G981" t="s">
        <v>29</v>
      </c>
      <c r="J981" t="s">
        <v>21</v>
      </c>
      <c r="K981" t="s">
        <v>22</v>
      </c>
      <c r="L981" t="s">
        <v>20</v>
      </c>
      <c r="O981">
        <f t="shared" si="54"/>
        <v>26777</v>
      </c>
    </row>
    <row r="982" spans="2:15" x14ac:dyDescent="0.25">
      <c r="B982" t="s">
        <v>277</v>
      </c>
      <c r="C982" s="41">
        <v>26510</v>
      </c>
      <c r="D982" s="18">
        <v>141372.85999999999</v>
      </c>
      <c r="E982" t="s">
        <v>23</v>
      </c>
      <c r="F982" t="s">
        <v>19</v>
      </c>
      <c r="G982" t="s">
        <v>29</v>
      </c>
      <c r="J982" t="s">
        <v>21</v>
      </c>
      <c r="K982" t="s">
        <v>22</v>
      </c>
      <c r="L982" t="s">
        <v>20</v>
      </c>
      <c r="O982">
        <f t="shared" si="54"/>
        <v>26510</v>
      </c>
    </row>
    <row r="983" spans="2:15" x14ac:dyDescent="0.25">
      <c r="B983" t="s">
        <v>277</v>
      </c>
      <c r="C983" s="41">
        <v>23976</v>
      </c>
      <c r="D983" s="18">
        <v>635122.44999999995</v>
      </c>
      <c r="E983" t="s">
        <v>23</v>
      </c>
      <c r="F983" t="s">
        <v>19</v>
      </c>
      <c r="G983" t="s">
        <v>29</v>
      </c>
      <c r="J983" t="s">
        <v>21</v>
      </c>
      <c r="K983" t="s">
        <v>22</v>
      </c>
      <c r="L983" t="s">
        <v>20</v>
      </c>
      <c r="O983">
        <f t="shared" si="54"/>
        <v>23976</v>
      </c>
    </row>
    <row r="984" spans="2:15" x14ac:dyDescent="0.25">
      <c r="B984" t="s">
        <v>277</v>
      </c>
      <c r="C984" s="41">
        <v>23514</v>
      </c>
      <c r="D984" s="18">
        <v>112516.79</v>
      </c>
      <c r="E984" t="s">
        <v>23</v>
      </c>
      <c r="F984" t="s">
        <v>19</v>
      </c>
      <c r="G984" t="s">
        <v>29</v>
      </c>
      <c r="J984" t="s">
        <v>21</v>
      </c>
      <c r="K984" t="s">
        <v>22</v>
      </c>
      <c r="L984" t="s">
        <v>20</v>
      </c>
      <c r="O984">
        <f t="shared" si="54"/>
        <v>23514</v>
      </c>
    </row>
    <row r="985" spans="2:15" x14ac:dyDescent="0.25">
      <c r="B985" t="s">
        <v>277</v>
      </c>
      <c r="C985" s="41">
        <v>23544</v>
      </c>
      <c r="D985" s="18">
        <v>13435.51</v>
      </c>
      <c r="E985" t="s">
        <v>23</v>
      </c>
      <c r="F985" t="s">
        <v>19</v>
      </c>
      <c r="G985" t="s">
        <v>29</v>
      </c>
      <c r="J985" t="s">
        <v>21</v>
      </c>
      <c r="K985" t="s">
        <v>22</v>
      </c>
      <c r="L985" t="s">
        <v>20</v>
      </c>
      <c r="O985">
        <f t="shared" si="54"/>
        <v>23544</v>
      </c>
    </row>
    <row r="986" spans="2:15" x14ac:dyDescent="0.25">
      <c r="B986" t="s">
        <v>277</v>
      </c>
      <c r="C986" s="41">
        <v>23662</v>
      </c>
      <c r="D986" s="18">
        <v>44013.41</v>
      </c>
      <c r="E986" t="s">
        <v>23</v>
      </c>
      <c r="F986" t="s">
        <v>19</v>
      </c>
      <c r="G986" t="s">
        <v>29</v>
      </c>
      <c r="J986" t="s">
        <v>21</v>
      </c>
      <c r="K986" t="s">
        <v>22</v>
      </c>
      <c r="L986" t="s">
        <v>20</v>
      </c>
      <c r="O986">
        <f t="shared" si="54"/>
        <v>23662</v>
      </c>
    </row>
    <row r="987" spans="2:15" x14ac:dyDescent="0.25">
      <c r="B987" t="s">
        <v>277</v>
      </c>
      <c r="C987" s="41">
        <v>23617</v>
      </c>
      <c r="D987" s="18">
        <v>831.93</v>
      </c>
      <c r="E987" t="s">
        <v>23</v>
      </c>
      <c r="F987" t="s">
        <v>19</v>
      </c>
      <c r="G987" t="s">
        <v>29</v>
      </c>
      <c r="J987" t="s">
        <v>21</v>
      </c>
      <c r="K987" t="s">
        <v>22</v>
      </c>
      <c r="L987" t="s">
        <v>20</v>
      </c>
      <c r="O987">
        <f t="shared" si="54"/>
        <v>23617</v>
      </c>
    </row>
    <row r="988" spans="2:15" x14ac:dyDescent="0.25">
      <c r="B988" t="s">
        <v>277</v>
      </c>
      <c r="C988" s="41">
        <v>23561</v>
      </c>
      <c r="D988" s="18">
        <v>2074.44</v>
      </c>
      <c r="E988" t="s">
        <v>23</v>
      </c>
      <c r="F988" t="s">
        <v>19</v>
      </c>
      <c r="G988" t="s">
        <v>29</v>
      </c>
      <c r="J988" t="s">
        <v>21</v>
      </c>
      <c r="K988" t="s">
        <v>22</v>
      </c>
      <c r="L988" t="s">
        <v>20</v>
      </c>
      <c r="O988">
        <f t="shared" si="54"/>
        <v>23561</v>
      </c>
    </row>
    <row r="989" spans="2:15" x14ac:dyDescent="0.25">
      <c r="B989" t="s">
        <v>277</v>
      </c>
      <c r="C989" s="41">
        <v>27109</v>
      </c>
      <c r="D989" s="18">
        <v>11931.23</v>
      </c>
      <c r="E989" t="s">
        <v>23</v>
      </c>
      <c r="F989" t="s">
        <v>19</v>
      </c>
      <c r="G989" t="s">
        <v>29</v>
      </c>
      <c r="J989" t="s">
        <v>21</v>
      </c>
      <c r="K989" t="s">
        <v>22</v>
      </c>
      <c r="L989" t="s">
        <v>20</v>
      </c>
      <c r="O989">
        <f t="shared" si="54"/>
        <v>27109</v>
      </c>
    </row>
    <row r="990" spans="2:15" x14ac:dyDescent="0.25">
      <c r="B990" t="s">
        <v>277</v>
      </c>
      <c r="C990" s="41">
        <v>23650</v>
      </c>
      <c r="D990" s="18">
        <v>117.16</v>
      </c>
      <c r="E990" t="s">
        <v>23</v>
      </c>
      <c r="F990" t="s">
        <v>19</v>
      </c>
      <c r="G990" t="s">
        <v>29</v>
      </c>
      <c r="J990" t="s">
        <v>21</v>
      </c>
      <c r="K990" t="s">
        <v>22</v>
      </c>
      <c r="L990" t="s">
        <v>20</v>
      </c>
      <c r="O990">
        <f t="shared" si="54"/>
        <v>23650</v>
      </c>
    </row>
    <row r="991" spans="2:15" x14ac:dyDescent="0.25">
      <c r="B991" t="s">
        <v>277</v>
      </c>
      <c r="C991" s="41">
        <v>27123</v>
      </c>
      <c r="D991" s="18">
        <v>122000</v>
      </c>
      <c r="E991" t="s">
        <v>23</v>
      </c>
      <c r="F991" t="s">
        <v>19</v>
      </c>
      <c r="G991" t="s">
        <v>29</v>
      </c>
      <c r="J991" t="s">
        <v>21</v>
      </c>
      <c r="K991" t="s">
        <v>22</v>
      </c>
      <c r="L991" t="s">
        <v>20</v>
      </c>
      <c r="O991" t="e">
        <f t="shared" si="54"/>
        <v>#N/A</v>
      </c>
    </row>
    <row r="992" spans="2:15" x14ac:dyDescent="0.25">
      <c r="B992" t="s">
        <v>277</v>
      </c>
      <c r="C992" s="41">
        <v>23624</v>
      </c>
      <c r="D992" s="18">
        <v>740.57</v>
      </c>
      <c r="E992" t="s">
        <v>23</v>
      </c>
      <c r="F992" t="s">
        <v>19</v>
      </c>
      <c r="G992" t="s">
        <v>29</v>
      </c>
      <c r="J992" t="s">
        <v>21</v>
      </c>
      <c r="K992" t="s">
        <v>22</v>
      </c>
      <c r="L992" t="s">
        <v>20</v>
      </c>
      <c r="O992">
        <f t="shared" si="54"/>
        <v>23624</v>
      </c>
    </row>
    <row r="993" spans="2:15" x14ac:dyDescent="0.25">
      <c r="B993" t="s">
        <v>277</v>
      </c>
      <c r="C993" s="41">
        <v>18102</v>
      </c>
      <c r="D993" s="18">
        <v>36700.5</v>
      </c>
      <c r="E993" t="s">
        <v>23</v>
      </c>
      <c r="F993" t="s">
        <v>19</v>
      </c>
      <c r="G993" t="s">
        <v>29</v>
      </c>
      <c r="J993" t="s">
        <v>21</v>
      </c>
      <c r="K993" t="s">
        <v>22</v>
      </c>
      <c r="L993" t="s">
        <v>20</v>
      </c>
      <c r="O993">
        <f t="shared" si="54"/>
        <v>18102</v>
      </c>
    </row>
    <row r="994" spans="2:15" x14ac:dyDescent="0.25">
      <c r="B994" t="s">
        <v>277</v>
      </c>
      <c r="C994" s="41">
        <v>23674</v>
      </c>
      <c r="D994" s="18">
        <v>38503.94</v>
      </c>
      <c r="E994" t="s">
        <v>23</v>
      </c>
      <c r="F994" t="s">
        <v>19</v>
      </c>
      <c r="G994" t="s">
        <v>29</v>
      </c>
      <c r="J994" t="s">
        <v>21</v>
      </c>
      <c r="K994" t="s">
        <v>22</v>
      </c>
      <c r="L994" t="s">
        <v>20</v>
      </c>
      <c r="O994">
        <f t="shared" si="54"/>
        <v>23674</v>
      </c>
    </row>
    <row r="995" spans="2:15" x14ac:dyDescent="0.25">
      <c r="B995" t="s">
        <v>277</v>
      </c>
      <c r="C995" s="41">
        <v>23680</v>
      </c>
      <c r="D995" s="18">
        <v>79592.3</v>
      </c>
      <c r="E995" t="s">
        <v>23</v>
      </c>
      <c r="F995" t="s">
        <v>19</v>
      </c>
      <c r="G995" t="s">
        <v>29</v>
      </c>
      <c r="J995" t="s">
        <v>21</v>
      </c>
      <c r="K995" t="s">
        <v>22</v>
      </c>
      <c r="L995" t="s">
        <v>20</v>
      </c>
      <c r="O995" t="e">
        <f t="shared" si="54"/>
        <v>#N/A</v>
      </c>
    </row>
    <row r="996" spans="2:15" x14ac:dyDescent="0.25">
      <c r="B996" t="s">
        <v>277</v>
      </c>
      <c r="C996" s="41">
        <v>23788</v>
      </c>
      <c r="D996" s="18">
        <v>63196.58</v>
      </c>
      <c r="E996" t="s">
        <v>23</v>
      </c>
      <c r="F996" t="s">
        <v>19</v>
      </c>
      <c r="G996" t="s">
        <v>29</v>
      </c>
      <c r="J996" t="s">
        <v>21</v>
      </c>
      <c r="K996" t="s">
        <v>22</v>
      </c>
      <c r="L996" t="s">
        <v>20</v>
      </c>
      <c r="O996">
        <f t="shared" si="54"/>
        <v>23788</v>
      </c>
    </row>
    <row r="997" spans="2:15" x14ac:dyDescent="0.25">
      <c r="B997" t="s">
        <v>277</v>
      </c>
      <c r="C997" s="41">
        <v>24267</v>
      </c>
      <c r="D997" s="18">
        <v>101317.95</v>
      </c>
      <c r="E997" t="s">
        <v>23</v>
      </c>
      <c r="F997" t="s">
        <v>19</v>
      </c>
      <c r="G997" t="s">
        <v>29</v>
      </c>
      <c r="J997" t="s">
        <v>21</v>
      </c>
      <c r="K997" t="s">
        <v>22</v>
      </c>
      <c r="L997" t="s">
        <v>20</v>
      </c>
      <c r="O997" t="e">
        <f t="shared" si="54"/>
        <v>#N/A</v>
      </c>
    </row>
    <row r="998" spans="2:15" x14ac:dyDescent="0.25">
      <c r="B998" t="s">
        <v>277</v>
      </c>
      <c r="C998" s="41">
        <v>24738</v>
      </c>
      <c r="D998" s="18">
        <v>620743.29</v>
      </c>
      <c r="E998" t="s">
        <v>23</v>
      </c>
      <c r="F998" t="s">
        <v>19</v>
      </c>
      <c r="G998" t="s">
        <v>29</v>
      </c>
      <c r="J998" t="s">
        <v>21</v>
      </c>
      <c r="K998" t="s">
        <v>22</v>
      </c>
      <c r="L998" t="s">
        <v>20</v>
      </c>
      <c r="O998">
        <f t="shared" si="54"/>
        <v>24738</v>
      </c>
    </row>
    <row r="999" spans="2:15" x14ac:dyDescent="0.25">
      <c r="B999" t="s">
        <v>277</v>
      </c>
      <c r="C999" s="41">
        <v>25704</v>
      </c>
      <c r="D999" s="18">
        <v>90114.69</v>
      </c>
      <c r="E999" t="s">
        <v>23</v>
      </c>
      <c r="F999" t="s">
        <v>19</v>
      </c>
      <c r="G999" t="s">
        <v>29</v>
      </c>
      <c r="J999" t="s">
        <v>21</v>
      </c>
      <c r="K999" t="s">
        <v>22</v>
      </c>
      <c r="L999" t="s">
        <v>20</v>
      </c>
      <c r="O999">
        <f t="shared" si="54"/>
        <v>25704</v>
      </c>
    </row>
    <row r="1000" spans="2:15" x14ac:dyDescent="0.25">
      <c r="B1000" t="s">
        <v>277</v>
      </c>
      <c r="C1000" s="41">
        <v>7400317171</v>
      </c>
      <c r="D1000" s="18">
        <v>54887.46</v>
      </c>
      <c r="E1000" t="s">
        <v>23</v>
      </c>
      <c r="F1000" t="s">
        <v>19</v>
      </c>
      <c r="G1000" t="s">
        <v>29</v>
      </c>
      <c r="J1000" t="s">
        <v>21</v>
      </c>
      <c r="K1000" t="s">
        <v>22</v>
      </c>
      <c r="L1000" t="s">
        <v>20</v>
      </c>
      <c r="O1000" t="e">
        <f t="shared" si="54"/>
        <v>#N/A</v>
      </c>
    </row>
    <row r="1001" spans="2:15" x14ac:dyDescent="0.25">
      <c r="B1001" t="s">
        <v>277</v>
      </c>
      <c r="C1001" s="41">
        <v>23664</v>
      </c>
      <c r="D1001" s="18">
        <v>44013.41</v>
      </c>
      <c r="E1001" t="s">
        <v>23</v>
      </c>
      <c r="F1001" t="s">
        <v>19</v>
      </c>
      <c r="G1001" t="s">
        <v>29</v>
      </c>
      <c r="J1001" t="s">
        <v>21</v>
      </c>
      <c r="K1001" t="s">
        <v>22</v>
      </c>
      <c r="L1001" t="s">
        <v>20</v>
      </c>
      <c r="O1001">
        <f t="shared" si="54"/>
        <v>23664</v>
      </c>
    </row>
    <row r="1002" spans="2:15" x14ac:dyDescent="0.25">
      <c r="B1002" t="s">
        <v>277</v>
      </c>
      <c r="C1002" s="41">
        <v>26501</v>
      </c>
      <c r="D1002" s="18">
        <v>43081.95</v>
      </c>
      <c r="E1002" t="s">
        <v>23</v>
      </c>
      <c r="F1002" t="s">
        <v>19</v>
      </c>
      <c r="G1002" t="s">
        <v>29</v>
      </c>
      <c r="J1002" t="s">
        <v>21</v>
      </c>
      <c r="K1002" t="s">
        <v>22</v>
      </c>
      <c r="L1002" t="s">
        <v>20</v>
      </c>
      <c r="O1002">
        <f t="shared" si="54"/>
        <v>26501</v>
      </c>
    </row>
    <row r="1003" spans="2:15" x14ac:dyDescent="0.25">
      <c r="B1003" t="s">
        <v>277</v>
      </c>
      <c r="C1003" s="41">
        <v>18545</v>
      </c>
      <c r="D1003" s="18">
        <v>55000</v>
      </c>
      <c r="E1003" t="s">
        <v>23</v>
      </c>
      <c r="F1003" t="s">
        <v>19</v>
      </c>
      <c r="G1003" t="s">
        <v>29</v>
      </c>
      <c r="J1003" t="s">
        <v>21</v>
      </c>
      <c r="K1003" t="s">
        <v>22</v>
      </c>
      <c r="L1003" t="s">
        <v>20</v>
      </c>
      <c r="O1003">
        <f t="shared" si="54"/>
        <v>18545</v>
      </c>
    </row>
    <row r="1004" spans="2:15" x14ac:dyDescent="0.25">
      <c r="B1004" t="s">
        <v>277</v>
      </c>
      <c r="C1004" s="41">
        <v>7378</v>
      </c>
      <c r="D1004" s="18">
        <v>118189.87</v>
      </c>
      <c r="E1004" t="s">
        <v>23</v>
      </c>
      <c r="F1004" t="s">
        <v>19</v>
      </c>
      <c r="G1004" t="s">
        <v>29</v>
      </c>
      <c r="J1004" t="s">
        <v>21</v>
      </c>
      <c r="K1004" t="s">
        <v>22</v>
      </c>
      <c r="L1004" t="s">
        <v>20</v>
      </c>
      <c r="O1004">
        <f t="shared" si="54"/>
        <v>7378</v>
      </c>
    </row>
    <row r="1005" spans="2:15" x14ac:dyDescent="0.25">
      <c r="B1005" t="s">
        <v>277</v>
      </c>
      <c r="C1005" s="41">
        <v>23609</v>
      </c>
      <c r="D1005" s="18">
        <v>2144.5100000000002</v>
      </c>
      <c r="E1005" t="s">
        <v>23</v>
      </c>
      <c r="F1005" t="s">
        <v>19</v>
      </c>
      <c r="G1005" t="s">
        <v>29</v>
      </c>
      <c r="J1005" t="s">
        <v>21</v>
      </c>
      <c r="K1005" t="s">
        <v>22</v>
      </c>
      <c r="L1005" t="s">
        <v>20</v>
      </c>
      <c r="O1005">
        <f t="shared" si="54"/>
        <v>23609</v>
      </c>
    </row>
    <row r="1006" spans="2:15" x14ac:dyDescent="0.25">
      <c r="B1006" t="s">
        <v>277</v>
      </c>
      <c r="C1006" s="41">
        <v>23521</v>
      </c>
      <c r="D1006" s="18">
        <v>21232.41</v>
      </c>
      <c r="E1006" t="s">
        <v>23</v>
      </c>
      <c r="F1006" t="s">
        <v>19</v>
      </c>
      <c r="G1006" t="s">
        <v>29</v>
      </c>
      <c r="J1006" t="s">
        <v>21</v>
      </c>
      <c r="K1006" t="s">
        <v>22</v>
      </c>
      <c r="L1006" t="s">
        <v>20</v>
      </c>
      <c r="O1006">
        <f t="shared" si="54"/>
        <v>23521</v>
      </c>
    </row>
    <row r="1007" spans="2:15" x14ac:dyDescent="0.25">
      <c r="B1007" t="s">
        <v>277</v>
      </c>
      <c r="C1007" s="41">
        <v>12024</v>
      </c>
      <c r="D1007" s="18">
        <v>0</v>
      </c>
      <c r="E1007" t="s">
        <v>23</v>
      </c>
      <c r="F1007" t="s">
        <v>19</v>
      </c>
      <c r="G1007" t="s">
        <v>29</v>
      </c>
      <c r="J1007" t="s">
        <v>21</v>
      </c>
      <c r="K1007" t="s">
        <v>22</v>
      </c>
      <c r="L1007" t="s">
        <v>20</v>
      </c>
      <c r="O1007">
        <f t="shared" si="54"/>
        <v>12024</v>
      </c>
    </row>
    <row r="1008" spans="2:15" x14ac:dyDescent="0.25">
      <c r="B1008" t="s">
        <v>277</v>
      </c>
      <c r="C1008" s="41">
        <v>23536</v>
      </c>
      <c r="D1008" s="18">
        <v>10722.57</v>
      </c>
      <c r="E1008" t="s">
        <v>23</v>
      </c>
      <c r="F1008" t="s">
        <v>19</v>
      </c>
      <c r="G1008" t="s">
        <v>29</v>
      </c>
      <c r="J1008" t="s">
        <v>21</v>
      </c>
      <c r="K1008" t="s">
        <v>22</v>
      </c>
      <c r="L1008" t="s">
        <v>20</v>
      </c>
      <c r="O1008">
        <f t="shared" si="54"/>
        <v>23536</v>
      </c>
    </row>
    <row r="1009" spans="2:15" x14ac:dyDescent="0.25">
      <c r="B1009" t="s">
        <v>277</v>
      </c>
      <c r="C1009" s="41">
        <v>16976</v>
      </c>
      <c r="D1009" s="18">
        <v>117420.65</v>
      </c>
      <c r="E1009" t="s">
        <v>23</v>
      </c>
      <c r="F1009" t="s">
        <v>19</v>
      </c>
      <c r="G1009" t="s">
        <v>29</v>
      </c>
      <c r="J1009" t="s">
        <v>21</v>
      </c>
      <c r="K1009" t="s">
        <v>22</v>
      </c>
      <c r="L1009" t="s">
        <v>20</v>
      </c>
      <c r="O1009">
        <f t="shared" si="54"/>
        <v>16976</v>
      </c>
    </row>
    <row r="1010" spans="2:15" x14ac:dyDescent="0.25">
      <c r="B1010" t="s">
        <v>277</v>
      </c>
      <c r="C1010" s="41">
        <v>24355</v>
      </c>
      <c r="D1010" s="18">
        <v>9112.74</v>
      </c>
      <c r="E1010" t="s">
        <v>23</v>
      </c>
      <c r="F1010" t="s">
        <v>19</v>
      </c>
      <c r="G1010" t="s">
        <v>29</v>
      </c>
      <c r="J1010" t="s">
        <v>21</v>
      </c>
      <c r="K1010" t="s">
        <v>22</v>
      </c>
      <c r="L1010" t="s">
        <v>20</v>
      </c>
      <c r="O1010" t="e">
        <f t="shared" si="54"/>
        <v>#N/A</v>
      </c>
    </row>
    <row r="1011" spans="2:15" x14ac:dyDescent="0.25">
      <c r="B1011" t="s">
        <v>277</v>
      </c>
      <c r="C1011" s="41">
        <v>23615</v>
      </c>
      <c r="D1011" s="18">
        <v>2131.41</v>
      </c>
      <c r="E1011" t="s">
        <v>23</v>
      </c>
      <c r="F1011" t="s">
        <v>19</v>
      </c>
      <c r="G1011" t="s">
        <v>29</v>
      </c>
      <c r="J1011" t="s">
        <v>21</v>
      </c>
      <c r="K1011" t="s">
        <v>22</v>
      </c>
      <c r="L1011" t="s">
        <v>20</v>
      </c>
      <c r="O1011">
        <f t="shared" si="54"/>
        <v>23615</v>
      </c>
    </row>
    <row r="1012" spans="2:15" x14ac:dyDescent="0.25">
      <c r="B1012" t="s">
        <v>277</v>
      </c>
      <c r="C1012" s="41">
        <v>23533</v>
      </c>
      <c r="D1012" s="18">
        <v>17273.77</v>
      </c>
      <c r="E1012" t="s">
        <v>23</v>
      </c>
      <c r="F1012" t="s">
        <v>19</v>
      </c>
      <c r="G1012" t="s">
        <v>29</v>
      </c>
      <c r="J1012" t="s">
        <v>21</v>
      </c>
      <c r="K1012" t="s">
        <v>22</v>
      </c>
      <c r="L1012" t="s">
        <v>20</v>
      </c>
      <c r="O1012">
        <f t="shared" si="54"/>
        <v>23533</v>
      </c>
    </row>
    <row r="1013" spans="2:15" x14ac:dyDescent="0.25">
      <c r="B1013" t="s">
        <v>277</v>
      </c>
      <c r="C1013" s="41">
        <v>2435</v>
      </c>
      <c r="D1013" s="18">
        <v>19453.12</v>
      </c>
      <c r="E1013" t="s">
        <v>23</v>
      </c>
      <c r="F1013" t="s">
        <v>19</v>
      </c>
      <c r="G1013" t="s">
        <v>29</v>
      </c>
      <c r="J1013" t="s">
        <v>21</v>
      </c>
      <c r="K1013" t="s">
        <v>22</v>
      </c>
      <c r="L1013" t="s">
        <v>20</v>
      </c>
      <c r="O1013">
        <f t="shared" si="54"/>
        <v>2435</v>
      </c>
    </row>
    <row r="1014" spans="2:15" x14ac:dyDescent="0.25">
      <c r="B1014" t="s">
        <v>277</v>
      </c>
      <c r="C1014" s="41" t="s">
        <v>683</v>
      </c>
      <c r="D1014" s="18">
        <v>4355.2299999999996</v>
      </c>
      <c r="E1014" t="s">
        <v>23</v>
      </c>
      <c r="F1014" t="s">
        <v>19</v>
      </c>
      <c r="G1014" t="s">
        <v>29</v>
      </c>
      <c r="J1014" t="s">
        <v>21</v>
      </c>
      <c r="K1014" t="s">
        <v>22</v>
      </c>
      <c r="L1014" t="s">
        <v>20</v>
      </c>
      <c r="O1014" t="e">
        <f t="shared" si="54"/>
        <v>#N/A</v>
      </c>
    </row>
    <row r="1015" spans="2:15" x14ac:dyDescent="0.25">
      <c r="B1015" t="s">
        <v>277</v>
      </c>
      <c r="C1015" s="41">
        <v>25690</v>
      </c>
      <c r="D1015" s="18">
        <v>96922.8</v>
      </c>
      <c r="E1015" t="s">
        <v>23</v>
      </c>
      <c r="F1015" t="s">
        <v>19</v>
      </c>
      <c r="G1015" t="s">
        <v>29</v>
      </c>
      <c r="J1015" t="s">
        <v>21</v>
      </c>
      <c r="K1015" t="s">
        <v>22</v>
      </c>
      <c r="L1015" t="s">
        <v>20</v>
      </c>
      <c r="O1015">
        <f t="shared" si="54"/>
        <v>25690</v>
      </c>
    </row>
    <row r="1016" spans="2:15" x14ac:dyDescent="0.25">
      <c r="B1016" t="s">
        <v>277</v>
      </c>
      <c r="C1016" s="41">
        <v>23524</v>
      </c>
      <c r="D1016" s="18">
        <v>25385.59</v>
      </c>
      <c r="E1016" t="s">
        <v>23</v>
      </c>
      <c r="F1016" t="s">
        <v>19</v>
      </c>
      <c r="G1016" t="s">
        <v>29</v>
      </c>
      <c r="J1016" t="s">
        <v>21</v>
      </c>
      <c r="K1016" t="s">
        <v>22</v>
      </c>
      <c r="L1016" t="s">
        <v>20</v>
      </c>
      <c r="O1016">
        <f t="shared" ref="O1016:O1079" si="55">VLOOKUP(C1016,$Q$9:$Q$816,1,FALSE)</f>
        <v>23524</v>
      </c>
    </row>
    <row r="1017" spans="2:15" x14ac:dyDescent="0.25">
      <c r="B1017" t="s">
        <v>277</v>
      </c>
      <c r="C1017" s="41">
        <v>27045</v>
      </c>
      <c r="D1017" s="18">
        <v>44795.76</v>
      </c>
      <c r="E1017" t="s">
        <v>23</v>
      </c>
      <c r="F1017" t="s">
        <v>19</v>
      </c>
      <c r="G1017" t="s">
        <v>29</v>
      </c>
      <c r="J1017" t="s">
        <v>30</v>
      </c>
      <c r="K1017" t="s">
        <v>22</v>
      </c>
      <c r="L1017" t="s">
        <v>20</v>
      </c>
      <c r="O1017">
        <f t="shared" si="55"/>
        <v>27045</v>
      </c>
    </row>
    <row r="1018" spans="2:15" x14ac:dyDescent="0.25">
      <c r="B1018" t="s">
        <v>277</v>
      </c>
      <c r="C1018" s="41">
        <v>23628</v>
      </c>
      <c r="D1018" s="18">
        <v>119.31</v>
      </c>
      <c r="E1018" t="s">
        <v>23</v>
      </c>
      <c r="F1018" t="s">
        <v>19</v>
      </c>
      <c r="G1018" t="s">
        <v>29</v>
      </c>
      <c r="J1018" t="s">
        <v>21</v>
      </c>
      <c r="K1018" t="s">
        <v>22</v>
      </c>
      <c r="L1018" t="s">
        <v>20</v>
      </c>
      <c r="O1018">
        <f t="shared" si="55"/>
        <v>23628</v>
      </c>
    </row>
    <row r="1019" spans="2:15" x14ac:dyDescent="0.25">
      <c r="B1019" t="s">
        <v>277</v>
      </c>
      <c r="C1019" s="41">
        <v>23626</v>
      </c>
      <c r="D1019" s="18">
        <v>524.52</v>
      </c>
      <c r="E1019" t="s">
        <v>23</v>
      </c>
      <c r="F1019" t="s">
        <v>19</v>
      </c>
      <c r="G1019" t="s">
        <v>29</v>
      </c>
      <c r="J1019" t="s">
        <v>21</v>
      </c>
      <c r="K1019" t="s">
        <v>22</v>
      </c>
      <c r="L1019" t="s">
        <v>20</v>
      </c>
      <c r="O1019">
        <f t="shared" si="55"/>
        <v>23626</v>
      </c>
    </row>
    <row r="1020" spans="2:15" x14ac:dyDescent="0.25">
      <c r="B1020" t="s">
        <v>277</v>
      </c>
      <c r="C1020" s="41">
        <v>23547</v>
      </c>
      <c r="D1020" s="18">
        <v>10748.41</v>
      </c>
      <c r="E1020" t="s">
        <v>23</v>
      </c>
      <c r="F1020" t="s">
        <v>19</v>
      </c>
      <c r="G1020" t="s">
        <v>29</v>
      </c>
      <c r="J1020" t="s">
        <v>21</v>
      </c>
      <c r="K1020" t="s">
        <v>22</v>
      </c>
      <c r="L1020" t="s">
        <v>20</v>
      </c>
      <c r="O1020">
        <f t="shared" si="55"/>
        <v>23547</v>
      </c>
    </row>
    <row r="1021" spans="2:15" x14ac:dyDescent="0.25">
      <c r="B1021" t="s">
        <v>277</v>
      </c>
      <c r="C1021" s="41">
        <v>24324</v>
      </c>
      <c r="D1021" s="18">
        <v>7564.67</v>
      </c>
      <c r="E1021" t="s">
        <v>23</v>
      </c>
      <c r="F1021" t="s">
        <v>19</v>
      </c>
      <c r="G1021" t="s">
        <v>29</v>
      </c>
      <c r="J1021" t="s">
        <v>21</v>
      </c>
      <c r="K1021" t="s">
        <v>22</v>
      </c>
      <c r="L1021" t="s">
        <v>20</v>
      </c>
      <c r="O1021" t="e">
        <f t="shared" si="55"/>
        <v>#N/A</v>
      </c>
    </row>
    <row r="1022" spans="2:15" x14ac:dyDescent="0.25">
      <c r="B1022" t="s">
        <v>277</v>
      </c>
      <c r="C1022" s="41">
        <v>23519</v>
      </c>
      <c r="D1022" s="18">
        <v>12026.39</v>
      </c>
      <c r="E1022" t="s">
        <v>23</v>
      </c>
      <c r="F1022" t="s">
        <v>19</v>
      </c>
      <c r="G1022" t="s">
        <v>29</v>
      </c>
      <c r="J1022" t="s">
        <v>21</v>
      </c>
      <c r="K1022" t="s">
        <v>22</v>
      </c>
      <c r="L1022" t="s">
        <v>20</v>
      </c>
      <c r="O1022">
        <f t="shared" si="55"/>
        <v>23519</v>
      </c>
    </row>
    <row r="1023" spans="2:15" x14ac:dyDescent="0.25">
      <c r="B1023" t="s">
        <v>277</v>
      </c>
      <c r="C1023" s="41">
        <v>26926</v>
      </c>
      <c r="D1023" s="18">
        <v>10616.28</v>
      </c>
      <c r="E1023" t="s">
        <v>23</v>
      </c>
      <c r="F1023" t="s">
        <v>19</v>
      </c>
      <c r="G1023" t="s">
        <v>29</v>
      </c>
      <c r="J1023" t="s">
        <v>21</v>
      </c>
      <c r="K1023" t="s">
        <v>22</v>
      </c>
      <c r="L1023" t="s">
        <v>20</v>
      </c>
      <c r="O1023">
        <f t="shared" si="55"/>
        <v>26926</v>
      </c>
    </row>
    <row r="1024" spans="2:15" x14ac:dyDescent="0.25">
      <c r="B1024" t="s">
        <v>277</v>
      </c>
      <c r="C1024" s="41">
        <v>24373</v>
      </c>
      <c r="D1024" s="18">
        <v>9117.99</v>
      </c>
      <c r="E1024" t="s">
        <v>23</v>
      </c>
      <c r="F1024" t="s">
        <v>19</v>
      </c>
      <c r="G1024" t="s">
        <v>29</v>
      </c>
      <c r="J1024" t="s">
        <v>21</v>
      </c>
      <c r="K1024" t="s">
        <v>22</v>
      </c>
      <c r="L1024" t="s">
        <v>20</v>
      </c>
      <c r="O1024" t="e">
        <f t="shared" si="55"/>
        <v>#N/A</v>
      </c>
    </row>
    <row r="1025" spans="2:15" x14ac:dyDescent="0.25">
      <c r="B1025" t="s">
        <v>277</v>
      </c>
      <c r="C1025" s="41">
        <v>25706</v>
      </c>
      <c r="D1025" s="18">
        <v>92396.51</v>
      </c>
      <c r="E1025" t="s">
        <v>23</v>
      </c>
      <c r="F1025" t="s">
        <v>19</v>
      </c>
      <c r="G1025" t="s">
        <v>29</v>
      </c>
      <c r="J1025" t="s">
        <v>21</v>
      </c>
      <c r="K1025" t="s">
        <v>22</v>
      </c>
      <c r="L1025" t="s">
        <v>20</v>
      </c>
      <c r="O1025">
        <f t="shared" si="55"/>
        <v>25706</v>
      </c>
    </row>
    <row r="1026" spans="2:15" x14ac:dyDescent="0.25">
      <c r="B1026" t="s">
        <v>277</v>
      </c>
      <c r="C1026" s="41">
        <v>26978</v>
      </c>
      <c r="D1026" s="18">
        <v>55370.83</v>
      </c>
      <c r="E1026" t="s">
        <v>23</v>
      </c>
      <c r="F1026" t="s">
        <v>19</v>
      </c>
      <c r="G1026" t="s">
        <v>29</v>
      </c>
      <c r="J1026" t="s">
        <v>21</v>
      </c>
      <c r="K1026" t="s">
        <v>22</v>
      </c>
      <c r="L1026" t="s">
        <v>20</v>
      </c>
      <c r="O1026">
        <f t="shared" si="55"/>
        <v>26978</v>
      </c>
    </row>
    <row r="1027" spans="2:15" x14ac:dyDescent="0.25">
      <c r="B1027" t="s">
        <v>277</v>
      </c>
      <c r="C1027" s="41">
        <v>24323</v>
      </c>
      <c r="D1027" s="18">
        <v>7564.67</v>
      </c>
      <c r="E1027" t="s">
        <v>23</v>
      </c>
      <c r="F1027" t="s">
        <v>19</v>
      </c>
      <c r="G1027" t="s">
        <v>29</v>
      </c>
      <c r="J1027" t="s">
        <v>21</v>
      </c>
      <c r="K1027" t="s">
        <v>22</v>
      </c>
      <c r="L1027" t="s">
        <v>20</v>
      </c>
      <c r="O1027" t="e">
        <f t="shared" si="55"/>
        <v>#N/A</v>
      </c>
    </row>
    <row r="1028" spans="2:15" x14ac:dyDescent="0.25">
      <c r="B1028" t="s">
        <v>277</v>
      </c>
      <c r="C1028" s="41">
        <v>23730</v>
      </c>
      <c r="D1028" s="18">
        <v>89561.46</v>
      </c>
      <c r="E1028" t="s">
        <v>23</v>
      </c>
      <c r="F1028" t="s">
        <v>19</v>
      </c>
      <c r="G1028" t="s">
        <v>29</v>
      </c>
      <c r="J1028" t="s">
        <v>21</v>
      </c>
      <c r="K1028" t="s">
        <v>22</v>
      </c>
      <c r="L1028" t="s">
        <v>20</v>
      </c>
      <c r="O1028">
        <f t="shared" si="55"/>
        <v>23730</v>
      </c>
    </row>
    <row r="1029" spans="2:15" x14ac:dyDescent="0.25">
      <c r="B1029" t="s">
        <v>277</v>
      </c>
      <c r="C1029" s="41">
        <v>15975</v>
      </c>
      <c r="D1029" s="18">
        <v>71091.39</v>
      </c>
      <c r="E1029" t="s">
        <v>23</v>
      </c>
      <c r="F1029" t="s">
        <v>19</v>
      </c>
      <c r="G1029" t="s">
        <v>29</v>
      </c>
      <c r="J1029" t="s">
        <v>21</v>
      </c>
      <c r="K1029" t="s">
        <v>22</v>
      </c>
      <c r="L1029" t="s">
        <v>20</v>
      </c>
      <c r="O1029">
        <f t="shared" si="55"/>
        <v>15975</v>
      </c>
    </row>
    <row r="1030" spans="2:15" x14ac:dyDescent="0.25">
      <c r="B1030" t="s">
        <v>277</v>
      </c>
      <c r="C1030" s="41">
        <v>23621</v>
      </c>
      <c r="D1030" s="18">
        <v>870.62</v>
      </c>
      <c r="E1030" t="s">
        <v>23</v>
      </c>
      <c r="F1030" t="s">
        <v>19</v>
      </c>
      <c r="G1030" t="s">
        <v>29</v>
      </c>
      <c r="J1030" t="s">
        <v>21</v>
      </c>
      <c r="K1030" t="s">
        <v>22</v>
      </c>
      <c r="L1030" t="s">
        <v>20</v>
      </c>
      <c r="O1030">
        <f t="shared" si="55"/>
        <v>23621</v>
      </c>
    </row>
    <row r="1031" spans="2:15" x14ac:dyDescent="0.25">
      <c r="B1031" t="s">
        <v>277</v>
      </c>
      <c r="C1031" s="41">
        <v>23587</v>
      </c>
      <c r="D1031" s="18">
        <v>1859.47</v>
      </c>
      <c r="E1031" t="s">
        <v>23</v>
      </c>
      <c r="F1031" t="s">
        <v>19</v>
      </c>
      <c r="G1031" t="s">
        <v>29</v>
      </c>
      <c r="J1031" t="s">
        <v>21</v>
      </c>
      <c r="K1031" t="s">
        <v>22</v>
      </c>
      <c r="L1031" t="s">
        <v>20</v>
      </c>
      <c r="O1031">
        <f t="shared" si="55"/>
        <v>23587</v>
      </c>
    </row>
    <row r="1032" spans="2:15" x14ac:dyDescent="0.25">
      <c r="B1032" t="s">
        <v>277</v>
      </c>
      <c r="C1032" s="41">
        <v>23605</v>
      </c>
      <c r="D1032" s="18">
        <v>13435.51</v>
      </c>
      <c r="E1032" t="s">
        <v>23</v>
      </c>
      <c r="F1032" t="s">
        <v>19</v>
      </c>
      <c r="G1032" t="s">
        <v>29</v>
      </c>
      <c r="J1032" t="s">
        <v>21</v>
      </c>
      <c r="K1032" t="s">
        <v>22</v>
      </c>
      <c r="L1032" t="s">
        <v>20</v>
      </c>
      <c r="O1032">
        <f t="shared" si="55"/>
        <v>23605</v>
      </c>
    </row>
    <row r="1033" spans="2:15" x14ac:dyDescent="0.25">
      <c r="B1033" t="s">
        <v>15</v>
      </c>
      <c r="C1033" s="41" t="s">
        <v>16</v>
      </c>
      <c r="D1033" s="18">
        <v>-69183.23</v>
      </c>
      <c r="E1033" t="s">
        <v>23</v>
      </c>
      <c r="F1033" t="s">
        <v>19</v>
      </c>
      <c r="G1033" t="s">
        <v>29</v>
      </c>
      <c r="J1033" t="s">
        <v>30</v>
      </c>
      <c r="K1033" t="s">
        <v>22</v>
      </c>
      <c r="L1033" t="s">
        <v>20</v>
      </c>
      <c r="O1033" t="str">
        <f t="shared" si="55"/>
        <v>NULL</v>
      </c>
    </row>
    <row r="1034" spans="2:15" x14ac:dyDescent="0.25">
      <c r="B1034" t="s">
        <v>277</v>
      </c>
      <c r="C1034" s="41">
        <v>23564</v>
      </c>
      <c r="D1034" s="18">
        <v>9145.82</v>
      </c>
      <c r="E1034" t="s">
        <v>23</v>
      </c>
      <c r="F1034" t="s">
        <v>19</v>
      </c>
      <c r="G1034" t="s">
        <v>29</v>
      </c>
      <c r="J1034" t="s">
        <v>21</v>
      </c>
      <c r="K1034" t="s">
        <v>22</v>
      </c>
      <c r="L1034" t="s">
        <v>20</v>
      </c>
      <c r="O1034">
        <f t="shared" si="55"/>
        <v>23564</v>
      </c>
    </row>
    <row r="1035" spans="2:15" x14ac:dyDescent="0.25">
      <c r="B1035" t="s">
        <v>277</v>
      </c>
      <c r="C1035" s="41">
        <v>26902</v>
      </c>
      <c r="D1035" s="18">
        <v>10464.879999999999</v>
      </c>
      <c r="E1035" t="s">
        <v>23</v>
      </c>
      <c r="F1035" t="s">
        <v>19</v>
      </c>
      <c r="G1035" t="s">
        <v>29</v>
      </c>
      <c r="J1035" t="s">
        <v>21</v>
      </c>
      <c r="K1035" t="s">
        <v>22</v>
      </c>
      <c r="L1035" t="s">
        <v>20</v>
      </c>
      <c r="O1035">
        <f t="shared" si="55"/>
        <v>26902</v>
      </c>
    </row>
    <row r="1036" spans="2:15" x14ac:dyDescent="0.25">
      <c r="B1036" t="s">
        <v>277</v>
      </c>
      <c r="C1036" s="41">
        <v>24357</v>
      </c>
      <c r="D1036" s="18">
        <v>9112.74</v>
      </c>
      <c r="E1036" t="s">
        <v>23</v>
      </c>
      <c r="F1036" t="s">
        <v>19</v>
      </c>
      <c r="G1036" t="s">
        <v>29</v>
      </c>
      <c r="J1036" t="s">
        <v>21</v>
      </c>
      <c r="K1036" t="s">
        <v>22</v>
      </c>
      <c r="L1036" t="s">
        <v>20</v>
      </c>
      <c r="O1036" t="e">
        <f t="shared" si="55"/>
        <v>#N/A</v>
      </c>
    </row>
    <row r="1037" spans="2:15" x14ac:dyDescent="0.25">
      <c r="B1037" t="s">
        <v>277</v>
      </c>
      <c r="C1037" s="41">
        <v>27145</v>
      </c>
      <c r="D1037" s="18">
        <v>15623.49</v>
      </c>
      <c r="E1037" t="s">
        <v>23</v>
      </c>
      <c r="F1037" t="s">
        <v>19</v>
      </c>
      <c r="G1037" t="s">
        <v>29</v>
      </c>
      <c r="J1037" t="s">
        <v>21</v>
      </c>
      <c r="K1037" t="s">
        <v>22</v>
      </c>
      <c r="L1037" t="s">
        <v>20</v>
      </c>
      <c r="O1037">
        <f t="shared" si="55"/>
        <v>27145</v>
      </c>
    </row>
    <row r="1038" spans="2:15" x14ac:dyDescent="0.25">
      <c r="B1038" t="s">
        <v>277</v>
      </c>
      <c r="C1038" s="41">
        <v>27043</v>
      </c>
      <c r="D1038" s="18">
        <v>9028.2999999999993</v>
      </c>
      <c r="E1038" t="s">
        <v>23</v>
      </c>
      <c r="F1038" t="s">
        <v>19</v>
      </c>
      <c r="G1038" t="s">
        <v>29</v>
      </c>
      <c r="J1038" t="s">
        <v>21</v>
      </c>
      <c r="K1038" t="s">
        <v>22</v>
      </c>
      <c r="L1038" t="s">
        <v>20</v>
      </c>
      <c r="O1038">
        <f t="shared" si="55"/>
        <v>27043</v>
      </c>
    </row>
    <row r="1039" spans="2:15" x14ac:dyDescent="0.25">
      <c r="B1039" t="s">
        <v>277</v>
      </c>
      <c r="C1039" s="41">
        <v>19283</v>
      </c>
      <c r="D1039" s="18">
        <v>279975.7</v>
      </c>
      <c r="E1039" t="s">
        <v>23</v>
      </c>
      <c r="F1039" t="s">
        <v>19</v>
      </c>
      <c r="G1039" t="s">
        <v>29</v>
      </c>
      <c r="J1039" t="s">
        <v>21</v>
      </c>
      <c r="K1039" t="s">
        <v>22</v>
      </c>
      <c r="L1039" t="s">
        <v>20</v>
      </c>
      <c r="O1039">
        <f t="shared" si="55"/>
        <v>19283</v>
      </c>
    </row>
    <row r="1040" spans="2:15" x14ac:dyDescent="0.25">
      <c r="B1040" t="s">
        <v>277</v>
      </c>
      <c r="C1040" s="41">
        <v>24309</v>
      </c>
      <c r="D1040" s="18">
        <v>11143.62</v>
      </c>
      <c r="E1040" t="s">
        <v>23</v>
      </c>
      <c r="F1040" t="s">
        <v>19</v>
      </c>
      <c r="G1040" t="s">
        <v>29</v>
      </c>
      <c r="J1040" t="s">
        <v>21</v>
      </c>
      <c r="K1040" t="s">
        <v>22</v>
      </c>
      <c r="L1040" t="s">
        <v>20</v>
      </c>
      <c r="O1040" t="e">
        <f t="shared" si="55"/>
        <v>#N/A</v>
      </c>
    </row>
    <row r="1041" spans="2:15" x14ac:dyDescent="0.25">
      <c r="B1041" t="s">
        <v>277</v>
      </c>
      <c r="C1041" s="41">
        <v>15141</v>
      </c>
      <c r="D1041" s="18">
        <v>40097</v>
      </c>
      <c r="E1041" t="s">
        <v>23</v>
      </c>
      <c r="F1041" t="s">
        <v>19</v>
      </c>
      <c r="G1041" t="s">
        <v>29</v>
      </c>
      <c r="J1041" t="s">
        <v>21</v>
      </c>
      <c r="K1041" t="s">
        <v>22</v>
      </c>
      <c r="L1041" t="s">
        <v>20</v>
      </c>
      <c r="O1041">
        <f t="shared" si="55"/>
        <v>15141</v>
      </c>
    </row>
    <row r="1042" spans="2:15" x14ac:dyDescent="0.25">
      <c r="B1042" t="s">
        <v>277</v>
      </c>
      <c r="C1042" s="41">
        <v>27092</v>
      </c>
      <c r="D1042" s="18">
        <v>48456.04</v>
      </c>
      <c r="E1042" t="s">
        <v>23</v>
      </c>
      <c r="F1042" t="s">
        <v>19</v>
      </c>
      <c r="G1042" t="s">
        <v>29</v>
      </c>
      <c r="J1042" t="s">
        <v>21</v>
      </c>
      <c r="K1042" t="s">
        <v>22</v>
      </c>
      <c r="L1042" t="s">
        <v>20</v>
      </c>
      <c r="O1042" t="e">
        <f t="shared" si="55"/>
        <v>#N/A</v>
      </c>
    </row>
    <row r="1043" spans="2:15" x14ac:dyDescent="0.25">
      <c r="B1043" t="s">
        <v>277</v>
      </c>
      <c r="C1043" s="41">
        <v>23669</v>
      </c>
      <c r="D1043" s="18">
        <v>180612.34</v>
      </c>
      <c r="E1043" t="s">
        <v>23</v>
      </c>
      <c r="F1043" t="s">
        <v>19</v>
      </c>
      <c r="G1043" t="s">
        <v>29</v>
      </c>
      <c r="J1043" t="s">
        <v>21</v>
      </c>
      <c r="K1043" t="s">
        <v>22</v>
      </c>
      <c r="L1043" t="s">
        <v>20</v>
      </c>
      <c r="O1043">
        <f t="shared" si="55"/>
        <v>23669</v>
      </c>
    </row>
    <row r="1044" spans="2:15" x14ac:dyDescent="0.25">
      <c r="B1044" t="s">
        <v>277</v>
      </c>
      <c r="C1044" s="41">
        <v>24372</v>
      </c>
      <c r="D1044" s="18">
        <v>9117.99</v>
      </c>
      <c r="E1044" t="s">
        <v>23</v>
      </c>
      <c r="F1044" t="s">
        <v>19</v>
      </c>
      <c r="G1044" t="s">
        <v>29</v>
      </c>
      <c r="J1044" t="s">
        <v>21</v>
      </c>
      <c r="K1044" t="s">
        <v>22</v>
      </c>
      <c r="L1044" t="s">
        <v>20</v>
      </c>
      <c r="O1044" t="e">
        <f t="shared" si="55"/>
        <v>#N/A</v>
      </c>
    </row>
    <row r="1045" spans="2:15" x14ac:dyDescent="0.25">
      <c r="B1045" t="s">
        <v>277</v>
      </c>
      <c r="C1045" s="41">
        <v>23556</v>
      </c>
      <c r="D1045" s="18">
        <v>2109.91</v>
      </c>
      <c r="E1045" t="s">
        <v>23</v>
      </c>
      <c r="F1045" t="s">
        <v>19</v>
      </c>
      <c r="G1045" t="s">
        <v>29</v>
      </c>
      <c r="J1045" t="s">
        <v>21</v>
      </c>
      <c r="K1045" t="s">
        <v>22</v>
      </c>
      <c r="L1045" t="s">
        <v>20</v>
      </c>
      <c r="O1045">
        <f t="shared" si="55"/>
        <v>23556</v>
      </c>
    </row>
    <row r="1046" spans="2:15" x14ac:dyDescent="0.25">
      <c r="B1046" t="s">
        <v>277</v>
      </c>
      <c r="C1046" s="41" t="s">
        <v>684</v>
      </c>
      <c r="D1046" s="18">
        <v>41500</v>
      </c>
      <c r="E1046" t="s">
        <v>23</v>
      </c>
      <c r="F1046" t="s">
        <v>19</v>
      </c>
      <c r="G1046" t="s">
        <v>29</v>
      </c>
      <c r="J1046" t="s">
        <v>21</v>
      </c>
      <c r="K1046" t="s">
        <v>22</v>
      </c>
      <c r="L1046" t="s">
        <v>20</v>
      </c>
      <c r="O1046" t="e">
        <f t="shared" si="55"/>
        <v>#N/A</v>
      </c>
    </row>
    <row r="1047" spans="2:15" x14ac:dyDescent="0.25">
      <c r="B1047" t="s">
        <v>277</v>
      </c>
      <c r="C1047" s="41">
        <v>23586</v>
      </c>
      <c r="D1047" s="18">
        <v>2171.1799999999998</v>
      </c>
      <c r="E1047" t="s">
        <v>23</v>
      </c>
      <c r="F1047" t="s">
        <v>19</v>
      </c>
      <c r="G1047" t="s">
        <v>29</v>
      </c>
      <c r="J1047" t="s">
        <v>21</v>
      </c>
      <c r="K1047" t="s">
        <v>22</v>
      </c>
      <c r="L1047" t="s">
        <v>20</v>
      </c>
      <c r="O1047">
        <f t="shared" si="55"/>
        <v>23586</v>
      </c>
    </row>
    <row r="1048" spans="2:15" x14ac:dyDescent="0.25">
      <c r="B1048" t="s">
        <v>277</v>
      </c>
      <c r="C1048" s="41">
        <v>23572</v>
      </c>
      <c r="D1048" s="18">
        <v>10748.41</v>
      </c>
      <c r="E1048" t="s">
        <v>23</v>
      </c>
      <c r="F1048" t="s">
        <v>19</v>
      </c>
      <c r="G1048" t="s">
        <v>29</v>
      </c>
      <c r="J1048" t="s">
        <v>21</v>
      </c>
      <c r="K1048" t="s">
        <v>22</v>
      </c>
      <c r="L1048" t="s">
        <v>20</v>
      </c>
      <c r="O1048">
        <f t="shared" si="55"/>
        <v>23572</v>
      </c>
    </row>
    <row r="1049" spans="2:15" x14ac:dyDescent="0.25">
      <c r="B1049" t="s">
        <v>277</v>
      </c>
      <c r="C1049" s="41">
        <v>23588</v>
      </c>
      <c r="D1049" s="18">
        <v>1859.47</v>
      </c>
      <c r="E1049" t="s">
        <v>23</v>
      </c>
      <c r="F1049" t="s">
        <v>19</v>
      </c>
      <c r="G1049" t="s">
        <v>29</v>
      </c>
      <c r="J1049" t="s">
        <v>21</v>
      </c>
      <c r="K1049" t="s">
        <v>22</v>
      </c>
      <c r="L1049" t="s">
        <v>20</v>
      </c>
      <c r="O1049">
        <f t="shared" si="55"/>
        <v>23588</v>
      </c>
    </row>
    <row r="1050" spans="2:15" x14ac:dyDescent="0.25">
      <c r="B1050" t="s">
        <v>277</v>
      </c>
      <c r="C1050" s="41">
        <v>23604</v>
      </c>
      <c r="D1050" s="18">
        <v>16122.61</v>
      </c>
      <c r="E1050" t="s">
        <v>23</v>
      </c>
      <c r="F1050" t="s">
        <v>19</v>
      </c>
      <c r="G1050" t="s">
        <v>29</v>
      </c>
      <c r="J1050" t="s">
        <v>21</v>
      </c>
      <c r="K1050" t="s">
        <v>22</v>
      </c>
      <c r="L1050" t="s">
        <v>20</v>
      </c>
      <c r="O1050">
        <f t="shared" si="55"/>
        <v>23604</v>
      </c>
    </row>
    <row r="1051" spans="2:15" x14ac:dyDescent="0.25">
      <c r="B1051" t="s">
        <v>277</v>
      </c>
      <c r="C1051" s="41">
        <v>24356</v>
      </c>
      <c r="D1051" s="18">
        <v>9112.74</v>
      </c>
      <c r="E1051" t="s">
        <v>23</v>
      </c>
      <c r="F1051" t="s">
        <v>19</v>
      </c>
      <c r="G1051" t="s">
        <v>29</v>
      </c>
      <c r="J1051" t="s">
        <v>21</v>
      </c>
      <c r="K1051" t="s">
        <v>22</v>
      </c>
      <c r="L1051" t="s">
        <v>20</v>
      </c>
      <c r="O1051" t="e">
        <f t="shared" si="55"/>
        <v>#N/A</v>
      </c>
    </row>
    <row r="1052" spans="2:15" x14ac:dyDescent="0.25">
      <c r="B1052" t="s">
        <v>277</v>
      </c>
      <c r="C1052" s="41">
        <v>27114</v>
      </c>
      <c r="D1052" s="18">
        <v>58806.05</v>
      </c>
      <c r="E1052" t="s">
        <v>23</v>
      </c>
      <c r="F1052" t="s">
        <v>19</v>
      </c>
      <c r="G1052" t="s">
        <v>29</v>
      </c>
      <c r="J1052" t="s">
        <v>21</v>
      </c>
      <c r="K1052" t="s">
        <v>22</v>
      </c>
      <c r="L1052" t="s">
        <v>20</v>
      </c>
      <c r="O1052">
        <f t="shared" si="55"/>
        <v>27114</v>
      </c>
    </row>
    <row r="1053" spans="2:15" x14ac:dyDescent="0.25">
      <c r="B1053" t="s">
        <v>277</v>
      </c>
      <c r="C1053" s="41">
        <v>24322</v>
      </c>
      <c r="D1053" s="18">
        <v>7564.67</v>
      </c>
      <c r="E1053" t="s">
        <v>23</v>
      </c>
      <c r="F1053" t="s">
        <v>19</v>
      </c>
      <c r="G1053" t="s">
        <v>29</v>
      </c>
      <c r="J1053" t="s">
        <v>21</v>
      </c>
      <c r="K1053" t="s">
        <v>22</v>
      </c>
      <c r="L1053" t="s">
        <v>20</v>
      </c>
      <c r="O1053" t="e">
        <f t="shared" si="55"/>
        <v>#N/A</v>
      </c>
    </row>
    <row r="1054" spans="2:15" x14ac:dyDescent="0.25">
      <c r="B1054" t="s">
        <v>277</v>
      </c>
      <c r="C1054" s="41">
        <v>23639</v>
      </c>
      <c r="D1054" s="18">
        <v>327.83</v>
      </c>
      <c r="E1054" t="s">
        <v>23</v>
      </c>
      <c r="F1054" t="s">
        <v>19</v>
      </c>
      <c r="G1054" t="s">
        <v>29</v>
      </c>
      <c r="J1054" t="s">
        <v>21</v>
      </c>
      <c r="K1054" t="s">
        <v>22</v>
      </c>
      <c r="L1054" t="s">
        <v>20</v>
      </c>
      <c r="O1054">
        <f t="shared" si="55"/>
        <v>23639</v>
      </c>
    </row>
    <row r="1055" spans="2:15" x14ac:dyDescent="0.25">
      <c r="B1055" t="s">
        <v>277</v>
      </c>
      <c r="C1055" s="41">
        <v>26977</v>
      </c>
      <c r="D1055" s="18">
        <v>188172.93</v>
      </c>
      <c r="E1055" t="s">
        <v>23</v>
      </c>
      <c r="F1055" t="s">
        <v>19</v>
      </c>
      <c r="G1055" t="s">
        <v>29</v>
      </c>
      <c r="J1055" t="s">
        <v>21</v>
      </c>
      <c r="K1055" t="s">
        <v>22</v>
      </c>
      <c r="L1055" t="s">
        <v>20</v>
      </c>
      <c r="O1055">
        <f t="shared" si="55"/>
        <v>26977</v>
      </c>
    </row>
    <row r="1056" spans="2:15" x14ac:dyDescent="0.25">
      <c r="B1056" t="s">
        <v>277</v>
      </c>
      <c r="C1056" s="41">
        <v>23637</v>
      </c>
      <c r="D1056" s="18">
        <v>91.36</v>
      </c>
      <c r="E1056" t="s">
        <v>23</v>
      </c>
      <c r="F1056" t="s">
        <v>19</v>
      </c>
      <c r="G1056" t="s">
        <v>29</v>
      </c>
      <c r="J1056" t="s">
        <v>21</v>
      </c>
      <c r="K1056" t="s">
        <v>22</v>
      </c>
      <c r="L1056" t="s">
        <v>20</v>
      </c>
      <c r="O1056">
        <f t="shared" si="55"/>
        <v>23637</v>
      </c>
    </row>
    <row r="1057" spans="2:15" x14ac:dyDescent="0.25">
      <c r="B1057" t="s">
        <v>277</v>
      </c>
      <c r="C1057" s="41">
        <v>23670</v>
      </c>
      <c r="D1057" s="18">
        <v>67568.399999999994</v>
      </c>
      <c r="E1057" t="s">
        <v>23</v>
      </c>
      <c r="F1057" t="s">
        <v>19</v>
      </c>
      <c r="G1057" t="s">
        <v>29</v>
      </c>
      <c r="J1057" t="s">
        <v>21</v>
      </c>
      <c r="K1057" t="s">
        <v>22</v>
      </c>
      <c r="L1057" t="s">
        <v>20</v>
      </c>
      <c r="O1057">
        <f t="shared" si="55"/>
        <v>23670</v>
      </c>
    </row>
    <row r="1058" spans="2:15" x14ac:dyDescent="0.25">
      <c r="B1058" t="s">
        <v>277</v>
      </c>
      <c r="C1058" s="41">
        <v>24233</v>
      </c>
      <c r="D1058" s="18">
        <v>376277.61</v>
      </c>
      <c r="E1058" t="s">
        <v>23</v>
      </c>
      <c r="F1058" t="s">
        <v>19</v>
      </c>
      <c r="G1058" t="s">
        <v>29</v>
      </c>
      <c r="J1058" t="s">
        <v>21</v>
      </c>
      <c r="K1058" t="s">
        <v>22</v>
      </c>
      <c r="L1058" t="s">
        <v>20</v>
      </c>
      <c r="O1058">
        <f t="shared" si="55"/>
        <v>24233</v>
      </c>
    </row>
    <row r="1059" spans="2:15" x14ac:dyDescent="0.25">
      <c r="B1059" t="s">
        <v>277</v>
      </c>
      <c r="C1059" s="41">
        <v>26044</v>
      </c>
      <c r="D1059" s="18">
        <v>49333.65</v>
      </c>
      <c r="E1059" t="s">
        <v>23</v>
      </c>
      <c r="F1059" t="s">
        <v>19</v>
      </c>
      <c r="G1059" t="s">
        <v>29</v>
      </c>
      <c r="J1059" t="s">
        <v>21</v>
      </c>
      <c r="K1059" t="s">
        <v>22</v>
      </c>
      <c r="L1059" t="s">
        <v>20</v>
      </c>
      <c r="O1059">
        <f t="shared" si="55"/>
        <v>26044</v>
      </c>
    </row>
    <row r="1060" spans="2:15" x14ac:dyDescent="0.25">
      <c r="B1060" t="s">
        <v>277</v>
      </c>
      <c r="C1060" s="41">
        <v>23620</v>
      </c>
      <c r="D1060" s="18">
        <v>1451.04</v>
      </c>
      <c r="E1060" t="s">
        <v>23</v>
      </c>
      <c r="F1060" t="s">
        <v>19</v>
      </c>
      <c r="G1060" t="s">
        <v>29</v>
      </c>
      <c r="J1060" t="s">
        <v>21</v>
      </c>
      <c r="K1060" t="s">
        <v>22</v>
      </c>
      <c r="L1060" t="s">
        <v>20</v>
      </c>
      <c r="O1060">
        <f t="shared" si="55"/>
        <v>23620</v>
      </c>
    </row>
    <row r="1061" spans="2:15" x14ac:dyDescent="0.25">
      <c r="B1061" t="s">
        <v>277</v>
      </c>
      <c r="C1061" s="41">
        <v>23654</v>
      </c>
      <c r="D1061" s="18">
        <v>243.99</v>
      </c>
      <c r="E1061" t="s">
        <v>23</v>
      </c>
      <c r="F1061" t="s">
        <v>19</v>
      </c>
      <c r="G1061" t="s">
        <v>29</v>
      </c>
      <c r="J1061" t="s">
        <v>21</v>
      </c>
      <c r="K1061" t="s">
        <v>22</v>
      </c>
      <c r="L1061" t="s">
        <v>20</v>
      </c>
      <c r="O1061">
        <f t="shared" si="55"/>
        <v>23654</v>
      </c>
    </row>
    <row r="1062" spans="2:15" x14ac:dyDescent="0.25">
      <c r="B1062" t="s">
        <v>277</v>
      </c>
      <c r="C1062" s="41">
        <v>19369</v>
      </c>
      <c r="D1062" s="18">
        <v>2818.69</v>
      </c>
      <c r="E1062" t="s">
        <v>23</v>
      </c>
      <c r="F1062" t="s">
        <v>19</v>
      </c>
      <c r="G1062" t="s">
        <v>29</v>
      </c>
      <c r="J1062" t="s">
        <v>21</v>
      </c>
      <c r="K1062" t="s">
        <v>22</v>
      </c>
      <c r="L1062" t="s">
        <v>20</v>
      </c>
      <c r="O1062">
        <f t="shared" si="55"/>
        <v>19369</v>
      </c>
    </row>
    <row r="1063" spans="2:15" x14ac:dyDescent="0.25">
      <c r="B1063" t="s">
        <v>277</v>
      </c>
      <c r="C1063" s="41">
        <v>23702</v>
      </c>
      <c r="D1063" s="18">
        <v>123821.27</v>
      </c>
      <c r="E1063" t="s">
        <v>23</v>
      </c>
      <c r="F1063" t="s">
        <v>19</v>
      </c>
      <c r="G1063" t="s">
        <v>29</v>
      </c>
      <c r="J1063" t="s">
        <v>21</v>
      </c>
      <c r="K1063" t="s">
        <v>22</v>
      </c>
      <c r="L1063" t="s">
        <v>20</v>
      </c>
      <c r="O1063">
        <f t="shared" si="55"/>
        <v>23702</v>
      </c>
    </row>
    <row r="1064" spans="2:15" x14ac:dyDescent="0.25">
      <c r="B1064" t="s">
        <v>277</v>
      </c>
      <c r="C1064" s="41">
        <v>23591</v>
      </c>
      <c r="D1064" s="18">
        <v>1859.47</v>
      </c>
      <c r="E1064" t="s">
        <v>23</v>
      </c>
      <c r="F1064" t="s">
        <v>19</v>
      </c>
      <c r="G1064" t="s">
        <v>29</v>
      </c>
      <c r="J1064" t="s">
        <v>21</v>
      </c>
      <c r="K1064" t="s">
        <v>22</v>
      </c>
      <c r="L1064" t="s">
        <v>20</v>
      </c>
      <c r="O1064">
        <f t="shared" si="55"/>
        <v>23591</v>
      </c>
    </row>
    <row r="1065" spans="2:15" x14ac:dyDescent="0.25">
      <c r="B1065" t="s">
        <v>277</v>
      </c>
      <c r="C1065" s="41">
        <v>23497</v>
      </c>
      <c r="D1065" s="18">
        <v>22218.04</v>
      </c>
      <c r="E1065" t="s">
        <v>23</v>
      </c>
      <c r="F1065" t="s">
        <v>19</v>
      </c>
      <c r="G1065" t="s">
        <v>29</v>
      </c>
      <c r="J1065" t="s">
        <v>21</v>
      </c>
      <c r="K1065" t="s">
        <v>22</v>
      </c>
      <c r="L1065" t="s">
        <v>20</v>
      </c>
      <c r="O1065">
        <f t="shared" si="55"/>
        <v>23497</v>
      </c>
    </row>
    <row r="1066" spans="2:15" x14ac:dyDescent="0.25">
      <c r="B1066" t="s">
        <v>277</v>
      </c>
      <c r="C1066" s="41">
        <v>27144</v>
      </c>
      <c r="D1066" s="18">
        <v>10080.68</v>
      </c>
      <c r="E1066" t="s">
        <v>23</v>
      </c>
      <c r="F1066" t="s">
        <v>19</v>
      </c>
      <c r="G1066" t="s">
        <v>29</v>
      </c>
      <c r="J1066" t="s">
        <v>21</v>
      </c>
      <c r="K1066" t="s">
        <v>22</v>
      </c>
      <c r="L1066" t="s">
        <v>20</v>
      </c>
      <c r="O1066">
        <f t="shared" si="55"/>
        <v>27144</v>
      </c>
    </row>
    <row r="1067" spans="2:15" x14ac:dyDescent="0.25">
      <c r="B1067" t="s">
        <v>277</v>
      </c>
      <c r="C1067" s="41">
        <v>25681</v>
      </c>
      <c r="D1067" s="18">
        <v>92666.64</v>
      </c>
      <c r="E1067" t="s">
        <v>23</v>
      </c>
      <c r="F1067" t="s">
        <v>19</v>
      </c>
      <c r="G1067" t="s">
        <v>29</v>
      </c>
      <c r="J1067" t="s">
        <v>21</v>
      </c>
      <c r="K1067" t="s">
        <v>22</v>
      </c>
      <c r="L1067" t="s">
        <v>20</v>
      </c>
      <c r="O1067">
        <f t="shared" si="55"/>
        <v>25681</v>
      </c>
    </row>
    <row r="1068" spans="2:15" x14ac:dyDescent="0.25">
      <c r="B1068" t="s">
        <v>15</v>
      </c>
      <c r="C1068" s="41" t="s">
        <v>16</v>
      </c>
      <c r="D1068" s="18">
        <v>-21085068.010000002</v>
      </c>
      <c r="E1068" t="s">
        <v>23</v>
      </c>
      <c r="F1068" t="s">
        <v>19</v>
      </c>
      <c r="G1068" t="s">
        <v>29</v>
      </c>
      <c r="J1068" t="s">
        <v>21</v>
      </c>
      <c r="K1068" t="s">
        <v>22</v>
      </c>
      <c r="L1068" t="s">
        <v>20</v>
      </c>
      <c r="O1068" t="str">
        <f t="shared" si="55"/>
        <v>NULL</v>
      </c>
    </row>
    <row r="1069" spans="2:15" x14ac:dyDescent="0.25">
      <c r="B1069" t="s">
        <v>277</v>
      </c>
      <c r="C1069" s="41">
        <v>23499</v>
      </c>
      <c r="D1069" s="18">
        <v>12628.31</v>
      </c>
      <c r="E1069" t="s">
        <v>23</v>
      </c>
      <c r="F1069" t="s">
        <v>19</v>
      </c>
      <c r="G1069" t="s">
        <v>29</v>
      </c>
      <c r="J1069" t="s">
        <v>21</v>
      </c>
      <c r="K1069" t="s">
        <v>22</v>
      </c>
      <c r="L1069" t="s">
        <v>20</v>
      </c>
      <c r="O1069">
        <f t="shared" si="55"/>
        <v>23499</v>
      </c>
    </row>
    <row r="1070" spans="2:15" x14ac:dyDescent="0.25">
      <c r="B1070" t="s">
        <v>277</v>
      </c>
      <c r="C1070" s="41">
        <v>23535</v>
      </c>
      <c r="D1070" s="18">
        <v>345610.4</v>
      </c>
      <c r="E1070" t="s">
        <v>23</v>
      </c>
      <c r="F1070" t="s">
        <v>19</v>
      </c>
      <c r="G1070" t="s">
        <v>29</v>
      </c>
      <c r="J1070" t="s">
        <v>21</v>
      </c>
      <c r="K1070" t="s">
        <v>22</v>
      </c>
      <c r="L1070" t="s">
        <v>20</v>
      </c>
      <c r="O1070">
        <f t="shared" si="55"/>
        <v>23535</v>
      </c>
    </row>
    <row r="1071" spans="2:15" x14ac:dyDescent="0.25">
      <c r="B1071" t="s">
        <v>277</v>
      </c>
      <c r="C1071" s="41">
        <v>26748</v>
      </c>
      <c r="D1071" s="18">
        <v>51666.87</v>
      </c>
      <c r="E1071" t="s">
        <v>23</v>
      </c>
      <c r="F1071" t="s">
        <v>19</v>
      </c>
      <c r="G1071" t="s">
        <v>29</v>
      </c>
      <c r="J1071" t="s">
        <v>21</v>
      </c>
      <c r="K1071" t="s">
        <v>22</v>
      </c>
      <c r="L1071" t="s">
        <v>20</v>
      </c>
      <c r="O1071" t="e">
        <f t="shared" si="55"/>
        <v>#N/A</v>
      </c>
    </row>
    <row r="1072" spans="2:15" x14ac:dyDescent="0.25">
      <c r="B1072" t="s">
        <v>277</v>
      </c>
      <c r="C1072" s="41">
        <v>23598</v>
      </c>
      <c r="D1072" s="18">
        <v>2172.25</v>
      </c>
      <c r="E1072" t="s">
        <v>23</v>
      </c>
      <c r="F1072" t="s">
        <v>19</v>
      </c>
      <c r="G1072" t="s">
        <v>29</v>
      </c>
      <c r="J1072" t="s">
        <v>21</v>
      </c>
      <c r="K1072" t="s">
        <v>22</v>
      </c>
      <c r="L1072" t="s">
        <v>20</v>
      </c>
      <c r="O1072">
        <f t="shared" si="55"/>
        <v>23598</v>
      </c>
    </row>
    <row r="1073" spans="2:15" x14ac:dyDescent="0.25">
      <c r="B1073" t="s">
        <v>277</v>
      </c>
      <c r="C1073" s="41">
        <v>26536</v>
      </c>
      <c r="D1073" s="18">
        <v>102071.41</v>
      </c>
      <c r="E1073" t="s">
        <v>23</v>
      </c>
      <c r="F1073" t="s">
        <v>19</v>
      </c>
      <c r="G1073" t="s">
        <v>29</v>
      </c>
      <c r="J1073" t="s">
        <v>21</v>
      </c>
      <c r="K1073" t="s">
        <v>22</v>
      </c>
      <c r="L1073" t="s">
        <v>20</v>
      </c>
      <c r="O1073">
        <f t="shared" si="55"/>
        <v>26536</v>
      </c>
    </row>
    <row r="1074" spans="2:15" x14ac:dyDescent="0.25">
      <c r="B1074" t="s">
        <v>277</v>
      </c>
      <c r="C1074" s="41">
        <v>23614</v>
      </c>
      <c r="D1074" s="18">
        <v>2050.8000000000002</v>
      </c>
      <c r="E1074" t="s">
        <v>23</v>
      </c>
      <c r="F1074" t="s">
        <v>19</v>
      </c>
      <c r="G1074" t="s">
        <v>29</v>
      </c>
      <c r="J1074" t="s">
        <v>21</v>
      </c>
      <c r="K1074" t="s">
        <v>22</v>
      </c>
      <c r="L1074" t="s">
        <v>20</v>
      </c>
      <c r="O1074">
        <f t="shared" si="55"/>
        <v>23614</v>
      </c>
    </row>
    <row r="1075" spans="2:15" x14ac:dyDescent="0.25">
      <c r="B1075" t="s">
        <v>277</v>
      </c>
      <c r="C1075" s="41">
        <v>23917</v>
      </c>
      <c r="D1075" s="18">
        <v>262576.89</v>
      </c>
      <c r="E1075" t="s">
        <v>23</v>
      </c>
      <c r="F1075" t="s">
        <v>19</v>
      </c>
      <c r="G1075" t="s">
        <v>29</v>
      </c>
      <c r="J1075" t="s">
        <v>21</v>
      </c>
      <c r="K1075" t="s">
        <v>22</v>
      </c>
      <c r="L1075" t="s">
        <v>20</v>
      </c>
      <c r="O1075">
        <f t="shared" si="55"/>
        <v>23917</v>
      </c>
    </row>
    <row r="1076" spans="2:15" x14ac:dyDescent="0.25">
      <c r="B1076" t="s">
        <v>277</v>
      </c>
      <c r="C1076" s="41">
        <v>23629</v>
      </c>
      <c r="D1076" s="18">
        <v>119.31</v>
      </c>
      <c r="E1076" t="s">
        <v>23</v>
      </c>
      <c r="F1076" t="s">
        <v>19</v>
      </c>
      <c r="G1076" t="s">
        <v>29</v>
      </c>
      <c r="J1076" t="s">
        <v>21</v>
      </c>
      <c r="K1076" t="s">
        <v>22</v>
      </c>
      <c r="L1076" t="s">
        <v>20</v>
      </c>
      <c r="O1076">
        <f t="shared" si="55"/>
        <v>23629</v>
      </c>
    </row>
    <row r="1077" spans="2:15" x14ac:dyDescent="0.25">
      <c r="B1077" t="s">
        <v>277</v>
      </c>
      <c r="C1077" s="41">
        <v>9002101516</v>
      </c>
      <c r="D1077" s="18">
        <v>87884</v>
      </c>
      <c r="E1077" t="s">
        <v>23</v>
      </c>
      <c r="F1077" t="s">
        <v>19</v>
      </c>
      <c r="G1077" t="s">
        <v>29</v>
      </c>
      <c r="J1077" t="s">
        <v>21</v>
      </c>
      <c r="K1077" t="s">
        <v>22</v>
      </c>
      <c r="L1077" t="s">
        <v>20</v>
      </c>
      <c r="O1077">
        <f t="shared" si="55"/>
        <v>9002101516</v>
      </c>
    </row>
    <row r="1078" spans="2:15" x14ac:dyDescent="0.25">
      <c r="B1078" t="s">
        <v>277</v>
      </c>
      <c r="C1078" s="41">
        <v>27026</v>
      </c>
      <c r="D1078" s="18">
        <v>72118.84</v>
      </c>
      <c r="E1078" t="s">
        <v>23</v>
      </c>
      <c r="F1078" t="s">
        <v>19</v>
      </c>
      <c r="G1078" t="s">
        <v>29</v>
      </c>
      <c r="J1078" t="s">
        <v>21</v>
      </c>
      <c r="K1078" t="s">
        <v>22</v>
      </c>
      <c r="L1078" t="s">
        <v>20</v>
      </c>
      <c r="O1078">
        <f t="shared" si="55"/>
        <v>27026</v>
      </c>
    </row>
    <row r="1079" spans="2:15" x14ac:dyDescent="0.25">
      <c r="B1079" t="s">
        <v>277</v>
      </c>
      <c r="C1079" s="41">
        <v>23548</v>
      </c>
      <c r="D1079" s="18">
        <v>9145.82</v>
      </c>
      <c r="E1079" t="s">
        <v>23</v>
      </c>
      <c r="F1079" t="s">
        <v>19</v>
      </c>
      <c r="G1079" t="s">
        <v>29</v>
      </c>
      <c r="J1079" t="s">
        <v>21</v>
      </c>
      <c r="K1079" t="s">
        <v>22</v>
      </c>
      <c r="L1079" t="s">
        <v>20</v>
      </c>
      <c r="O1079">
        <f t="shared" si="55"/>
        <v>23548</v>
      </c>
    </row>
    <row r="1080" spans="2:15" x14ac:dyDescent="0.25">
      <c r="B1080" t="s">
        <v>277</v>
      </c>
      <c r="C1080" s="41">
        <v>24375</v>
      </c>
      <c r="D1080" s="18">
        <v>9118</v>
      </c>
      <c r="E1080" t="s">
        <v>23</v>
      </c>
      <c r="F1080" t="s">
        <v>19</v>
      </c>
      <c r="G1080" t="s">
        <v>29</v>
      </c>
      <c r="J1080" t="s">
        <v>21</v>
      </c>
      <c r="K1080" t="s">
        <v>22</v>
      </c>
      <c r="L1080" t="s">
        <v>20</v>
      </c>
      <c r="O1080" t="e">
        <f t="shared" ref="O1080:O1143" si="56">VLOOKUP(C1080,$Q$9:$Q$816,1,FALSE)</f>
        <v>#N/A</v>
      </c>
    </row>
    <row r="1081" spans="2:15" x14ac:dyDescent="0.25">
      <c r="B1081" t="s">
        <v>277</v>
      </c>
      <c r="C1081" s="41">
        <v>23518</v>
      </c>
      <c r="D1081" s="18">
        <v>111404.84</v>
      </c>
      <c r="E1081" t="s">
        <v>23</v>
      </c>
      <c r="F1081" t="s">
        <v>19</v>
      </c>
      <c r="G1081" t="s">
        <v>29</v>
      </c>
      <c r="J1081" t="s">
        <v>21</v>
      </c>
      <c r="K1081" t="s">
        <v>22</v>
      </c>
      <c r="L1081" t="s">
        <v>20</v>
      </c>
      <c r="O1081">
        <f t="shared" si="56"/>
        <v>23518</v>
      </c>
    </row>
    <row r="1082" spans="2:15" x14ac:dyDescent="0.25">
      <c r="B1082" t="s">
        <v>277</v>
      </c>
      <c r="C1082" s="41">
        <v>23516</v>
      </c>
      <c r="D1082" s="18">
        <v>112516.79</v>
      </c>
      <c r="E1082" t="s">
        <v>23</v>
      </c>
      <c r="F1082" t="s">
        <v>19</v>
      </c>
      <c r="G1082" t="s">
        <v>29</v>
      </c>
      <c r="J1082" t="s">
        <v>21</v>
      </c>
      <c r="K1082" t="s">
        <v>22</v>
      </c>
      <c r="L1082" t="s">
        <v>20</v>
      </c>
      <c r="O1082">
        <f t="shared" si="56"/>
        <v>23516</v>
      </c>
    </row>
    <row r="1083" spans="2:15" x14ac:dyDescent="0.25">
      <c r="B1083" t="s">
        <v>277</v>
      </c>
      <c r="C1083" s="41">
        <v>23513</v>
      </c>
      <c r="D1083" s="18">
        <v>94109.61</v>
      </c>
      <c r="E1083" t="s">
        <v>23</v>
      </c>
      <c r="F1083" t="s">
        <v>19</v>
      </c>
      <c r="G1083" t="s">
        <v>29</v>
      </c>
      <c r="J1083" t="s">
        <v>21</v>
      </c>
      <c r="K1083" t="s">
        <v>22</v>
      </c>
      <c r="L1083" t="s">
        <v>20</v>
      </c>
      <c r="O1083">
        <f t="shared" si="56"/>
        <v>23513</v>
      </c>
    </row>
    <row r="1084" spans="2:15" x14ac:dyDescent="0.25">
      <c r="B1084" t="s">
        <v>277</v>
      </c>
      <c r="C1084" s="41">
        <v>23504</v>
      </c>
      <c r="D1084" s="18">
        <v>22749.01</v>
      </c>
      <c r="E1084" t="s">
        <v>23</v>
      </c>
      <c r="F1084" t="s">
        <v>19</v>
      </c>
      <c r="G1084" t="s">
        <v>29</v>
      </c>
      <c r="J1084" t="s">
        <v>21</v>
      </c>
      <c r="K1084" t="s">
        <v>22</v>
      </c>
      <c r="L1084" t="s">
        <v>20</v>
      </c>
      <c r="O1084">
        <f t="shared" si="56"/>
        <v>23504</v>
      </c>
    </row>
    <row r="1085" spans="2:15" x14ac:dyDescent="0.25">
      <c r="B1085" t="s">
        <v>277</v>
      </c>
      <c r="C1085" s="41">
        <v>24339</v>
      </c>
      <c r="D1085" s="18">
        <v>9112.74</v>
      </c>
      <c r="E1085" t="s">
        <v>23</v>
      </c>
      <c r="F1085" t="s">
        <v>19</v>
      </c>
      <c r="G1085" t="s">
        <v>29</v>
      </c>
      <c r="J1085" t="s">
        <v>21</v>
      </c>
      <c r="K1085" t="s">
        <v>22</v>
      </c>
      <c r="L1085" t="s">
        <v>20</v>
      </c>
      <c r="O1085" t="e">
        <f t="shared" si="56"/>
        <v>#N/A</v>
      </c>
    </row>
    <row r="1086" spans="2:15" x14ac:dyDescent="0.25">
      <c r="B1086" t="s">
        <v>277</v>
      </c>
      <c r="C1086" s="41">
        <v>23596</v>
      </c>
      <c r="D1086" s="18">
        <v>2172.25</v>
      </c>
      <c r="E1086" t="s">
        <v>23</v>
      </c>
      <c r="F1086" t="s">
        <v>19</v>
      </c>
      <c r="G1086" t="s">
        <v>29</v>
      </c>
      <c r="J1086" t="s">
        <v>21</v>
      </c>
      <c r="K1086" t="s">
        <v>22</v>
      </c>
      <c r="L1086" t="s">
        <v>20</v>
      </c>
      <c r="O1086">
        <f t="shared" si="56"/>
        <v>23596</v>
      </c>
    </row>
    <row r="1087" spans="2:15" x14ac:dyDescent="0.25">
      <c r="B1087" t="s">
        <v>277</v>
      </c>
      <c r="C1087" s="41">
        <v>949</v>
      </c>
      <c r="D1087" s="18">
        <v>1023.57</v>
      </c>
      <c r="E1087" t="s">
        <v>23</v>
      </c>
      <c r="F1087" t="s">
        <v>19</v>
      </c>
      <c r="G1087" t="s">
        <v>29</v>
      </c>
      <c r="J1087" t="s">
        <v>21</v>
      </c>
      <c r="K1087" t="s">
        <v>22</v>
      </c>
      <c r="L1087" t="s">
        <v>20</v>
      </c>
      <c r="O1087">
        <f t="shared" si="56"/>
        <v>949</v>
      </c>
    </row>
    <row r="1088" spans="2:15" x14ac:dyDescent="0.25">
      <c r="B1088" t="s">
        <v>277</v>
      </c>
      <c r="C1088" s="41">
        <v>25686</v>
      </c>
      <c r="D1088" s="18">
        <v>572503.82999999996</v>
      </c>
      <c r="E1088" t="s">
        <v>23</v>
      </c>
      <c r="F1088" t="s">
        <v>19</v>
      </c>
      <c r="G1088" t="s">
        <v>29</v>
      </c>
      <c r="J1088" t="s">
        <v>21</v>
      </c>
      <c r="K1088" t="s">
        <v>22</v>
      </c>
      <c r="L1088" t="s">
        <v>20</v>
      </c>
      <c r="O1088">
        <f t="shared" si="56"/>
        <v>25686</v>
      </c>
    </row>
    <row r="1089" spans="2:15" x14ac:dyDescent="0.25">
      <c r="B1089" t="s">
        <v>277</v>
      </c>
      <c r="C1089" s="41">
        <v>69617171</v>
      </c>
      <c r="D1089" s="18">
        <v>164774.94</v>
      </c>
      <c r="E1089" t="s">
        <v>23</v>
      </c>
      <c r="F1089" t="s">
        <v>19</v>
      </c>
      <c r="G1089" t="s">
        <v>29</v>
      </c>
      <c r="J1089" t="s">
        <v>21</v>
      </c>
      <c r="K1089" t="s">
        <v>22</v>
      </c>
      <c r="L1089" t="s">
        <v>20</v>
      </c>
      <c r="O1089" t="e">
        <f t="shared" si="56"/>
        <v>#N/A</v>
      </c>
    </row>
    <row r="1090" spans="2:15" x14ac:dyDescent="0.25">
      <c r="B1090" t="s">
        <v>277</v>
      </c>
      <c r="C1090" s="41">
        <v>24166</v>
      </c>
      <c r="D1090" s="18">
        <v>389003.7</v>
      </c>
      <c r="E1090" t="s">
        <v>23</v>
      </c>
      <c r="F1090" t="s">
        <v>19</v>
      </c>
      <c r="G1090" t="s">
        <v>29</v>
      </c>
      <c r="J1090" t="s">
        <v>21</v>
      </c>
      <c r="K1090" t="s">
        <v>22</v>
      </c>
      <c r="L1090" t="s">
        <v>20</v>
      </c>
      <c r="O1090">
        <f t="shared" si="56"/>
        <v>24166</v>
      </c>
    </row>
    <row r="1091" spans="2:15" x14ac:dyDescent="0.25">
      <c r="B1091" t="s">
        <v>277</v>
      </c>
      <c r="C1091" s="41">
        <v>23525</v>
      </c>
      <c r="D1091" s="18">
        <v>21232.41</v>
      </c>
      <c r="E1091" t="s">
        <v>23</v>
      </c>
      <c r="F1091" t="s">
        <v>19</v>
      </c>
      <c r="G1091" t="s">
        <v>29</v>
      </c>
      <c r="J1091" t="s">
        <v>21</v>
      </c>
      <c r="K1091" t="s">
        <v>22</v>
      </c>
      <c r="L1091" t="s">
        <v>20</v>
      </c>
      <c r="O1091">
        <f t="shared" si="56"/>
        <v>23525</v>
      </c>
    </row>
    <row r="1092" spans="2:15" x14ac:dyDescent="0.25">
      <c r="B1092" t="s">
        <v>277</v>
      </c>
      <c r="C1092" s="41">
        <v>8000237888</v>
      </c>
      <c r="D1092" s="18">
        <v>29640.62</v>
      </c>
      <c r="E1092" t="s">
        <v>23</v>
      </c>
      <c r="F1092" t="s">
        <v>19</v>
      </c>
      <c r="G1092" t="s">
        <v>29</v>
      </c>
      <c r="J1092" t="s">
        <v>21</v>
      </c>
      <c r="K1092" t="s">
        <v>22</v>
      </c>
      <c r="L1092" t="s">
        <v>20</v>
      </c>
      <c r="O1092">
        <f t="shared" si="56"/>
        <v>8000237888</v>
      </c>
    </row>
    <row r="1093" spans="2:15" x14ac:dyDescent="0.25">
      <c r="B1093" t="s">
        <v>277</v>
      </c>
      <c r="C1093" s="41">
        <v>23606</v>
      </c>
      <c r="D1093" s="18">
        <v>1828.3</v>
      </c>
      <c r="E1093" t="s">
        <v>23</v>
      </c>
      <c r="F1093" t="s">
        <v>19</v>
      </c>
      <c r="G1093" t="s">
        <v>29</v>
      </c>
      <c r="J1093" t="s">
        <v>21</v>
      </c>
      <c r="K1093" t="s">
        <v>22</v>
      </c>
      <c r="L1093" t="s">
        <v>20</v>
      </c>
      <c r="O1093">
        <f t="shared" si="56"/>
        <v>23606</v>
      </c>
    </row>
    <row r="1094" spans="2:15" x14ac:dyDescent="0.25">
      <c r="B1094" t="s">
        <v>277</v>
      </c>
      <c r="C1094" s="41">
        <v>23656</v>
      </c>
      <c r="D1094" s="18">
        <v>59761.15</v>
      </c>
      <c r="E1094" t="s">
        <v>23</v>
      </c>
      <c r="F1094" t="s">
        <v>19</v>
      </c>
      <c r="G1094" t="s">
        <v>29</v>
      </c>
      <c r="J1094" t="s">
        <v>21</v>
      </c>
      <c r="K1094" t="s">
        <v>22</v>
      </c>
      <c r="L1094" t="s">
        <v>20</v>
      </c>
      <c r="O1094">
        <f t="shared" si="56"/>
        <v>23656</v>
      </c>
    </row>
    <row r="1095" spans="2:15" x14ac:dyDescent="0.25">
      <c r="B1095" t="s">
        <v>277</v>
      </c>
      <c r="C1095" s="41">
        <v>27146</v>
      </c>
      <c r="D1095" s="18">
        <v>33150</v>
      </c>
      <c r="E1095" t="s">
        <v>23</v>
      </c>
      <c r="F1095" t="s">
        <v>19</v>
      </c>
      <c r="G1095" t="s">
        <v>29</v>
      </c>
      <c r="J1095" t="s">
        <v>21</v>
      </c>
      <c r="K1095" t="s">
        <v>22</v>
      </c>
      <c r="L1095" t="s">
        <v>20</v>
      </c>
      <c r="O1095">
        <f t="shared" si="56"/>
        <v>27146</v>
      </c>
    </row>
    <row r="1096" spans="2:15" x14ac:dyDescent="0.25">
      <c r="B1096" t="s">
        <v>277</v>
      </c>
      <c r="C1096" s="41">
        <v>23618</v>
      </c>
      <c r="D1096" s="18">
        <v>580.41</v>
      </c>
      <c r="E1096" t="s">
        <v>23</v>
      </c>
      <c r="F1096" t="s">
        <v>19</v>
      </c>
      <c r="G1096" t="s">
        <v>29</v>
      </c>
      <c r="J1096" t="s">
        <v>21</v>
      </c>
      <c r="K1096" t="s">
        <v>22</v>
      </c>
      <c r="L1096" t="s">
        <v>20</v>
      </c>
      <c r="O1096">
        <f t="shared" si="56"/>
        <v>23618</v>
      </c>
    </row>
    <row r="1097" spans="2:15" x14ac:dyDescent="0.25">
      <c r="B1097" t="s">
        <v>277</v>
      </c>
      <c r="C1097" s="41">
        <v>26800</v>
      </c>
      <c r="D1097" s="18">
        <v>76226.98</v>
      </c>
      <c r="E1097" t="s">
        <v>23</v>
      </c>
      <c r="F1097" t="s">
        <v>19</v>
      </c>
      <c r="G1097" t="s">
        <v>29</v>
      </c>
      <c r="J1097" t="s">
        <v>21</v>
      </c>
      <c r="K1097" t="s">
        <v>22</v>
      </c>
      <c r="L1097" t="s">
        <v>20</v>
      </c>
      <c r="O1097">
        <f t="shared" si="56"/>
        <v>26800</v>
      </c>
    </row>
    <row r="1098" spans="2:15" x14ac:dyDescent="0.25">
      <c r="B1098" t="s">
        <v>277</v>
      </c>
      <c r="C1098" s="41">
        <v>23492</v>
      </c>
      <c r="D1098" s="18">
        <v>13021.7</v>
      </c>
      <c r="E1098" t="s">
        <v>23</v>
      </c>
      <c r="F1098" t="s">
        <v>19</v>
      </c>
      <c r="G1098" t="s">
        <v>29</v>
      </c>
      <c r="J1098" t="s">
        <v>21</v>
      </c>
      <c r="K1098" t="s">
        <v>22</v>
      </c>
      <c r="L1098" t="s">
        <v>20</v>
      </c>
      <c r="O1098">
        <f t="shared" si="56"/>
        <v>23492</v>
      </c>
    </row>
    <row r="1099" spans="2:15" x14ac:dyDescent="0.25">
      <c r="B1099" t="s">
        <v>277</v>
      </c>
      <c r="C1099" s="41">
        <v>27141</v>
      </c>
      <c r="D1099" s="18">
        <v>71700</v>
      </c>
      <c r="E1099" t="s">
        <v>23</v>
      </c>
      <c r="F1099" t="s">
        <v>19</v>
      </c>
      <c r="G1099" t="s">
        <v>29</v>
      </c>
      <c r="J1099" t="s">
        <v>21</v>
      </c>
      <c r="K1099" t="s">
        <v>22</v>
      </c>
      <c r="L1099" t="s">
        <v>20</v>
      </c>
      <c r="O1099">
        <f t="shared" si="56"/>
        <v>27141</v>
      </c>
    </row>
    <row r="1100" spans="2:15" x14ac:dyDescent="0.25">
      <c r="B1100" t="s">
        <v>277</v>
      </c>
      <c r="C1100" s="41">
        <v>19502</v>
      </c>
      <c r="D1100" s="18">
        <v>16330.68</v>
      </c>
      <c r="E1100" t="s">
        <v>23</v>
      </c>
      <c r="F1100" t="s">
        <v>19</v>
      </c>
      <c r="G1100" t="s">
        <v>29</v>
      </c>
      <c r="J1100" t="s">
        <v>21</v>
      </c>
      <c r="K1100" t="s">
        <v>22</v>
      </c>
      <c r="L1100" t="s">
        <v>20</v>
      </c>
      <c r="O1100">
        <f t="shared" si="56"/>
        <v>19502</v>
      </c>
    </row>
    <row r="1101" spans="2:15" x14ac:dyDescent="0.25">
      <c r="B1101" t="s">
        <v>277</v>
      </c>
      <c r="C1101" s="41">
        <v>27108</v>
      </c>
      <c r="D1101" s="18">
        <v>428600</v>
      </c>
      <c r="E1101" t="s">
        <v>23</v>
      </c>
      <c r="F1101" t="s">
        <v>19</v>
      </c>
      <c r="G1101" t="s">
        <v>29</v>
      </c>
      <c r="J1101" t="s">
        <v>21</v>
      </c>
      <c r="K1101" t="s">
        <v>22</v>
      </c>
      <c r="L1101" t="s">
        <v>20</v>
      </c>
      <c r="O1101" t="e">
        <f t="shared" si="56"/>
        <v>#N/A</v>
      </c>
    </row>
    <row r="1102" spans="2:15" x14ac:dyDescent="0.25">
      <c r="B1102" t="s">
        <v>277</v>
      </c>
      <c r="C1102" s="41">
        <v>23651</v>
      </c>
      <c r="D1102" s="18">
        <v>117.16</v>
      </c>
      <c r="E1102" t="s">
        <v>23</v>
      </c>
      <c r="F1102" t="s">
        <v>19</v>
      </c>
      <c r="G1102" t="s">
        <v>29</v>
      </c>
      <c r="J1102" t="s">
        <v>21</v>
      </c>
      <c r="K1102" t="s">
        <v>22</v>
      </c>
      <c r="L1102" t="s">
        <v>20</v>
      </c>
      <c r="O1102">
        <f t="shared" si="56"/>
        <v>23651</v>
      </c>
    </row>
    <row r="1103" spans="2:15" x14ac:dyDescent="0.25">
      <c r="B1103" t="s">
        <v>277</v>
      </c>
      <c r="C1103" s="41">
        <v>23583</v>
      </c>
      <c r="D1103" s="18">
        <v>2171.1799999999998</v>
      </c>
      <c r="E1103" t="s">
        <v>23</v>
      </c>
      <c r="F1103" t="s">
        <v>19</v>
      </c>
      <c r="G1103" t="s">
        <v>29</v>
      </c>
      <c r="J1103" t="s">
        <v>21</v>
      </c>
      <c r="K1103" t="s">
        <v>22</v>
      </c>
      <c r="L1103" t="s">
        <v>20</v>
      </c>
      <c r="O1103">
        <f t="shared" si="56"/>
        <v>23583</v>
      </c>
    </row>
    <row r="1104" spans="2:15" x14ac:dyDescent="0.25">
      <c r="B1104" t="s">
        <v>277</v>
      </c>
      <c r="C1104" s="41">
        <v>23579</v>
      </c>
      <c r="D1104" s="18">
        <v>4276.79</v>
      </c>
      <c r="E1104" t="s">
        <v>23</v>
      </c>
      <c r="F1104" t="s">
        <v>19</v>
      </c>
      <c r="G1104" t="s">
        <v>29</v>
      </c>
      <c r="J1104" t="s">
        <v>21</v>
      </c>
      <c r="K1104" t="s">
        <v>22</v>
      </c>
      <c r="L1104" t="s">
        <v>20</v>
      </c>
      <c r="O1104">
        <f t="shared" si="56"/>
        <v>23579</v>
      </c>
    </row>
    <row r="1105" spans="2:15" x14ac:dyDescent="0.25">
      <c r="B1105" t="s">
        <v>277</v>
      </c>
      <c r="C1105" s="41">
        <v>25693</v>
      </c>
      <c r="D1105" s="18">
        <v>273442.05</v>
      </c>
      <c r="E1105" t="s">
        <v>23</v>
      </c>
      <c r="F1105" t="s">
        <v>19</v>
      </c>
      <c r="G1105" t="s">
        <v>29</v>
      </c>
      <c r="J1105" t="s">
        <v>21</v>
      </c>
      <c r="K1105" t="s">
        <v>22</v>
      </c>
      <c r="L1105" t="s">
        <v>20</v>
      </c>
      <c r="O1105">
        <f t="shared" si="56"/>
        <v>25693</v>
      </c>
    </row>
    <row r="1106" spans="2:15" x14ac:dyDescent="0.25">
      <c r="B1106" t="s">
        <v>277</v>
      </c>
      <c r="C1106" s="41">
        <v>26401</v>
      </c>
      <c r="D1106" s="18">
        <v>65515.5</v>
      </c>
      <c r="E1106" t="s">
        <v>23</v>
      </c>
      <c r="F1106" t="s">
        <v>19</v>
      </c>
      <c r="G1106" t="s">
        <v>29</v>
      </c>
      <c r="J1106" t="s">
        <v>21</v>
      </c>
      <c r="K1106" t="s">
        <v>22</v>
      </c>
      <c r="L1106" t="s">
        <v>20</v>
      </c>
      <c r="O1106">
        <f t="shared" si="56"/>
        <v>26401</v>
      </c>
    </row>
    <row r="1107" spans="2:15" x14ac:dyDescent="0.25">
      <c r="B1107" t="s">
        <v>277</v>
      </c>
      <c r="C1107" s="41">
        <v>23625</v>
      </c>
      <c r="D1107" s="18">
        <v>524.52</v>
      </c>
      <c r="E1107" t="s">
        <v>23</v>
      </c>
      <c r="F1107" t="s">
        <v>19</v>
      </c>
      <c r="G1107" t="s">
        <v>29</v>
      </c>
      <c r="J1107" t="s">
        <v>21</v>
      </c>
      <c r="K1107" t="s">
        <v>22</v>
      </c>
      <c r="L1107" t="s">
        <v>20</v>
      </c>
      <c r="O1107">
        <f t="shared" si="56"/>
        <v>23625</v>
      </c>
    </row>
    <row r="1108" spans="2:15" x14ac:dyDescent="0.25">
      <c r="B1108" t="s">
        <v>277</v>
      </c>
      <c r="C1108" s="41">
        <v>2100094299</v>
      </c>
      <c r="D1108" s="18">
        <v>57711.58</v>
      </c>
      <c r="E1108" t="s">
        <v>23</v>
      </c>
      <c r="F1108" t="s">
        <v>19</v>
      </c>
      <c r="G1108" t="s">
        <v>29</v>
      </c>
      <c r="J1108" t="s">
        <v>21</v>
      </c>
      <c r="K1108" t="s">
        <v>22</v>
      </c>
      <c r="L1108" t="s">
        <v>20</v>
      </c>
      <c r="O1108">
        <f t="shared" si="56"/>
        <v>2100094299</v>
      </c>
    </row>
    <row r="1109" spans="2:15" x14ac:dyDescent="0.25">
      <c r="B1109" t="s">
        <v>277</v>
      </c>
      <c r="C1109" s="41">
        <v>25588</v>
      </c>
      <c r="D1109" s="18">
        <v>52572.639999999999</v>
      </c>
      <c r="E1109" t="s">
        <v>23</v>
      </c>
      <c r="F1109" t="s">
        <v>19</v>
      </c>
      <c r="G1109" t="s">
        <v>29</v>
      </c>
      <c r="J1109" t="s">
        <v>21</v>
      </c>
      <c r="K1109" t="s">
        <v>22</v>
      </c>
      <c r="L1109" t="s">
        <v>20</v>
      </c>
      <c r="O1109">
        <f t="shared" si="56"/>
        <v>25588</v>
      </c>
    </row>
    <row r="1110" spans="2:15" x14ac:dyDescent="0.25">
      <c r="B1110" t="s">
        <v>277</v>
      </c>
      <c r="C1110" s="41">
        <v>9000507854</v>
      </c>
      <c r="D1110" s="18">
        <v>45239.56</v>
      </c>
      <c r="E1110" t="s">
        <v>23</v>
      </c>
      <c r="F1110" t="s">
        <v>19</v>
      </c>
      <c r="G1110" t="s">
        <v>29</v>
      </c>
      <c r="J1110" t="s">
        <v>21</v>
      </c>
      <c r="K1110" t="s">
        <v>22</v>
      </c>
      <c r="L1110" t="s">
        <v>20</v>
      </c>
      <c r="O1110">
        <f t="shared" si="56"/>
        <v>9000507854</v>
      </c>
    </row>
    <row r="1111" spans="2:15" x14ac:dyDescent="0.25">
      <c r="B1111" t="s">
        <v>277</v>
      </c>
      <c r="C1111" s="41">
        <v>23531</v>
      </c>
      <c r="D1111" s="18">
        <v>17273.77</v>
      </c>
      <c r="E1111" t="s">
        <v>23</v>
      </c>
      <c r="F1111" t="s">
        <v>19</v>
      </c>
      <c r="G1111" t="s">
        <v>29</v>
      </c>
      <c r="J1111" t="s">
        <v>21</v>
      </c>
      <c r="K1111" t="s">
        <v>22</v>
      </c>
      <c r="L1111" t="s">
        <v>20</v>
      </c>
      <c r="O1111">
        <f t="shared" si="56"/>
        <v>23531</v>
      </c>
    </row>
    <row r="1112" spans="2:15" x14ac:dyDescent="0.25">
      <c r="B1112" t="s">
        <v>277</v>
      </c>
      <c r="C1112" s="41">
        <v>18477</v>
      </c>
      <c r="D1112" s="18">
        <v>59600</v>
      </c>
      <c r="E1112" t="s">
        <v>23</v>
      </c>
      <c r="F1112" t="s">
        <v>19</v>
      </c>
      <c r="G1112" t="s">
        <v>29</v>
      </c>
      <c r="J1112" t="s">
        <v>21</v>
      </c>
      <c r="K1112" t="s">
        <v>22</v>
      </c>
      <c r="L1112" t="s">
        <v>20</v>
      </c>
      <c r="O1112">
        <f t="shared" si="56"/>
        <v>18477</v>
      </c>
    </row>
    <row r="1113" spans="2:15" x14ac:dyDescent="0.25">
      <c r="B1113" t="s">
        <v>277</v>
      </c>
      <c r="C1113" s="41">
        <v>23493</v>
      </c>
      <c r="D1113" s="18">
        <v>22218.04</v>
      </c>
      <c r="E1113" t="s">
        <v>23</v>
      </c>
      <c r="F1113" t="s">
        <v>19</v>
      </c>
      <c r="G1113" t="s">
        <v>29</v>
      </c>
      <c r="J1113" t="s">
        <v>21</v>
      </c>
      <c r="K1113" t="s">
        <v>22</v>
      </c>
      <c r="L1113" t="s">
        <v>20</v>
      </c>
      <c r="O1113">
        <f t="shared" si="56"/>
        <v>23493</v>
      </c>
    </row>
    <row r="1114" spans="2:15" x14ac:dyDescent="0.25">
      <c r="B1114" t="s">
        <v>277</v>
      </c>
      <c r="C1114" s="41">
        <v>1010675</v>
      </c>
      <c r="D1114" s="18">
        <v>39594</v>
      </c>
      <c r="E1114" t="s">
        <v>23</v>
      </c>
      <c r="F1114" t="s">
        <v>19</v>
      </c>
      <c r="G1114" t="s">
        <v>29</v>
      </c>
      <c r="J1114" t="s">
        <v>21</v>
      </c>
      <c r="K1114" t="s">
        <v>22</v>
      </c>
      <c r="L1114" t="s">
        <v>20</v>
      </c>
      <c r="O1114">
        <f t="shared" si="56"/>
        <v>1010675</v>
      </c>
    </row>
    <row r="1115" spans="2:15" x14ac:dyDescent="0.25">
      <c r="B1115" t="s">
        <v>277</v>
      </c>
      <c r="C1115" s="41">
        <v>23600</v>
      </c>
      <c r="D1115" s="18">
        <v>4276.79</v>
      </c>
      <c r="E1115" t="s">
        <v>23</v>
      </c>
      <c r="F1115" t="s">
        <v>19</v>
      </c>
      <c r="G1115" t="s">
        <v>29</v>
      </c>
      <c r="J1115" t="s">
        <v>21</v>
      </c>
      <c r="K1115" t="s">
        <v>22</v>
      </c>
      <c r="L1115" t="s">
        <v>20</v>
      </c>
      <c r="O1115">
        <f t="shared" si="56"/>
        <v>23600</v>
      </c>
    </row>
    <row r="1116" spans="2:15" x14ac:dyDescent="0.25">
      <c r="B1116" t="s">
        <v>277</v>
      </c>
      <c r="C1116" s="41">
        <v>23484</v>
      </c>
      <c r="D1116" s="18">
        <v>130292.66</v>
      </c>
      <c r="E1116" t="s">
        <v>23</v>
      </c>
      <c r="F1116" t="s">
        <v>19</v>
      </c>
      <c r="G1116" t="s">
        <v>29</v>
      </c>
      <c r="J1116" t="s">
        <v>21</v>
      </c>
      <c r="K1116" t="s">
        <v>22</v>
      </c>
      <c r="L1116" t="s">
        <v>20</v>
      </c>
      <c r="O1116">
        <f t="shared" si="56"/>
        <v>23484</v>
      </c>
    </row>
    <row r="1117" spans="2:15" x14ac:dyDescent="0.25">
      <c r="B1117" t="s">
        <v>277</v>
      </c>
      <c r="C1117" s="41">
        <v>23578</v>
      </c>
      <c r="D1117" s="18">
        <v>6415.73</v>
      </c>
      <c r="E1117" t="s">
        <v>23</v>
      </c>
      <c r="F1117" t="s">
        <v>19</v>
      </c>
      <c r="G1117" t="s">
        <v>29</v>
      </c>
      <c r="J1117" t="s">
        <v>21</v>
      </c>
      <c r="K1117" t="s">
        <v>22</v>
      </c>
      <c r="L1117" t="s">
        <v>20</v>
      </c>
      <c r="O1117">
        <f t="shared" si="56"/>
        <v>23578</v>
      </c>
    </row>
    <row r="1118" spans="2:15" x14ac:dyDescent="0.25">
      <c r="B1118" t="s">
        <v>277</v>
      </c>
      <c r="C1118" s="41">
        <v>23552</v>
      </c>
      <c r="D1118" s="18">
        <v>2074.44</v>
      </c>
      <c r="E1118" t="s">
        <v>23</v>
      </c>
      <c r="F1118" t="s">
        <v>19</v>
      </c>
      <c r="G1118" t="s">
        <v>29</v>
      </c>
      <c r="J1118" t="s">
        <v>21</v>
      </c>
      <c r="K1118" t="s">
        <v>22</v>
      </c>
      <c r="L1118" t="s">
        <v>20</v>
      </c>
      <c r="O1118">
        <f t="shared" si="56"/>
        <v>23552</v>
      </c>
    </row>
    <row r="1119" spans="2:15" x14ac:dyDescent="0.25">
      <c r="B1119" t="s">
        <v>277</v>
      </c>
      <c r="C1119" s="41">
        <v>25703</v>
      </c>
      <c r="D1119" s="18">
        <v>92399.98</v>
      </c>
      <c r="E1119" t="s">
        <v>23</v>
      </c>
      <c r="F1119" t="s">
        <v>19</v>
      </c>
      <c r="G1119" t="s">
        <v>29</v>
      </c>
      <c r="J1119" t="s">
        <v>21</v>
      </c>
      <c r="K1119" t="s">
        <v>22</v>
      </c>
      <c r="L1119" t="s">
        <v>20</v>
      </c>
      <c r="O1119">
        <f t="shared" si="56"/>
        <v>25703</v>
      </c>
    </row>
    <row r="1120" spans="2:15" x14ac:dyDescent="0.25">
      <c r="B1120" t="s">
        <v>277</v>
      </c>
      <c r="C1120" s="41">
        <v>5100299061</v>
      </c>
      <c r="D1120" s="18">
        <v>526570.41</v>
      </c>
      <c r="E1120" t="s">
        <v>23</v>
      </c>
      <c r="F1120" t="s">
        <v>19</v>
      </c>
      <c r="G1120" t="s">
        <v>29</v>
      </c>
      <c r="J1120" t="s">
        <v>21</v>
      </c>
      <c r="K1120" t="s">
        <v>22</v>
      </c>
      <c r="L1120" t="s">
        <v>20</v>
      </c>
      <c r="O1120" t="e">
        <f t="shared" si="56"/>
        <v>#N/A</v>
      </c>
    </row>
    <row r="1121" spans="2:15" x14ac:dyDescent="0.25">
      <c r="B1121" t="s">
        <v>277</v>
      </c>
      <c r="C1121" s="41">
        <v>23633</v>
      </c>
      <c r="D1121" s="18">
        <v>136.5</v>
      </c>
      <c r="E1121" t="s">
        <v>23</v>
      </c>
      <c r="F1121" t="s">
        <v>19</v>
      </c>
      <c r="G1121" t="s">
        <v>29</v>
      </c>
      <c r="J1121" t="s">
        <v>21</v>
      </c>
      <c r="K1121" t="s">
        <v>22</v>
      </c>
      <c r="L1121" t="s">
        <v>20</v>
      </c>
      <c r="O1121">
        <f t="shared" si="56"/>
        <v>23633</v>
      </c>
    </row>
    <row r="1122" spans="2:15" x14ac:dyDescent="0.25">
      <c r="B1122" t="s">
        <v>277</v>
      </c>
      <c r="C1122" s="41">
        <v>12230</v>
      </c>
      <c r="D1122" s="18">
        <v>30109.25</v>
      </c>
      <c r="E1122" t="s">
        <v>23</v>
      </c>
      <c r="F1122" t="s">
        <v>19</v>
      </c>
      <c r="G1122" t="s">
        <v>29</v>
      </c>
      <c r="J1122" t="s">
        <v>21</v>
      </c>
      <c r="K1122" t="s">
        <v>22</v>
      </c>
      <c r="L1122" t="s">
        <v>20</v>
      </c>
      <c r="O1122">
        <f t="shared" si="56"/>
        <v>12230</v>
      </c>
    </row>
    <row r="1123" spans="2:15" x14ac:dyDescent="0.25">
      <c r="B1123" t="s">
        <v>277</v>
      </c>
      <c r="C1123" s="41">
        <v>7400</v>
      </c>
      <c r="D1123" s="18">
        <v>112274.95</v>
      </c>
      <c r="E1123" t="s">
        <v>23</v>
      </c>
      <c r="F1123" t="s">
        <v>19</v>
      </c>
      <c r="G1123" t="s">
        <v>29</v>
      </c>
      <c r="J1123" t="s">
        <v>21</v>
      </c>
      <c r="K1123" t="s">
        <v>22</v>
      </c>
      <c r="L1123" t="s">
        <v>20</v>
      </c>
      <c r="O1123">
        <f t="shared" si="56"/>
        <v>7400</v>
      </c>
    </row>
    <row r="1124" spans="2:15" x14ac:dyDescent="0.25">
      <c r="B1124" t="s">
        <v>277</v>
      </c>
      <c r="C1124" s="41">
        <v>26050</v>
      </c>
      <c r="D1124" s="18">
        <v>138083.78</v>
      </c>
      <c r="E1124" t="s">
        <v>23</v>
      </c>
      <c r="F1124" t="s">
        <v>19</v>
      </c>
      <c r="G1124" t="s">
        <v>29</v>
      </c>
      <c r="J1124" t="s">
        <v>21</v>
      </c>
      <c r="K1124" t="s">
        <v>22</v>
      </c>
      <c r="L1124" t="s">
        <v>20</v>
      </c>
      <c r="O1124">
        <f t="shared" si="56"/>
        <v>26050</v>
      </c>
    </row>
    <row r="1125" spans="2:15" x14ac:dyDescent="0.25">
      <c r="B1125" t="s">
        <v>277</v>
      </c>
      <c r="C1125" s="41">
        <v>23634</v>
      </c>
      <c r="D1125" s="18">
        <v>96.74</v>
      </c>
      <c r="E1125" t="s">
        <v>23</v>
      </c>
      <c r="F1125" t="s">
        <v>19</v>
      </c>
      <c r="G1125" t="s">
        <v>29</v>
      </c>
      <c r="J1125" t="s">
        <v>21</v>
      </c>
      <c r="K1125" t="s">
        <v>22</v>
      </c>
      <c r="L1125" t="s">
        <v>20</v>
      </c>
      <c r="O1125">
        <f t="shared" si="56"/>
        <v>23634</v>
      </c>
    </row>
    <row r="1126" spans="2:15" x14ac:dyDescent="0.25">
      <c r="B1126" t="s">
        <v>277</v>
      </c>
      <c r="C1126" s="41">
        <v>26378</v>
      </c>
      <c r="D1126" s="18">
        <v>63813.84</v>
      </c>
      <c r="E1126" t="s">
        <v>23</v>
      </c>
      <c r="F1126" t="s">
        <v>19</v>
      </c>
      <c r="G1126" t="s">
        <v>29</v>
      </c>
      <c r="J1126" t="s">
        <v>21</v>
      </c>
      <c r="K1126" t="s">
        <v>22</v>
      </c>
      <c r="L1126" t="s">
        <v>20</v>
      </c>
      <c r="O1126">
        <f t="shared" si="56"/>
        <v>26378</v>
      </c>
    </row>
    <row r="1127" spans="2:15" x14ac:dyDescent="0.25">
      <c r="B1127" t="s">
        <v>277</v>
      </c>
      <c r="C1127" s="41">
        <v>1014151</v>
      </c>
      <c r="D1127" s="18">
        <v>56979.39</v>
      </c>
      <c r="E1127" t="s">
        <v>23</v>
      </c>
      <c r="F1127" t="s">
        <v>19</v>
      </c>
      <c r="G1127" t="s">
        <v>29</v>
      </c>
      <c r="J1127" t="s">
        <v>21</v>
      </c>
      <c r="K1127" t="s">
        <v>22</v>
      </c>
      <c r="L1127" t="s">
        <v>20</v>
      </c>
      <c r="O1127" t="e">
        <f t="shared" si="56"/>
        <v>#N/A</v>
      </c>
    </row>
    <row r="1128" spans="2:15" x14ac:dyDescent="0.25">
      <c r="B1128" t="s">
        <v>277</v>
      </c>
      <c r="C1128" s="41">
        <v>1539</v>
      </c>
      <c r="D1128" s="18">
        <v>54867.77</v>
      </c>
      <c r="E1128" t="s">
        <v>23</v>
      </c>
      <c r="F1128" t="s">
        <v>19</v>
      </c>
      <c r="G1128" t="s">
        <v>29</v>
      </c>
      <c r="J1128" t="s">
        <v>21</v>
      </c>
      <c r="K1128" t="s">
        <v>22</v>
      </c>
      <c r="L1128" t="s">
        <v>20</v>
      </c>
      <c r="O1128">
        <f t="shared" si="56"/>
        <v>1539</v>
      </c>
    </row>
    <row r="1129" spans="2:15" x14ac:dyDescent="0.25">
      <c r="B1129" t="s">
        <v>277</v>
      </c>
      <c r="C1129" s="41">
        <v>5116</v>
      </c>
      <c r="D1129" s="18">
        <v>34172.58</v>
      </c>
      <c r="E1129" t="s">
        <v>23</v>
      </c>
      <c r="F1129" t="s">
        <v>19</v>
      </c>
      <c r="G1129" t="s">
        <v>29</v>
      </c>
      <c r="J1129" t="s">
        <v>21</v>
      </c>
      <c r="K1129" t="s">
        <v>22</v>
      </c>
      <c r="L1129" t="s">
        <v>20</v>
      </c>
      <c r="O1129" t="e">
        <f t="shared" si="56"/>
        <v>#N/A</v>
      </c>
    </row>
    <row r="1130" spans="2:15" x14ac:dyDescent="0.25">
      <c r="B1130" t="s">
        <v>277</v>
      </c>
      <c r="C1130" s="41">
        <v>24338</v>
      </c>
      <c r="D1130" s="18">
        <v>9112.74</v>
      </c>
      <c r="E1130" t="s">
        <v>23</v>
      </c>
      <c r="F1130" t="s">
        <v>19</v>
      </c>
      <c r="G1130" t="s">
        <v>29</v>
      </c>
      <c r="J1130" t="s">
        <v>21</v>
      </c>
      <c r="K1130" t="s">
        <v>22</v>
      </c>
      <c r="L1130" t="s">
        <v>20</v>
      </c>
      <c r="O1130" t="e">
        <f t="shared" si="56"/>
        <v>#N/A</v>
      </c>
    </row>
    <row r="1131" spans="2:15" x14ac:dyDescent="0.25">
      <c r="B1131" t="s">
        <v>277</v>
      </c>
      <c r="C1131" s="41">
        <v>23657</v>
      </c>
      <c r="D1131" s="18">
        <v>21948.35</v>
      </c>
      <c r="E1131" t="s">
        <v>23</v>
      </c>
      <c r="F1131" t="s">
        <v>19</v>
      </c>
      <c r="G1131" t="s">
        <v>29</v>
      </c>
      <c r="J1131" t="s">
        <v>21</v>
      </c>
      <c r="K1131" t="s">
        <v>22</v>
      </c>
      <c r="L1131" t="s">
        <v>20</v>
      </c>
      <c r="O1131">
        <f t="shared" si="56"/>
        <v>23657</v>
      </c>
    </row>
    <row r="1132" spans="2:15" x14ac:dyDescent="0.25">
      <c r="B1132" t="s">
        <v>277</v>
      </c>
      <c r="C1132" s="41">
        <v>25695</v>
      </c>
      <c r="D1132" s="18">
        <v>99497.34</v>
      </c>
      <c r="E1132" t="s">
        <v>23</v>
      </c>
      <c r="F1132" t="s">
        <v>19</v>
      </c>
      <c r="G1132" t="s">
        <v>29</v>
      </c>
      <c r="J1132" t="s">
        <v>21</v>
      </c>
      <c r="K1132" t="s">
        <v>22</v>
      </c>
      <c r="L1132" t="s">
        <v>20</v>
      </c>
      <c r="O1132">
        <f t="shared" si="56"/>
        <v>25695</v>
      </c>
    </row>
    <row r="1133" spans="2:15" x14ac:dyDescent="0.25">
      <c r="B1133" t="s">
        <v>277</v>
      </c>
      <c r="C1133" s="41">
        <v>3761002127</v>
      </c>
      <c r="D1133" s="18">
        <v>89297.81</v>
      </c>
      <c r="E1133" t="s">
        <v>23</v>
      </c>
      <c r="F1133" t="s">
        <v>19</v>
      </c>
      <c r="G1133" t="s">
        <v>29</v>
      </c>
      <c r="J1133" t="s">
        <v>21</v>
      </c>
      <c r="K1133" t="s">
        <v>22</v>
      </c>
      <c r="L1133" t="s">
        <v>20</v>
      </c>
      <c r="O1133">
        <f t="shared" si="56"/>
        <v>3761002127</v>
      </c>
    </row>
    <row r="1134" spans="2:15" x14ac:dyDescent="0.25">
      <c r="B1134" t="s">
        <v>277</v>
      </c>
      <c r="C1134" s="41">
        <v>6961494</v>
      </c>
      <c r="D1134" s="18">
        <v>274353.82</v>
      </c>
      <c r="E1134" t="s">
        <v>23</v>
      </c>
      <c r="F1134" t="s">
        <v>19</v>
      </c>
      <c r="G1134" t="s">
        <v>29</v>
      </c>
      <c r="J1134" t="s">
        <v>21</v>
      </c>
      <c r="K1134" t="s">
        <v>22</v>
      </c>
      <c r="L1134" t="s">
        <v>20</v>
      </c>
      <c r="O1134">
        <f t="shared" si="56"/>
        <v>6961494</v>
      </c>
    </row>
    <row r="1135" spans="2:15" x14ac:dyDescent="0.25">
      <c r="B1135" t="s">
        <v>277</v>
      </c>
      <c r="C1135" s="41">
        <v>23592</v>
      </c>
      <c r="D1135" s="18">
        <v>2323.81</v>
      </c>
      <c r="E1135" t="s">
        <v>23</v>
      </c>
      <c r="F1135" t="s">
        <v>19</v>
      </c>
      <c r="G1135" t="s">
        <v>29</v>
      </c>
      <c r="J1135" t="s">
        <v>21</v>
      </c>
      <c r="K1135" t="s">
        <v>22</v>
      </c>
      <c r="L1135" t="s">
        <v>20</v>
      </c>
      <c r="O1135">
        <f t="shared" si="56"/>
        <v>23592</v>
      </c>
    </row>
    <row r="1136" spans="2:15" x14ac:dyDescent="0.25">
      <c r="B1136" t="s">
        <v>277</v>
      </c>
      <c r="C1136" s="41">
        <v>23568</v>
      </c>
      <c r="D1136" s="18">
        <v>13435.51</v>
      </c>
      <c r="E1136" t="s">
        <v>23</v>
      </c>
      <c r="F1136" t="s">
        <v>19</v>
      </c>
      <c r="G1136" t="s">
        <v>29</v>
      </c>
      <c r="J1136" t="s">
        <v>21</v>
      </c>
      <c r="K1136" t="s">
        <v>22</v>
      </c>
      <c r="L1136" t="s">
        <v>20</v>
      </c>
      <c r="O1136">
        <f t="shared" si="56"/>
        <v>23568</v>
      </c>
    </row>
    <row r="1137" spans="2:15" x14ac:dyDescent="0.25">
      <c r="B1137" t="s">
        <v>277</v>
      </c>
      <c r="C1137" s="41">
        <v>23597</v>
      </c>
      <c r="D1137" s="18">
        <v>2172.25</v>
      </c>
      <c r="E1137" t="s">
        <v>23</v>
      </c>
      <c r="F1137" t="s">
        <v>19</v>
      </c>
      <c r="G1137" t="s">
        <v>29</v>
      </c>
      <c r="J1137" t="s">
        <v>21</v>
      </c>
      <c r="K1137" t="s">
        <v>22</v>
      </c>
      <c r="L1137" t="s">
        <v>20</v>
      </c>
      <c r="O1137">
        <f t="shared" si="56"/>
        <v>23597</v>
      </c>
    </row>
    <row r="1138" spans="2:15" x14ac:dyDescent="0.25">
      <c r="B1138" t="s">
        <v>277</v>
      </c>
      <c r="C1138" s="41">
        <v>25689</v>
      </c>
      <c r="D1138" s="18">
        <v>96280.9</v>
      </c>
      <c r="E1138" t="s">
        <v>23</v>
      </c>
      <c r="F1138" t="s">
        <v>19</v>
      </c>
      <c r="G1138" t="s">
        <v>29</v>
      </c>
      <c r="J1138" t="s">
        <v>21</v>
      </c>
      <c r="K1138" t="s">
        <v>22</v>
      </c>
      <c r="L1138" t="s">
        <v>20</v>
      </c>
      <c r="O1138">
        <f t="shared" si="56"/>
        <v>25689</v>
      </c>
    </row>
    <row r="1139" spans="2:15" x14ac:dyDescent="0.25">
      <c r="B1139" t="s">
        <v>277</v>
      </c>
      <c r="C1139" s="41">
        <v>23599</v>
      </c>
      <c r="D1139" s="18">
        <v>4276.79</v>
      </c>
      <c r="E1139" t="s">
        <v>23</v>
      </c>
      <c r="F1139" t="s">
        <v>19</v>
      </c>
      <c r="G1139" t="s">
        <v>29</v>
      </c>
      <c r="J1139" t="s">
        <v>21</v>
      </c>
      <c r="K1139" t="s">
        <v>22</v>
      </c>
      <c r="L1139" t="s">
        <v>20</v>
      </c>
      <c r="O1139">
        <f t="shared" si="56"/>
        <v>23599</v>
      </c>
    </row>
    <row r="1140" spans="2:15" x14ac:dyDescent="0.25">
      <c r="B1140" t="s">
        <v>277</v>
      </c>
      <c r="C1140" s="41">
        <v>23550</v>
      </c>
      <c r="D1140" s="18">
        <v>9145.82</v>
      </c>
      <c r="E1140" t="s">
        <v>23</v>
      </c>
      <c r="F1140" t="s">
        <v>19</v>
      </c>
      <c r="G1140" t="s">
        <v>29</v>
      </c>
      <c r="J1140" t="s">
        <v>21</v>
      </c>
      <c r="K1140" t="s">
        <v>22</v>
      </c>
      <c r="L1140" t="s">
        <v>20</v>
      </c>
      <c r="O1140">
        <f t="shared" si="56"/>
        <v>23550</v>
      </c>
    </row>
    <row r="1141" spans="2:15" x14ac:dyDescent="0.25">
      <c r="B1141" t="s">
        <v>277</v>
      </c>
      <c r="C1141" s="41">
        <v>1700007349</v>
      </c>
      <c r="D1141" s="18">
        <v>62376.07</v>
      </c>
      <c r="E1141" t="s">
        <v>23</v>
      </c>
      <c r="F1141" t="s">
        <v>19</v>
      </c>
      <c r="G1141" t="s">
        <v>29</v>
      </c>
      <c r="J1141" t="s">
        <v>21</v>
      </c>
      <c r="K1141" t="s">
        <v>22</v>
      </c>
      <c r="L1141" t="s">
        <v>20</v>
      </c>
      <c r="O1141">
        <f t="shared" si="56"/>
        <v>1700007349</v>
      </c>
    </row>
    <row r="1142" spans="2:15" x14ac:dyDescent="0.25">
      <c r="B1142" t="s">
        <v>277</v>
      </c>
      <c r="C1142" s="41">
        <v>8027577467</v>
      </c>
      <c r="D1142" s="18">
        <v>150412.07999999999</v>
      </c>
      <c r="E1142" t="s">
        <v>23</v>
      </c>
      <c r="F1142" t="s">
        <v>19</v>
      </c>
      <c r="G1142" t="s">
        <v>29</v>
      </c>
      <c r="J1142" t="s">
        <v>21</v>
      </c>
      <c r="K1142" t="s">
        <v>22</v>
      </c>
      <c r="L1142" t="s">
        <v>20</v>
      </c>
      <c r="O1142">
        <f t="shared" si="56"/>
        <v>8027577467</v>
      </c>
    </row>
    <row r="1143" spans="2:15" x14ac:dyDescent="0.25">
      <c r="B1143" t="s">
        <v>277</v>
      </c>
      <c r="C1143" s="41">
        <v>27060</v>
      </c>
      <c r="D1143" s="18">
        <v>63168.38</v>
      </c>
      <c r="E1143" t="s">
        <v>23</v>
      </c>
      <c r="F1143" t="s">
        <v>19</v>
      </c>
      <c r="G1143" t="s">
        <v>29</v>
      </c>
      <c r="J1143" t="s">
        <v>21</v>
      </c>
      <c r="K1143" t="s">
        <v>22</v>
      </c>
      <c r="L1143" t="s">
        <v>20</v>
      </c>
      <c r="O1143">
        <f t="shared" si="56"/>
        <v>27060</v>
      </c>
    </row>
    <row r="1144" spans="2:15" x14ac:dyDescent="0.25">
      <c r="B1144" t="s">
        <v>277</v>
      </c>
      <c r="C1144" s="41">
        <v>23517</v>
      </c>
      <c r="D1144" s="18">
        <v>94109.61</v>
      </c>
      <c r="E1144" t="s">
        <v>23</v>
      </c>
      <c r="F1144" t="s">
        <v>19</v>
      </c>
      <c r="G1144" t="s">
        <v>29</v>
      </c>
      <c r="J1144" t="s">
        <v>21</v>
      </c>
      <c r="K1144" t="s">
        <v>22</v>
      </c>
      <c r="L1144" t="s">
        <v>20</v>
      </c>
      <c r="O1144">
        <f t="shared" ref="O1144:O1207" si="57">VLOOKUP(C1144,$Q$9:$Q$816,1,FALSE)</f>
        <v>23517</v>
      </c>
    </row>
    <row r="1145" spans="2:15" x14ac:dyDescent="0.25">
      <c r="B1145" t="s">
        <v>277</v>
      </c>
      <c r="C1145" s="41">
        <v>23668</v>
      </c>
      <c r="D1145" s="18">
        <v>77909.8</v>
      </c>
      <c r="E1145" t="s">
        <v>23</v>
      </c>
      <c r="F1145" t="s">
        <v>19</v>
      </c>
      <c r="G1145" t="s">
        <v>29</v>
      </c>
      <c r="J1145" t="s">
        <v>21</v>
      </c>
      <c r="K1145" t="s">
        <v>22</v>
      </c>
      <c r="L1145" t="s">
        <v>20</v>
      </c>
      <c r="O1145">
        <f t="shared" si="57"/>
        <v>23668</v>
      </c>
    </row>
    <row r="1146" spans="2:15" x14ac:dyDescent="0.25">
      <c r="B1146" t="s">
        <v>277</v>
      </c>
      <c r="C1146" s="41">
        <v>26442</v>
      </c>
      <c r="D1146" s="18">
        <v>187115.92</v>
      </c>
      <c r="E1146" t="s">
        <v>23</v>
      </c>
      <c r="F1146" t="s">
        <v>19</v>
      </c>
      <c r="G1146" t="s">
        <v>29</v>
      </c>
      <c r="J1146" t="s">
        <v>21</v>
      </c>
      <c r="K1146" t="s">
        <v>22</v>
      </c>
      <c r="L1146" t="s">
        <v>20</v>
      </c>
      <c r="O1146" t="e">
        <f t="shared" si="57"/>
        <v>#N/A</v>
      </c>
    </row>
    <row r="1147" spans="2:15" x14ac:dyDescent="0.25">
      <c r="B1147" t="s">
        <v>277</v>
      </c>
      <c r="C1147" s="41">
        <v>23638</v>
      </c>
      <c r="D1147" s="18">
        <v>227.87</v>
      </c>
      <c r="E1147" t="s">
        <v>23</v>
      </c>
      <c r="F1147" t="s">
        <v>19</v>
      </c>
      <c r="G1147" t="s">
        <v>29</v>
      </c>
      <c r="J1147" t="s">
        <v>21</v>
      </c>
      <c r="K1147" t="s">
        <v>22</v>
      </c>
      <c r="L1147" t="s">
        <v>20</v>
      </c>
      <c r="O1147">
        <f t="shared" si="57"/>
        <v>23638</v>
      </c>
    </row>
    <row r="1148" spans="2:15" x14ac:dyDescent="0.25">
      <c r="B1148" t="s">
        <v>277</v>
      </c>
      <c r="C1148" s="41">
        <v>17261</v>
      </c>
      <c r="D1148" s="18">
        <v>68269.14</v>
      </c>
      <c r="E1148" t="s">
        <v>23</v>
      </c>
      <c r="F1148" t="s">
        <v>19</v>
      </c>
      <c r="G1148" t="s">
        <v>29</v>
      </c>
      <c r="J1148" t="s">
        <v>21</v>
      </c>
      <c r="K1148" t="s">
        <v>22</v>
      </c>
      <c r="L1148" t="s">
        <v>20</v>
      </c>
      <c r="O1148">
        <f t="shared" si="57"/>
        <v>17261</v>
      </c>
    </row>
    <row r="1149" spans="2:15" x14ac:dyDescent="0.25">
      <c r="B1149" t="s">
        <v>277</v>
      </c>
      <c r="C1149" s="41">
        <v>23671</v>
      </c>
      <c r="D1149" s="18">
        <v>117028.65</v>
      </c>
      <c r="E1149" t="s">
        <v>23</v>
      </c>
      <c r="F1149" t="s">
        <v>19</v>
      </c>
      <c r="G1149" t="s">
        <v>29</v>
      </c>
      <c r="J1149" t="s">
        <v>21</v>
      </c>
      <c r="K1149" t="s">
        <v>22</v>
      </c>
      <c r="L1149" t="s">
        <v>20</v>
      </c>
      <c r="O1149">
        <f t="shared" si="57"/>
        <v>23671</v>
      </c>
    </row>
    <row r="1150" spans="2:15" x14ac:dyDescent="0.25">
      <c r="B1150" t="s">
        <v>277</v>
      </c>
      <c r="C1150" s="41">
        <v>26045</v>
      </c>
      <c r="D1150" s="18">
        <v>49333.66</v>
      </c>
      <c r="E1150" t="s">
        <v>23</v>
      </c>
      <c r="F1150" t="s">
        <v>19</v>
      </c>
      <c r="G1150" t="s">
        <v>29</v>
      </c>
      <c r="J1150" t="s">
        <v>21</v>
      </c>
      <c r="K1150" t="s">
        <v>22</v>
      </c>
      <c r="L1150" t="s">
        <v>20</v>
      </c>
      <c r="O1150">
        <f t="shared" si="57"/>
        <v>26045</v>
      </c>
    </row>
    <row r="1151" spans="2:15" x14ac:dyDescent="0.25">
      <c r="B1151" t="s">
        <v>277</v>
      </c>
      <c r="C1151" s="41">
        <v>23655</v>
      </c>
      <c r="D1151" s="18">
        <v>243.99</v>
      </c>
      <c r="E1151" t="s">
        <v>23</v>
      </c>
      <c r="F1151" t="s">
        <v>19</v>
      </c>
      <c r="G1151" t="s">
        <v>29</v>
      </c>
      <c r="J1151" t="s">
        <v>21</v>
      </c>
      <c r="K1151" t="s">
        <v>22</v>
      </c>
      <c r="L1151" t="s">
        <v>20</v>
      </c>
      <c r="O1151">
        <f t="shared" si="57"/>
        <v>23655</v>
      </c>
    </row>
    <row r="1152" spans="2:15" x14ac:dyDescent="0.25">
      <c r="B1152" t="s">
        <v>277</v>
      </c>
      <c r="C1152" s="41">
        <v>25699</v>
      </c>
      <c r="D1152" s="18">
        <v>1825950.18</v>
      </c>
      <c r="E1152" t="s">
        <v>23</v>
      </c>
      <c r="F1152" t="s">
        <v>19</v>
      </c>
      <c r="G1152" t="s">
        <v>29</v>
      </c>
      <c r="J1152" t="s">
        <v>21</v>
      </c>
      <c r="K1152" t="s">
        <v>22</v>
      </c>
      <c r="L1152" t="s">
        <v>20</v>
      </c>
      <c r="O1152">
        <f t="shared" si="57"/>
        <v>25699</v>
      </c>
    </row>
    <row r="1153" spans="2:15" x14ac:dyDescent="0.25">
      <c r="B1153" t="s">
        <v>277</v>
      </c>
      <c r="C1153" s="41">
        <v>24340</v>
      </c>
      <c r="D1153" s="18">
        <v>9112.74</v>
      </c>
      <c r="E1153" t="s">
        <v>23</v>
      </c>
      <c r="F1153" t="s">
        <v>19</v>
      </c>
      <c r="G1153" t="s">
        <v>29</v>
      </c>
      <c r="J1153" t="s">
        <v>21</v>
      </c>
      <c r="K1153" t="s">
        <v>22</v>
      </c>
      <c r="L1153" t="s">
        <v>20</v>
      </c>
      <c r="O1153" t="e">
        <f t="shared" si="57"/>
        <v>#N/A</v>
      </c>
    </row>
    <row r="1154" spans="2:15" x14ac:dyDescent="0.25">
      <c r="B1154" t="s">
        <v>277</v>
      </c>
      <c r="C1154" s="41">
        <v>7400168683</v>
      </c>
      <c r="D1154" s="18">
        <v>68429.929999999993</v>
      </c>
      <c r="E1154" t="s">
        <v>23</v>
      </c>
      <c r="F1154" t="s">
        <v>19</v>
      </c>
      <c r="G1154" t="s">
        <v>29</v>
      </c>
      <c r="J1154" t="s">
        <v>21</v>
      </c>
      <c r="K1154" t="s">
        <v>22</v>
      </c>
      <c r="L1154" t="s">
        <v>20</v>
      </c>
      <c r="O1154">
        <f t="shared" si="57"/>
        <v>7400168683</v>
      </c>
    </row>
    <row r="1155" spans="2:15" x14ac:dyDescent="0.25">
      <c r="B1155" t="s">
        <v>277</v>
      </c>
      <c r="C1155" s="41">
        <v>19371</v>
      </c>
      <c r="D1155" s="18">
        <v>4605.12</v>
      </c>
      <c r="E1155" t="s">
        <v>23</v>
      </c>
      <c r="F1155" t="s">
        <v>19</v>
      </c>
      <c r="G1155" t="s">
        <v>29</v>
      </c>
      <c r="J1155" t="s">
        <v>21</v>
      </c>
      <c r="K1155" t="s">
        <v>22</v>
      </c>
      <c r="L1155" t="s">
        <v>20</v>
      </c>
      <c r="O1155">
        <f t="shared" si="57"/>
        <v>19371</v>
      </c>
    </row>
    <row r="1156" spans="2:15" x14ac:dyDescent="0.25">
      <c r="B1156" t="s">
        <v>277</v>
      </c>
      <c r="C1156" s="41">
        <v>7400091336</v>
      </c>
      <c r="D1156" s="18">
        <v>54508</v>
      </c>
      <c r="E1156" t="s">
        <v>23</v>
      </c>
      <c r="F1156" t="s">
        <v>19</v>
      </c>
      <c r="G1156" t="s">
        <v>29</v>
      </c>
      <c r="J1156" t="s">
        <v>21</v>
      </c>
      <c r="K1156" t="s">
        <v>22</v>
      </c>
      <c r="L1156" t="s">
        <v>20</v>
      </c>
      <c r="O1156">
        <f t="shared" si="57"/>
        <v>7400091336</v>
      </c>
    </row>
    <row r="1157" spans="2:15" x14ac:dyDescent="0.25">
      <c r="B1157" t="s">
        <v>277</v>
      </c>
      <c r="C1157" s="41">
        <v>22432</v>
      </c>
      <c r="D1157" s="18">
        <v>79621.740000000005</v>
      </c>
      <c r="E1157" t="s">
        <v>23</v>
      </c>
      <c r="F1157" t="s">
        <v>19</v>
      </c>
      <c r="G1157" t="s">
        <v>29</v>
      </c>
      <c r="J1157" t="s">
        <v>21</v>
      </c>
      <c r="K1157" t="s">
        <v>22</v>
      </c>
      <c r="L1157" t="s">
        <v>20</v>
      </c>
      <c r="O1157">
        <f t="shared" si="57"/>
        <v>22432</v>
      </c>
    </row>
    <row r="1158" spans="2:15" x14ac:dyDescent="0.25">
      <c r="B1158" t="s">
        <v>277</v>
      </c>
      <c r="C1158" s="41">
        <v>23551</v>
      </c>
      <c r="D1158" s="18">
        <v>2074.44</v>
      </c>
      <c r="E1158" t="s">
        <v>23</v>
      </c>
      <c r="F1158" t="s">
        <v>19</v>
      </c>
      <c r="G1158" t="s">
        <v>29</v>
      </c>
      <c r="J1158" t="s">
        <v>21</v>
      </c>
      <c r="K1158" t="s">
        <v>22</v>
      </c>
      <c r="L1158" t="s">
        <v>20</v>
      </c>
      <c r="O1158">
        <f t="shared" si="57"/>
        <v>23551</v>
      </c>
    </row>
    <row r="1159" spans="2:15" x14ac:dyDescent="0.25">
      <c r="B1159" t="s">
        <v>277</v>
      </c>
      <c r="C1159" s="41">
        <v>27082</v>
      </c>
      <c r="D1159" s="18">
        <v>48875</v>
      </c>
      <c r="E1159" t="s">
        <v>23</v>
      </c>
      <c r="F1159" t="s">
        <v>19</v>
      </c>
      <c r="G1159" t="s">
        <v>29</v>
      </c>
      <c r="J1159" t="s">
        <v>21</v>
      </c>
      <c r="K1159" t="s">
        <v>22</v>
      </c>
      <c r="L1159" t="s">
        <v>20</v>
      </c>
      <c r="O1159">
        <f t="shared" si="57"/>
        <v>27082</v>
      </c>
    </row>
    <row r="1160" spans="2:15" x14ac:dyDescent="0.25">
      <c r="B1160" t="s">
        <v>277</v>
      </c>
      <c r="C1160" s="41">
        <v>18101</v>
      </c>
      <c r="D1160" s="18">
        <v>37434.51</v>
      </c>
      <c r="E1160" t="s">
        <v>23</v>
      </c>
      <c r="F1160" t="s">
        <v>19</v>
      </c>
      <c r="G1160" t="s">
        <v>29</v>
      </c>
      <c r="J1160" t="s">
        <v>21</v>
      </c>
      <c r="K1160" t="s">
        <v>22</v>
      </c>
      <c r="L1160" t="s">
        <v>20</v>
      </c>
      <c r="O1160">
        <f t="shared" si="57"/>
        <v>18101</v>
      </c>
    </row>
    <row r="1161" spans="2:15" x14ac:dyDescent="0.25">
      <c r="B1161" t="s">
        <v>277</v>
      </c>
      <c r="C1161" s="41">
        <v>23694</v>
      </c>
      <c r="D1161" s="18">
        <v>161378.88</v>
      </c>
      <c r="E1161" t="s">
        <v>23</v>
      </c>
      <c r="F1161" t="s">
        <v>19</v>
      </c>
      <c r="G1161" t="s">
        <v>29</v>
      </c>
      <c r="J1161" t="s">
        <v>21</v>
      </c>
      <c r="K1161" t="s">
        <v>22</v>
      </c>
      <c r="L1161" t="s">
        <v>20</v>
      </c>
      <c r="O1161">
        <f t="shared" si="57"/>
        <v>23694</v>
      </c>
    </row>
    <row r="1162" spans="2:15" x14ac:dyDescent="0.25">
      <c r="B1162" t="s">
        <v>277</v>
      </c>
      <c r="C1162" s="41">
        <v>23792</v>
      </c>
      <c r="D1162" s="18">
        <v>44680.3</v>
      </c>
      <c r="E1162" t="s">
        <v>23</v>
      </c>
      <c r="F1162" t="s">
        <v>19</v>
      </c>
      <c r="G1162" t="s">
        <v>29</v>
      </c>
      <c r="J1162" t="s">
        <v>21</v>
      </c>
      <c r="K1162" t="s">
        <v>22</v>
      </c>
      <c r="L1162" t="s">
        <v>20</v>
      </c>
      <c r="O1162">
        <f t="shared" si="57"/>
        <v>23792</v>
      </c>
    </row>
    <row r="1163" spans="2:15" x14ac:dyDescent="0.25">
      <c r="B1163" t="s">
        <v>277</v>
      </c>
      <c r="C1163" s="41">
        <v>24325</v>
      </c>
      <c r="D1163" s="18">
        <v>7564.67</v>
      </c>
      <c r="E1163" t="s">
        <v>23</v>
      </c>
      <c r="F1163" t="s">
        <v>19</v>
      </c>
      <c r="G1163" t="s">
        <v>29</v>
      </c>
      <c r="J1163" t="s">
        <v>21</v>
      </c>
      <c r="K1163" t="s">
        <v>22</v>
      </c>
      <c r="L1163" t="s">
        <v>20</v>
      </c>
      <c r="O1163" t="e">
        <f t="shared" si="57"/>
        <v>#N/A</v>
      </c>
    </row>
    <row r="1164" spans="2:15" x14ac:dyDescent="0.25">
      <c r="B1164" t="s">
        <v>277</v>
      </c>
      <c r="C1164" s="41">
        <v>23630</v>
      </c>
      <c r="D1164" s="18">
        <v>111.78</v>
      </c>
      <c r="E1164" t="s">
        <v>23</v>
      </c>
      <c r="F1164" t="s">
        <v>19</v>
      </c>
      <c r="G1164" t="s">
        <v>29</v>
      </c>
      <c r="J1164" t="s">
        <v>21</v>
      </c>
      <c r="K1164" t="s">
        <v>22</v>
      </c>
      <c r="L1164" t="s">
        <v>20</v>
      </c>
      <c r="O1164">
        <f t="shared" si="57"/>
        <v>23630</v>
      </c>
    </row>
    <row r="1165" spans="2:15" x14ac:dyDescent="0.25">
      <c r="B1165" t="s">
        <v>277</v>
      </c>
      <c r="C1165" s="41">
        <v>25705</v>
      </c>
      <c r="D1165" s="18">
        <v>90375.27</v>
      </c>
      <c r="E1165" t="s">
        <v>23</v>
      </c>
      <c r="F1165" t="s">
        <v>19</v>
      </c>
      <c r="G1165" t="s">
        <v>29</v>
      </c>
      <c r="J1165" t="s">
        <v>21</v>
      </c>
      <c r="K1165" t="s">
        <v>22</v>
      </c>
      <c r="L1165" t="s">
        <v>20</v>
      </c>
      <c r="O1165">
        <f t="shared" si="57"/>
        <v>25705</v>
      </c>
    </row>
    <row r="1166" spans="2:15" x14ac:dyDescent="0.25">
      <c r="B1166" t="s">
        <v>277</v>
      </c>
      <c r="C1166" s="41"/>
      <c r="D1166" s="18">
        <v>103300</v>
      </c>
      <c r="E1166" t="s">
        <v>23</v>
      </c>
      <c r="F1166" t="s">
        <v>19</v>
      </c>
      <c r="G1166" t="s">
        <v>29</v>
      </c>
      <c r="J1166" t="s">
        <v>21</v>
      </c>
      <c r="K1166" t="s">
        <v>22</v>
      </c>
      <c r="L1166" t="s">
        <v>20</v>
      </c>
      <c r="O1166" t="e">
        <f t="shared" si="57"/>
        <v>#N/A</v>
      </c>
    </row>
    <row r="1167" spans="2:15" x14ac:dyDescent="0.25">
      <c r="B1167" t="s">
        <v>277</v>
      </c>
      <c r="C1167" s="41">
        <v>23635</v>
      </c>
      <c r="D1167" s="18">
        <v>96.74</v>
      </c>
      <c r="E1167" t="s">
        <v>23</v>
      </c>
      <c r="F1167" t="s">
        <v>19</v>
      </c>
      <c r="G1167" t="s">
        <v>29</v>
      </c>
      <c r="J1167" t="s">
        <v>21</v>
      </c>
      <c r="K1167" t="s">
        <v>22</v>
      </c>
      <c r="L1167" t="s">
        <v>20</v>
      </c>
      <c r="O1167">
        <f t="shared" si="57"/>
        <v>23635</v>
      </c>
    </row>
    <row r="1168" spans="2:15" x14ac:dyDescent="0.25">
      <c r="B1168" t="s">
        <v>277</v>
      </c>
      <c r="C1168" s="41">
        <v>23543</v>
      </c>
      <c r="D1168" s="18">
        <v>10748.41</v>
      </c>
      <c r="E1168" t="s">
        <v>23</v>
      </c>
      <c r="F1168" t="s">
        <v>19</v>
      </c>
      <c r="G1168" t="s">
        <v>29</v>
      </c>
      <c r="J1168" t="s">
        <v>21</v>
      </c>
      <c r="K1168" t="s">
        <v>22</v>
      </c>
      <c r="L1168" t="s">
        <v>20</v>
      </c>
      <c r="O1168">
        <f t="shared" si="57"/>
        <v>23543</v>
      </c>
    </row>
    <row r="1169" spans="2:15" x14ac:dyDescent="0.25">
      <c r="B1169" t="s">
        <v>277</v>
      </c>
      <c r="C1169" s="41">
        <v>3301</v>
      </c>
      <c r="D1169" s="18">
        <v>320234.38</v>
      </c>
      <c r="E1169" t="s">
        <v>23</v>
      </c>
      <c r="F1169" t="s">
        <v>19</v>
      </c>
      <c r="G1169" t="s">
        <v>29</v>
      </c>
      <c r="J1169" t="s">
        <v>21</v>
      </c>
      <c r="K1169" t="s">
        <v>22</v>
      </c>
      <c r="L1169" t="s">
        <v>20</v>
      </c>
      <c r="O1169">
        <f t="shared" si="57"/>
        <v>3301</v>
      </c>
    </row>
    <row r="1170" spans="2:15" x14ac:dyDescent="0.25">
      <c r="B1170" t="s">
        <v>277</v>
      </c>
      <c r="C1170" s="41">
        <v>1014150</v>
      </c>
      <c r="D1170" s="18">
        <v>10369.59</v>
      </c>
      <c r="E1170" t="s">
        <v>23</v>
      </c>
      <c r="F1170" t="s">
        <v>19</v>
      </c>
      <c r="G1170" t="s">
        <v>29</v>
      </c>
      <c r="J1170" t="s">
        <v>21</v>
      </c>
      <c r="K1170" t="s">
        <v>22</v>
      </c>
      <c r="L1170" t="s">
        <v>20</v>
      </c>
      <c r="O1170" t="e">
        <f t="shared" si="57"/>
        <v>#N/A</v>
      </c>
    </row>
    <row r="1171" spans="2:15" x14ac:dyDescent="0.25">
      <c r="B1171" t="s">
        <v>277</v>
      </c>
      <c r="C1171" s="41">
        <v>23992</v>
      </c>
      <c r="D1171" s="18">
        <v>454200.9</v>
      </c>
      <c r="E1171" t="s">
        <v>23</v>
      </c>
      <c r="F1171" t="s">
        <v>19</v>
      </c>
      <c r="G1171" t="s">
        <v>29</v>
      </c>
      <c r="J1171" t="s">
        <v>21</v>
      </c>
      <c r="K1171" t="s">
        <v>22</v>
      </c>
      <c r="L1171" t="s">
        <v>20</v>
      </c>
      <c r="O1171">
        <f t="shared" si="57"/>
        <v>23992</v>
      </c>
    </row>
    <row r="1172" spans="2:15" x14ac:dyDescent="0.25">
      <c r="B1172" t="s">
        <v>277</v>
      </c>
      <c r="C1172" s="41">
        <v>2665</v>
      </c>
      <c r="D1172" s="18">
        <v>30091.39</v>
      </c>
      <c r="E1172" t="s">
        <v>23</v>
      </c>
      <c r="F1172" t="s">
        <v>19</v>
      </c>
      <c r="G1172" t="s">
        <v>29</v>
      </c>
      <c r="J1172" t="s">
        <v>21</v>
      </c>
      <c r="K1172" t="s">
        <v>22</v>
      </c>
      <c r="L1172" t="s">
        <v>20</v>
      </c>
      <c r="O1172">
        <f t="shared" si="57"/>
        <v>2665</v>
      </c>
    </row>
    <row r="1173" spans="2:15" x14ac:dyDescent="0.25">
      <c r="B1173" t="s">
        <v>277</v>
      </c>
      <c r="C1173" s="41">
        <v>69025102</v>
      </c>
      <c r="D1173" s="18">
        <v>2145.2399999999998</v>
      </c>
      <c r="E1173" t="s">
        <v>23</v>
      </c>
      <c r="F1173" t="s">
        <v>19</v>
      </c>
      <c r="G1173" t="s">
        <v>29</v>
      </c>
      <c r="J1173" t="s">
        <v>21</v>
      </c>
      <c r="K1173" t="s">
        <v>22</v>
      </c>
      <c r="L1173" t="s">
        <v>20</v>
      </c>
      <c r="O1173">
        <f t="shared" si="57"/>
        <v>69025102</v>
      </c>
    </row>
    <row r="1174" spans="2:15" x14ac:dyDescent="0.25">
      <c r="B1174" t="s">
        <v>277</v>
      </c>
      <c r="C1174" s="41">
        <v>23622</v>
      </c>
      <c r="D1174" s="18">
        <v>615.88</v>
      </c>
      <c r="E1174" t="s">
        <v>23</v>
      </c>
      <c r="F1174" t="s">
        <v>19</v>
      </c>
      <c r="G1174" t="s">
        <v>29</v>
      </c>
      <c r="J1174" t="s">
        <v>21</v>
      </c>
      <c r="K1174" t="s">
        <v>22</v>
      </c>
      <c r="L1174" t="s">
        <v>20</v>
      </c>
      <c r="O1174">
        <f t="shared" si="57"/>
        <v>23622</v>
      </c>
    </row>
    <row r="1175" spans="2:15" x14ac:dyDescent="0.25">
      <c r="B1175" t="s">
        <v>277</v>
      </c>
      <c r="C1175" s="41">
        <v>23554</v>
      </c>
      <c r="D1175" s="18">
        <v>1687.5</v>
      </c>
      <c r="E1175" t="s">
        <v>23</v>
      </c>
      <c r="F1175" t="s">
        <v>19</v>
      </c>
      <c r="G1175" t="s">
        <v>29</v>
      </c>
      <c r="J1175" t="s">
        <v>21</v>
      </c>
      <c r="K1175" t="s">
        <v>22</v>
      </c>
      <c r="L1175" t="s">
        <v>20</v>
      </c>
      <c r="O1175">
        <f t="shared" si="57"/>
        <v>23554</v>
      </c>
    </row>
    <row r="1176" spans="2:15" x14ac:dyDescent="0.25">
      <c r="B1176" t="s">
        <v>277</v>
      </c>
      <c r="C1176" s="41">
        <v>7383</v>
      </c>
      <c r="D1176" s="18">
        <v>113375.76</v>
      </c>
      <c r="E1176" t="s">
        <v>23</v>
      </c>
      <c r="F1176" t="s">
        <v>19</v>
      </c>
      <c r="G1176" t="s">
        <v>29</v>
      </c>
      <c r="J1176" t="s">
        <v>21</v>
      </c>
      <c r="K1176" t="s">
        <v>22</v>
      </c>
      <c r="L1176" t="s">
        <v>20</v>
      </c>
      <c r="O1176">
        <f t="shared" si="57"/>
        <v>7383</v>
      </c>
    </row>
    <row r="1177" spans="2:15" x14ac:dyDescent="0.25">
      <c r="B1177" t="s">
        <v>277</v>
      </c>
      <c r="C1177" s="41">
        <v>27007</v>
      </c>
      <c r="D1177" s="18">
        <v>10878.7</v>
      </c>
      <c r="E1177" t="s">
        <v>23</v>
      </c>
      <c r="F1177" t="s">
        <v>19</v>
      </c>
      <c r="G1177" t="s">
        <v>29</v>
      </c>
      <c r="J1177" t="s">
        <v>21</v>
      </c>
      <c r="K1177" t="s">
        <v>22</v>
      </c>
      <c r="L1177" t="s">
        <v>20</v>
      </c>
      <c r="O1177">
        <f t="shared" si="57"/>
        <v>27007</v>
      </c>
    </row>
    <row r="1178" spans="2:15" x14ac:dyDescent="0.25">
      <c r="B1178" t="s">
        <v>277</v>
      </c>
      <c r="C1178" s="41">
        <v>23520</v>
      </c>
      <c r="D1178" s="18">
        <v>12648.73</v>
      </c>
      <c r="E1178" t="s">
        <v>23</v>
      </c>
      <c r="F1178" t="s">
        <v>19</v>
      </c>
      <c r="G1178" t="s">
        <v>29</v>
      </c>
      <c r="J1178" t="s">
        <v>21</v>
      </c>
      <c r="K1178" t="s">
        <v>22</v>
      </c>
      <c r="L1178" t="s">
        <v>20</v>
      </c>
      <c r="O1178">
        <f t="shared" si="57"/>
        <v>23520</v>
      </c>
    </row>
    <row r="1179" spans="2:15" x14ac:dyDescent="0.25">
      <c r="B1179" t="s">
        <v>277</v>
      </c>
      <c r="C1179" s="41">
        <v>23570</v>
      </c>
      <c r="D1179" s="18">
        <v>10748.41</v>
      </c>
      <c r="E1179" t="s">
        <v>23</v>
      </c>
      <c r="F1179" t="s">
        <v>19</v>
      </c>
      <c r="G1179" t="s">
        <v>29</v>
      </c>
      <c r="J1179" t="s">
        <v>21</v>
      </c>
      <c r="K1179" t="s">
        <v>22</v>
      </c>
      <c r="L1179" t="s">
        <v>20</v>
      </c>
      <c r="O1179">
        <f t="shared" si="57"/>
        <v>23570</v>
      </c>
    </row>
    <row r="1180" spans="2:15" x14ac:dyDescent="0.25">
      <c r="B1180" t="s">
        <v>277</v>
      </c>
      <c r="C1180" s="41">
        <v>23539</v>
      </c>
      <c r="D1180" s="18">
        <v>10748.41</v>
      </c>
      <c r="E1180" t="s">
        <v>23</v>
      </c>
      <c r="F1180" t="s">
        <v>19</v>
      </c>
      <c r="G1180" t="s">
        <v>29</v>
      </c>
      <c r="J1180" t="s">
        <v>21</v>
      </c>
      <c r="K1180" t="s">
        <v>22</v>
      </c>
      <c r="L1180" t="s">
        <v>20</v>
      </c>
      <c r="O1180">
        <f t="shared" si="57"/>
        <v>23539</v>
      </c>
    </row>
    <row r="1181" spans="2:15" x14ac:dyDescent="0.25">
      <c r="B1181" t="s">
        <v>277</v>
      </c>
      <c r="C1181" s="41">
        <v>27118</v>
      </c>
      <c r="D1181" s="18">
        <v>2802889.59</v>
      </c>
      <c r="E1181" t="s">
        <v>23</v>
      </c>
      <c r="F1181" t="s">
        <v>19</v>
      </c>
      <c r="G1181" t="s">
        <v>29</v>
      </c>
      <c r="J1181" t="s">
        <v>21</v>
      </c>
      <c r="K1181" t="s">
        <v>22</v>
      </c>
      <c r="L1181" t="s">
        <v>20</v>
      </c>
      <c r="O1181">
        <f t="shared" si="57"/>
        <v>27118</v>
      </c>
    </row>
    <row r="1182" spans="2:15" x14ac:dyDescent="0.25">
      <c r="B1182" t="s">
        <v>277</v>
      </c>
      <c r="C1182" s="41">
        <v>8010464178</v>
      </c>
      <c r="D1182" s="18">
        <v>101096.36</v>
      </c>
      <c r="E1182" t="s">
        <v>23</v>
      </c>
      <c r="F1182" t="s">
        <v>19</v>
      </c>
      <c r="G1182" t="s">
        <v>29</v>
      </c>
      <c r="J1182" t="s">
        <v>21</v>
      </c>
      <c r="K1182" t="s">
        <v>22</v>
      </c>
      <c r="L1182" t="s">
        <v>20</v>
      </c>
      <c r="O1182">
        <f t="shared" si="57"/>
        <v>8010464178</v>
      </c>
    </row>
    <row r="1183" spans="2:15" x14ac:dyDescent="0.25">
      <c r="B1183" t="s">
        <v>277</v>
      </c>
      <c r="C1183" s="41">
        <v>23641</v>
      </c>
      <c r="D1183" s="18">
        <v>354.7</v>
      </c>
      <c r="E1183" t="s">
        <v>23</v>
      </c>
      <c r="F1183" t="s">
        <v>19</v>
      </c>
      <c r="G1183" t="s">
        <v>29</v>
      </c>
      <c r="J1183" t="s">
        <v>21</v>
      </c>
      <c r="K1183" t="s">
        <v>22</v>
      </c>
      <c r="L1183" t="s">
        <v>20</v>
      </c>
      <c r="O1183">
        <f t="shared" si="57"/>
        <v>23641</v>
      </c>
    </row>
    <row r="1184" spans="2:15" x14ac:dyDescent="0.25">
      <c r="B1184" t="s">
        <v>277</v>
      </c>
      <c r="C1184" s="41">
        <v>23567</v>
      </c>
      <c r="D1184" s="18">
        <v>10748.41</v>
      </c>
      <c r="E1184" t="s">
        <v>23</v>
      </c>
      <c r="F1184" t="s">
        <v>19</v>
      </c>
      <c r="G1184" t="s">
        <v>29</v>
      </c>
      <c r="J1184" t="s">
        <v>21</v>
      </c>
      <c r="K1184" t="s">
        <v>22</v>
      </c>
      <c r="L1184" t="s">
        <v>20</v>
      </c>
      <c r="O1184">
        <f t="shared" si="57"/>
        <v>23567</v>
      </c>
    </row>
    <row r="1185" spans="2:15" x14ac:dyDescent="0.25">
      <c r="B1185" t="s">
        <v>277</v>
      </c>
      <c r="C1185" s="41">
        <v>23616</v>
      </c>
      <c r="D1185" s="18">
        <v>1934.71</v>
      </c>
      <c r="E1185" t="s">
        <v>23</v>
      </c>
      <c r="F1185" t="s">
        <v>19</v>
      </c>
      <c r="G1185" t="s">
        <v>29</v>
      </c>
      <c r="J1185" t="s">
        <v>21</v>
      </c>
      <c r="K1185" t="s">
        <v>22</v>
      </c>
      <c r="L1185" t="s">
        <v>20</v>
      </c>
      <c r="O1185">
        <f t="shared" si="57"/>
        <v>23616</v>
      </c>
    </row>
    <row r="1186" spans="2:15" x14ac:dyDescent="0.25">
      <c r="B1186" t="s">
        <v>277</v>
      </c>
      <c r="C1186" s="41">
        <v>25684</v>
      </c>
      <c r="D1186" s="18">
        <v>393874.74</v>
      </c>
      <c r="E1186" t="s">
        <v>23</v>
      </c>
      <c r="F1186" t="s">
        <v>19</v>
      </c>
      <c r="G1186" t="s">
        <v>29</v>
      </c>
      <c r="J1186" t="s">
        <v>21</v>
      </c>
      <c r="K1186" t="s">
        <v>22</v>
      </c>
      <c r="L1186" t="s">
        <v>20</v>
      </c>
      <c r="O1186">
        <f t="shared" si="57"/>
        <v>25684</v>
      </c>
    </row>
    <row r="1187" spans="2:15" x14ac:dyDescent="0.25">
      <c r="B1187" t="s">
        <v>277</v>
      </c>
      <c r="C1187" s="41">
        <v>23648</v>
      </c>
      <c r="D1187" s="18">
        <v>124.68</v>
      </c>
      <c r="E1187" t="s">
        <v>23</v>
      </c>
      <c r="F1187" t="s">
        <v>19</v>
      </c>
      <c r="G1187" t="s">
        <v>29</v>
      </c>
      <c r="J1187" t="s">
        <v>21</v>
      </c>
      <c r="K1187" t="s">
        <v>22</v>
      </c>
      <c r="L1187" t="s">
        <v>20</v>
      </c>
      <c r="O1187">
        <f t="shared" si="57"/>
        <v>23648</v>
      </c>
    </row>
    <row r="1188" spans="2:15" x14ac:dyDescent="0.25">
      <c r="B1188" t="s">
        <v>277</v>
      </c>
      <c r="C1188" s="41">
        <v>23503</v>
      </c>
      <c r="D1188" s="18">
        <v>19026.830000000002</v>
      </c>
      <c r="E1188" t="s">
        <v>23</v>
      </c>
      <c r="F1188" t="s">
        <v>19</v>
      </c>
      <c r="G1188" t="s">
        <v>29</v>
      </c>
      <c r="J1188" t="s">
        <v>21</v>
      </c>
      <c r="K1188" t="s">
        <v>22</v>
      </c>
      <c r="L1188" t="s">
        <v>20</v>
      </c>
      <c r="O1188">
        <f t="shared" si="57"/>
        <v>23503</v>
      </c>
    </row>
    <row r="1189" spans="2:15" x14ac:dyDescent="0.25">
      <c r="B1189" t="s">
        <v>277</v>
      </c>
      <c r="C1189" s="41">
        <v>16943</v>
      </c>
      <c r="D1189" s="18">
        <v>159518.63</v>
      </c>
      <c r="E1189" t="s">
        <v>23</v>
      </c>
      <c r="F1189" t="s">
        <v>19</v>
      </c>
      <c r="G1189" t="s">
        <v>29</v>
      </c>
      <c r="J1189" t="s">
        <v>21</v>
      </c>
      <c r="K1189" t="s">
        <v>22</v>
      </c>
      <c r="L1189" t="s">
        <v>20</v>
      </c>
      <c r="O1189" t="e">
        <f t="shared" si="57"/>
        <v>#N/A</v>
      </c>
    </row>
    <row r="1190" spans="2:15" x14ac:dyDescent="0.25">
      <c r="B1190" t="s">
        <v>277</v>
      </c>
      <c r="C1190" s="41">
        <v>2100176174</v>
      </c>
      <c r="D1190" s="18">
        <v>96900</v>
      </c>
      <c r="E1190" t="s">
        <v>23</v>
      </c>
      <c r="F1190" t="s">
        <v>19</v>
      </c>
      <c r="G1190" t="s">
        <v>29</v>
      </c>
      <c r="J1190" t="s">
        <v>30</v>
      </c>
      <c r="K1190" t="s">
        <v>22</v>
      </c>
      <c r="L1190" t="s">
        <v>20</v>
      </c>
      <c r="O1190">
        <f t="shared" si="57"/>
        <v>2100176174</v>
      </c>
    </row>
    <row r="1191" spans="2:15" x14ac:dyDescent="0.25">
      <c r="B1191" t="s">
        <v>277</v>
      </c>
      <c r="C1191" s="41">
        <v>25702</v>
      </c>
      <c r="D1191" s="18">
        <v>331271.03999999998</v>
      </c>
      <c r="E1191" t="s">
        <v>23</v>
      </c>
      <c r="F1191" t="s">
        <v>19</v>
      </c>
      <c r="G1191" t="s">
        <v>29</v>
      </c>
      <c r="J1191" t="s">
        <v>21</v>
      </c>
      <c r="K1191" t="s">
        <v>22</v>
      </c>
      <c r="L1191" t="s">
        <v>20</v>
      </c>
      <c r="O1191">
        <f t="shared" si="57"/>
        <v>25702</v>
      </c>
    </row>
    <row r="1192" spans="2:15" x14ac:dyDescent="0.25">
      <c r="B1192" t="s">
        <v>277</v>
      </c>
      <c r="C1192" s="41">
        <v>23619</v>
      </c>
      <c r="D1192" s="18">
        <v>580.41</v>
      </c>
      <c r="E1192" t="s">
        <v>23</v>
      </c>
      <c r="F1192" t="s">
        <v>19</v>
      </c>
      <c r="G1192" t="s">
        <v>29</v>
      </c>
      <c r="J1192" t="s">
        <v>21</v>
      </c>
      <c r="K1192" t="s">
        <v>22</v>
      </c>
      <c r="L1192" t="s">
        <v>20</v>
      </c>
      <c r="O1192">
        <f t="shared" si="57"/>
        <v>23619</v>
      </c>
    </row>
    <row r="1193" spans="2:15" x14ac:dyDescent="0.25">
      <c r="B1193" t="s">
        <v>277</v>
      </c>
      <c r="C1193" s="41">
        <v>9001791600</v>
      </c>
      <c r="D1193" s="18">
        <v>53550</v>
      </c>
      <c r="E1193" t="s">
        <v>23</v>
      </c>
      <c r="F1193" t="s">
        <v>19</v>
      </c>
      <c r="G1193" t="s">
        <v>29</v>
      </c>
      <c r="J1193" t="s">
        <v>21</v>
      </c>
      <c r="K1193" t="s">
        <v>22</v>
      </c>
      <c r="L1193" t="s">
        <v>20</v>
      </c>
      <c r="O1193">
        <f t="shared" si="57"/>
        <v>9001791600</v>
      </c>
    </row>
    <row r="1194" spans="2:15" x14ac:dyDescent="0.25">
      <c r="B1194" t="s">
        <v>277</v>
      </c>
      <c r="C1194" s="41">
        <v>25685</v>
      </c>
      <c r="D1194" s="18">
        <v>428214.09</v>
      </c>
      <c r="E1194" t="s">
        <v>23</v>
      </c>
      <c r="F1194" t="s">
        <v>19</v>
      </c>
      <c r="G1194" t="s">
        <v>29</v>
      </c>
      <c r="J1194" t="s">
        <v>21</v>
      </c>
      <c r="K1194" t="s">
        <v>22</v>
      </c>
      <c r="L1194" t="s">
        <v>20</v>
      </c>
      <c r="O1194">
        <f t="shared" si="57"/>
        <v>25685</v>
      </c>
    </row>
    <row r="1195" spans="2:15" x14ac:dyDescent="0.25">
      <c r="B1195" t="s">
        <v>277</v>
      </c>
      <c r="C1195" s="41">
        <v>20789</v>
      </c>
      <c r="D1195" s="18">
        <v>111038.49</v>
      </c>
      <c r="E1195" t="s">
        <v>23</v>
      </c>
      <c r="F1195" t="s">
        <v>19</v>
      </c>
      <c r="G1195" t="s">
        <v>29</v>
      </c>
      <c r="J1195" t="s">
        <v>21</v>
      </c>
      <c r="K1195" t="s">
        <v>22</v>
      </c>
      <c r="L1195" t="s">
        <v>20</v>
      </c>
      <c r="O1195">
        <f t="shared" si="57"/>
        <v>20789</v>
      </c>
    </row>
    <row r="1196" spans="2:15" x14ac:dyDescent="0.25">
      <c r="B1196" t="s">
        <v>277</v>
      </c>
      <c r="C1196" s="41">
        <v>23528</v>
      </c>
      <c r="D1196" s="18">
        <v>9784.2800000000007</v>
      </c>
      <c r="E1196" t="s">
        <v>23</v>
      </c>
      <c r="F1196" t="s">
        <v>19</v>
      </c>
      <c r="G1196" t="s">
        <v>29</v>
      </c>
      <c r="J1196" t="s">
        <v>21</v>
      </c>
      <c r="K1196" t="s">
        <v>22</v>
      </c>
      <c r="L1196" t="s">
        <v>20</v>
      </c>
      <c r="O1196">
        <f t="shared" si="57"/>
        <v>23528</v>
      </c>
    </row>
    <row r="1197" spans="2:15" x14ac:dyDescent="0.25">
      <c r="B1197" t="s">
        <v>277</v>
      </c>
      <c r="C1197" s="41">
        <v>23576</v>
      </c>
      <c r="D1197" s="18">
        <v>10748.41</v>
      </c>
      <c r="E1197" t="s">
        <v>23</v>
      </c>
      <c r="F1197" t="s">
        <v>19</v>
      </c>
      <c r="G1197" t="s">
        <v>29</v>
      </c>
      <c r="J1197" t="s">
        <v>21</v>
      </c>
      <c r="K1197" t="s">
        <v>22</v>
      </c>
      <c r="L1197" t="s">
        <v>20</v>
      </c>
      <c r="O1197">
        <f t="shared" si="57"/>
        <v>23576</v>
      </c>
    </row>
    <row r="1198" spans="2:15" x14ac:dyDescent="0.25">
      <c r="B1198" t="s">
        <v>277</v>
      </c>
      <c r="C1198" s="41">
        <v>2101611677</v>
      </c>
      <c r="D1198" s="18">
        <v>79884.41</v>
      </c>
      <c r="E1198" t="s">
        <v>23</v>
      </c>
      <c r="F1198" t="s">
        <v>19</v>
      </c>
      <c r="G1198" t="s">
        <v>29</v>
      </c>
      <c r="J1198" t="s">
        <v>21</v>
      </c>
      <c r="K1198" t="s">
        <v>22</v>
      </c>
      <c r="L1198" t="s">
        <v>20</v>
      </c>
      <c r="O1198" t="e">
        <f t="shared" si="57"/>
        <v>#N/A</v>
      </c>
    </row>
    <row r="1199" spans="2:15" x14ac:dyDescent="0.25">
      <c r="B1199" t="s">
        <v>277</v>
      </c>
      <c r="C1199" s="41">
        <v>1015824</v>
      </c>
      <c r="D1199" s="18">
        <v>69504.28</v>
      </c>
      <c r="E1199" t="s">
        <v>23</v>
      </c>
      <c r="F1199" t="s">
        <v>19</v>
      </c>
      <c r="G1199" t="s">
        <v>29</v>
      </c>
      <c r="J1199" t="s">
        <v>21</v>
      </c>
      <c r="K1199" t="s">
        <v>22</v>
      </c>
      <c r="L1199" t="s">
        <v>20</v>
      </c>
      <c r="O1199" t="e">
        <f t="shared" si="57"/>
        <v>#N/A</v>
      </c>
    </row>
    <row r="1200" spans="2:15" x14ac:dyDescent="0.25">
      <c r="B1200" t="s">
        <v>277</v>
      </c>
      <c r="C1200" s="41">
        <v>23758</v>
      </c>
      <c r="D1200" s="18">
        <v>17182.59</v>
      </c>
      <c r="E1200" t="s">
        <v>23</v>
      </c>
      <c r="F1200" t="s">
        <v>19</v>
      </c>
      <c r="G1200" t="s">
        <v>29</v>
      </c>
      <c r="J1200" t="s">
        <v>21</v>
      </c>
      <c r="K1200" t="s">
        <v>22</v>
      </c>
      <c r="L1200" t="s">
        <v>20</v>
      </c>
      <c r="O1200" t="e">
        <f t="shared" si="57"/>
        <v>#N/A</v>
      </c>
    </row>
    <row r="1201" spans="2:15" x14ac:dyDescent="0.25">
      <c r="B1201" t="s">
        <v>277</v>
      </c>
      <c r="C1201" s="41">
        <v>27081</v>
      </c>
      <c r="D1201" s="18">
        <v>81905.600000000006</v>
      </c>
      <c r="E1201" t="s">
        <v>23</v>
      </c>
      <c r="F1201" t="s">
        <v>19</v>
      </c>
      <c r="G1201" t="s">
        <v>29</v>
      </c>
      <c r="J1201" t="s">
        <v>21</v>
      </c>
      <c r="K1201" t="s">
        <v>22</v>
      </c>
      <c r="L1201" t="s">
        <v>20</v>
      </c>
      <c r="O1201">
        <f t="shared" si="57"/>
        <v>27081</v>
      </c>
    </row>
    <row r="1202" spans="2:15" x14ac:dyDescent="0.25">
      <c r="B1202" t="s">
        <v>277</v>
      </c>
      <c r="C1202" s="41">
        <v>26511</v>
      </c>
      <c r="D1202" s="18">
        <v>141372.85999999999</v>
      </c>
      <c r="E1202" t="s">
        <v>23</v>
      </c>
      <c r="F1202" t="s">
        <v>19</v>
      </c>
      <c r="G1202" t="s">
        <v>29</v>
      </c>
      <c r="J1202" t="s">
        <v>21</v>
      </c>
      <c r="K1202" t="s">
        <v>22</v>
      </c>
      <c r="L1202" t="s">
        <v>20</v>
      </c>
      <c r="O1202">
        <f t="shared" si="57"/>
        <v>26511</v>
      </c>
    </row>
    <row r="1203" spans="2:15" x14ac:dyDescent="0.25">
      <c r="B1203" t="s">
        <v>277</v>
      </c>
      <c r="C1203" s="41">
        <v>23515</v>
      </c>
      <c r="D1203" s="18">
        <v>94109.61</v>
      </c>
      <c r="E1203" t="s">
        <v>23</v>
      </c>
      <c r="F1203" t="s">
        <v>19</v>
      </c>
      <c r="G1203" t="s">
        <v>29</v>
      </c>
      <c r="J1203" t="s">
        <v>21</v>
      </c>
      <c r="K1203" t="s">
        <v>22</v>
      </c>
      <c r="L1203" t="s">
        <v>20</v>
      </c>
      <c r="O1203">
        <f t="shared" si="57"/>
        <v>23515</v>
      </c>
    </row>
    <row r="1204" spans="2:15" x14ac:dyDescent="0.25">
      <c r="B1204" t="s">
        <v>277</v>
      </c>
      <c r="C1204" s="41">
        <v>23663</v>
      </c>
      <c r="D1204" s="18">
        <v>52101.81</v>
      </c>
      <c r="E1204" t="s">
        <v>23</v>
      </c>
      <c r="F1204" t="s">
        <v>19</v>
      </c>
      <c r="G1204" t="s">
        <v>29</v>
      </c>
      <c r="J1204" t="s">
        <v>21</v>
      </c>
      <c r="K1204" t="s">
        <v>22</v>
      </c>
      <c r="L1204" t="s">
        <v>20</v>
      </c>
      <c r="O1204">
        <f t="shared" si="57"/>
        <v>23663</v>
      </c>
    </row>
    <row r="1205" spans="2:15" x14ac:dyDescent="0.25">
      <c r="B1205" t="s">
        <v>277</v>
      </c>
      <c r="C1205" s="41">
        <v>23545</v>
      </c>
      <c r="D1205" s="18">
        <v>13435.51</v>
      </c>
      <c r="E1205" t="s">
        <v>23</v>
      </c>
      <c r="F1205" t="s">
        <v>19</v>
      </c>
      <c r="G1205" t="s">
        <v>29</v>
      </c>
      <c r="J1205" t="s">
        <v>21</v>
      </c>
      <c r="K1205" t="s">
        <v>22</v>
      </c>
      <c r="L1205" t="s">
        <v>20</v>
      </c>
      <c r="O1205">
        <f t="shared" si="57"/>
        <v>23545</v>
      </c>
    </row>
    <row r="1206" spans="2:15" x14ac:dyDescent="0.25">
      <c r="B1206" t="s">
        <v>277</v>
      </c>
      <c r="C1206" s="41">
        <v>24378</v>
      </c>
      <c r="D1206" s="18">
        <v>14495.74</v>
      </c>
      <c r="E1206" t="s">
        <v>23</v>
      </c>
      <c r="F1206" t="s">
        <v>19</v>
      </c>
      <c r="G1206" t="s">
        <v>29</v>
      </c>
      <c r="J1206" t="s">
        <v>21</v>
      </c>
      <c r="K1206" t="s">
        <v>22</v>
      </c>
      <c r="L1206" t="s">
        <v>20</v>
      </c>
      <c r="O1206">
        <f t="shared" si="57"/>
        <v>24378</v>
      </c>
    </row>
    <row r="1207" spans="2:15" x14ac:dyDescent="0.25">
      <c r="B1207" t="s">
        <v>277</v>
      </c>
      <c r="C1207" s="41">
        <v>25602</v>
      </c>
      <c r="D1207" s="18">
        <v>58360.32</v>
      </c>
      <c r="E1207" t="s">
        <v>23</v>
      </c>
      <c r="F1207" t="s">
        <v>19</v>
      </c>
      <c r="G1207" t="s">
        <v>29</v>
      </c>
      <c r="J1207" t="s">
        <v>21</v>
      </c>
      <c r="K1207" t="s">
        <v>22</v>
      </c>
      <c r="L1207" t="s">
        <v>20</v>
      </c>
      <c r="O1207">
        <f t="shared" si="57"/>
        <v>25602</v>
      </c>
    </row>
    <row r="1208" spans="2:15" x14ac:dyDescent="0.25">
      <c r="B1208" t="s">
        <v>277</v>
      </c>
      <c r="C1208" s="41">
        <v>23512</v>
      </c>
      <c r="D1208" s="18">
        <v>91143.34</v>
      </c>
      <c r="E1208" t="s">
        <v>23</v>
      </c>
      <c r="F1208" t="s">
        <v>19</v>
      </c>
      <c r="G1208" t="s">
        <v>29</v>
      </c>
      <c r="J1208" t="s">
        <v>21</v>
      </c>
      <c r="K1208" t="s">
        <v>22</v>
      </c>
      <c r="L1208" t="s">
        <v>20</v>
      </c>
      <c r="O1208">
        <f t="shared" ref="O1208:O1253" si="58">VLOOKUP(C1208,$Q$9:$Q$816,1,FALSE)</f>
        <v>23512</v>
      </c>
    </row>
    <row r="1209" spans="2:15" x14ac:dyDescent="0.25">
      <c r="B1209" t="s">
        <v>277</v>
      </c>
      <c r="C1209" s="41">
        <v>24279</v>
      </c>
      <c r="D1209" s="18">
        <v>381890.11</v>
      </c>
      <c r="E1209" t="s">
        <v>23</v>
      </c>
      <c r="F1209" t="s">
        <v>19</v>
      </c>
      <c r="G1209" t="s">
        <v>29</v>
      </c>
      <c r="J1209" t="s">
        <v>21</v>
      </c>
      <c r="K1209" t="s">
        <v>22</v>
      </c>
      <c r="L1209" t="s">
        <v>20</v>
      </c>
      <c r="O1209">
        <f t="shared" si="58"/>
        <v>24279</v>
      </c>
    </row>
    <row r="1210" spans="2:15" x14ac:dyDescent="0.25">
      <c r="B1210" t="s">
        <v>277</v>
      </c>
      <c r="C1210" s="41">
        <v>23542</v>
      </c>
      <c r="D1210" s="18">
        <v>13435.51</v>
      </c>
      <c r="E1210" t="s">
        <v>23</v>
      </c>
      <c r="F1210" t="s">
        <v>19</v>
      </c>
      <c r="G1210" t="s">
        <v>29</v>
      </c>
      <c r="J1210" t="s">
        <v>21</v>
      </c>
      <c r="K1210" t="s">
        <v>22</v>
      </c>
      <c r="L1210" t="s">
        <v>20</v>
      </c>
      <c r="O1210">
        <f t="shared" si="58"/>
        <v>23542</v>
      </c>
    </row>
    <row r="1211" spans="2:15" x14ac:dyDescent="0.25">
      <c r="B1211" t="s">
        <v>277</v>
      </c>
      <c r="C1211" s="41">
        <v>27065</v>
      </c>
      <c r="D1211" s="18">
        <v>31120.560000000001</v>
      </c>
      <c r="E1211" t="s">
        <v>23</v>
      </c>
      <c r="F1211" t="s">
        <v>19</v>
      </c>
      <c r="G1211" t="s">
        <v>29</v>
      </c>
      <c r="J1211" t="s">
        <v>21</v>
      </c>
      <c r="K1211" t="s">
        <v>22</v>
      </c>
      <c r="L1211" t="s">
        <v>20</v>
      </c>
      <c r="O1211" t="e">
        <f t="shared" si="58"/>
        <v>#N/A</v>
      </c>
    </row>
    <row r="1212" spans="2:15" x14ac:dyDescent="0.25">
      <c r="B1212" t="s">
        <v>277</v>
      </c>
      <c r="C1212" s="41">
        <v>23623</v>
      </c>
      <c r="D1212" s="18">
        <v>615.88</v>
      </c>
      <c r="E1212" t="s">
        <v>23</v>
      </c>
      <c r="F1212" t="s">
        <v>19</v>
      </c>
      <c r="G1212" t="s">
        <v>29</v>
      </c>
      <c r="J1212" t="s">
        <v>21</v>
      </c>
      <c r="K1212" t="s">
        <v>22</v>
      </c>
      <c r="L1212" t="s">
        <v>20</v>
      </c>
      <c r="O1212">
        <f t="shared" si="58"/>
        <v>23623</v>
      </c>
    </row>
    <row r="1213" spans="2:15" x14ac:dyDescent="0.25">
      <c r="B1213" t="s">
        <v>277</v>
      </c>
      <c r="C1213" s="41" t="s">
        <v>685</v>
      </c>
      <c r="D1213" s="18">
        <v>130000</v>
      </c>
      <c r="E1213" t="s">
        <v>23</v>
      </c>
      <c r="F1213" t="s">
        <v>19</v>
      </c>
      <c r="G1213" t="s">
        <v>29</v>
      </c>
      <c r="J1213" t="s">
        <v>21</v>
      </c>
      <c r="K1213" t="s">
        <v>22</v>
      </c>
      <c r="L1213" t="s">
        <v>20</v>
      </c>
      <c r="O1213" t="e">
        <f t="shared" si="58"/>
        <v>#N/A</v>
      </c>
    </row>
    <row r="1214" spans="2:15" x14ac:dyDescent="0.25">
      <c r="B1214" t="s">
        <v>277</v>
      </c>
      <c r="C1214" s="41">
        <v>7400196620</v>
      </c>
      <c r="D1214" s="18">
        <v>46907.19</v>
      </c>
      <c r="E1214" t="s">
        <v>23</v>
      </c>
      <c r="F1214" t="s">
        <v>19</v>
      </c>
      <c r="G1214" t="s">
        <v>29</v>
      </c>
      <c r="J1214" t="s">
        <v>21</v>
      </c>
      <c r="K1214" t="s">
        <v>22</v>
      </c>
      <c r="L1214" t="s">
        <v>20</v>
      </c>
      <c r="O1214">
        <f t="shared" si="58"/>
        <v>7400196620</v>
      </c>
    </row>
    <row r="1215" spans="2:15" x14ac:dyDescent="0.25">
      <c r="B1215" t="s">
        <v>277</v>
      </c>
      <c r="C1215" s="41">
        <v>24368</v>
      </c>
      <c r="D1215" s="18">
        <v>9117.99</v>
      </c>
      <c r="E1215" t="s">
        <v>23</v>
      </c>
      <c r="F1215" t="s">
        <v>19</v>
      </c>
      <c r="G1215" t="s">
        <v>29</v>
      </c>
      <c r="J1215" t="s">
        <v>21</v>
      </c>
      <c r="K1215" t="s">
        <v>22</v>
      </c>
      <c r="L1215" t="s">
        <v>20</v>
      </c>
      <c r="O1215" t="e">
        <f t="shared" si="58"/>
        <v>#N/A</v>
      </c>
    </row>
    <row r="1216" spans="2:15" x14ac:dyDescent="0.25">
      <c r="B1216" t="s">
        <v>277</v>
      </c>
      <c r="C1216" s="41">
        <v>27006</v>
      </c>
      <c r="D1216" s="18">
        <v>38336.32</v>
      </c>
      <c r="E1216" t="s">
        <v>23</v>
      </c>
      <c r="F1216" t="s">
        <v>19</v>
      </c>
      <c r="G1216" t="s">
        <v>29</v>
      </c>
      <c r="J1216" t="s">
        <v>21</v>
      </c>
      <c r="K1216" t="s">
        <v>22</v>
      </c>
      <c r="L1216" t="s">
        <v>20</v>
      </c>
      <c r="O1216">
        <f t="shared" si="58"/>
        <v>27006</v>
      </c>
    </row>
    <row r="1217" spans="2:15" x14ac:dyDescent="0.25">
      <c r="B1217" t="s">
        <v>277</v>
      </c>
      <c r="C1217" s="41">
        <v>23571</v>
      </c>
      <c r="D1217" s="18">
        <v>10748.41</v>
      </c>
      <c r="E1217" t="s">
        <v>23</v>
      </c>
      <c r="F1217" t="s">
        <v>19</v>
      </c>
      <c r="G1217" t="s">
        <v>29</v>
      </c>
      <c r="J1217" t="s">
        <v>21</v>
      </c>
      <c r="K1217" t="s">
        <v>22</v>
      </c>
      <c r="L1217" t="s">
        <v>20</v>
      </c>
      <c r="O1217">
        <f t="shared" si="58"/>
        <v>23571</v>
      </c>
    </row>
    <row r="1218" spans="2:15" x14ac:dyDescent="0.25">
      <c r="B1218" t="s">
        <v>277</v>
      </c>
      <c r="C1218" s="41">
        <v>23585</v>
      </c>
      <c r="D1218" s="18">
        <v>2713.97</v>
      </c>
      <c r="E1218" t="s">
        <v>23</v>
      </c>
      <c r="F1218" t="s">
        <v>19</v>
      </c>
      <c r="G1218" t="s">
        <v>29</v>
      </c>
      <c r="J1218" t="s">
        <v>21</v>
      </c>
      <c r="K1218" t="s">
        <v>22</v>
      </c>
      <c r="L1218" t="s">
        <v>20</v>
      </c>
      <c r="O1218">
        <f t="shared" si="58"/>
        <v>23585</v>
      </c>
    </row>
    <row r="1219" spans="2:15" x14ac:dyDescent="0.25">
      <c r="B1219" t="s">
        <v>277</v>
      </c>
      <c r="C1219" s="41">
        <v>23659</v>
      </c>
      <c r="D1219" s="18">
        <v>52622.67</v>
      </c>
      <c r="E1219" t="s">
        <v>23</v>
      </c>
      <c r="F1219" t="s">
        <v>19</v>
      </c>
      <c r="G1219" t="s">
        <v>29</v>
      </c>
      <c r="J1219" t="s">
        <v>21</v>
      </c>
      <c r="K1219" t="s">
        <v>22</v>
      </c>
      <c r="L1219" t="s">
        <v>20</v>
      </c>
      <c r="O1219">
        <f t="shared" si="58"/>
        <v>23659</v>
      </c>
    </row>
    <row r="1220" spans="2:15" x14ac:dyDescent="0.25">
      <c r="B1220" t="s">
        <v>277</v>
      </c>
      <c r="C1220" s="41">
        <v>23610</v>
      </c>
      <c r="D1220" s="18">
        <v>1860.55</v>
      </c>
      <c r="E1220" t="s">
        <v>23</v>
      </c>
      <c r="F1220" t="s">
        <v>19</v>
      </c>
      <c r="G1220" t="s">
        <v>29</v>
      </c>
      <c r="J1220" t="s">
        <v>21</v>
      </c>
      <c r="K1220" t="s">
        <v>22</v>
      </c>
      <c r="L1220" t="s">
        <v>20</v>
      </c>
      <c r="O1220">
        <f t="shared" si="58"/>
        <v>23610</v>
      </c>
    </row>
    <row r="1221" spans="2:15" x14ac:dyDescent="0.25">
      <c r="B1221" t="s">
        <v>277</v>
      </c>
      <c r="C1221" s="41">
        <v>7400374370</v>
      </c>
      <c r="D1221" s="18">
        <v>35733.86</v>
      </c>
      <c r="E1221" t="s">
        <v>23</v>
      </c>
      <c r="F1221" t="s">
        <v>19</v>
      </c>
      <c r="G1221" t="s">
        <v>29</v>
      </c>
      <c r="J1221" t="s">
        <v>21</v>
      </c>
      <c r="K1221" t="s">
        <v>22</v>
      </c>
      <c r="L1221" t="s">
        <v>20</v>
      </c>
      <c r="O1221">
        <f t="shared" si="58"/>
        <v>7400374370</v>
      </c>
    </row>
    <row r="1222" spans="2:15" x14ac:dyDescent="0.25">
      <c r="B1222" t="s">
        <v>277</v>
      </c>
      <c r="C1222" s="41">
        <v>23640</v>
      </c>
      <c r="D1222" s="18">
        <v>321.38</v>
      </c>
      <c r="E1222" t="s">
        <v>23</v>
      </c>
      <c r="F1222" t="s">
        <v>19</v>
      </c>
      <c r="G1222" t="s">
        <v>29</v>
      </c>
      <c r="J1222" t="s">
        <v>21</v>
      </c>
      <c r="K1222" t="s">
        <v>22</v>
      </c>
      <c r="L1222" t="s">
        <v>20</v>
      </c>
      <c r="O1222">
        <f t="shared" si="58"/>
        <v>23640</v>
      </c>
    </row>
    <row r="1223" spans="2:15" x14ac:dyDescent="0.25">
      <c r="B1223" t="s">
        <v>277</v>
      </c>
      <c r="C1223" s="41">
        <v>23494</v>
      </c>
      <c r="D1223" s="18">
        <v>26563.62</v>
      </c>
      <c r="E1223" t="s">
        <v>23</v>
      </c>
      <c r="F1223" t="s">
        <v>19</v>
      </c>
      <c r="G1223" t="s">
        <v>29</v>
      </c>
      <c r="J1223" t="s">
        <v>21</v>
      </c>
      <c r="K1223" t="s">
        <v>22</v>
      </c>
      <c r="L1223" t="s">
        <v>20</v>
      </c>
      <c r="O1223">
        <f t="shared" si="58"/>
        <v>23494</v>
      </c>
    </row>
    <row r="1224" spans="2:15" x14ac:dyDescent="0.25">
      <c r="B1224" t="s">
        <v>277</v>
      </c>
      <c r="C1224" s="41">
        <v>24175</v>
      </c>
      <c r="D1224" s="18">
        <v>559555.30000000005</v>
      </c>
      <c r="E1224" t="s">
        <v>23</v>
      </c>
      <c r="F1224" t="s">
        <v>19</v>
      </c>
      <c r="G1224" t="s">
        <v>29</v>
      </c>
      <c r="J1224" t="s">
        <v>21</v>
      </c>
      <c r="K1224" t="s">
        <v>22</v>
      </c>
      <c r="L1224" t="s">
        <v>20</v>
      </c>
      <c r="O1224">
        <f t="shared" si="58"/>
        <v>24175</v>
      </c>
    </row>
    <row r="1225" spans="2:15" x14ac:dyDescent="0.25">
      <c r="B1225" t="s">
        <v>277</v>
      </c>
      <c r="C1225" s="41">
        <v>23491</v>
      </c>
      <c r="D1225" s="18">
        <v>26315.33</v>
      </c>
      <c r="E1225" t="s">
        <v>23</v>
      </c>
      <c r="F1225" t="s">
        <v>19</v>
      </c>
      <c r="G1225" t="s">
        <v>29</v>
      </c>
      <c r="J1225" t="s">
        <v>21</v>
      </c>
      <c r="K1225" t="s">
        <v>22</v>
      </c>
      <c r="L1225" t="s">
        <v>20</v>
      </c>
      <c r="O1225">
        <f t="shared" si="58"/>
        <v>23491</v>
      </c>
    </row>
    <row r="1226" spans="2:15" x14ac:dyDescent="0.25">
      <c r="B1226" t="s">
        <v>277</v>
      </c>
      <c r="C1226" s="41">
        <v>23645</v>
      </c>
      <c r="D1226" s="18">
        <v>266.56</v>
      </c>
      <c r="E1226" t="s">
        <v>23</v>
      </c>
      <c r="F1226" t="s">
        <v>19</v>
      </c>
      <c r="G1226" t="s">
        <v>29</v>
      </c>
      <c r="J1226" t="s">
        <v>21</v>
      </c>
      <c r="K1226" t="s">
        <v>22</v>
      </c>
      <c r="L1226" t="s">
        <v>20</v>
      </c>
      <c r="O1226">
        <f t="shared" si="58"/>
        <v>23645</v>
      </c>
    </row>
    <row r="1227" spans="2:15" x14ac:dyDescent="0.25">
      <c r="B1227" t="s">
        <v>277</v>
      </c>
      <c r="C1227" s="41">
        <v>19156</v>
      </c>
      <c r="D1227" s="18">
        <v>1334.65</v>
      </c>
      <c r="E1227" t="s">
        <v>23</v>
      </c>
      <c r="F1227" t="s">
        <v>19</v>
      </c>
      <c r="G1227" t="s">
        <v>29</v>
      </c>
      <c r="J1227" t="s">
        <v>21</v>
      </c>
      <c r="K1227" t="s">
        <v>22</v>
      </c>
      <c r="L1227" t="s">
        <v>20</v>
      </c>
      <c r="O1227">
        <f t="shared" si="58"/>
        <v>19156</v>
      </c>
    </row>
    <row r="1228" spans="2:15" x14ac:dyDescent="0.25">
      <c r="B1228" t="s">
        <v>277</v>
      </c>
      <c r="C1228" s="41">
        <v>23486</v>
      </c>
      <c r="D1228" s="18">
        <v>22229.86</v>
      </c>
      <c r="E1228" t="s">
        <v>23</v>
      </c>
      <c r="F1228" t="s">
        <v>19</v>
      </c>
      <c r="G1228" t="s">
        <v>29</v>
      </c>
      <c r="J1228" t="s">
        <v>21</v>
      </c>
      <c r="K1228" t="s">
        <v>22</v>
      </c>
      <c r="L1228" t="s">
        <v>20</v>
      </c>
      <c r="O1228">
        <f t="shared" si="58"/>
        <v>23486</v>
      </c>
    </row>
    <row r="1229" spans="2:15" x14ac:dyDescent="0.25">
      <c r="B1229" t="s">
        <v>277</v>
      </c>
      <c r="C1229" s="41">
        <v>23574</v>
      </c>
      <c r="D1229" s="18">
        <v>13435.51</v>
      </c>
      <c r="E1229" t="s">
        <v>23</v>
      </c>
      <c r="F1229" t="s">
        <v>19</v>
      </c>
      <c r="G1229" t="s">
        <v>29</v>
      </c>
      <c r="J1229" t="s">
        <v>21</v>
      </c>
      <c r="K1229" t="s">
        <v>22</v>
      </c>
      <c r="L1229" t="s">
        <v>20</v>
      </c>
      <c r="O1229">
        <f t="shared" si="58"/>
        <v>23574</v>
      </c>
    </row>
    <row r="1230" spans="2:15" x14ac:dyDescent="0.25">
      <c r="B1230" t="s">
        <v>277</v>
      </c>
      <c r="C1230" s="41">
        <v>23488</v>
      </c>
      <c r="D1230" s="18">
        <v>22229.86</v>
      </c>
      <c r="E1230" t="s">
        <v>23</v>
      </c>
      <c r="F1230" t="s">
        <v>19</v>
      </c>
      <c r="G1230" t="s">
        <v>29</v>
      </c>
      <c r="J1230" t="s">
        <v>21</v>
      </c>
      <c r="K1230" t="s">
        <v>22</v>
      </c>
      <c r="L1230" t="s">
        <v>20</v>
      </c>
      <c r="O1230">
        <f t="shared" si="58"/>
        <v>23488</v>
      </c>
    </row>
    <row r="1231" spans="2:15" x14ac:dyDescent="0.25">
      <c r="B1231" t="s">
        <v>277</v>
      </c>
      <c r="C1231" s="41">
        <v>23602</v>
      </c>
      <c r="D1231" s="18">
        <v>10748.41</v>
      </c>
      <c r="E1231" t="s">
        <v>23</v>
      </c>
      <c r="F1231" t="s">
        <v>19</v>
      </c>
      <c r="G1231" t="s">
        <v>29</v>
      </c>
      <c r="J1231" t="s">
        <v>21</v>
      </c>
      <c r="K1231" t="s">
        <v>22</v>
      </c>
      <c r="L1231" t="s">
        <v>20</v>
      </c>
      <c r="O1231">
        <f t="shared" si="58"/>
        <v>23602</v>
      </c>
    </row>
    <row r="1232" spans="2:15" x14ac:dyDescent="0.25">
      <c r="B1232" t="s">
        <v>277</v>
      </c>
      <c r="C1232" s="41">
        <v>27079</v>
      </c>
      <c r="D1232" s="18">
        <v>59183.13</v>
      </c>
      <c r="E1232" t="s">
        <v>23</v>
      </c>
      <c r="F1232" t="s">
        <v>19</v>
      </c>
      <c r="G1232" t="s">
        <v>29</v>
      </c>
      <c r="J1232" t="s">
        <v>21</v>
      </c>
      <c r="K1232" t="s">
        <v>22</v>
      </c>
      <c r="L1232" t="s">
        <v>20</v>
      </c>
      <c r="O1232" t="e">
        <f t="shared" si="58"/>
        <v>#N/A</v>
      </c>
    </row>
    <row r="1233" spans="2:15" x14ac:dyDescent="0.25">
      <c r="B1233" t="s">
        <v>277</v>
      </c>
      <c r="C1233" s="41">
        <v>24333</v>
      </c>
      <c r="D1233" s="18">
        <v>7564.67</v>
      </c>
      <c r="E1233" t="s">
        <v>23</v>
      </c>
      <c r="F1233" t="s">
        <v>19</v>
      </c>
      <c r="G1233" t="s">
        <v>29</v>
      </c>
      <c r="J1233" t="s">
        <v>21</v>
      </c>
      <c r="K1233" t="s">
        <v>22</v>
      </c>
      <c r="L1233" t="s">
        <v>20</v>
      </c>
      <c r="O1233" t="e">
        <f t="shared" si="58"/>
        <v>#N/A</v>
      </c>
    </row>
    <row r="1234" spans="2:15" x14ac:dyDescent="0.25">
      <c r="B1234" t="s">
        <v>277</v>
      </c>
      <c r="C1234" s="41">
        <v>2101001690</v>
      </c>
      <c r="D1234" s="18">
        <v>46145.37</v>
      </c>
      <c r="E1234" t="s">
        <v>23</v>
      </c>
      <c r="F1234" t="s">
        <v>19</v>
      </c>
      <c r="G1234" t="s">
        <v>29</v>
      </c>
      <c r="J1234" t="s">
        <v>21</v>
      </c>
      <c r="K1234" t="s">
        <v>22</v>
      </c>
      <c r="L1234" t="s">
        <v>20</v>
      </c>
      <c r="O1234" t="e">
        <f t="shared" si="58"/>
        <v>#N/A</v>
      </c>
    </row>
    <row r="1235" spans="2:15" x14ac:dyDescent="0.25">
      <c r="B1235" t="s">
        <v>277</v>
      </c>
      <c r="C1235" s="41">
        <v>18760</v>
      </c>
      <c r="D1235" s="18">
        <v>139353.57</v>
      </c>
      <c r="E1235" t="s">
        <v>23</v>
      </c>
      <c r="F1235" t="s">
        <v>19</v>
      </c>
      <c r="G1235" t="s">
        <v>29</v>
      </c>
      <c r="J1235" t="s">
        <v>21</v>
      </c>
      <c r="K1235" t="s">
        <v>22</v>
      </c>
      <c r="L1235" t="s">
        <v>20</v>
      </c>
      <c r="O1235">
        <f t="shared" si="58"/>
        <v>18760</v>
      </c>
    </row>
    <row r="1236" spans="2:15" x14ac:dyDescent="0.25">
      <c r="B1236" t="s">
        <v>277</v>
      </c>
      <c r="C1236" s="41">
        <v>23720</v>
      </c>
      <c r="D1236" s="18">
        <v>1575835.52</v>
      </c>
      <c r="E1236" t="s">
        <v>23</v>
      </c>
      <c r="F1236" t="s">
        <v>19</v>
      </c>
      <c r="G1236" t="s">
        <v>29</v>
      </c>
      <c r="J1236" t="s">
        <v>21</v>
      </c>
      <c r="K1236" t="s">
        <v>22</v>
      </c>
      <c r="L1236" t="s">
        <v>20</v>
      </c>
      <c r="O1236">
        <f t="shared" si="58"/>
        <v>23720</v>
      </c>
    </row>
    <row r="1237" spans="2:15" x14ac:dyDescent="0.25">
      <c r="B1237" t="s">
        <v>277</v>
      </c>
      <c r="C1237" s="41">
        <v>23661</v>
      </c>
      <c r="D1237" s="18">
        <v>52622.67</v>
      </c>
      <c r="E1237" t="s">
        <v>23</v>
      </c>
      <c r="F1237" t="s">
        <v>19</v>
      </c>
      <c r="G1237" t="s">
        <v>29</v>
      </c>
      <c r="J1237" t="s">
        <v>21</v>
      </c>
      <c r="K1237" t="s">
        <v>22</v>
      </c>
      <c r="L1237" t="s">
        <v>20</v>
      </c>
      <c r="O1237">
        <f t="shared" si="58"/>
        <v>23661</v>
      </c>
    </row>
    <row r="1238" spans="2:15" x14ac:dyDescent="0.25">
      <c r="B1238" t="s">
        <v>277</v>
      </c>
      <c r="C1238" s="41">
        <v>23549</v>
      </c>
      <c r="D1238" s="18">
        <v>9145.82</v>
      </c>
      <c r="E1238" t="s">
        <v>23</v>
      </c>
      <c r="F1238" t="s">
        <v>19</v>
      </c>
      <c r="G1238" t="s">
        <v>29</v>
      </c>
      <c r="J1238" t="s">
        <v>21</v>
      </c>
      <c r="K1238" t="s">
        <v>22</v>
      </c>
      <c r="L1238" t="s">
        <v>20</v>
      </c>
      <c r="O1238">
        <f t="shared" si="58"/>
        <v>23549</v>
      </c>
    </row>
    <row r="1239" spans="2:15" x14ac:dyDescent="0.25">
      <c r="B1239" t="s">
        <v>277</v>
      </c>
      <c r="C1239" s="41">
        <v>27136</v>
      </c>
      <c r="D1239" s="18">
        <v>50150</v>
      </c>
      <c r="E1239" t="s">
        <v>23</v>
      </c>
      <c r="F1239" t="s">
        <v>19</v>
      </c>
      <c r="G1239" t="s">
        <v>29</v>
      </c>
      <c r="J1239" t="s">
        <v>21</v>
      </c>
      <c r="K1239" t="s">
        <v>22</v>
      </c>
      <c r="L1239" t="s">
        <v>20</v>
      </c>
      <c r="O1239">
        <f t="shared" si="58"/>
        <v>27136</v>
      </c>
    </row>
    <row r="1240" spans="2:15" x14ac:dyDescent="0.25">
      <c r="B1240" t="s">
        <v>277</v>
      </c>
      <c r="C1240" s="41">
        <v>23540</v>
      </c>
      <c r="D1240" s="18">
        <v>10748.41</v>
      </c>
      <c r="E1240" t="s">
        <v>23</v>
      </c>
      <c r="F1240" t="s">
        <v>19</v>
      </c>
      <c r="G1240" t="s">
        <v>29</v>
      </c>
      <c r="J1240" t="s">
        <v>21</v>
      </c>
      <c r="K1240" t="s">
        <v>22</v>
      </c>
      <c r="L1240" t="s">
        <v>20</v>
      </c>
      <c r="O1240">
        <f t="shared" si="58"/>
        <v>23540</v>
      </c>
    </row>
    <row r="1241" spans="2:15" x14ac:dyDescent="0.25">
      <c r="B1241" t="s">
        <v>277</v>
      </c>
      <c r="C1241" s="41">
        <v>23510</v>
      </c>
      <c r="D1241" s="18">
        <v>59116.25</v>
      </c>
      <c r="E1241" t="s">
        <v>23</v>
      </c>
      <c r="F1241" t="s">
        <v>19</v>
      </c>
      <c r="G1241" t="s">
        <v>29</v>
      </c>
      <c r="J1241" t="s">
        <v>21</v>
      </c>
      <c r="K1241" t="s">
        <v>22</v>
      </c>
      <c r="L1241" t="s">
        <v>20</v>
      </c>
      <c r="O1241">
        <f t="shared" si="58"/>
        <v>23510</v>
      </c>
    </row>
    <row r="1242" spans="2:15" x14ac:dyDescent="0.25">
      <c r="B1242" t="s">
        <v>277</v>
      </c>
      <c r="C1242" s="41">
        <v>23685</v>
      </c>
      <c r="D1242" s="18">
        <v>2079668.23</v>
      </c>
      <c r="E1242" t="s">
        <v>23</v>
      </c>
      <c r="F1242" t="s">
        <v>19</v>
      </c>
      <c r="G1242" t="s">
        <v>29</v>
      </c>
      <c r="J1242" t="s">
        <v>21</v>
      </c>
      <c r="K1242" t="s">
        <v>22</v>
      </c>
      <c r="L1242" t="s">
        <v>20</v>
      </c>
      <c r="O1242">
        <f t="shared" si="58"/>
        <v>23685</v>
      </c>
    </row>
    <row r="1243" spans="2:15" x14ac:dyDescent="0.25">
      <c r="B1243" t="s">
        <v>277</v>
      </c>
      <c r="C1243" s="41">
        <v>23557</v>
      </c>
      <c r="D1243" s="18">
        <v>1687.5</v>
      </c>
      <c r="E1243" t="s">
        <v>23</v>
      </c>
      <c r="F1243" t="s">
        <v>19</v>
      </c>
      <c r="G1243" t="s">
        <v>29</v>
      </c>
      <c r="J1243" t="s">
        <v>21</v>
      </c>
      <c r="K1243" t="s">
        <v>22</v>
      </c>
      <c r="L1243" t="s">
        <v>20</v>
      </c>
      <c r="O1243">
        <f t="shared" si="58"/>
        <v>23557</v>
      </c>
    </row>
    <row r="1244" spans="2:15" x14ac:dyDescent="0.25">
      <c r="B1244" t="s">
        <v>277</v>
      </c>
      <c r="C1244" s="41">
        <v>23559</v>
      </c>
      <c r="D1244" s="18">
        <v>2109.91</v>
      </c>
      <c r="E1244" t="s">
        <v>23</v>
      </c>
      <c r="F1244" t="s">
        <v>19</v>
      </c>
      <c r="G1244" t="s">
        <v>29</v>
      </c>
      <c r="J1244" t="s">
        <v>21</v>
      </c>
      <c r="K1244" t="s">
        <v>22</v>
      </c>
      <c r="L1244" t="s">
        <v>20</v>
      </c>
      <c r="O1244">
        <f t="shared" si="58"/>
        <v>23559</v>
      </c>
    </row>
    <row r="1245" spans="2:15" x14ac:dyDescent="0.25">
      <c r="B1245" t="s">
        <v>277</v>
      </c>
      <c r="C1245" s="41">
        <v>26399</v>
      </c>
      <c r="D1245" s="18">
        <v>61479.72</v>
      </c>
      <c r="E1245" t="s">
        <v>23</v>
      </c>
      <c r="F1245" t="s">
        <v>19</v>
      </c>
      <c r="G1245" t="s">
        <v>29</v>
      </c>
      <c r="J1245" t="s">
        <v>21</v>
      </c>
      <c r="K1245" t="s">
        <v>22</v>
      </c>
      <c r="L1245" t="s">
        <v>20</v>
      </c>
      <c r="O1245">
        <f t="shared" si="58"/>
        <v>26399</v>
      </c>
    </row>
    <row r="1246" spans="2:15" x14ac:dyDescent="0.25">
      <c r="B1246" t="s">
        <v>277</v>
      </c>
      <c r="C1246" s="41">
        <v>23507</v>
      </c>
      <c r="D1246" s="18">
        <v>76636.149999999994</v>
      </c>
      <c r="E1246" t="s">
        <v>23</v>
      </c>
      <c r="F1246" t="s">
        <v>19</v>
      </c>
      <c r="G1246" t="s">
        <v>29</v>
      </c>
      <c r="J1246" t="s">
        <v>21</v>
      </c>
      <c r="K1246" t="s">
        <v>22</v>
      </c>
      <c r="L1246" t="s">
        <v>20</v>
      </c>
      <c r="O1246">
        <f t="shared" si="58"/>
        <v>23507</v>
      </c>
    </row>
    <row r="1247" spans="2:15" x14ac:dyDescent="0.25">
      <c r="B1247" t="s">
        <v>277</v>
      </c>
      <c r="C1247" s="41">
        <v>25697</v>
      </c>
      <c r="D1247" s="18">
        <v>396830.59</v>
      </c>
      <c r="E1247" t="s">
        <v>23</v>
      </c>
      <c r="F1247" t="s">
        <v>19</v>
      </c>
      <c r="G1247" t="s">
        <v>29</v>
      </c>
      <c r="J1247" t="s">
        <v>21</v>
      </c>
      <c r="K1247" t="s">
        <v>22</v>
      </c>
      <c r="L1247" t="s">
        <v>20</v>
      </c>
      <c r="O1247">
        <f t="shared" si="58"/>
        <v>25697</v>
      </c>
    </row>
    <row r="1248" spans="2:15" x14ac:dyDescent="0.25">
      <c r="B1248" t="s">
        <v>277</v>
      </c>
      <c r="C1248" s="41">
        <v>19368</v>
      </c>
      <c r="D1248" s="18">
        <v>126131.63</v>
      </c>
      <c r="E1248" t="s">
        <v>23</v>
      </c>
      <c r="F1248" t="s">
        <v>19</v>
      </c>
      <c r="G1248" t="s">
        <v>29</v>
      </c>
      <c r="J1248" t="s">
        <v>21</v>
      </c>
      <c r="K1248" t="s">
        <v>22</v>
      </c>
      <c r="L1248" t="s">
        <v>20</v>
      </c>
      <c r="O1248">
        <f t="shared" si="58"/>
        <v>19368</v>
      </c>
    </row>
    <row r="1249" spans="2:19" x14ac:dyDescent="0.25">
      <c r="B1249" t="s">
        <v>277</v>
      </c>
      <c r="C1249" s="41">
        <v>23523</v>
      </c>
      <c r="D1249" s="18">
        <v>21232.41</v>
      </c>
      <c r="E1249" t="s">
        <v>23</v>
      </c>
      <c r="F1249" t="s">
        <v>19</v>
      </c>
      <c r="G1249" t="s">
        <v>29</v>
      </c>
      <c r="J1249" t="s">
        <v>21</v>
      </c>
      <c r="K1249" t="s">
        <v>22</v>
      </c>
      <c r="L1249" t="s">
        <v>20</v>
      </c>
      <c r="O1249">
        <f t="shared" si="58"/>
        <v>23523</v>
      </c>
    </row>
    <row r="1250" spans="2:19" x14ac:dyDescent="0.25">
      <c r="B1250" t="s">
        <v>277</v>
      </c>
      <c r="C1250" s="41">
        <v>23642</v>
      </c>
      <c r="D1250" s="18">
        <v>368.67</v>
      </c>
      <c r="E1250" t="s">
        <v>23</v>
      </c>
      <c r="F1250" t="s">
        <v>19</v>
      </c>
      <c r="G1250" t="s">
        <v>29</v>
      </c>
      <c r="J1250" t="s">
        <v>21</v>
      </c>
      <c r="K1250" t="s">
        <v>22</v>
      </c>
      <c r="L1250" t="s">
        <v>20</v>
      </c>
      <c r="O1250">
        <f t="shared" si="58"/>
        <v>23642</v>
      </c>
    </row>
    <row r="1251" spans="2:19" x14ac:dyDescent="0.25">
      <c r="B1251" t="s">
        <v>277</v>
      </c>
      <c r="C1251" s="41">
        <v>23496</v>
      </c>
      <c r="D1251" s="18">
        <v>26563.62</v>
      </c>
      <c r="E1251" t="s">
        <v>23</v>
      </c>
      <c r="F1251" t="s">
        <v>19</v>
      </c>
      <c r="G1251" t="s">
        <v>29</v>
      </c>
      <c r="J1251" t="s">
        <v>21</v>
      </c>
      <c r="K1251" t="s">
        <v>22</v>
      </c>
      <c r="L1251" t="s">
        <v>20</v>
      </c>
      <c r="O1251">
        <f t="shared" si="58"/>
        <v>23496</v>
      </c>
    </row>
    <row r="1252" spans="2:19" x14ac:dyDescent="0.25">
      <c r="B1252" t="s">
        <v>277</v>
      </c>
      <c r="C1252" s="41">
        <v>23612</v>
      </c>
      <c r="D1252" s="18">
        <v>1892.79</v>
      </c>
      <c r="E1252" t="s">
        <v>23</v>
      </c>
      <c r="F1252" t="s">
        <v>19</v>
      </c>
      <c r="G1252" t="s">
        <v>29</v>
      </c>
      <c r="J1252" t="s">
        <v>21</v>
      </c>
      <c r="K1252" t="s">
        <v>22</v>
      </c>
      <c r="L1252" t="s">
        <v>20</v>
      </c>
      <c r="O1252">
        <f t="shared" si="58"/>
        <v>23612</v>
      </c>
    </row>
    <row r="1253" spans="2:19" x14ac:dyDescent="0.25">
      <c r="B1253" t="s">
        <v>277</v>
      </c>
      <c r="C1253" s="41">
        <v>23534</v>
      </c>
      <c r="D1253" s="18">
        <v>20448.849999999999</v>
      </c>
      <c r="E1253" t="s">
        <v>23</v>
      </c>
      <c r="F1253" t="s">
        <v>19</v>
      </c>
      <c r="G1253" t="s">
        <v>29</v>
      </c>
      <c r="J1253" t="s">
        <v>21</v>
      </c>
      <c r="K1253" t="s">
        <v>22</v>
      </c>
      <c r="L1253" t="s">
        <v>20</v>
      </c>
      <c r="O1253">
        <f t="shared" si="58"/>
        <v>23534</v>
      </c>
    </row>
    <row r="1258" spans="2:19" x14ac:dyDescent="0.25">
      <c r="B1258" s="54" t="s">
        <v>698</v>
      </c>
    </row>
    <row r="1260" spans="2:19" x14ac:dyDescent="0.25">
      <c r="B1260" s="59" t="s">
        <v>699</v>
      </c>
      <c r="C1260" s="59"/>
      <c r="D1260" s="59"/>
      <c r="E1260" s="59"/>
      <c r="P1260" t="s">
        <v>700</v>
      </c>
    </row>
    <row r="1261" spans="2:19" x14ac:dyDescent="0.25">
      <c r="B1261" t="s">
        <v>274</v>
      </c>
      <c r="C1261" t="s">
        <v>701</v>
      </c>
      <c r="D1261" t="s">
        <v>702</v>
      </c>
      <c r="E1261" t="s">
        <v>703</v>
      </c>
      <c r="J1261" t="s">
        <v>274</v>
      </c>
      <c r="K1261" t="s">
        <v>273</v>
      </c>
      <c r="L1261" t="s">
        <v>704</v>
      </c>
      <c r="M1261" t="s">
        <v>705</v>
      </c>
      <c r="P1261" t="s">
        <v>204</v>
      </c>
      <c r="Q1261" t="s">
        <v>706</v>
      </c>
      <c r="R1261" t="s">
        <v>127</v>
      </c>
    </row>
    <row r="1262" spans="2:19" x14ac:dyDescent="0.25">
      <c r="B1262">
        <v>26679</v>
      </c>
      <c r="C1262" t="s">
        <v>707</v>
      </c>
      <c r="D1262" t="s">
        <v>708</v>
      </c>
      <c r="E1262">
        <v>2600</v>
      </c>
      <c r="F1262" s="26" t="s">
        <v>692</v>
      </c>
      <c r="G1262" s="15" t="s">
        <v>129</v>
      </c>
      <c r="J1262">
        <v>26679</v>
      </c>
      <c r="K1262" t="s">
        <v>545</v>
      </c>
      <c r="L1262" t="str">
        <f>VLOOKUP(K1262,$P$1262:$Q$1265,2,FALSE)</f>
        <v>2600-132</v>
      </c>
      <c r="M1262" t="s">
        <v>709</v>
      </c>
      <c r="P1262" t="s">
        <v>487</v>
      </c>
      <c r="Q1262" t="s">
        <v>710</v>
      </c>
      <c r="R1262" s="26" t="s">
        <v>693</v>
      </c>
      <c r="S1262" s="15" t="s">
        <v>129</v>
      </c>
    </row>
    <row r="1263" spans="2:19" x14ac:dyDescent="0.25">
      <c r="B1263">
        <v>27115</v>
      </c>
      <c r="C1263" t="s">
        <v>707</v>
      </c>
      <c r="D1263" t="s">
        <v>708</v>
      </c>
      <c r="E1263">
        <v>2600</v>
      </c>
      <c r="J1263">
        <v>27115</v>
      </c>
      <c r="K1263" t="s">
        <v>456</v>
      </c>
      <c r="L1263" t="str">
        <f t="shared" ref="L1263:L1265" si="59">VLOOKUP(K1263,$P$1262:$Q$1265,2,FALSE)</f>
        <v>2600-051</v>
      </c>
      <c r="M1263" t="s">
        <v>709</v>
      </c>
      <c r="P1263" t="s">
        <v>456</v>
      </c>
      <c r="Q1263" t="s">
        <v>711</v>
      </c>
    </row>
    <row r="1264" spans="2:19" x14ac:dyDescent="0.25">
      <c r="B1264">
        <v>2100176174</v>
      </c>
      <c r="C1264" t="s">
        <v>712</v>
      </c>
      <c r="D1264" t="s">
        <v>708</v>
      </c>
      <c r="E1264">
        <v>2845</v>
      </c>
      <c r="J1264">
        <v>2100176174</v>
      </c>
      <c r="K1264" t="s">
        <v>392</v>
      </c>
      <c r="L1264" t="str">
        <f t="shared" si="59"/>
        <v>2845-000</v>
      </c>
      <c r="M1264" t="s">
        <v>709</v>
      </c>
      <c r="P1264" t="s">
        <v>392</v>
      </c>
      <c r="Q1264" t="s">
        <v>713</v>
      </c>
    </row>
    <row r="1265" spans="2:17" x14ac:dyDescent="0.25">
      <c r="B1265">
        <v>27045</v>
      </c>
      <c r="C1265" t="s">
        <v>714</v>
      </c>
      <c r="D1265" t="s">
        <v>714</v>
      </c>
      <c r="E1265">
        <v>9970</v>
      </c>
      <c r="J1265">
        <v>27045</v>
      </c>
      <c r="K1265" t="s">
        <v>487</v>
      </c>
      <c r="L1265" t="str">
        <f t="shared" si="59"/>
        <v>9970-094 Ponta Delgada</v>
      </c>
      <c r="M1265" t="s">
        <v>709</v>
      </c>
      <c r="P1265" t="s">
        <v>545</v>
      </c>
      <c r="Q1265" t="s">
        <v>715</v>
      </c>
    </row>
  </sheetData>
  <autoFilter ref="B8:W816">
    <filterColumn colId="0">
      <filters>
        <filter val="CONT1;HFS1;B01;MC1005;ORIG4;TYVA01"/>
      </filters>
    </filterColumn>
    <filterColumn colId="21">
      <filters blank="1"/>
    </filterColumn>
  </autoFilter>
  <mergeCells count="3">
    <mergeCell ref="B1260:E1260"/>
    <mergeCell ref="V7:W7"/>
    <mergeCell ref="Y7:Z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4D2904A-AF41-4266-9A54-4E8E5483EC58}"/>
</file>

<file path=customXml/itemProps2.xml><?xml version="1.0" encoding="utf-8"?>
<ds:datastoreItem xmlns:ds="http://schemas.openxmlformats.org/officeDocument/2006/customXml" ds:itemID="{A7FB7335-AFD9-4497-9D4C-CB68905C17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80EE86-574E-46D5-B1F9-0769DF09EA9E}">
  <ds:schemaRefs>
    <ds:schemaRef ds:uri="http://schemas.microsoft.com/office/2006/metadata/properties"/>
    <ds:schemaRef ds:uri="http://schemas.microsoft.com/office/infopath/2007/PartnerControls"/>
    <ds:schemaRef ds:uri="c1fb8f92-2b85-4698-b4e6-d8439f298c5f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340aea95-890d-43fd-a456-8e279056e40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Comparativo Agregado </vt:lpstr>
      <vt:lpstr>Comparativo Agregado  (2)</vt:lpstr>
      <vt:lpstr>Op Gerais - Comparativo</vt:lpstr>
      <vt:lpstr>Adjudicados - Comparativo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 Parreira Vaz Natário</dc:creator>
  <cp:lastModifiedBy>Pedro Miguel Parreira Vaz Natário</cp:lastModifiedBy>
  <dcterms:created xsi:type="dcterms:W3CDTF">2025-07-22T09:48:32Z</dcterms:created>
  <dcterms:modified xsi:type="dcterms:W3CDTF">2025-07-25T15:21:04Z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2025-07-22T09:48:44Z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b219a12d-92b8-458b-9436-15ed3755364d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