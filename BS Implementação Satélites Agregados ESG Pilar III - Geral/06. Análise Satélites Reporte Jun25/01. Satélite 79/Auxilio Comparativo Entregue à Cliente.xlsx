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SatlitesAgregadosESGPilarIII/Shared Documents/Geral/06. Análise Satélites Reporte Jun25/01. Satélite 79/"/>
    </mc:Choice>
  </mc:AlternateContent>
  <xr:revisionPtr revIDLastSave="17" documentId="11_E1E5D0AC230E1F0BD48463D097059858EDE60E89" xr6:coauthVersionLast="47" xr6:coauthVersionMax="47" xr10:uidLastSave="{0500B0BA-964D-465C-811A-9FBA52898FEC}"/>
  <bookViews>
    <workbookView xWindow="15" yWindow="-16320" windowWidth="29040" windowHeight="15720" xr2:uid="{00000000-000D-0000-FFFF-FFFF00000000}"/>
  </bookViews>
  <sheets>
    <sheet name="DiffOther Financial Corporation" sheetId="1" r:id="rId1"/>
    <sheet name="Diff Tangible assets" sheetId="3" r:id="rId2"/>
  </sheets>
  <externalReferences>
    <externalReference r:id="rId3"/>
  </externalReferences>
  <definedNames>
    <definedName name="_xlnm._FilterDatabase" localSheetId="1" hidden="1">'Diff Tangible assets'!$B$431:$O$862</definedName>
    <definedName name="_xlnm._FilterDatabase" localSheetId="0" hidden="1">'DiffOther Financial Corporation'!$A$9:$S$33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P8" i="1"/>
  <c r="D11" i="3"/>
  <c r="D12" i="3" s="1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AA31" i="1"/>
  <c r="AA17" i="1"/>
  <c r="Z18" i="1"/>
  <c r="AA18" i="1" s="1"/>
  <c r="Z33" i="1"/>
  <c r="AA33" i="1" s="1"/>
  <c r="Z32" i="1"/>
  <c r="AA32" i="1" s="1"/>
  <c r="Z30" i="1"/>
  <c r="AA30" i="1" s="1"/>
  <c r="Z29" i="1"/>
  <c r="AA29" i="1" s="1"/>
  <c r="Z28" i="1"/>
  <c r="AA28" i="1" s="1"/>
  <c r="Z27" i="1"/>
  <c r="AA27" i="1" s="1"/>
  <c r="Z26" i="1"/>
  <c r="AA26" i="1" s="1"/>
  <c r="Z25" i="1"/>
  <c r="AA25" i="1" s="1"/>
  <c r="Z24" i="1"/>
  <c r="AA24" i="1" s="1"/>
  <c r="Z23" i="1"/>
  <c r="AA23" i="1" s="1"/>
  <c r="Z22" i="1"/>
  <c r="AA22" i="1" s="1"/>
  <c r="Z21" i="1"/>
  <c r="AA21" i="1" s="1"/>
  <c r="Z20" i="1"/>
  <c r="AA20" i="1" s="1"/>
  <c r="Z19" i="1"/>
  <c r="AA19" i="1" s="1"/>
  <c r="Z16" i="1"/>
  <c r="AA16" i="1" s="1"/>
  <c r="Z15" i="1"/>
  <c r="AA15" i="1" s="1"/>
  <c r="Z14" i="1"/>
  <c r="AA14" i="1" s="1"/>
  <c r="Z13" i="1"/>
  <c r="AA13" i="1" s="1"/>
  <c r="Z12" i="1"/>
  <c r="AA12" i="1" s="1"/>
  <c r="Z11" i="1"/>
  <c r="AA11" i="1" s="1"/>
  <c r="Z10" i="1"/>
  <c r="AA10" i="1" s="1"/>
  <c r="AA34" i="1" l="1"/>
  <c r="AA35" i="1" s="1"/>
</calcChain>
</file>

<file path=xl/sharedStrings.xml><?xml version="1.0" encoding="utf-8"?>
<sst xmlns="http://schemas.openxmlformats.org/spreadsheetml/2006/main" count="8509" uniqueCount="592">
  <si>
    <t>idcomb_satelite</t>
  </si>
  <si>
    <t>cempresa_ct</t>
  </si>
  <si>
    <t>cbalcao_ct</t>
  </si>
  <si>
    <t>cnumecta_ct</t>
  </si>
  <si>
    <t>zdeposit_ct</t>
  </si>
  <si>
    <t>chave</t>
  </si>
  <si>
    <t>amount</t>
  </si>
  <si>
    <t>maturity_esg</t>
  </si>
  <si>
    <t>european_union</t>
  </si>
  <si>
    <t>performing_esg</t>
  </si>
  <si>
    <t>excluded_paris</t>
  </si>
  <si>
    <t>cnael</t>
  </si>
  <si>
    <t>nace_esg</t>
  </si>
  <si>
    <t>investment_sector</t>
  </si>
  <si>
    <t>acute_changes</t>
  </si>
  <si>
    <t>chronic_changes</t>
  </si>
  <si>
    <t>geo</t>
  </si>
  <si>
    <t>Valid_univ</t>
  </si>
  <si>
    <t>Justificação</t>
  </si>
  <si>
    <t>CONT1;HFS2;B01;MC06;ACPF5;SC0302;TYVA01</t>
  </si>
  <si>
    <t>31</t>
  </si>
  <si>
    <t>6416</t>
  </si>
  <si>
    <t>00000000000</t>
  </si>
  <si>
    <t>PTGGM0AM0004000</t>
  </si>
  <si>
    <t>641600000000000PTGGM0AM0004000TYVA01</t>
  </si>
  <si>
    <t>302243.00000000000000000000000000</t>
  </si>
  <si>
    <t>MESG4</t>
  </si>
  <si>
    <t>EU1</t>
  </si>
  <si>
    <t>NULL</t>
  </si>
  <si>
    <t>ACUT2</t>
  </si>
  <si>
    <t>CHRO2</t>
  </si>
  <si>
    <t>GEO3</t>
  </si>
  <si>
    <t>CONT1;HFS2;B01;MC06;ACPF3;SC0302;TYVA01</t>
  </si>
  <si>
    <t>00005800050</t>
  </si>
  <si>
    <t>PTPLGEIM0004000</t>
  </si>
  <si>
    <t>641600005800050PTPLGEIM0004000TYVA01</t>
  </si>
  <si>
    <t>43286.17000000000000000000000000</t>
  </si>
  <si>
    <t>PTNGM0AM0000000</t>
  </si>
  <si>
    <t>641600000000000PTNGM0AM0000000TYVA01</t>
  </si>
  <si>
    <t>296652.31000000000000000000000000</t>
  </si>
  <si>
    <t>00100</t>
  </si>
  <si>
    <t>CMAH</t>
  </si>
  <si>
    <t>AJID0000232</t>
  </si>
  <si>
    <t>400000BI0041100</t>
  </si>
  <si>
    <t>CMAHAJID0000232400000BI0041100TYVA01</t>
  </si>
  <si>
    <t>1.29000000000000000000000000</t>
  </si>
  <si>
    <t>GEO19</t>
  </si>
  <si>
    <t>PTECRCEM0001000</t>
  </si>
  <si>
    <t>641600005800050PTECRCEM0001000TYVA01</t>
  </si>
  <si>
    <t>547935.62000000000000000000000000</t>
  </si>
  <si>
    <t>PTNOFIIE0000000</t>
  </si>
  <si>
    <t>641600005800050PTNOFIIE0000000TYVA01</t>
  </si>
  <si>
    <t>11163168.00000000000000000000000000</t>
  </si>
  <si>
    <t>PTOXYQIM0005000</t>
  </si>
  <si>
    <t>641600005800050PTOXYQIM0005000TYVA01</t>
  </si>
  <si>
    <t>155275.50000000000000000000000000</t>
  </si>
  <si>
    <t>500000BI0041100</t>
  </si>
  <si>
    <t>CMAHAJID0000232500000BI0041100TYVA01</t>
  </si>
  <si>
    <t>0.71000000000000000000000000</t>
  </si>
  <si>
    <t>Não constavam no full a dezembro de 2024.
SELECT *
FROM bu_esg_work.RF_PILAR3_UNIVERSO_FULL
WHERE dt_rfrnc='2024-12-31'
AND concat(cbalcao_ct, cnumecta_ct, zdeposit_ct) in('6416250EUR87690ESP201000015000','CMAHAJID0000232500000BI0041100','CMAHAJID0000232601333BI0041100')</t>
  </si>
  <si>
    <t>PTSIB0AM0008000</t>
  </si>
  <si>
    <t>641600000000000PTSIB0AM0008000TYVA01</t>
  </si>
  <si>
    <t>140000000.00000000000000000000000000</t>
  </si>
  <si>
    <t>PTUNEOAM0016000</t>
  </si>
  <si>
    <t>641600000000000PTUNEOAM0016000TYVA01</t>
  </si>
  <si>
    <t>28000000.00000000000000000000000000</t>
  </si>
  <si>
    <t>200000BI0041100</t>
  </si>
  <si>
    <t>CMAHAJID0000232200000BI0041100TYVA01</t>
  </si>
  <si>
    <t>-0.48000000000000000000000000</t>
  </si>
  <si>
    <t>00005800035</t>
  </si>
  <si>
    <t>PTAGM0AM0007000</t>
  </si>
  <si>
    <t>641600005800035PTAGM0AM0007000TYVA01</t>
  </si>
  <si>
    <t>344579.69000000000000000000000000</t>
  </si>
  <si>
    <t>US92826C7974000</t>
  </si>
  <si>
    <t>641600000000000US92826C7974000TYVA01</t>
  </si>
  <si>
    <t>1289737.34000000000000000000000000</t>
  </si>
  <si>
    <t>EU2</t>
  </si>
  <si>
    <t>GEO2</t>
  </si>
  <si>
    <t>US92826C8212000</t>
  </si>
  <si>
    <t>641600000000000US92826C8212000TYVA01</t>
  </si>
  <si>
    <t>1315706.23000000000000000000000000</t>
  </si>
  <si>
    <t>PTLGR0AM0003000</t>
  </si>
  <si>
    <t>641600000000000PTLGR0AM0003000TYVA01</t>
  </si>
  <si>
    <t>249222.99000000000000000000000000</t>
  </si>
  <si>
    <t>250EUR49710</t>
  </si>
  <si>
    <t>PRT125001915000</t>
  </si>
  <si>
    <t>6416250EUR49710PRT125001915000TYVA01</t>
  </si>
  <si>
    <t>850382.68000000000000000000000000</t>
  </si>
  <si>
    <t/>
  </si>
  <si>
    <t>SC0302</t>
  </si>
  <si>
    <t>CONT1;HFS2;B01;MC08;TYVA01</t>
  </si>
  <si>
    <t>250EUR49560</t>
  </si>
  <si>
    <t>PRT125001115000</t>
  </si>
  <si>
    <t>6416250EUR49560PRT125001115000TYVA01</t>
  </si>
  <si>
    <t>4035000.00000000000000000000000000</t>
  </si>
  <si>
    <t>INVS4</t>
  </si>
  <si>
    <t>250EUR12840</t>
  </si>
  <si>
    <t>IRL202500215000</t>
  </si>
  <si>
    <t>6416250EUR12840IRL202500215000TYVA01</t>
  </si>
  <si>
    <t>38092.38000000000000000000000000</t>
  </si>
  <si>
    <t>GEO18</t>
  </si>
  <si>
    <t>CARG0000000</t>
  </si>
  <si>
    <t>00100C150SC1333</t>
  </si>
  <si>
    <t>CMAHCARG000000000100C150SC1333TYVA01</t>
  </si>
  <si>
    <t>-38154157.00000000000000000000000000</t>
  </si>
  <si>
    <t>PTYIMBHM0004000</t>
  </si>
  <si>
    <t>641600005800050PTYIMBHM0004000TYVA01</t>
  </si>
  <si>
    <t>126877568.04000000000000000000000000</t>
  </si>
  <si>
    <t>250EUR12810</t>
  </si>
  <si>
    <t>6416250EUR12810IRL202500215000TYVA01</t>
  </si>
  <si>
    <t>624867.66000000000000000000000000</t>
  </si>
  <si>
    <t>601333BI0041100</t>
  </si>
  <si>
    <t>CMAHAJID0000232601333BI0041100TYVA01</t>
  </si>
  <si>
    <t>-0.04000000000000000000000000</t>
  </si>
  <si>
    <t>PTGAM0AM0007000</t>
  </si>
  <si>
    <t>641600000000000PTGAM0AM0007000TYVA01</t>
  </si>
  <si>
    <t>3897812.75000000000000000000000000</t>
  </si>
  <si>
    <t>250EUR30450</t>
  </si>
  <si>
    <t>6416250EUR30450IRL202500215000TYVA01</t>
  </si>
  <si>
    <t>450000000.00000000000000000000000000</t>
  </si>
  <si>
    <t>saldo_ct</t>
  </si>
  <si>
    <t>547935.620000</t>
  </si>
  <si>
    <t>467424.190000</t>
  </si>
  <si>
    <t>PTTTFAIM0007000</t>
  </si>
  <si>
    <t>641600005800050PTTTFAIM0007000TYVA01</t>
  </si>
  <si>
    <t>1783800.700000</t>
  </si>
  <si>
    <t>Não existe na CT001 a jun25
SELECT
    cbalcao, 
    cnumecta, 
    zdeposit,
    ccontab_final_pcsb,
    ccontab_final_idcomb,
    msaldo_final
    -- SUM(msaldo_final) AS MSALDO_FINAL
FROM cd_captools.ct001_univ_saldo
-- WHERE REF_DATE='2024-12-31'
WHERE REF_DATE='2025-06-30'
AND concat(cbalcao, cnumecta, zdeposit) in('641600005800050PTPLG8IM0001000','641600005800050PTPL1AIM0000000','6416250EUR33330PRT110000015000','641600005800050PTTTFAIM0007000')
-- GROUP BY 1,2,3,4,5
;</t>
  </si>
  <si>
    <t>924559.660000</t>
  </si>
  <si>
    <t>886666.950000</t>
  </si>
  <si>
    <t>11163168.000000</t>
  </si>
  <si>
    <t>EXC2</t>
  </si>
  <si>
    <t>28000000.000000</t>
  </si>
  <si>
    <t>1259414.380000</t>
  </si>
  <si>
    <t>1234556.550000</t>
  </si>
  <si>
    <t>PTPL1AIM0000000</t>
  </si>
  <si>
    <t>641600005800050PTPL1AIM0000000TYVA01</t>
  </si>
  <si>
    <t>87740.160000</t>
  </si>
  <si>
    <t>0.610000</t>
  </si>
  <si>
    <t>850382.680000</t>
  </si>
  <si>
    <t>43286.170000</t>
  </si>
  <si>
    <t>PTPLG8IM0001000</t>
  </si>
  <si>
    <t>641600005800050PTPLG8IM0001000TYVA01</t>
  </si>
  <si>
    <t>668873.980000</t>
  </si>
  <si>
    <t>-0.410000</t>
  </si>
  <si>
    <t>140000000.000000</t>
  </si>
  <si>
    <t>523978.000000</t>
  </si>
  <si>
    <t>2791027.500000</t>
  </si>
  <si>
    <t>603162BI0041100</t>
  </si>
  <si>
    <t>CMAHAJID0000232603162BI0041100TYVA01</t>
  </si>
  <si>
    <t>0.250000</t>
  </si>
  <si>
    <t>4035000.000000</t>
  </si>
  <si>
    <t>250EUR33330</t>
  </si>
  <si>
    <t>PRT110000015000</t>
  </si>
  <si>
    <t>6416250EUR33330PRT110000015000TYVA01</t>
  </si>
  <si>
    <t>49500.000000</t>
  </si>
  <si>
    <t>3897812.750000</t>
  </si>
  <si>
    <t>-36706144.000000</t>
  </si>
  <si>
    <t>450000000.000000</t>
  </si>
  <si>
    <t>624867.660000</t>
  </si>
  <si>
    <t>38092.380000</t>
  </si>
  <si>
    <t>125397640.030000</t>
  </si>
  <si>
    <t>SALDO Dez24</t>
  </si>
  <si>
    <t>DIFF</t>
  </si>
  <si>
    <t>641600005800050PTTTFAIM0007000TYVA01','641600005800050PTPL1AIM0000000TYVA01','641600005800050PTPLG8IM0001000TYVA01','6416250EUR33330PRT110000015000TYVA01'</t>
  </si>
  <si>
    <t>cod_imovel</t>
  </si>
  <si>
    <t>9001054885a</t>
  </si>
  <si>
    <t>2101343557a</t>
  </si>
  <si>
    <t>2101343557b</t>
  </si>
  <si>
    <t>IMÓVEISEMPRÉ-ABERTURA</t>
  </si>
  <si>
    <t>*somatório dos que não existem</t>
  </si>
  <si>
    <t>Operações Gerais</t>
  </si>
  <si>
    <t>chave_bem</t>
  </si>
  <si>
    <t>Valid</t>
  </si>
  <si>
    <t>Saldo dez</t>
  </si>
  <si>
    <t>Diff</t>
  </si>
  <si>
    <t>CONT1;HFS1;B01;MC1005;ORIG4;TYVA02</t>
  </si>
  <si>
    <t>31CMAHIMOVELGIDAP000000000023730</t>
  </si>
  <si>
    <t>CONT1;HFS1;B01;MC1005;ORIG4;TYVA01</t>
  </si>
  <si>
    <t>31CMAHIMOVELGIDAP000000000023517</t>
  </si>
  <si>
    <t>31CMAHIMOVELGIDAP000000000023548</t>
  </si>
  <si>
    <t>31CMAHIMOVELGIDAP000000000026800</t>
  </si>
  <si>
    <t>31CMAHIMOVELGIDAP000000000023917</t>
  </si>
  <si>
    <t>31CMAHIMOVELGIDAP000000000023645</t>
  </si>
  <si>
    <t>89CMAHIMOVELIFICS000000069025101</t>
  </si>
  <si>
    <t>31CMAHIMOVELGIDAP000000000023587</t>
  </si>
  <si>
    <t>31CMAHIMOVELGIDAP000000000025588</t>
  </si>
  <si>
    <t>31CMAHIMOVELGIDAP000000000019061</t>
  </si>
  <si>
    <t>31CMAHIMOVELGIDAP000000000018545</t>
  </si>
  <si>
    <t>31CMAHIMOVELGIDAP000000000023643</t>
  </si>
  <si>
    <t>31CMAHIMOVELGIDAP000000000024113</t>
  </si>
  <si>
    <t>31CMAHIMOVELGIDAP000000000027129</t>
  </si>
  <si>
    <t>Incremento de no universo de adjudicados
WITH AA AS(
SELECT DISTINCT
    cod_imovel, 
    concat(PROPERTY_BANK_ID, PROPERTY_BRANCH_CODE,PROPERTY_CONTRACT_ID, PROPERTY_REFERENCE_CODE) AS CHAVE_BEM_2
FROM 
    (
    SELECT
        cod_imovel,
        '31' as PROPERTY_BANK_ID,
        'CMAH' AS PROPERTY_BRANCH_CODE, 
        'IMOVELGIDAP' AS PROPERTY_CONTRACT_ID,
        replace(upper(lpad(COD_IMOVEL,15,'0')),' ', '0') AS PROPERTY_REFERENCE_CODE
    FROM cd_captools.ct666_adjudic_propr
    WHERE ref_date='${REF_DATE}'
    AND V_CONTAB_IFRS IN('199100240', '19910000', '1910000', '199100200', '199100210', '19910001', '1910008', '199100201', '199100211', '199100241')
    UNION ALL
    SELECT
        n_cliente AS COD_IMOVEL,
        '31' AS property_bank_id , 
        'CMAH' AS PROPERTY_BRANCH_CODE, 
        'IMOVELRECUP' AS PROPERTY_CONTRACT_ID,
        lpad(replace( replace( replace( concat( ifnull(upper(n_processo_tc), ''), concat( upper( trim(artigo_matricial) ), concat( ifnull(upper(n_cliente), ''), ifnull(upper(origem), '') ))), '_', '0' ), ' ', '0' ), chr(10), '0' ),15,'0') as property_reference_code
    FROM cd_captools.ct667_dacoes_arrem
    WHERE ref_date='${REF_DATE}'
    AND V_CONTAB_IFRS IN('199100240', '19910000', '1910000', '199100200', '199100210', '19910001', '1910008', '199100201', '199100211', '199100241')
    UNION ALL
    SELECT
        n_imovel AS COD_IMOVEL,
        '89' AS property_bank_id , 
        'CMAH' AS PROPERTY_BRANCH_CODE, 
        'IMOVELIFICS' AS PROPERTY_CONTRACT_ID,
        lpad(n_imovel,15,'0') AS PROPERTY_REFERENCE_CODE
    FROM cd_captools.ct668_imoveis_ific
    WHERE ref_date='${REF_DATE}'
    AND V_CONTAB_IFRS IN('199100240', '19910000', '1910000', '199100200', '199100210', '19910001', '1910008', '199100201', '199100211', '199100241')
    ) ADJUD_INPUTS
)
SELECT *
FROM AA
WHERE CHAVE_BEM_2 IN('31CMAHIMOVELGIDAP000000000027129','31CMAHIMOVELGIDAP000000000027152','31CMAHIMOVELGIDAP000000000027117','31CMAHIMOVELGIDAP000000000027170','31CMAHIMOVELGIDAP000000000027167','31CMAHIMOVELGIDAP000000000027168','31CMAHIMOVELGIDAP000000000027143','31CMAHIMOVELGIDAP000000000027169','31CMAHIMOVELGIDAP000000000027150','31CMAHIMOVELRECUPTC0118780202223','31CMAHIMOVELGIDAP000000000027147','31CMAHIMOVELGIDAP000000000027096','31CMAHIMOVELGIDAP000000000027172','31CMAHIMOVELRECUPTC0109921020173','31CMAHIMOVELGIDAP000000000027149','31CMAHIMOVELGIDAP000000000027130','31CMAHIMOVELGIDAP000000000027153','31CMAHIMOVELGIDAP000000000027157','31CMAHIMOVELGIDAP000000000027171','31CMAHIMOVELRECUPTC0199202017202','31CMAHIMOVELRECUPTC0199202017204','31CMAHIMOVELGIDAP0IMOV0PRE0ABERT','31CMAHIMOVELRECUPTC0199202017205','31CMAHIMOVELGIDAP000000000027142','31CMAHIMOVELGIDAP000000000027151','31CMAHIMOVELGIDAP000000000027148','89CMAHIMOVELIFICS000000001010263','31CMAHIMOVELRECUPTC0199202017203','31CMAHIMOVELRECUPTC0199202017376','89CMAHIMOVELIFICS000000069016611','31CMAHIMOVELGIDAP000000000027116','31CMAHIMOVELGIDAP000000000027127')</t>
  </si>
  <si>
    <t>31CMAHIMOVELRECUPTC7081642009796</t>
  </si>
  <si>
    <t>31CMAHIMOVELGIDAP000000000023669</t>
  </si>
  <si>
    <t>31CMAHIMOVELGIDAP000000000027152</t>
  </si>
  <si>
    <t>31CMAHIMOVELGIDAP000000000023549</t>
  </si>
  <si>
    <t>31CMAHIMOVELRECUPTC7081622010837</t>
  </si>
  <si>
    <t>31CMAHIMOVELGIDAP000000000023575</t>
  </si>
  <si>
    <t>31CMAHIMOVELGIDAP000000000027117</t>
  </si>
  <si>
    <t>31CMAHIMOVELGIDAP000000000027109</t>
  </si>
  <si>
    <t>31CMAHIMOVELGIDAP000000000027170</t>
  </si>
  <si>
    <t>31CMAHIMOVELRECUPRE0284872013110</t>
  </si>
  <si>
    <t>31CMAHIMOVELGIDAP000000000026378</t>
  </si>
  <si>
    <t>31CMAHIMOVELGIDAP000000000023540</t>
  </si>
  <si>
    <t>31CMAHIMOVELGIDAP000000000023581</t>
  </si>
  <si>
    <t>31CMAHIMOVELGIDAP000000000023665</t>
  </si>
  <si>
    <t>31CMAHIMOVELGIDAP000000000023938</t>
  </si>
  <si>
    <t>31CMAHIMOVELGIDAP000000000019502</t>
  </si>
  <si>
    <t>31CMAHIMOVELGIDAP000000000023654</t>
  </si>
  <si>
    <t>31CMAHIMOVELGIDAP000000000023487</t>
  </si>
  <si>
    <t>31CMAHIMOVELGIDAP000000000023530</t>
  </si>
  <si>
    <t>31CMAHIMOVELGIDAP000000000023651</t>
  </si>
  <si>
    <t>31CMAHIMOVELGIDAP000000000024175</t>
  </si>
  <si>
    <t>31CMAHIMOVELGIDAP000000000025696</t>
  </si>
  <si>
    <t>31CMAHIMOVELGIDAP000000000023501</t>
  </si>
  <si>
    <t>31CMAHIMOVELRECUPTC0141772015329</t>
  </si>
  <si>
    <t>31CMAHIMOVELGIDAP000000000023593</t>
  </si>
  <si>
    <t>31CMAHIMOVELGIDAP000000000023720</t>
  </si>
  <si>
    <t>31CMAHIMOVELRECUPTC7033182007884</t>
  </si>
  <si>
    <t>31CMAHIMOVELGIDAP000000000025694</t>
  </si>
  <si>
    <t>31CMAHIMOVELGIDAP000000000025695</t>
  </si>
  <si>
    <t>31CMAHIMOVELGIDAP000000000023554</t>
  </si>
  <si>
    <t>31CMAHIMOVELGIDAP000000000026977</t>
  </si>
  <si>
    <t>31CMAHIMOVELGIDAP000000000027074</t>
  </si>
  <si>
    <t>31CMAHIMOVELGIDAP000000000023555</t>
  </si>
  <si>
    <t>89CMAHIMOVELIFICS000000001010675</t>
  </si>
  <si>
    <t>31CMAHIMOVELRECUPTC7057092012228</t>
  </si>
  <si>
    <t>31CMAHIMOVELGIDAP000000000023529</t>
  </si>
  <si>
    <t>31CMAHIMOVELGIDAP000000000018477</t>
  </si>
  <si>
    <t>31CMAHIMOVELGIDAP000000000023541</t>
  </si>
  <si>
    <t>31CMAHIMOVELRECUPRE0148132018426</t>
  </si>
  <si>
    <t>31CMAHIMOVELRECUP9288009161420BS</t>
  </si>
  <si>
    <t>31CMAHIMOVELGIDAP000000000023614</t>
  </si>
  <si>
    <t>31CMAHIMOVELGIDAP000000000023542</t>
  </si>
  <si>
    <t>31CMAHIMOVELGIDAP000000000023667</t>
  </si>
  <si>
    <t>31CMAHIMOVELGIDAP000000000025698</t>
  </si>
  <si>
    <t>31CMAHIMOVELGIDAP000000000023498</t>
  </si>
  <si>
    <t>31CMAHIMOVELGIDAP000000000015141</t>
  </si>
  <si>
    <t>31CMAHIMOVELGIDAP000000000027167</t>
  </si>
  <si>
    <t>31CMAHIMOVELGIDAP000000000003221</t>
  </si>
  <si>
    <t>31CMAHIMOVELRECUPRE0151852013647</t>
  </si>
  <si>
    <t>31CMAHIMOVELGIDAP000000000023568</t>
  </si>
  <si>
    <t>31CMAHIMOVELRECUP41608030275314B</t>
  </si>
  <si>
    <t>31CMAHIMOVELGIDAP000000000007351</t>
  </si>
  <si>
    <t>31CMAHIMOVELGIDAP000000000027168</t>
  </si>
  <si>
    <t>31CMAHIMOVELGIDAP000000000023525</t>
  </si>
  <si>
    <t>31CMAHIMOVELRECUPTC0345092019115</t>
  </si>
  <si>
    <t>31CMAHIMOVELGIDAP000000000027006</t>
  </si>
  <si>
    <t>31CMAHIMOVELGIDAP000000000023602</t>
  </si>
  <si>
    <t>31CMAHIMOVELGIDAP000000000023632</t>
  </si>
  <si>
    <t>31CMAHIMOVELGIDAP000000000025679</t>
  </si>
  <si>
    <t>31CMAHIMOVELGIDAP000000000023583</t>
  </si>
  <si>
    <t>31CMAHIMOVELGIDAP000000000018760</t>
  </si>
  <si>
    <t>31CMAHIMOVELGIDAP000000000025700</t>
  </si>
  <si>
    <t>31CMAHIMOVELGIDAP000000000023571</t>
  </si>
  <si>
    <t>31CMAHIMOVELGIDAP000000000023488</t>
  </si>
  <si>
    <t>31CMAHIMOVELGIDAP000000000023513</t>
  </si>
  <si>
    <t>31CMAHIMOVELGIDAP000000000023589</t>
  </si>
  <si>
    <t>31CMAHIMOVELGIDAP000000000023792</t>
  </si>
  <si>
    <t>31CMAHIMOVELGIDAP000000000023524</t>
  </si>
  <si>
    <t>31CMAHIMOVELGIDAP000000000023532</t>
  </si>
  <si>
    <t>31CMAHIMOVELGIDAP000000000023656</t>
  </si>
  <si>
    <t>31CMAHIMOVELGIDAP000000000023618</t>
  </si>
  <si>
    <t>31CMAHIMOVELGIDAP000000000023635</t>
  </si>
  <si>
    <t>31CMAHIMOVELGIDAP000000000023639</t>
  </si>
  <si>
    <t>31CMAHIMOVELGIDAP000000000027114</t>
  </si>
  <si>
    <t>31CMAHIMOVELGIDAP000000000019594</t>
  </si>
  <si>
    <t>31CMAHIMOVELGIDAP000000000023559</t>
  </si>
  <si>
    <t>31CMAHIMOVELGIDAP000000000023485</t>
  </si>
  <si>
    <t>31CMAHIMOVELRECUPTC0159542022132</t>
  </si>
  <si>
    <t>31CMAHIMOVELGIDAP000000000023490</t>
  </si>
  <si>
    <t>31CMAHIMOVELGIDAP000000000023493</t>
  </si>
  <si>
    <t>31CMAHIMOVELGIDAP000000000023653</t>
  </si>
  <si>
    <t>31CMAHIMOVELGIDAP000000000023619</t>
  </si>
  <si>
    <t>31CMAHIMOVELGIDAP000000000023620</t>
  </si>
  <si>
    <t>31CMAHIMOVELGIDAP000000000023591</t>
  </si>
  <si>
    <t>31CMAHIMOVELGIDAP000000000000949</t>
  </si>
  <si>
    <t>31CMAHIMOVELGIDAP000000000027143</t>
  </si>
  <si>
    <t>31CMAHIMOVELGIDAP000000000023630</t>
  </si>
  <si>
    <t>31CMAHIMOVELGIDAP000000000023563</t>
  </si>
  <si>
    <t>31CMAHIMOVELGIDAP000000000023504</t>
  </si>
  <si>
    <t>31CMAHIMOVELGIDAP000000000023609</t>
  </si>
  <si>
    <t>31CMAHIMOVELGIDAP000000000017261</t>
  </si>
  <si>
    <t>31CMAHIMOVELGIDAP000000000023509</t>
  </si>
  <si>
    <t>31CMAHIMOVELGIDAP000000000023636</t>
  </si>
  <si>
    <t>31CMAHIMOVELGIDAP000000000023631</t>
  </si>
  <si>
    <t>31CMAHIMOVELGIDAP000000000007346</t>
  </si>
  <si>
    <t>31CMAHIMOVELGIDAP000000000023608</t>
  </si>
  <si>
    <t>31CMAHIMOVELGIDAP000000000023573</t>
  </si>
  <si>
    <t>31CMAHIMOVELGIDAP000000000025702</t>
  </si>
  <si>
    <t>31CMAHIMOVELGIDAP000000000023491</t>
  </si>
  <si>
    <t>31CMAHIMOVELGIDAP000000000023601</t>
  </si>
  <si>
    <t>31CMAHIMOVELGIDAP000000000023648</t>
  </si>
  <si>
    <t>31CMAHIMOVELRECUPTC9002242003575</t>
  </si>
  <si>
    <t>31CMAHIMOVELGIDAP000000000025701</t>
  </si>
  <si>
    <t>31CMAHIMOVELGIDAP000000000023557</t>
  </si>
  <si>
    <t>31CMAHIMOVELGIDAP000000000027169</t>
  </si>
  <si>
    <t>31CMAHIMOVELGIDAP000000000023547</t>
  </si>
  <si>
    <t>31CMAHIMOVELGIDAP000000000023606</t>
  </si>
  <si>
    <t>31CMAHIMOVELGIDAP000000000018102</t>
  </si>
  <si>
    <t>31CMAHIMOVELGIDAP000000000023512</t>
  </si>
  <si>
    <t>31CMAHIMOVELGIDAP000000000025706</t>
  </si>
  <si>
    <t>31CMAHIMOVELGIDAP000000000019156</t>
  </si>
  <si>
    <t>31CMAHIMOVELGIDAP000000000023533</t>
  </si>
  <si>
    <t>31CMAHIMOVELGIDAP000000000023610</t>
  </si>
  <si>
    <t>31CMAHIMOVELGIDAP000000000023565</t>
  </si>
  <si>
    <t>31CMAHIMOVELRECUPTC7058462012795</t>
  </si>
  <si>
    <t>31CMAHIMOVELGIDAP000000000023484</t>
  </si>
  <si>
    <t>31CMAHIMOVELGIDAP000000000023627</t>
  </si>
  <si>
    <t>31CMAHIMOVELGIDAP000000000023522</t>
  </si>
  <si>
    <t>31CMAHIMOVELGIDAP000000000023520</t>
  </si>
  <si>
    <t>31CMAHIMOVELGIDAP000000000025684</t>
  </si>
  <si>
    <t>31CMAHIMOVELGIDAP000000000023505</t>
  </si>
  <si>
    <t>31CMAHIMOVELGIDAP000000000023544</t>
  </si>
  <si>
    <t>31CMAHIMOVELGIDAP000000000027136</t>
  </si>
  <si>
    <t>31CMAHIMOVELRECUPTC0124042014287</t>
  </si>
  <si>
    <t>31CMAHIMOVELGIDAP000000000025680</t>
  </si>
  <si>
    <t>31CMAHIMOVELGIDAP000000000023569</t>
  </si>
  <si>
    <t>31CMAHIMOVELRECUPRE0131032022627</t>
  </si>
  <si>
    <t>31CMAHIMOVELGIDAP000000000026051</t>
  </si>
  <si>
    <t>31CMAHIMOVELGIDAP000000000023497</t>
  </si>
  <si>
    <t>31CMAHIMOVELGIDAP000000000027150</t>
  </si>
  <si>
    <t>31CMAHIMOVELRECUPTC0118780202223</t>
  </si>
  <si>
    <t>31CMAHIMOVELGIDAP000000000024738</t>
  </si>
  <si>
    <t>31CMAHIMOVELGIDAP000000000023791</t>
  </si>
  <si>
    <t>31CMAHIMOVELGIDAP000000000026399</t>
  </si>
  <si>
    <t>31CMAHIMOVELGIDAP000000000023534</t>
  </si>
  <si>
    <t>31CMAHIMOVELGIDAP000000000023560</t>
  </si>
  <si>
    <t>31CMAHIMOVELGIDAP000000000025692</t>
  </si>
  <si>
    <t>31CMAHIMOVELGIDAP000000000023503</t>
  </si>
  <si>
    <t>31CMAHIMOVELGIDAP000000000023566</t>
  </si>
  <si>
    <t>89CMAHIMOVELIFICS000000006961494</t>
  </si>
  <si>
    <t>31CMAHIMOVELGIDAP000000000023588</t>
  </si>
  <si>
    <t>31CMAHIMOVELGIDAP000000000026045</t>
  </si>
  <si>
    <t>31CMAHIMOVELGIDAP000000000027147</t>
  </si>
  <si>
    <t>31CMAHIMOVELGIDAP000000000023507</t>
  </si>
  <si>
    <t>31CMAHIMOVELRECUPTC8034122008107</t>
  </si>
  <si>
    <t>31CMAHIMOVELRECUPTC2876720211172</t>
  </si>
  <si>
    <t>31CMAHIMOVELGIDAP000000000023528</t>
  </si>
  <si>
    <t>31CMAHIMOVELGIDAP000000000023613</t>
  </si>
  <si>
    <t>31CMAHIMOVELGIDAP000000000023580</t>
  </si>
  <si>
    <t>31CMAHIMOVELGIDAP000000000025685</t>
  </si>
  <si>
    <t>31CMAHIMOVELGIDAP000000000023521</t>
  </si>
  <si>
    <t>31CMAHIMOVELGIDAP000000000020789</t>
  </si>
  <si>
    <t>31CMAHIMOVELGIDAP000000000023537</t>
  </si>
  <si>
    <t>31CMAHIMOVELGIDAP000000000023788</t>
  </si>
  <si>
    <t>31CMAHIMOVELRECUPTC0347432015530</t>
  </si>
  <si>
    <t>31CMAHIMOVELGIDAP000000000027026</t>
  </si>
  <si>
    <t>31CMAHIMOVELGIDAP000000000026784</t>
  </si>
  <si>
    <t>31CMAHIMOVELRECUPRE0349132016196</t>
  </si>
  <si>
    <t>31CMAHIMOVELGIDAP000000000027096</t>
  </si>
  <si>
    <t>31CMAHIMOVELGIDAP000000000025690</t>
  </si>
  <si>
    <t>31CMAHIMOVELGIDAP000000000023616</t>
  </si>
  <si>
    <t>31CMAHIMOVELGIDAP000000000023577</t>
  </si>
  <si>
    <t>31CMAHIMOVELGIDAP000000000023499</t>
  </si>
  <si>
    <t>31CMAHIMOVELGIDAP000000000003301</t>
  </si>
  <si>
    <t>31CMAHIMOVELGIDAP000000000019503</t>
  </si>
  <si>
    <t>31CMAHIMOVELGIDAP000000000027115</t>
  </si>
  <si>
    <t>31CMAHIMOVELGIDAP000000000007383</t>
  </si>
  <si>
    <t>31CMAHIMOVELGIDAP000000000027172</t>
  </si>
  <si>
    <t>31CMAHIMOVELGIDAP000000000023539</t>
  </si>
  <si>
    <t>31CMAHIMOVELGIDAP000000000025688</t>
  </si>
  <si>
    <t>31CMAHIMOVELGIDAP000000000023661</t>
  </si>
  <si>
    <t>31CMAHIMOVELGIDAP000000000023663</t>
  </si>
  <si>
    <t>31CMAHIMOVELGIDAP000000000023603</t>
  </si>
  <si>
    <t>31CMAHIMOVELGIDAP000000000023646</t>
  </si>
  <si>
    <t>31CMAHIMOVELGIDAP000000000023570</t>
  </si>
  <si>
    <t>31CMAHIMOVELGIDAP000000000023514</t>
  </si>
  <si>
    <t>31CMAHIMOVELGIDAP000000000023592</t>
  </si>
  <si>
    <t>31CMAHIMOVELGIDAP000000000023641</t>
  </si>
  <si>
    <t>31CMAHIMOVELGIDAP000000000025707</t>
  </si>
  <si>
    <t>31CMAHIMOVELGIDAP000000000007378</t>
  </si>
  <si>
    <t>31CMAHIMOVELGIDAP000000000023545</t>
  </si>
  <si>
    <t>31CMAHIMOVELGIDAP000000000026381</t>
  </si>
  <si>
    <t>31CMAHIMOVELGIDAP000000000023558</t>
  </si>
  <si>
    <t>31CMAHIMOVELGIDAP000000000023657</t>
  </si>
  <si>
    <t>31CMAHIMOVELGIDAP000000000023564</t>
  </si>
  <si>
    <t>31CMAHIMOVELRECUPTC0109921020173</t>
  </si>
  <si>
    <t>31CMAHIMOVELGIDAP000000000023617</t>
  </si>
  <si>
    <t>31CMAHIMOVELGIDAP000000000024279</t>
  </si>
  <si>
    <t>31CMAHIMOVELGIDAP000000000023508</t>
  </si>
  <si>
    <t>31CMAHIMOVELGIDAP000000000023658</t>
  </si>
  <si>
    <t>31CMAHIMOVELGIDAP000000000027125</t>
  </si>
  <si>
    <t>31CMAHIMOVELGIDAP000000000023551</t>
  </si>
  <si>
    <t>31CMAHIMOVELGIDAP000000000023486</t>
  </si>
  <si>
    <t>31CMAHIMOVELGIDAP000000000023622</t>
  </si>
  <si>
    <t>31CMAHIMOVELGIDAP000000000027145</t>
  </si>
  <si>
    <t>31CMAHIMOVELGIDAP000000000023670</t>
  </si>
  <si>
    <t>31CMAHIMOVELGIDAP000000000027045</t>
  </si>
  <si>
    <t>31CMAHIMOVELGIDAP000000000025705</t>
  </si>
  <si>
    <t>31CMAHIMOVELGIDAP000000000023519</t>
  </si>
  <si>
    <t>31CMAHIMOVELRECUPRE0382682013547</t>
  </si>
  <si>
    <t>31CMAHIMOVELGIDAP000000000027149</t>
  </si>
  <si>
    <t>31CMAHIMOVELGIDAP000000000023655</t>
  </si>
  <si>
    <t>31CMAHIMOVELGIDAP000000000023492</t>
  </si>
  <si>
    <t>31CMAHIMOVELGIDAP000000000012230</t>
  </si>
  <si>
    <t>31CMAHIMOVELGIDAP000000000023562</t>
  </si>
  <si>
    <t>31CMAHIMOVELGIDAP000000000023518</t>
  </si>
  <si>
    <t>31CMAHIMOVELGIDAP000000000026511</t>
  </si>
  <si>
    <t>31CMAHIMOVELGIDAP000000000027082</t>
  </si>
  <si>
    <t>31CMAHIMOVELGIDAP000000000023550</t>
  </si>
  <si>
    <t>31CMAHIMOVELGIDAP000000000023494</t>
  </si>
  <si>
    <t>31CMAHIMOVELGIDAP000000000027103</t>
  </si>
  <si>
    <t>31CMAHIMOVELGIDAP000000000023634</t>
  </si>
  <si>
    <t>31CMAHIMOVELGIDAP000000000024378</t>
  </si>
  <si>
    <t>31CMAHIMOVELGIDAP000000000023652</t>
  </si>
  <si>
    <t>31CMAHIMOVELGIDAP000000000023538</t>
  </si>
  <si>
    <t>31CMAHIMOVELGIDAP000000000026050</t>
  </si>
  <si>
    <t>31CMAHIMOVELGIDAP000000000015975</t>
  </si>
  <si>
    <t>31CMAHIMOVELGIDAP000000000027130</t>
  </si>
  <si>
    <t>31CMAHIMOVELGIDAP000000000027078</t>
  </si>
  <si>
    <t>31CMAHIMOVELGIDAP000000000024280</t>
  </si>
  <si>
    <t>31CMAHIMOVELGIDAP000000000025699</t>
  </si>
  <si>
    <t>31CMAHIMOVELGIDAP000000000023666</t>
  </si>
  <si>
    <t>31CMAHIMOVELGIDAP000000000023526</t>
  </si>
  <si>
    <t>31CMAHIMOVELGIDAP000000000023625</t>
  </si>
  <si>
    <t>31CMAHIMOVELGIDAP000000000023572</t>
  </si>
  <si>
    <t>31CMAHIMOVELGIDAP000000000026902</t>
  </si>
  <si>
    <t>31CMAHIMOVELGIDAP000000000023997</t>
  </si>
  <si>
    <t>31CMAHIMOVELGIDAP000000000023638</t>
  </si>
  <si>
    <t>31CMAHIMOVELGIDAP000000000016870</t>
  </si>
  <si>
    <t>31CMAHIMOVELGIDAP000000000023523</t>
  </si>
  <si>
    <t>31CMAHIMOVELGIDAP000000000027043</t>
  </si>
  <si>
    <t>31CMAHIMOVELGIDAP000000000016976</t>
  </si>
  <si>
    <t>31CMAHIMOVELGIDAP000000000023496</t>
  </si>
  <si>
    <t>31CMAHIMOVELGIDAP000000000023594</t>
  </si>
  <si>
    <t>31CMAHIMOVELGIDAP000000000023511</t>
  </si>
  <si>
    <t>31CMAHIMOVELGIDAP000000000024019</t>
  </si>
  <si>
    <t>31CMAHIMOVELGIDAP000000000007353</t>
  </si>
  <si>
    <t>31CMAHIMOVELGIDAP000000000022432</t>
  </si>
  <si>
    <t>31CMAHIMOVELGIDAP000000000023552</t>
  </si>
  <si>
    <t>31CMAHIMOVELGIDAP000000000027153</t>
  </si>
  <si>
    <t>31CMAHIMOVELGIDAP000000000018101</t>
  </si>
  <si>
    <t>31CMAHIMOVELGIDAP000000000023976</t>
  </si>
  <si>
    <t>31CMAHIMOVELGIDAP000000000025689</t>
  </si>
  <si>
    <t>31CMAHIMOVELGIDAP000000000023502</t>
  </si>
  <si>
    <t>31CMAHIMOVELGIDAP000000000023621</t>
  </si>
  <si>
    <t>31CMAHIMOVELGIDAP000000000027141</t>
  </si>
  <si>
    <t>31CMAHIMOVELGIDAP000000000002435</t>
  </si>
  <si>
    <t>31CMAHIMOVELRECUPRE0148162015100</t>
  </si>
  <si>
    <t>31CMAHIMOVELGIDAP000000000023598</t>
  </si>
  <si>
    <t>31CMAHIMOVELGIDAP000000000023612</t>
  </si>
  <si>
    <t>31CMAHIMOVELGIDAP000000000019283</t>
  </si>
  <si>
    <t>31CMAHIMOVELGIDAP000000000019370</t>
  </si>
  <si>
    <t>31CMAHIMOVELGIDAP000000000024166</t>
  </si>
  <si>
    <t>31CMAHIMOVELRECUP38189002101516B</t>
  </si>
  <si>
    <t>31CMAHIMOVELGIDAP000000000026679</t>
  </si>
  <si>
    <t>31CMAHIMOVELGIDAP000000000027146</t>
  </si>
  <si>
    <t>31CMAHIMOVELRECUP25188010464178B</t>
  </si>
  <si>
    <t>31CMAHIMOVELGIDAP000000000023515</t>
  </si>
  <si>
    <t>31CMAHIMOVELGIDAP000000000023778</t>
  </si>
  <si>
    <t>31CMAHIMOVELGIDAP000000000023574</t>
  </si>
  <si>
    <t>31CMAHIMOVELGIDAP000000000027061</t>
  </si>
  <si>
    <t>31CMAHIMOVELGIDAP000000000023546</t>
  </si>
  <si>
    <t>31CMAHIMOVELGIDAP000000000023650</t>
  </si>
  <si>
    <t>31CMAHIMOVELGIDAP000000000023662</t>
  </si>
  <si>
    <t>31CMAHIMOVELGIDAP000000000027157</t>
  </si>
  <si>
    <t>31CMAHIMOVELGIDAP000000000023604</t>
  </si>
  <si>
    <t>31CMAHIMOVELGIDAP000000000023582</t>
  </si>
  <si>
    <t>31CMAHIMOVELGIDAP000000000008264</t>
  </si>
  <si>
    <t>31CMAHIMOVELGIDAP000000000025681</t>
  </si>
  <si>
    <t>31CMAHIMOVELGIDAP000000000025693</t>
  </si>
  <si>
    <t>31CMAHIMOVELGIDAP000000000027118</t>
  </si>
  <si>
    <t>31CMAHIMOVELGIDAP000000000027171</t>
  </si>
  <si>
    <t>31CMAHIMOVELGIDAP000000000023586</t>
  </si>
  <si>
    <t>31CMAHIMOVELGIDAP000000000023567</t>
  </si>
  <si>
    <t>31CMAHIMOVELGIDAP000000000023506</t>
  </si>
  <si>
    <t>31CMAHIMOVELGIDAP000000000025602</t>
  </si>
  <si>
    <t>31CMAHIMOVELGIDAP000000000023644</t>
  </si>
  <si>
    <t>31CMAHIMOVELGIDAP000000000026401</t>
  </si>
  <si>
    <t>31CMAHIMOVELGIDAP000000000023584</t>
  </si>
  <si>
    <t>31CMAHIMOVELGIDAP000000000023642</t>
  </si>
  <si>
    <t>31CMAHIMOVELRECUPU055010R064BAPO</t>
  </si>
  <si>
    <t>31CMAHIMOVELGIDAP000000000023553</t>
  </si>
  <si>
    <t>31CMAHIMOVELRECUPRE0331722014435</t>
  </si>
  <si>
    <t>31CMAHIMOVELGIDAP000000000024233</t>
  </si>
  <si>
    <t>31CMAHIMOVELGIDAP000000000023664</t>
  </si>
  <si>
    <t>31CMAHIMOVELRECUPTC0199202017202</t>
  </si>
  <si>
    <t>31CMAHIMOVELGIDAP000000000023495</t>
  </si>
  <si>
    <t>31CMAHIMOVELGIDAP000000000026777</t>
  </si>
  <si>
    <t>31CMAHIMOVELGIDAP000000000023615</t>
  </si>
  <si>
    <t>31CMAHIMOVELRECUPTC0199202017204</t>
  </si>
  <si>
    <t>31CMAHIMOVELRECUP29687400168683B</t>
  </si>
  <si>
    <t>31CMAHIMOVELGIDAP000000000023668</t>
  </si>
  <si>
    <t>31CMAHIMOVELGIDAP000000000025682</t>
  </si>
  <si>
    <t>31CMAHIMOVELGIDAP000000000027106</t>
  </si>
  <si>
    <t>31CMAHIMOVELGIDAP000000000023348</t>
  </si>
  <si>
    <t>31CMAHIMOVELGIDAP000000000023527</t>
  </si>
  <si>
    <t>31CMAHIMOVELGIDAP000000000025683</t>
  </si>
  <si>
    <t>31CMAHIMOVELGIDAP0IMOV0PRE0ABERT</t>
  </si>
  <si>
    <t>IMOV PRE ABERT</t>
  </si>
  <si>
    <t>31CMAHIMOVELGIDAP000000000023872</t>
  </si>
  <si>
    <t>31CMAHIMOVELGIDAP000000000026926</t>
  </si>
  <si>
    <t>31CMAHIMOVELGIDAP000000000023626</t>
  </si>
  <si>
    <t>31CMAHIMOVELGIDAP000000000023607</t>
  </si>
  <si>
    <t>31CMAHIMOVELGIDAP000000000002090</t>
  </si>
  <si>
    <t>31CMAHIMOVELGIDAP000000000023489</t>
  </si>
  <si>
    <t>31CMAHIMOVELGIDAP000000000027080</t>
  </si>
  <si>
    <t>31CMAHIMOVELRECUPTC0199202017205</t>
  </si>
  <si>
    <t>31CMAHIMOVELGIDAP000000000025704</t>
  </si>
  <si>
    <t>31CMAHIMOVELGIDAP000000000002665</t>
  </si>
  <si>
    <t>31CMAHIMOVELGIDAP000000000023605</t>
  </si>
  <si>
    <t>31CMAHIMOVELGIDAP000000000023628</t>
  </si>
  <si>
    <t>31CMAHIMOVELGIDAP000000000023685</t>
  </si>
  <si>
    <t>31CMAHIMOVELGIDAP000000000023556</t>
  </si>
  <si>
    <t>31CMAHIMOVELGIDAP000000000027036</t>
  </si>
  <si>
    <t>31CMAHIMOVELGIDAP000000000027142</t>
  </si>
  <si>
    <t>31CMAHIMOVELGIDAP000000000026978</t>
  </si>
  <si>
    <t>31CMAHIMOVELGIDAP000000000025686</t>
  </si>
  <si>
    <t>31CMAHIMOVELGIDAP000000000023531</t>
  </si>
  <si>
    <t>31CMAHIMOVELGIDAP000000000027151</t>
  </si>
  <si>
    <t>31CMAHIMOVELGIDAP000000000023596</t>
  </si>
  <si>
    <t>31CMAHIMOVELGIDAP000000000023660</t>
  </si>
  <si>
    <t>31CMAHIMOVELGIDAP000000000023578</t>
  </si>
  <si>
    <t>31CMAHIMOVELGIDAP000000000023694</t>
  </si>
  <si>
    <t>31CMAHIMOVELGIDAP000000000026536</t>
  </si>
  <si>
    <t>31CMAHIMOVELGIDAP000000000027148</t>
  </si>
  <si>
    <t>89CMAHIMOVELIFICS000000001010263</t>
  </si>
  <si>
    <t>31CMAHIMOVELGIDAP000000000023633</t>
  </si>
  <si>
    <t>31CMAHIMOVELRECUPTC0199202017203</t>
  </si>
  <si>
    <t>31CMAHIMOVELGIDAP000000000027007</t>
  </si>
  <si>
    <t>31CMAHIMOVELGIDAP000000000023595</t>
  </si>
  <si>
    <t>31CMAHIMOVELRECUPTC0199202017376</t>
  </si>
  <si>
    <t>89CMAHIMOVELIFICS000000069016611</t>
  </si>
  <si>
    <t>31CMAHIMOVELGIDAP000000000001539</t>
  </si>
  <si>
    <t>31CMAHIMOVELGIDAP000000000018272</t>
  </si>
  <si>
    <t>31CMAHIMOVELGIDAP000000000026510</t>
  </si>
  <si>
    <t>31CMAHIMOVELGIDAP000000000019368</t>
  </si>
  <si>
    <t>31CMAHIMOVELGIDAP000000000012024</t>
  </si>
  <si>
    <t>31CMAHIMOVELGIDAP000000000023623</t>
  </si>
  <si>
    <t>31CMAHIMOVELGIDAP000000000025697</t>
  </si>
  <si>
    <t>31CMAHIMOVELGIDAP000000000027144</t>
  </si>
  <si>
    <t>31CMAHIMOVELGIDAP000000000026984</t>
  </si>
  <si>
    <t>31CMAHIMOVELGIDAP000000000025687</t>
  </si>
  <si>
    <t>31CMAHIMOVELGIDAP000000000027116</t>
  </si>
  <si>
    <t>31CMAHIMOVELGIDAP000000000023535</t>
  </si>
  <si>
    <t>31CMAHIMOVELGIDAP000000000019369</t>
  </si>
  <si>
    <t>31CMAHIMOVELRECUPRE0204242018367</t>
  </si>
  <si>
    <t>31CMAHIMOVELGIDAP000000000023510</t>
  </si>
  <si>
    <t>31CMAHIMOVELGIDAP000000000023579</t>
  </si>
  <si>
    <t>31CMAHIMOVELGIDAP000000000026044</t>
  </si>
  <si>
    <t>31CMAHIMOVELGIDAP000000000023674</t>
  </si>
  <si>
    <t>31CMAHIMOVELGIDAP000000000023585</t>
  </si>
  <si>
    <t>31CMAHIMOVELGIDAP000000000023992</t>
  </si>
  <si>
    <t>31CMAHIMOVELGIDAP000000000023576</t>
  </si>
  <si>
    <t>31CMAHIMOVELGIDAP000000000023637</t>
  </si>
  <si>
    <t>31CMAHIMOVELGIDAP000000000023599</t>
  </si>
  <si>
    <t>31CMAHIMOVELGIDAP000000000026994</t>
  </si>
  <si>
    <t>31CMAHIMOVELGIDAP000000000023611</t>
  </si>
  <si>
    <t>31CMAHIMOVELGIDAP000000000023649</t>
  </si>
  <si>
    <t>31CMAHIMOVELGIDAP000000000023600</t>
  </si>
  <si>
    <t>31CMAHIMOVELGIDAP000000000023561</t>
  </si>
  <si>
    <t>31CMAHIMOVELGIDAP000000000026501</t>
  </si>
  <si>
    <t>31CMAHIMOVELGIDAP000000000023647</t>
  </si>
  <si>
    <t>31CMAHIMOVELRECUPTC7109992011448</t>
  </si>
  <si>
    <t>31CMAHIMOVELGIDAP000000000025703</t>
  </si>
  <si>
    <t>31CMAHIMOVELGIDAP000000000023358</t>
  </si>
  <si>
    <t>31CMAHIMOVELGIDAP000000000027081</t>
  </si>
  <si>
    <t>31CMAHIMOVELGIDAP000000000025516</t>
  </si>
  <si>
    <t>31CMAHIMOVELGIDAP000000000023590</t>
  </si>
  <si>
    <t>31CMAHIMOVELGIDAP000000000027132</t>
  </si>
  <si>
    <t>31CMAHIMOVELGIDAP000000000023543</t>
  </si>
  <si>
    <t>31CMAHIMOVELGIDAP000000000027127</t>
  </si>
  <si>
    <t>31CMAHIMOVELGIDAP000000000027047</t>
  </si>
  <si>
    <t>31CMAHIMOVELGIDAP000000000023671</t>
  </si>
  <si>
    <t>31CMAHIMOVELGIDAP000000000027060</t>
  </si>
  <si>
    <t>31CMAHIMOVELGIDAP000000000007400</t>
  </si>
  <si>
    <t>31CMAHIMOVELRECUPRE0141332016152</t>
  </si>
  <si>
    <t>31CMAHIMOVELGIDAP000000000023949</t>
  </si>
  <si>
    <t>31CMAHIMOVELGIDAP000000000023516</t>
  </si>
  <si>
    <t>31CMAHIMOVELGIDAP000000000025691</t>
  </si>
  <si>
    <t>31CMAHIMOVELGIDAP000000000023597</t>
  </si>
  <si>
    <t>31CMAHIMOVELGIDAP000000000023629</t>
  </si>
  <si>
    <t>31CMAHIMOVELGIDAP000000000019371</t>
  </si>
  <si>
    <t>31CMAHIMOVELGIDAP000000000023536</t>
  </si>
  <si>
    <t>31CMAHIMOVELGIDAP000000000023702</t>
  </si>
  <si>
    <t>31CMAHIMOVELGIDAP000000000023624</t>
  </si>
  <si>
    <t>31CMAHIMOVELGIDAP000000000023640</t>
  </si>
  <si>
    <t>89CMAHIMOVELIFICS000000069025102</t>
  </si>
  <si>
    <t>31CMAHIMOVELGIDAP000000000023659</t>
  </si>
  <si>
    <t>31CMAHIMOVELRECUPTC9096422009464</t>
  </si>
  <si>
    <t>31CMAHIMOVELGIDAP000000000023500</t>
  </si>
  <si>
    <t>Adjudicados (apenas tyva01)</t>
  </si>
  <si>
    <t>Incremento de Carteira</t>
  </si>
  <si>
    <t>*Filtrar a justificação por Incremento de carteira</t>
  </si>
  <si>
    <t>Variação de Saldo</t>
  </si>
  <si>
    <t>*Considerar apenas os que têm diff &lt;&gt; 0</t>
  </si>
  <si>
    <t>eu</t>
  </si>
  <si>
    <t>nace</t>
  </si>
  <si>
    <t>ACUT1</t>
  </si>
  <si>
    <t>Bens que deixaram de pertencer ao stock</t>
  </si>
  <si>
    <t>*Filtrar coluna valid por N/A nos adjudicados de dez/24 (linha 430)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</si>
</sst>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7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0" fillId="0" borderId="0" xfId="0" quotePrefix="1"/>
    <xf numFmtId="17" fontId="2" fillId="0" borderId="0" xfId="0" applyNumberFormat="1" applyFont="1" applyAlignment="1">
      <alignment horizontal="left"/>
    </xf>
    <xf numFmtId="0" fontId="2" fillId="0" borderId="0" xfId="0" applyFont="1"/>
    <xf numFmtId="4" fontId="2" fillId="0" borderId="0" xfId="0" applyNumberFormat="1" applyFont="1"/>
    <xf numFmtId="4" fontId="2" fillId="3" borderId="0" xfId="0" applyNumberFormat="1" applyFont="1" applyFill="1"/>
    <xf numFmtId="0" fontId="3" fillId="0" borderId="0" xfId="0" applyFont="1"/>
    <xf numFmtId="49" fontId="1" fillId="2" borderId="0" xfId="0" applyNumberFormat="1" applyFont="1" applyFill="1" applyAlignment="1">
      <alignment horizontal="center"/>
    </xf>
    <xf numFmtId="1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BSImplementaoSatlitesAgregadosESGPilarIII/Shared%20Documents/Geral/06.%20An&#225;lise%20Sat&#233;lites%20Reporte%20Jun25/01.%20Sat&#233;lite%2079/Sat&#233;lite%2079%20Jun25.xlsx" TargetMode="External"/><Relationship Id="rId1" Type="http://schemas.openxmlformats.org/officeDocument/2006/relationships/externalLinkPath" Target="Sat&#233;lite%2079%20Jun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t79_Jun25"/>
      <sheetName val="Sat79_dez24"/>
      <sheetName val="Index"/>
      <sheetName val="1. Credit Quality by sector"/>
      <sheetName val="2. Exposures of corp excl_Paris"/>
      <sheetName val="3. Net Carrying Amt by Maturity"/>
      <sheetName val="4. Exp. subject to phy. Ris"/>
      <sheetName val="Extração 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6:AA73"/>
  <sheetViews>
    <sheetView showGridLines="0" tabSelected="1" topLeftCell="D6" workbookViewId="0">
      <selection activeCell="Q8" sqref="Q8"/>
    </sheetView>
  </sheetViews>
  <sheetFormatPr defaultRowHeight="15" x14ac:dyDescent="0.25"/>
  <cols>
    <col min="2" max="2" width="42.140625" bestFit="1" customWidth="1"/>
    <col min="3" max="3" width="12.140625" bestFit="1" customWidth="1"/>
    <col min="4" max="4" width="10.140625" bestFit="1" customWidth="1"/>
    <col min="5" max="5" width="12.42578125" bestFit="1" customWidth="1"/>
    <col min="6" max="6" width="18.85546875" bestFit="1" customWidth="1"/>
    <col min="7" max="7" width="41.140625" bestFit="1" customWidth="1"/>
    <col min="8" max="8" width="37.42578125" bestFit="1" customWidth="1"/>
    <col min="9" max="9" width="12.5703125" bestFit="1" customWidth="1"/>
    <col min="10" max="10" width="15.85546875" bestFit="1" customWidth="1"/>
    <col min="11" max="11" width="15.140625" bestFit="1" customWidth="1"/>
    <col min="12" max="12" width="14.5703125" bestFit="1" customWidth="1"/>
    <col min="13" max="13" width="5.7109375" customWidth="1"/>
    <col min="15" max="15" width="17.85546875" bestFit="1" customWidth="1"/>
    <col min="16" max="16" width="13.5703125" bestFit="1" customWidth="1"/>
    <col min="17" max="17" width="14.140625" bestFit="1" customWidth="1"/>
    <col min="18" max="18" width="15.7109375" bestFit="1" customWidth="1"/>
    <col min="19" max="19" width="6.7109375" customWidth="1"/>
    <col min="20" max="20" width="6.42578125" customWidth="1"/>
    <col min="25" max="25" width="10" bestFit="1" customWidth="1"/>
    <col min="26" max="26" width="13.5703125" bestFit="1" customWidth="1"/>
    <col min="27" max="28" width="12.140625" bestFit="1" customWidth="1"/>
  </cols>
  <sheetData>
    <row r="6" spans="1:27" x14ac:dyDescent="0.25">
      <c r="B6" s="8" t="s">
        <v>170</v>
      </c>
    </row>
    <row r="8" spans="1:27" x14ac:dyDescent="0.25">
      <c r="B8" s="7">
        <v>45809</v>
      </c>
      <c r="P8">
        <f>+SUBTOTAL(9,P26:P33)</f>
        <v>547319183.78999996</v>
      </c>
      <c r="Q8" s="5">
        <f>+P8-[1]Sat79_Jun25!$F$7</f>
        <v>547319183.78999996</v>
      </c>
      <c r="Z8" s="8" t="s">
        <v>161</v>
      </c>
      <c r="AA8" t="s">
        <v>162</v>
      </c>
    </row>
    <row r="9" spans="1:27" x14ac:dyDescent="0.25"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  <c r="I9" s="2" t="s">
        <v>7</v>
      </c>
      <c r="J9" s="2" t="s">
        <v>8</v>
      </c>
      <c r="K9" s="2" t="s">
        <v>9</v>
      </c>
      <c r="L9" s="2" t="s">
        <v>10</v>
      </c>
      <c r="M9" s="2" t="s">
        <v>11</v>
      </c>
      <c r="N9" s="2" t="s">
        <v>12</v>
      </c>
      <c r="O9" s="2" t="s">
        <v>13</v>
      </c>
      <c r="P9" s="2" t="s">
        <v>6</v>
      </c>
      <c r="Q9" s="2" t="s">
        <v>14</v>
      </c>
      <c r="R9" s="2" t="s">
        <v>15</v>
      </c>
      <c r="S9" s="2" t="s">
        <v>16</v>
      </c>
      <c r="U9" s="3" t="s">
        <v>17</v>
      </c>
      <c r="V9" s="3" t="s">
        <v>18</v>
      </c>
    </row>
    <row r="10" spans="1:27" hidden="1" x14ac:dyDescent="0.25">
      <c r="A10" t="s">
        <v>89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t="s">
        <v>25</v>
      </c>
      <c r="I10" t="s">
        <v>26</v>
      </c>
      <c r="J10" s="5" t="s">
        <v>27</v>
      </c>
      <c r="K10" s="4" t="s">
        <v>28</v>
      </c>
      <c r="L10" s="4"/>
      <c r="M10" s="4"/>
      <c r="N10" s="4"/>
      <c r="O10" s="4"/>
      <c r="P10" s="5">
        <v>302243</v>
      </c>
      <c r="Q10" s="5" t="s">
        <v>29</v>
      </c>
      <c r="R10" s="5" t="s">
        <v>30</v>
      </c>
      <c r="S10" s="4" t="s">
        <v>31</v>
      </c>
      <c r="T10" s="4"/>
      <c r="U10" t="s">
        <v>24</v>
      </c>
      <c r="W10" s="6" t="s">
        <v>88</v>
      </c>
      <c r="Z10" s="5">
        <f t="shared" ref="Z10:Z16" si="0">VLOOKUP(G10,$G$39:$P$65,10,FALSE)</f>
        <v>523978</v>
      </c>
      <c r="AA10" s="5">
        <f>P10-Z10</f>
        <v>-221735</v>
      </c>
    </row>
    <row r="11" spans="1:27" hidden="1" x14ac:dyDescent="0.25">
      <c r="A11" t="s">
        <v>89</v>
      </c>
      <c r="B11" s="4" t="s">
        <v>32</v>
      </c>
      <c r="C11" s="4" t="s">
        <v>20</v>
      </c>
      <c r="D11" s="4" t="s">
        <v>21</v>
      </c>
      <c r="E11" s="4" t="s">
        <v>33</v>
      </c>
      <c r="F11" s="4" t="s">
        <v>34</v>
      </c>
      <c r="G11" s="4" t="s">
        <v>35</v>
      </c>
      <c r="H11" t="s">
        <v>36</v>
      </c>
      <c r="I11" t="s">
        <v>26</v>
      </c>
      <c r="J11" s="5" t="s">
        <v>27</v>
      </c>
      <c r="K11" s="4" t="s">
        <v>28</v>
      </c>
      <c r="L11" s="4"/>
      <c r="M11" s="4"/>
      <c r="N11" s="4"/>
      <c r="O11" s="4"/>
      <c r="P11" s="5">
        <v>43286.17</v>
      </c>
      <c r="Q11" s="5" t="s">
        <v>29</v>
      </c>
      <c r="R11" s="5" t="s">
        <v>30</v>
      </c>
      <c r="S11" s="4" t="s">
        <v>31</v>
      </c>
      <c r="T11" s="4"/>
      <c r="U11" t="s">
        <v>35</v>
      </c>
      <c r="W11" s="6" t="s">
        <v>88</v>
      </c>
      <c r="Z11" s="5">
        <f t="shared" si="0"/>
        <v>43286.17</v>
      </c>
      <c r="AA11" s="5">
        <f t="shared" ref="AA11:AA33" si="1">P11-Z11</f>
        <v>0</v>
      </c>
    </row>
    <row r="12" spans="1:27" hidden="1" x14ac:dyDescent="0.25">
      <c r="A12" t="s">
        <v>89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37</v>
      </c>
      <c r="G12" s="4" t="s">
        <v>38</v>
      </c>
      <c r="H12" t="s">
        <v>39</v>
      </c>
      <c r="I12" t="s">
        <v>26</v>
      </c>
      <c r="J12" s="5" t="s">
        <v>27</v>
      </c>
      <c r="K12" s="4" t="s">
        <v>28</v>
      </c>
      <c r="L12" s="4"/>
      <c r="M12" s="4"/>
      <c r="N12" s="4"/>
      <c r="O12" s="4"/>
      <c r="P12" s="5">
        <v>296652.31</v>
      </c>
      <c r="Q12" s="5" t="s">
        <v>29</v>
      </c>
      <c r="R12" s="5" t="s">
        <v>30</v>
      </c>
      <c r="S12" s="4" t="s">
        <v>31</v>
      </c>
      <c r="T12" s="4"/>
      <c r="U12" t="s">
        <v>38</v>
      </c>
      <c r="W12" s="6" t="s">
        <v>88</v>
      </c>
      <c r="Z12" s="5">
        <f t="shared" si="0"/>
        <v>924559.66</v>
      </c>
      <c r="AA12" s="5">
        <f t="shared" si="1"/>
        <v>-627907.35000000009</v>
      </c>
    </row>
    <row r="13" spans="1:27" hidden="1" x14ac:dyDescent="0.25">
      <c r="A13" t="s">
        <v>89</v>
      </c>
      <c r="B13" s="4" t="s">
        <v>19</v>
      </c>
      <c r="C13" s="4" t="s">
        <v>40</v>
      </c>
      <c r="D13" s="4" t="s">
        <v>41</v>
      </c>
      <c r="E13" s="4" t="s">
        <v>42</v>
      </c>
      <c r="F13" s="4" t="s">
        <v>43</v>
      </c>
      <c r="G13" s="4" t="s">
        <v>44</v>
      </c>
      <c r="H13" t="s">
        <v>45</v>
      </c>
      <c r="I13" t="s">
        <v>26</v>
      </c>
      <c r="J13" s="5" t="s">
        <v>27</v>
      </c>
      <c r="K13" s="4" t="s">
        <v>28</v>
      </c>
      <c r="L13" s="4"/>
      <c r="M13" s="4"/>
      <c r="N13" s="4"/>
      <c r="O13" s="4"/>
      <c r="P13" s="5">
        <v>1.29</v>
      </c>
      <c r="Q13" s="5" t="s">
        <v>29</v>
      </c>
      <c r="R13" s="5" t="s">
        <v>30</v>
      </c>
      <c r="S13" s="4" t="s">
        <v>46</v>
      </c>
      <c r="T13" s="4"/>
      <c r="U13" t="s">
        <v>44</v>
      </c>
      <c r="W13" s="6" t="s">
        <v>88</v>
      </c>
      <c r="Z13" s="5">
        <f t="shared" si="0"/>
        <v>0.61</v>
      </c>
      <c r="AA13" s="5">
        <f t="shared" si="1"/>
        <v>0.68</v>
      </c>
    </row>
    <row r="14" spans="1:27" hidden="1" x14ac:dyDescent="0.25">
      <c r="A14" t="s">
        <v>89</v>
      </c>
      <c r="B14" s="4" t="s">
        <v>32</v>
      </c>
      <c r="C14" s="4" t="s">
        <v>20</v>
      </c>
      <c r="D14" s="4" t="s">
        <v>21</v>
      </c>
      <c r="E14" s="4" t="s">
        <v>33</v>
      </c>
      <c r="F14" s="4" t="s">
        <v>47</v>
      </c>
      <c r="G14" s="4" t="s">
        <v>48</v>
      </c>
      <c r="H14" t="s">
        <v>49</v>
      </c>
      <c r="I14" t="s">
        <v>26</v>
      </c>
      <c r="J14" s="5" t="s">
        <v>27</v>
      </c>
      <c r="K14" s="4" t="s">
        <v>28</v>
      </c>
      <c r="L14" s="4"/>
      <c r="M14" s="4"/>
      <c r="N14" s="4"/>
      <c r="O14" s="4"/>
      <c r="P14" s="5">
        <v>547935.62</v>
      </c>
      <c r="Q14" s="5" t="s">
        <v>29</v>
      </c>
      <c r="R14" s="5" t="s">
        <v>30</v>
      </c>
      <c r="S14" s="4" t="s">
        <v>31</v>
      </c>
      <c r="T14" s="4"/>
      <c r="U14" t="s">
        <v>48</v>
      </c>
      <c r="W14" s="6" t="s">
        <v>88</v>
      </c>
      <c r="Z14" s="5">
        <f t="shared" si="0"/>
        <v>547935.62</v>
      </c>
      <c r="AA14" s="5">
        <f t="shared" si="1"/>
        <v>0</v>
      </c>
    </row>
    <row r="15" spans="1:27" hidden="1" x14ac:dyDescent="0.25">
      <c r="A15" t="s">
        <v>89</v>
      </c>
      <c r="B15" s="4" t="s">
        <v>32</v>
      </c>
      <c r="C15" s="4" t="s">
        <v>20</v>
      </c>
      <c r="D15" s="4" t="s">
        <v>21</v>
      </c>
      <c r="E15" s="4" t="s">
        <v>33</v>
      </c>
      <c r="F15" s="4" t="s">
        <v>50</v>
      </c>
      <c r="G15" s="4" t="s">
        <v>51</v>
      </c>
      <c r="H15" t="s">
        <v>52</v>
      </c>
      <c r="I15" t="s">
        <v>26</v>
      </c>
      <c r="J15" s="5" t="s">
        <v>27</v>
      </c>
      <c r="K15" s="4" t="s">
        <v>28</v>
      </c>
      <c r="L15" s="4"/>
      <c r="M15" s="4"/>
      <c r="N15" s="4"/>
      <c r="O15" s="4"/>
      <c r="P15" s="5">
        <v>11163168</v>
      </c>
      <c r="Q15" s="5" t="s">
        <v>29</v>
      </c>
      <c r="R15" s="5" t="s">
        <v>30</v>
      </c>
      <c r="S15" s="4" t="s">
        <v>31</v>
      </c>
      <c r="T15" s="4"/>
      <c r="U15" t="s">
        <v>51</v>
      </c>
      <c r="W15" s="6" t="s">
        <v>88</v>
      </c>
      <c r="Z15" s="5">
        <f t="shared" si="0"/>
        <v>11163168</v>
      </c>
      <c r="AA15" s="5">
        <f t="shared" si="1"/>
        <v>0</v>
      </c>
    </row>
    <row r="16" spans="1:27" hidden="1" x14ac:dyDescent="0.25">
      <c r="A16" t="s">
        <v>89</v>
      </c>
      <c r="B16" s="4" t="s">
        <v>32</v>
      </c>
      <c r="C16" s="4" t="s">
        <v>20</v>
      </c>
      <c r="D16" s="4" t="s">
        <v>21</v>
      </c>
      <c r="E16" s="4" t="s">
        <v>33</v>
      </c>
      <c r="F16" s="4" t="s">
        <v>53</v>
      </c>
      <c r="G16" s="4" t="s">
        <v>54</v>
      </c>
      <c r="H16" t="s">
        <v>55</v>
      </c>
      <c r="I16" t="s">
        <v>26</v>
      </c>
      <c r="J16" s="5" t="s">
        <v>27</v>
      </c>
      <c r="K16" s="4" t="s">
        <v>28</v>
      </c>
      <c r="L16" s="4"/>
      <c r="M16" s="4"/>
      <c r="N16" s="4"/>
      <c r="O16" s="4"/>
      <c r="P16" s="5">
        <v>155275.5</v>
      </c>
      <c r="Q16" s="5" t="s">
        <v>29</v>
      </c>
      <c r="R16" s="5" t="s">
        <v>30</v>
      </c>
      <c r="S16" s="4" t="s">
        <v>31</v>
      </c>
      <c r="T16" s="4"/>
      <c r="U16" t="s">
        <v>54</v>
      </c>
      <c r="W16" s="6" t="s">
        <v>88</v>
      </c>
      <c r="Z16" s="5">
        <f t="shared" si="0"/>
        <v>2791027.5</v>
      </c>
      <c r="AA16" s="5">
        <f t="shared" si="1"/>
        <v>-2635752</v>
      </c>
    </row>
    <row r="17" spans="1:27" hidden="1" x14ac:dyDescent="0.25">
      <c r="A17" t="s">
        <v>89</v>
      </c>
      <c r="B17" s="4" t="s">
        <v>32</v>
      </c>
      <c r="C17" s="4" t="s">
        <v>40</v>
      </c>
      <c r="D17" s="4" t="s">
        <v>41</v>
      </c>
      <c r="E17" s="4" t="s">
        <v>42</v>
      </c>
      <c r="F17" s="4" t="s">
        <v>56</v>
      </c>
      <c r="G17" s="4" t="s">
        <v>57</v>
      </c>
      <c r="H17" t="s">
        <v>58</v>
      </c>
      <c r="I17" t="s">
        <v>26</v>
      </c>
      <c r="J17" s="5" t="s">
        <v>27</v>
      </c>
      <c r="K17" s="4" t="s">
        <v>28</v>
      </c>
      <c r="L17" s="4"/>
      <c r="M17" s="4"/>
      <c r="N17" s="4"/>
      <c r="O17" s="4"/>
      <c r="P17" s="5">
        <v>0.71</v>
      </c>
      <c r="Q17" s="5" t="s">
        <v>29</v>
      </c>
      <c r="R17" s="5" t="s">
        <v>30</v>
      </c>
      <c r="S17" s="4" t="s">
        <v>46</v>
      </c>
      <c r="T17" s="4"/>
      <c r="U17" t="e">
        <v>#N/A</v>
      </c>
      <c r="V17" t="s">
        <v>59</v>
      </c>
      <c r="W17" s="6" t="s">
        <v>88</v>
      </c>
      <c r="Z17" s="5"/>
      <c r="AA17" s="5">
        <f t="shared" si="1"/>
        <v>0.71</v>
      </c>
    </row>
    <row r="18" spans="1:27" hidden="1" x14ac:dyDescent="0.25">
      <c r="A18" t="s">
        <v>89</v>
      </c>
      <c r="B18" s="4" t="s">
        <v>19</v>
      </c>
      <c r="C18" s="4" t="s">
        <v>20</v>
      </c>
      <c r="D18" s="4" t="s">
        <v>21</v>
      </c>
      <c r="E18" s="4" t="s">
        <v>22</v>
      </c>
      <c r="F18" s="4" t="s">
        <v>60</v>
      </c>
      <c r="G18" s="4" t="s">
        <v>61</v>
      </c>
      <c r="H18" t="s">
        <v>62</v>
      </c>
      <c r="I18" t="s">
        <v>26</v>
      </c>
      <c r="J18" s="5" t="s">
        <v>27</v>
      </c>
      <c r="K18" s="4" t="s">
        <v>28</v>
      </c>
      <c r="L18" s="4"/>
      <c r="M18" s="4"/>
      <c r="N18" s="4"/>
      <c r="O18" s="4"/>
      <c r="P18" s="5">
        <v>140000000</v>
      </c>
      <c r="Q18" s="5" t="s">
        <v>29</v>
      </c>
      <c r="R18" s="5" t="s">
        <v>30</v>
      </c>
      <c r="S18" s="4" t="s">
        <v>31</v>
      </c>
      <c r="T18" s="4"/>
      <c r="U18" t="s">
        <v>61</v>
      </c>
      <c r="W18" s="6" t="s">
        <v>88</v>
      </c>
      <c r="Z18" s="5">
        <f t="shared" ref="Z18:Z30" si="2">VLOOKUP(G18,$G$39:$P$65,10,FALSE)</f>
        <v>140000000</v>
      </c>
      <c r="AA18" s="5">
        <f t="shared" si="1"/>
        <v>0</v>
      </c>
    </row>
    <row r="19" spans="1:27" hidden="1" x14ac:dyDescent="0.25">
      <c r="A19" t="s">
        <v>89</v>
      </c>
      <c r="B19" s="4" t="s">
        <v>19</v>
      </c>
      <c r="C19" s="4" t="s">
        <v>20</v>
      </c>
      <c r="D19" s="4" t="s">
        <v>21</v>
      </c>
      <c r="E19" s="4" t="s">
        <v>22</v>
      </c>
      <c r="F19" s="4" t="s">
        <v>63</v>
      </c>
      <c r="G19" s="4" t="s">
        <v>64</v>
      </c>
      <c r="H19" t="s">
        <v>65</v>
      </c>
      <c r="I19" t="s">
        <v>26</v>
      </c>
      <c r="J19" s="5" t="s">
        <v>27</v>
      </c>
      <c r="K19" s="4" t="s">
        <v>28</v>
      </c>
      <c r="L19" s="4"/>
      <c r="M19" s="4"/>
      <c r="N19" s="4"/>
      <c r="O19" s="4"/>
      <c r="P19" s="5">
        <v>28000000</v>
      </c>
      <c r="Q19" s="5" t="s">
        <v>29</v>
      </c>
      <c r="R19" s="5" t="s">
        <v>30</v>
      </c>
      <c r="S19" s="4" t="s">
        <v>31</v>
      </c>
      <c r="T19" s="4"/>
      <c r="U19" t="s">
        <v>64</v>
      </c>
      <c r="W19" s="6" t="s">
        <v>88</v>
      </c>
      <c r="Z19" s="5">
        <f t="shared" si="2"/>
        <v>28000000</v>
      </c>
      <c r="AA19" s="5">
        <f t="shared" si="1"/>
        <v>0</v>
      </c>
    </row>
    <row r="20" spans="1:27" hidden="1" x14ac:dyDescent="0.25">
      <c r="A20" t="s">
        <v>89</v>
      </c>
      <c r="B20" s="4" t="s">
        <v>19</v>
      </c>
      <c r="C20" s="4" t="s">
        <v>40</v>
      </c>
      <c r="D20" s="4" t="s">
        <v>41</v>
      </c>
      <c r="E20" s="4" t="s">
        <v>42</v>
      </c>
      <c r="F20" s="4" t="s">
        <v>66</v>
      </c>
      <c r="G20" s="4" t="s">
        <v>67</v>
      </c>
      <c r="H20" t="s">
        <v>68</v>
      </c>
      <c r="I20" t="s">
        <v>26</v>
      </c>
      <c r="J20" s="5" t="s">
        <v>27</v>
      </c>
      <c r="K20" s="4" t="s">
        <v>28</v>
      </c>
      <c r="L20" s="4"/>
      <c r="M20" s="4"/>
      <c r="N20" s="4"/>
      <c r="O20" s="4"/>
      <c r="P20" s="5">
        <v>-0.48</v>
      </c>
      <c r="Q20" s="5" t="s">
        <v>29</v>
      </c>
      <c r="R20" s="5" t="s">
        <v>30</v>
      </c>
      <c r="S20" s="4" t="s">
        <v>46</v>
      </c>
      <c r="T20" s="4"/>
      <c r="U20" t="s">
        <v>67</v>
      </c>
      <c r="W20" s="6" t="s">
        <v>88</v>
      </c>
      <c r="Z20" s="5">
        <f t="shared" si="2"/>
        <v>-0.41</v>
      </c>
      <c r="AA20" s="5">
        <f t="shared" si="1"/>
        <v>-7.0000000000000007E-2</v>
      </c>
    </row>
    <row r="21" spans="1:27" hidden="1" x14ac:dyDescent="0.25">
      <c r="A21" t="s">
        <v>89</v>
      </c>
      <c r="B21" s="4" t="s">
        <v>19</v>
      </c>
      <c r="C21" s="4" t="s">
        <v>20</v>
      </c>
      <c r="D21" s="4" t="s">
        <v>21</v>
      </c>
      <c r="E21" s="4" t="s">
        <v>69</v>
      </c>
      <c r="F21" s="4" t="s">
        <v>70</v>
      </c>
      <c r="G21" s="4" t="s">
        <v>71</v>
      </c>
      <c r="H21" t="s">
        <v>72</v>
      </c>
      <c r="I21" t="s">
        <v>26</v>
      </c>
      <c r="J21" s="5" t="s">
        <v>27</v>
      </c>
      <c r="K21" s="4" t="s">
        <v>28</v>
      </c>
      <c r="L21" s="4"/>
      <c r="M21" s="4"/>
      <c r="N21" s="4"/>
      <c r="O21" s="4"/>
      <c r="P21" s="5">
        <v>344579.69</v>
      </c>
      <c r="Q21" s="5" t="s">
        <v>29</v>
      </c>
      <c r="R21" s="5" t="s">
        <v>30</v>
      </c>
      <c r="S21" s="4" t="s">
        <v>31</v>
      </c>
      <c r="T21" s="4"/>
      <c r="U21" t="s">
        <v>71</v>
      </c>
      <c r="W21" s="6" t="s">
        <v>88</v>
      </c>
      <c r="Z21" s="5">
        <f t="shared" si="2"/>
        <v>467424.19</v>
      </c>
      <c r="AA21" s="5">
        <f t="shared" si="1"/>
        <v>-122844.5</v>
      </c>
    </row>
    <row r="22" spans="1:27" hidden="1" x14ac:dyDescent="0.25">
      <c r="A22" t="s">
        <v>89</v>
      </c>
      <c r="B22" s="4" t="s">
        <v>19</v>
      </c>
      <c r="C22" s="4" t="s">
        <v>20</v>
      </c>
      <c r="D22" s="4" t="s">
        <v>21</v>
      </c>
      <c r="E22" s="4" t="s">
        <v>22</v>
      </c>
      <c r="F22" s="4" t="s">
        <v>73</v>
      </c>
      <c r="G22" s="4" t="s">
        <v>74</v>
      </c>
      <c r="H22" t="s">
        <v>75</v>
      </c>
      <c r="I22" t="s">
        <v>26</v>
      </c>
      <c r="J22" s="5" t="s">
        <v>76</v>
      </c>
      <c r="K22" s="4" t="s">
        <v>28</v>
      </c>
      <c r="L22" s="4"/>
      <c r="M22" s="4"/>
      <c r="N22" s="4"/>
      <c r="O22" s="4"/>
      <c r="P22" s="5">
        <v>1289737.3400000001</v>
      </c>
      <c r="Q22" s="5" t="s">
        <v>29</v>
      </c>
      <c r="R22" s="5" t="s">
        <v>30</v>
      </c>
      <c r="S22" s="4" t="s">
        <v>77</v>
      </c>
      <c r="T22" s="4"/>
      <c r="U22" t="s">
        <v>74</v>
      </c>
      <c r="W22" s="6" t="s">
        <v>88</v>
      </c>
      <c r="Z22" s="5">
        <f t="shared" si="2"/>
        <v>1234556.55</v>
      </c>
      <c r="AA22" s="5">
        <f t="shared" si="1"/>
        <v>55180.790000000037</v>
      </c>
    </row>
    <row r="23" spans="1:27" hidden="1" x14ac:dyDescent="0.25">
      <c r="A23" t="s">
        <v>89</v>
      </c>
      <c r="B23" s="4" t="s">
        <v>19</v>
      </c>
      <c r="C23" s="4" t="s">
        <v>20</v>
      </c>
      <c r="D23" s="4" t="s">
        <v>21</v>
      </c>
      <c r="E23" s="4" t="s">
        <v>22</v>
      </c>
      <c r="F23" s="4" t="s">
        <v>78</v>
      </c>
      <c r="G23" s="4" t="s">
        <v>79</v>
      </c>
      <c r="H23" t="s">
        <v>80</v>
      </c>
      <c r="I23" t="s">
        <v>26</v>
      </c>
      <c r="J23" s="5" t="s">
        <v>76</v>
      </c>
      <c r="K23" s="4" t="s">
        <v>28</v>
      </c>
      <c r="L23" s="4"/>
      <c r="M23" s="4"/>
      <c r="N23" s="4"/>
      <c r="O23" s="4"/>
      <c r="P23" s="5">
        <v>1315706.23</v>
      </c>
      <c r="Q23" s="5" t="s">
        <v>29</v>
      </c>
      <c r="R23" s="5" t="s">
        <v>30</v>
      </c>
      <c r="S23" s="4" t="s">
        <v>77</v>
      </c>
      <c r="T23" s="4"/>
      <c r="U23" t="s">
        <v>79</v>
      </c>
      <c r="W23" s="6" t="s">
        <v>88</v>
      </c>
      <c r="Z23" s="5">
        <f t="shared" si="2"/>
        <v>1259414.3799999999</v>
      </c>
      <c r="AA23" s="5">
        <f t="shared" si="1"/>
        <v>56291.850000000093</v>
      </c>
    </row>
    <row r="24" spans="1:27" hidden="1" x14ac:dyDescent="0.25">
      <c r="A24" t="s">
        <v>89</v>
      </c>
      <c r="B24" s="4" t="s">
        <v>19</v>
      </c>
      <c r="C24" s="4" t="s">
        <v>20</v>
      </c>
      <c r="D24" s="4" t="s">
        <v>21</v>
      </c>
      <c r="E24" s="4" t="s">
        <v>22</v>
      </c>
      <c r="F24" s="4" t="s">
        <v>81</v>
      </c>
      <c r="G24" s="4" t="s">
        <v>82</v>
      </c>
      <c r="H24" t="s">
        <v>83</v>
      </c>
      <c r="I24" t="s">
        <v>26</v>
      </c>
      <c r="J24" s="5" t="s">
        <v>27</v>
      </c>
      <c r="K24" s="4" t="s">
        <v>28</v>
      </c>
      <c r="L24" s="4"/>
      <c r="M24" s="4"/>
      <c r="N24" s="4"/>
      <c r="O24" s="4"/>
      <c r="P24" s="5">
        <v>249222.99</v>
      </c>
      <c r="Q24" s="5" t="s">
        <v>29</v>
      </c>
      <c r="R24" s="5" t="s">
        <v>30</v>
      </c>
      <c r="S24" s="4" t="s">
        <v>31</v>
      </c>
      <c r="T24" s="4"/>
      <c r="U24" t="s">
        <v>82</v>
      </c>
      <c r="W24" s="6" t="s">
        <v>88</v>
      </c>
      <c r="Z24" s="5">
        <f t="shared" si="2"/>
        <v>886666.95</v>
      </c>
      <c r="AA24" s="5">
        <f t="shared" si="1"/>
        <v>-637443.96</v>
      </c>
    </row>
    <row r="25" spans="1:27" hidden="1" x14ac:dyDescent="0.25">
      <c r="A25" t="s">
        <v>89</v>
      </c>
      <c r="B25" s="4" t="s">
        <v>19</v>
      </c>
      <c r="C25" s="4" t="s">
        <v>20</v>
      </c>
      <c r="D25" s="4" t="s">
        <v>21</v>
      </c>
      <c r="E25" s="4" t="s">
        <v>84</v>
      </c>
      <c r="F25" s="4" t="s">
        <v>85</v>
      </c>
      <c r="G25" s="4" t="s">
        <v>86</v>
      </c>
      <c r="H25" t="s">
        <v>87</v>
      </c>
      <c r="I25" t="s">
        <v>26</v>
      </c>
      <c r="J25" s="5" t="s">
        <v>27</v>
      </c>
      <c r="K25" s="4" t="s">
        <v>28</v>
      </c>
      <c r="L25" s="4"/>
      <c r="M25" s="4"/>
      <c r="N25" s="4"/>
      <c r="O25" s="4"/>
      <c r="P25" s="5">
        <v>850382.68</v>
      </c>
      <c r="Q25" s="5" t="s">
        <v>29</v>
      </c>
      <c r="R25" s="5" t="s">
        <v>30</v>
      </c>
      <c r="S25" s="4" t="s">
        <v>31</v>
      </c>
      <c r="T25" s="4"/>
      <c r="U25" t="s">
        <v>86</v>
      </c>
      <c r="W25" s="6" t="s">
        <v>88</v>
      </c>
      <c r="Z25" s="5">
        <f t="shared" si="2"/>
        <v>850382.68</v>
      </c>
      <c r="AA25" s="5">
        <f t="shared" si="1"/>
        <v>0</v>
      </c>
    </row>
    <row r="26" spans="1:27" x14ac:dyDescent="0.25">
      <c r="A26" t="s">
        <v>95</v>
      </c>
      <c r="B26" t="s">
        <v>90</v>
      </c>
      <c r="C26" t="s">
        <v>20</v>
      </c>
      <c r="D26" t="s">
        <v>21</v>
      </c>
      <c r="E26" t="s">
        <v>91</v>
      </c>
      <c r="F26" t="s">
        <v>92</v>
      </c>
      <c r="G26" t="s">
        <v>93</v>
      </c>
      <c r="H26" t="s">
        <v>94</v>
      </c>
      <c r="I26" t="s">
        <v>26</v>
      </c>
      <c r="J26" t="s">
        <v>27</v>
      </c>
      <c r="K26" t="s">
        <v>28</v>
      </c>
      <c r="O26" t="s">
        <v>95</v>
      </c>
      <c r="P26" s="5">
        <v>4035000</v>
      </c>
      <c r="Q26" t="s">
        <v>29</v>
      </c>
      <c r="R26" t="s">
        <v>30</v>
      </c>
      <c r="S26" t="s">
        <v>31</v>
      </c>
      <c r="U26" t="s">
        <v>93</v>
      </c>
      <c r="W26" s="6" t="s">
        <v>88</v>
      </c>
      <c r="Z26" s="5">
        <f t="shared" si="2"/>
        <v>4035000</v>
      </c>
      <c r="AA26" s="5">
        <f t="shared" si="1"/>
        <v>0</v>
      </c>
    </row>
    <row r="27" spans="1:27" x14ac:dyDescent="0.25">
      <c r="A27" t="s">
        <v>95</v>
      </c>
      <c r="B27" t="s">
        <v>90</v>
      </c>
      <c r="C27" t="s">
        <v>20</v>
      </c>
      <c r="D27" t="s">
        <v>21</v>
      </c>
      <c r="E27" t="s">
        <v>96</v>
      </c>
      <c r="F27" t="s">
        <v>97</v>
      </c>
      <c r="G27" t="s">
        <v>98</v>
      </c>
      <c r="H27" t="s">
        <v>99</v>
      </c>
      <c r="I27" t="s">
        <v>26</v>
      </c>
      <c r="J27" t="s">
        <v>27</v>
      </c>
      <c r="K27" t="s">
        <v>28</v>
      </c>
      <c r="O27" t="s">
        <v>95</v>
      </c>
      <c r="P27" s="5">
        <v>38092.379999999997</v>
      </c>
      <c r="Q27" t="s">
        <v>29</v>
      </c>
      <c r="R27" t="s">
        <v>30</v>
      </c>
      <c r="S27" t="s">
        <v>100</v>
      </c>
      <c r="U27" t="s">
        <v>98</v>
      </c>
      <c r="W27" s="6" t="s">
        <v>88</v>
      </c>
      <c r="Z27" s="5">
        <f t="shared" si="2"/>
        <v>38092.379999999997</v>
      </c>
      <c r="AA27" s="5">
        <f t="shared" si="1"/>
        <v>0</v>
      </c>
    </row>
    <row r="28" spans="1:27" x14ac:dyDescent="0.25">
      <c r="A28" t="s">
        <v>95</v>
      </c>
      <c r="B28" t="s">
        <v>90</v>
      </c>
      <c r="C28" t="s">
        <v>20</v>
      </c>
      <c r="D28" t="s">
        <v>41</v>
      </c>
      <c r="E28" t="s">
        <v>101</v>
      </c>
      <c r="F28" t="s">
        <v>102</v>
      </c>
      <c r="G28" t="s">
        <v>103</v>
      </c>
      <c r="H28" t="s">
        <v>104</v>
      </c>
      <c r="I28" t="s">
        <v>26</v>
      </c>
      <c r="J28" t="s">
        <v>27</v>
      </c>
      <c r="K28" t="s">
        <v>28</v>
      </c>
      <c r="O28" t="s">
        <v>95</v>
      </c>
      <c r="P28" s="5">
        <v>-38154157</v>
      </c>
      <c r="Q28" t="s">
        <v>29</v>
      </c>
      <c r="R28" t="s">
        <v>30</v>
      </c>
      <c r="S28" t="s">
        <v>31</v>
      </c>
      <c r="U28" t="s">
        <v>103</v>
      </c>
      <c r="W28" s="6" t="s">
        <v>88</v>
      </c>
      <c r="Z28" s="5">
        <f t="shared" si="2"/>
        <v>-36706144</v>
      </c>
      <c r="AA28" s="5">
        <f t="shared" si="1"/>
        <v>-1448013</v>
      </c>
    </row>
    <row r="29" spans="1:27" x14ac:dyDescent="0.25">
      <c r="A29" t="s">
        <v>95</v>
      </c>
      <c r="B29" t="s">
        <v>90</v>
      </c>
      <c r="C29" t="s">
        <v>20</v>
      </c>
      <c r="D29" t="s">
        <v>21</v>
      </c>
      <c r="E29" t="s">
        <v>33</v>
      </c>
      <c r="F29" t="s">
        <v>105</v>
      </c>
      <c r="G29" t="s">
        <v>106</v>
      </c>
      <c r="H29" t="s">
        <v>107</v>
      </c>
      <c r="I29" t="s">
        <v>26</v>
      </c>
      <c r="J29" t="s">
        <v>27</v>
      </c>
      <c r="K29" t="s">
        <v>28</v>
      </c>
      <c r="O29" t="s">
        <v>95</v>
      </c>
      <c r="P29" s="5">
        <v>126877568.04000001</v>
      </c>
      <c r="Q29" t="s">
        <v>29</v>
      </c>
      <c r="R29" t="s">
        <v>30</v>
      </c>
      <c r="S29" t="s">
        <v>31</v>
      </c>
      <c r="U29" t="s">
        <v>106</v>
      </c>
      <c r="W29" s="6" t="s">
        <v>88</v>
      </c>
      <c r="Z29" s="5">
        <f t="shared" si="2"/>
        <v>125397640.03</v>
      </c>
      <c r="AA29" s="5">
        <f t="shared" si="1"/>
        <v>1479928.0100000054</v>
      </c>
    </row>
    <row r="30" spans="1:27" x14ac:dyDescent="0.25">
      <c r="A30" t="s">
        <v>95</v>
      </c>
      <c r="B30" t="s">
        <v>90</v>
      </c>
      <c r="C30" t="s">
        <v>20</v>
      </c>
      <c r="D30" t="s">
        <v>21</v>
      </c>
      <c r="E30" t="s">
        <v>108</v>
      </c>
      <c r="F30" t="s">
        <v>97</v>
      </c>
      <c r="G30" t="s">
        <v>109</v>
      </c>
      <c r="H30" t="s">
        <v>110</v>
      </c>
      <c r="I30" t="s">
        <v>26</v>
      </c>
      <c r="J30" t="s">
        <v>27</v>
      </c>
      <c r="K30" t="s">
        <v>28</v>
      </c>
      <c r="O30" t="s">
        <v>95</v>
      </c>
      <c r="P30" s="5">
        <v>624867.66</v>
      </c>
      <c r="Q30" t="s">
        <v>29</v>
      </c>
      <c r="R30" t="s">
        <v>30</v>
      </c>
      <c r="S30" t="s">
        <v>100</v>
      </c>
      <c r="U30" t="s">
        <v>109</v>
      </c>
      <c r="W30" s="6" t="s">
        <v>88</v>
      </c>
      <c r="Z30" s="5">
        <f t="shared" si="2"/>
        <v>624867.66</v>
      </c>
      <c r="AA30" s="5">
        <f t="shared" si="1"/>
        <v>0</v>
      </c>
    </row>
    <row r="31" spans="1:27" x14ac:dyDescent="0.25">
      <c r="A31" t="s">
        <v>95</v>
      </c>
      <c r="B31" t="s">
        <v>90</v>
      </c>
      <c r="C31" t="s">
        <v>40</v>
      </c>
      <c r="D31" t="s">
        <v>41</v>
      </c>
      <c r="E31" t="s">
        <v>42</v>
      </c>
      <c r="F31" t="s">
        <v>111</v>
      </c>
      <c r="G31" t="s">
        <v>112</v>
      </c>
      <c r="H31" t="s">
        <v>113</v>
      </c>
      <c r="I31" t="s">
        <v>26</v>
      </c>
      <c r="J31" t="s">
        <v>27</v>
      </c>
      <c r="K31" t="s">
        <v>28</v>
      </c>
      <c r="O31" t="s">
        <v>95</v>
      </c>
      <c r="P31" s="5">
        <v>-0.04</v>
      </c>
      <c r="Q31" t="s">
        <v>29</v>
      </c>
      <c r="R31" t="s">
        <v>30</v>
      </c>
      <c r="S31" t="s">
        <v>31</v>
      </c>
      <c r="U31" t="e">
        <v>#N/A</v>
      </c>
      <c r="V31" t="s">
        <v>59</v>
      </c>
      <c r="W31" s="6" t="s">
        <v>88</v>
      </c>
      <c r="Z31" s="5"/>
      <c r="AA31" s="5">
        <f t="shared" si="1"/>
        <v>-0.04</v>
      </c>
    </row>
    <row r="32" spans="1:27" x14ac:dyDescent="0.25">
      <c r="A32" t="s">
        <v>95</v>
      </c>
      <c r="B32" t="s">
        <v>90</v>
      </c>
      <c r="C32" t="s">
        <v>20</v>
      </c>
      <c r="D32" t="s">
        <v>21</v>
      </c>
      <c r="E32" t="s">
        <v>22</v>
      </c>
      <c r="F32" t="s">
        <v>114</v>
      </c>
      <c r="G32" t="s">
        <v>115</v>
      </c>
      <c r="H32" t="s">
        <v>116</v>
      </c>
      <c r="I32" t="s">
        <v>26</v>
      </c>
      <c r="J32" t="s">
        <v>27</v>
      </c>
      <c r="K32" t="s">
        <v>28</v>
      </c>
      <c r="O32" t="s">
        <v>95</v>
      </c>
      <c r="P32" s="5">
        <v>3897812.75</v>
      </c>
      <c r="Q32" t="s">
        <v>29</v>
      </c>
      <c r="R32" t="s">
        <v>30</v>
      </c>
      <c r="S32" t="s">
        <v>31</v>
      </c>
      <c r="U32" t="s">
        <v>115</v>
      </c>
      <c r="W32" s="6" t="s">
        <v>88</v>
      </c>
      <c r="Z32" s="5">
        <f>VLOOKUP(G32,$G$39:$P$65,10,FALSE)</f>
        <v>3897812.75</v>
      </c>
      <c r="AA32" s="5">
        <f t="shared" si="1"/>
        <v>0</v>
      </c>
    </row>
    <row r="33" spans="1:27" x14ac:dyDescent="0.25">
      <c r="A33" t="s">
        <v>95</v>
      </c>
      <c r="B33" t="s">
        <v>90</v>
      </c>
      <c r="C33" t="s">
        <v>20</v>
      </c>
      <c r="D33" t="s">
        <v>21</v>
      </c>
      <c r="E33" t="s">
        <v>117</v>
      </c>
      <c r="F33" t="s">
        <v>97</v>
      </c>
      <c r="G33" t="s">
        <v>118</v>
      </c>
      <c r="H33" t="s">
        <v>119</v>
      </c>
      <c r="I33" t="s">
        <v>26</v>
      </c>
      <c r="J33" t="s">
        <v>27</v>
      </c>
      <c r="K33" t="s">
        <v>28</v>
      </c>
      <c r="O33" t="s">
        <v>95</v>
      </c>
      <c r="P33" s="5">
        <v>450000000</v>
      </c>
      <c r="Q33" t="s">
        <v>29</v>
      </c>
      <c r="R33" t="s">
        <v>30</v>
      </c>
      <c r="S33" t="s">
        <v>100</v>
      </c>
      <c r="U33" t="s">
        <v>118</v>
      </c>
      <c r="W33" s="6" t="s">
        <v>88</v>
      </c>
      <c r="Z33" s="5">
        <f>VLOOKUP(G33,$G$39:$P$65,10,FALSE)</f>
        <v>450000000</v>
      </c>
      <c r="AA33" s="5">
        <f t="shared" si="1"/>
        <v>0</v>
      </c>
    </row>
    <row r="34" spans="1:27" x14ac:dyDescent="0.25">
      <c r="AA34" s="9">
        <f>SUM(AA10:AA33)</f>
        <v>-4102293.8799999943</v>
      </c>
    </row>
    <row r="35" spans="1:27" x14ac:dyDescent="0.25">
      <c r="AA35" s="10">
        <f>AA37*-1+AA34</f>
        <v>-6692208.7199999942</v>
      </c>
    </row>
    <row r="37" spans="1:27" x14ac:dyDescent="0.25">
      <c r="B37" s="1">
        <v>45627</v>
      </c>
      <c r="AA37" s="5">
        <v>2589914.84</v>
      </c>
    </row>
    <row r="38" spans="1:27" x14ac:dyDescent="0.25">
      <c r="B38" s="2" t="s">
        <v>0</v>
      </c>
      <c r="C38" s="2" t="s">
        <v>1</v>
      </c>
      <c r="D38" s="2" t="s">
        <v>2</v>
      </c>
      <c r="E38" s="2" t="s">
        <v>3</v>
      </c>
      <c r="F38" s="2" t="s">
        <v>4</v>
      </c>
      <c r="G38" s="2" t="s">
        <v>5</v>
      </c>
      <c r="H38" s="2" t="s">
        <v>120</v>
      </c>
      <c r="I38" s="2" t="s">
        <v>7</v>
      </c>
      <c r="J38" s="2" t="s">
        <v>8</v>
      </c>
      <c r="K38" s="2" t="s">
        <v>9</v>
      </c>
      <c r="L38" s="2" t="s">
        <v>10</v>
      </c>
      <c r="M38" s="2" t="s">
        <v>11</v>
      </c>
      <c r="N38" s="2" t="s">
        <v>12</v>
      </c>
      <c r="O38" s="2" t="s">
        <v>13</v>
      </c>
      <c r="P38" s="2" t="s">
        <v>6</v>
      </c>
      <c r="Q38" s="2" t="s">
        <v>14</v>
      </c>
      <c r="R38" s="2" t="s">
        <v>15</v>
      </c>
      <c r="S38" s="2" t="s">
        <v>16</v>
      </c>
      <c r="U38" s="3" t="s">
        <v>17</v>
      </c>
      <c r="V38" s="3" t="s">
        <v>18</v>
      </c>
      <c r="AA38" t="s">
        <v>169</v>
      </c>
    </row>
    <row r="39" spans="1:27" x14ac:dyDescent="0.25">
      <c r="A39" t="s">
        <v>89</v>
      </c>
      <c r="B39" s="4" t="s">
        <v>32</v>
      </c>
      <c r="C39" s="4" t="s">
        <v>20</v>
      </c>
      <c r="D39" s="4" t="s">
        <v>21</v>
      </c>
      <c r="E39" s="4" t="s">
        <v>33</v>
      </c>
      <c r="F39" s="4" t="s">
        <v>47</v>
      </c>
      <c r="G39" s="4" t="s">
        <v>48</v>
      </c>
      <c r="H39" t="s">
        <v>121</v>
      </c>
      <c r="I39" s="5" t="s">
        <v>26</v>
      </c>
      <c r="J39" s="4" t="s">
        <v>27</v>
      </c>
      <c r="K39" s="4"/>
      <c r="L39" s="4"/>
      <c r="M39" s="4"/>
      <c r="N39" s="4"/>
      <c r="O39" s="4"/>
      <c r="P39" s="5">
        <v>547935.62</v>
      </c>
      <c r="Q39" s="5" t="s">
        <v>29</v>
      </c>
      <c r="R39" s="4" t="s">
        <v>30</v>
      </c>
      <c r="S39" s="4" t="s">
        <v>31</v>
      </c>
      <c r="U39" t="s">
        <v>48</v>
      </c>
      <c r="W39" s="6" t="s">
        <v>88</v>
      </c>
    </row>
    <row r="40" spans="1:27" x14ac:dyDescent="0.25">
      <c r="A40" t="s">
        <v>89</v>
      </c>
      <c r="B40" s="4" t="s">
        <v>19</v>
      </c>
      <c r="C40" s="4" t="s">
        <v>20</v>
      </c>
      <c r="D40" s="4" t="s">
        <v>21</v>
      </c>
      <c r="E40" s="4" t="s">
        <v>69</v>
      </c>
      <c r="F40" s="4" t="s">
        <v>70</v>
      </c>
      <c r="G40" s="4" t="s">
        <v>71</v>
      </c>
      <c r="H40" t="s">
        <v>122</v>
      </c>
      <c r="I40" s="5" t="s">
        <v>26</v>
      </c>
      <c r="J40" s="4" t="s">
        <v>27</v>
      </c>
      <c r="K40" s="4"/>
      <c r="L40" s="4"/>
      <c r="M40" s="4"/>
      <c r="N40" s="4"/>
      <c r="O40" s="4"/>
      <c r="P40" s="5">
        <v>467424.19</v>
      </c>
      <c r="Q40" s="5" t="s">
        <v>29</v>
      </c>
      <c r="R40" s="4" t="s">
        <v>30</v>
      </c>
      <c r="S40" s="4" t="s">
        <v>31</v>
      </c>
      <c r="T40" s="4"/>
      <c r="U40" t="s">
        <v>71</v>
      </c>
      <c r="W40" s="6" t="s">
        <v>88</v>
      </c>
    </row>
    <row r="41" spans="1:27" x14ac:dyDescent="0.25">
      <c r="A41" t="s">
        <v>89</v>
      </c>
      <c r="B41" s="4" t="s">
        <v>32</v>
      </c>
      <c r="C41" s="4" t="s">
        <v>20</v>
      </c>
      <c r="D41" s="4" t="s">
        <v>21</v>
      </c>
      <c r="E41" s="4" t="s">
        <v>33</v>
      </c>
      <c r="F41" s="4" t="s">
        <v>123</v>
      </c>
      <c r="G41" s="4" t="s">
        <v>124</v>
      </c>
      <c r="H41" t="s">
        <v>125</v>
      </c>
      <c r="I41" s="5" t="s">
        <v>26</v>
      </c>
      <c r="J41" s="4" t="s">
        <v>27</v>
      </c>
      <c r="K41" s="4"/>
      <c r="L41" s="4"/>
      <c r="M41" s="4"/>
      <c r="N41" s="4"/>
      <c r="O41" s="4"/>
      <c r="P41" s="5">
        <v>1783800.7</v>
      </c>
      <c r="Q41" s="5" t="s">
        <v>29</v>
      </c>
      <c r="R41" s="4" t="s">
        <v>30</v>
      </c>
      <c r="S41" s="4" t="s">
        <v>31</v>
      </c>
      <c r="T41" s="4"/>
      <c r="U41" t="s">
        <v>88</v>
      </c>
      <c r="V41" s="6" t="s">
        <v>126</v>
      </c>
      <c r="W41" s="6" t="s">
        <v>88</v>
      </c>
    </row>
    <row r="42" spans="1:27" x14ac:dyDescent="0.25">
      <c r="A42" t="s">
        <v>89</v>
      </c>
      <c r="B42" s="4" t="s">
        <v>19</v>
      </c>
      <c r="C42" s="4" t="s">
        <v>20</v>
      </c>
      <c r="D42" s="4" t="s">
        <v>21</v>
      </c>
      <c r="E42" s="4" t="s">
        <v>22</v>
      </c>
      <c r="F42" s="4" t="s">
        <v>37</v>
      </c>
      <c r="G42" s="4" t="s">
        <v>38</v>
      </c>
      <c r="H42" t="s">
        <v>127</v>
      </c>
      <c r="I42" s="5" t="s">
        <v>26</v>
      </c>
      <c r="J42" s="4" t="s">
        <v>27</v>
      </c>
      <c r="K42" s="4"/>
      <c r="L42" s="4"/>
      <c r="M42" s="4"/>
      <c r="N42" s="4"/>
      <c r="O42" s="4"/>
      <c r="P42" s="5">
        <v>924559.66</v>
      </c>
      <c r="Q42" s="5" t="s">
        <v>29</v>
      </c>
      <c r="R42" s="4" t="s">
        <v>30</v>
      </c>
      <c r="S42" s="4" t="s">
        <v>31</v>
      </c>
      <c r="T42" s="4"/>
      <c r="U42" t="s">
        <v>38</v>
      </c>
      <c r="W42" s="6" t="s">
        <v>88</v>
      </c>
    </row>
    <row r="43" spans="1:27" x14ac:dyDescent="0.25">
      <c r="A43" t="s">
        <v>89</v>
      </c>
      <c r="B43" s="4" t="s">
        <v>19</v>
      </c>
      <c r="C43" s="4" t="s">
        <v>20</v>
      </c>
      <c r="D43" s="4" t="s">
        <v>21</v>
      </c>
      <c r="E43" s="4" t="s">
        <v>22</v>
      </c>
      <c r="F43" s="4" t="s">
        <v>81</v>
      </c>
      <c r="G43" s="4" t="s">
        <v>82</v>
      </c>
      <c r="H43" t="s">
        <v>128</v>
      </c>
      <c r="I43" s="5" t="s">
        <v>26</v>
      </c>
      <c r="J43" s="4" t="s">
        <v>27</v>
      </c>
      <c r="K43" s="4"/>
      <c r="L43" s="4"/>
      <c r="M43" s="4"/>
      <c r="N43" s="4"/>
      <c r="O43" s="4"/>
      <c r="P43" s="5">
        <v>886666.95</v>
      </c>
      <c r="Q43" s="5" t="s">
        <v>29</v>
      </c>
      <c r="R43" s="4" t="s">
        <v>30</v>
      </c>
      <c r="S43" s="4" t="s">
        <v>31</v>
      </c>
      <c r="T43" s="4"/>
      <c r="U43" t="s">
        <v>82</v>
      </c>
      <c r="W43" s="6" t="s">
        <v>88</v>
      </c>
    </row>
    <row r="44" spans="1:27" x14ac:dyDescent="0.25">
      <c r="A44" t="s">
        <v>89</v>
      </c>
      <c r="B44" s="4" t="s">
        <v>32</v>
      </c>
      <c r="C44" s="4" t="s">
        <v>20</v>
      </c>
      <c r="D44" s="4" t="s">
        <v>21</v>
      </c>
      <c r="E44" s="4" t="s">
        <v>33</v>
      </c>
      <c r="F44" s="4" t="s">
        <v>50</v>
      </c>
      <c r="G44" s="4" t="s">
        <v>51</v>
      </c>
      <c r="H44" t="s">
        <v>129</v>
      </c>
      <c r="I44" s="5" t="s">
        <v>26</v>
      </c>
      <c r="J44" s="4" t="s">
        <v>27</v>
      </c>
      <c r="K44" s="4"/>
      <c r="L44" s="4" t="s">
        <v>130</v>
      </c>
      <c r="M44" s="4"/>
      <c r="N44" s="4"/>
      <c r="O44" s="4"/>
      <c r="P44" s="5">
        <v>11163168</v>
      </c>
      <c r="Q44" s="5" t="s">
        <v>29</v>
      </c>
      <c r="R44" s="4" t="s">
        <v>30</v>
      </c>
      <c r="S44" s="4" t="s">
        <v>31</v>
      </c>
      <c r="T44" s="4"/>
      <c r="U44" t="s">
        <v>51</v>
      </c>
      <c r="W44" s="6" t="s">
        <v>88</v>
      </c>
    </row>
    <row r="45" spans="1:27" x14ac:dyDescent="0.25">
      <c r="A45" t="s">
        <v>89</v>
      </c>
      <c r="B45" s="4" t="s">
        <v>19</v>
      </c>
      <c r="C45" s="4" t="s">
        <v>20</v>
      </c>
      <c r="D45" s="4" t="s">
        <v>21</v>
      </c>
      <c r="E45" s="4" t="s">
        <v>22</v>
      </c>
      <c r="F45" s="4" t="s">
        <v>63</v>
      </c>
      <c r="G45" s="4" t="s">
        <v>64</v>
      </c>
      <c r="H45" t="s">
        <v>131</v>
      </c>
      <c r="I45" s="5" t="s">
        <v>26</v>
      </c>
      <c r="J45" s="4" t="s">
        <v>27</v>
      </c>
      <c r="K45" s="4"/>
      <c r="L45" s="4"/>
      <c r="M45" s="4"/>
      <c r="N45" s="4"/>
      <c r="O45" s="4"/>
      <c r="P45" s="5">
        <v>28000000</v>
      </c>
      <c r="Q45" s="5" t="s">
        <v>29</v>
      </c>
      <c r="R45" s="4" t="s">
        <v>30</v>
      </c>
      <c r="S45" s="4" t="s">
        <v>31</v>
      </c>
      <c r="T45" s="4"/>
      <c r="U45" t="s">
        <v>64</v>
      </c>
      <c r="W45" s="6" t="s">
        <v>88</v>
      </c>
    </row>
    <row r="46" spans="1:27" x14ac:dyDescent="0.25">
      <c r="A46" t="s">
        <v>89</v>
      </c>
      <c r="B46" s="4" t="s">
        <v>19</v>
      </c>
      <c r="C46" s="4" t="s">
        <v>20</v>
      </c>
      <c r="D46" s="4" t="s">
        <v>21</v>
      </c>
      <c r="E46" s="4" t="s">
        <v>22</v>
      </c>
      <c r="F46" s="4" t="s">
        <v>78</v>
      </c>
      <c r="G46" s="4" t="s">
        <v>79</v>
      </c>
      <c r="H46" t="s">
        <v>132</v>
      </c>
      <c r="I46" s="5" t="s">
        <v>26</v>
      </c>
      <c r="J46" s="4" t="s">
        <v>76</v>
      </c>
      <c r="K46" s="4"/>
      <c r="L46" s="4"/>
      <c r="M46" s="4"/>
      <c r="N46" s="4"/>
      <c r="O46" s="4"/>
      <c r="P46" s="5">
        <v>1259414.3799999999</v>
      </c>
      <c r="Q46" s="5" t="s">
        <v>29</v>
      </c>
      <c r="R46" s="4" t="s">
        <v>30</v>
      </c>
      <c r="S46" s="4" t="s">
        <v>77</v>
      </c>
      <c r="T46" s="4"/>
      <c r="U46" t="s">
        <v>79</v>
      </c>
      <c r="W46" s="6" t="s">
        <v>88</v>
      </c>
    </row>
    <row r="47" spans="1:27" x14ac:dyDescent="0.25">
      <c r="A47" t="s">
        <v>89</v>
      </c>
      <c r="B47" s="4" t="s">
        <v>19</v>
      </c>
      <c r="C47" s="4" t="s">
        <v>20</v>
      </c>
      <c r="D47" s="4" t="s">
        <v>21</v>
      </c>
      <c r="E47" s="4" t="s">
        <v>22</v>
      </c>
      <c r="F47" s="4" t="s">
        <v>73</v>
      </c>
      <c r="G47" s="4" t="s">
        <v>74</v>
      </c>
      <c r="H47" t="s">
        <v>133</v>
      </c>
      <c r="I47" s="5" t="s">
        <v>26</v>
      </c>
      <c r="J47" s="4" t="s">
        <v>76</v>
      </c>
      <c r="K47" s="4"/>
      <c r="L47" s="4"/>
      <c r="M47" s="4"/>
      <c r="N47" s="4"/>
      <c r="O47" s="4"/>
      <c r="P47" s="5">
        <v>1234556.55</v>
      </c>
      <c r="Q47" s="5" t="s">
        <v>29</v>
      </c>
      <c r="R47" s="4" t="s">
        <v>30</v>
      </c>
      <c r="S47" s="4" t="s">
        <v>77</v>
      </c>
      <c r="T47" s="4"/>
      <c r="U47" t="s">
        <v>74</v>
      </c>
      <c r="W47" s="6" t="s">
        <v>88</v>
      </c>
    </row>
    <row r="48" spans="1:27" x14ac:dyDescent="0.25">
      <c r="A48" t="s">
        <v>89</v>
      </c>
      <c r="B48" s="4" t="s">
        <v>32</v>
      </c>
      <c r="C48" s="4" t="s">
        <v>20</v>
      </c>
      <c r="D48" s="4" t="s">
        <v>21</v>
      </c>
      <c r="E48" s="4" t="s">
        <v>33</v>
      </c>
      <c r="F48" s="4" t="s">
        <v>134</v>
      </c>
      <c r="G48" s="4" t="s">
        <v>135</v>
      </c>
      <c r="H48" t="s">
        <v>136</v>
      </c>
      <c r="I48" s="5" t="s">
        <v>26</v>
      </c>
      <c r="J48" s="4" t="s">
        <v>27</v>
      </c>
      <c r="K48" s="4"/>
      <c r="L48" s="4" t="s">
        <v>130</v>
      </c>
      <c r="M48" s="4"/>
      <c r="N48" s="4"/>
      <c r="O48" s="4"/>
      <c r="P48" s="5">
        <v>87740.160000000003</v>
      </c>
      <c r="Q48" s="5" t="s">
        <v>29</v>
      </c>
      <c r="R48" s="4" t="s">
        <v>30</v>
      </c>
      <c r="S48" s="4" t="s">
        <v>31</v>
      </c>
      <c r="T48" s="4"/>
      <c r="U48" t="s">
        <v>88</v>
      </c>
      <c r="V48" s="6" t="s">
        <v>126</v>
      </c>
      <c r="W48" s="6" t="s">
        <v>88</v>
      </c>
    </row>
    <row r="49" spans="1:23" x14ac:dyDescent="0.25">
      <c r="A49" t="s">
        <v>89</v>
      </c>
      <c r="B49" s="4" t="s">
        <v>19</v>
      </c>
      <c r="C49" s="4" t="s">
        <v>40</v>
      </c>
      <c r="D49" s="4" t="s">
        <v>41</v>
      </c>
      <c r="E49" s="4" t="s">
        <v>42</v>
      </c>
      <c r="F49" s="4" t="s">
        <v>43</v>
      </c>
      <c r="G49" s="4" t="s">
        <v>44</v>
      </c>
      <c r="H49" t="s">
        <v>137</v>
      </c>
      <c r="I49" s="5" t="s">
        <v>26</v>
      </c>
      <c r="J49" s="4" t="s">
        <v>27</v>
      </c>
      <c r="K49" s="4"/>
      <c r="L49" s="4"/>
      <c r="M49" s="4"/>
      <c r="N49" s="4"/>
      <c r="O49" s="4"/>
      <c r="P49" s="5">
        <v>0.61</v>
      </c>
      <c r="Q49" s="5" t="s">
        <v>29</v>
      </c>
      <c r="R49" s="4" t="s">
        <v>30</v>
      </c>
      <c r="S49" s="4" t="s">
        <v>46</v>
      </c>
      <c r="T49" s="4"/>
      <c r="U49" t="s">
        <v>44</v>
      </c>
      <c r="W49" s="6" t="s">
        <v>88</v>
      </c>
    </row>
    <row r="50" spans="1:23" x14ac:dyDescent="0.25">
      <c r="A50" t="s">
        <v>89</v>
      </c>
      <c r="B50" s="4" t="s">
        <v>19</v>
      </c>
      <c r="C50" s="4" t="s">
        <v>20</v>
      </c>
      <c r="D50" s="4" t="s">
        <v>21</v>
      </c>
      <c r="E50" s="4" t="s">
        <v>84</v>
      </c>
      <c r="F50" s="4" t="s">
        <v>85</v>
      </c>
      <c r="G50" s="4" t="s">
        <v>86</v>
      </c>
      <c r="H50" t="s">
        <v>138</v>
      </c>
      <c r="I50" s="5" t="s">
        <v>26</v>
      </c>
      <c r="J50" s="4" t="s">
        <v>27</v>
      </c>
      <c r="K50" s="4"/>
      <c r="L50" s="4"/>
      <c r="M50" s="4"/>
      <c r="N50" s="4"/>
      <c r="O50" s="4"/>
      <c r="P50" s="5">
        <v>850382.68</v>
      </c>
      <c r="Q50" s="5" t="s">
        <v>29</v>
      </c>
      <c r="R50" s="4" t="s">
        <v>30</v>
      </c>
      <c r="S50" s="4" t="s">
        <v>31</v>
      </c>
      <c r="T50" s="4"/>
      <c r="U50" t="s">
        <v>86</v>
      </c>
      <c r="W50" s="6" t="s">
        <v>88</v>
      </c>
    </row>
    <row r="51" spans="1:23" x14ac:dyDescent="0.25">
      <c r="A51" t="s">
        <v>89</v>
      </c>
      <c r="B51" s="4" t="s">
        <v>32</v>
      </c>
      <c r="C51" s="4" t="s">
        <v>20</v>
      </c>
      <c r="D51" s="4" t="s">
        <v>21</v>
      </c>
      <c r="E51" s="4" t="s">
        <v>33</v>
      </c>
      <c r="F51" s="4" t="s">
        <v>34</v>
      </c>
      <c r="G51" s="4" t="s">
        <v>35</v>
      </c>
      <c r="H51" t="s">
        <v>139</v>
      </c>
      <c r="I51" s="5" t="s">
        <v>26</v>
      </c>
      <c r="J51" s="4" t="s">
        <v>27</v>
      </c>
      <c r="K51" s="4"/>
      <c r="L51" s="4" t="s">
        <v>130</v>
      </c>
      <c r="M51" s="4"/>
      <c r="N51" s="4"/>
      <c r="O51" s="4"/>
      <c r="P51" s="5">
        <v>43286.17</v>
      </c>
      <c r="Q51" s="5" t="s">
        <v>29</v>
      </c>
      <c r="R51" s="4" t="s">
        <v>30</v>
      </c>
      <c r="S51" s="4" t="s">
        <v>31</v>
      </c>
      <c r="T51" s="4"/>
      <c r="U51" t="s">
        <v>35</v>
      </c>
      <c r="W51" s="6" t="s">
        <v>88</v>
      </c>
    </row>
    <row r="52" spans="1:23" x14ac:dyDescent="0.25">
      <c r="A52" t="s">
        <v>89</v>
      </c>
      <c r="B52" s="4" t="s">
        <v>32</v>
      </c>
      <c r="C52" s="4" t="s">
        <v>20</v>
      </c>
      <c r="D52" s="4" t="s">
        <v>21</v>
      </c>
      <c r="E52" s="4" t="s">
        <v>33</v>
      </c>
      <c r="F52" s="4" t="s">
        <v>140</v>
      </c>
      <c r="G52" s="4" t="s">
        <v>141</v>
      </c>
      <c r="H52" t="s">
        <v>142</v>
      </c>
      <c r="I52" s="5" t="s">
        <v>26</v>
      </c>
      <c r="J52" s="4" t="s">
        <v>27</v>
      </c>
      <c r="K52" s="4"/>
      <c r="L52" s="4" t="s">
        <v>130</v>
      </c>
      <c r="M52" s="4"/>
      <c r="N52" s="4"/>
      <c r="O52" s="4"/>
      <c r="P52" s="5">
        <v>668873.98</v>
      </c>
      <c r="Q52" s="5" t="s">
        <v>29</v>
      </c>
      <c r="R52" s="4" t="s">
        <v>30</v>
      </c>
      <c r="S52" s="4" t="s">
        <v>31</v>
      </c>
      <c r="T52" s="4"/>
      <c r="U52" t="s">
        <v>88</v>
      </c>
      <c r="V52" s="6" t="s">
        <v>126</v>
      </c>
      <c r="W52" s="6" t="s">
        <v>88</v>
      </c>
    </row>
    <row r="53" spans="1:23" x14ac:dyDescent="0.25">
      <c r="A53" t="s">
        <v>89</v>
      </c>
      <c r="B53" s="4" t="s">
        <v>19</v>
      </c>
      <c r="C53" s="4" t="s">
        <v>40</v>
      </c>
      <c r="D53" s="4" t="s">
        <v>41</v>
      </c>
      <c r="E53" s="4" t="s">
        <v>42</v>
      </c>
      <c r="F53" s="4" t="s">
        <v>66</v>
      </c>
      <c r="G53" s="4" t="s">
        <v>67</v>
      </c>
      <c r="H53" t="s">
        <v>143</v>
      </c>
      <c r="I53" s="5" t="s">
        <v>26</v>
      </c>
      <c r="J53" s="4" t="s">
        <v>27</v>
      </c>
      <c r="K53" s="4"/>
      <c r="L53" s="4"/>
      <c r="M53" s="4"/>
      <c r="N53" s="4"/>
      <c r="O53" s="4"/>
      <c r="P53" s="5">
        <v>-0.41</v>
      </c>
      <c r="Q53" s="5" t="s">
        <v>29</v>
      </c>
      <c r="R53" s="4" t="s">
        <v>30</v>
      </c>
      <c r="S53" s="4" t="s">
        <v>46</v>
      </c>
      <c r="T53" s="4"/>
      <c r="U53" t="s">
        <v>67</v>
      </c>
      <c r="W53" s="6" t="s">
        <v>88</v>
      </c>
    </row>
    <row r="54" spans="1:23" x14ac:dyDescent="0.25">
      <c r="A54" t="s">
        <v>89</v>
      </c>
      <c r="B54" s="4" t="s">
        <v>19</v>
      </c>
      <c r="C54" s="4" t="s">
        <v>20</v>
      </c>
      <c r="D54" s="4" t="s">
        <v>21</v>
      </c>
      <c r="E54" s="4" t="s">
        <v>22</v>
      </c>
      <c r="F54" s="4" t="s">
        <v>60</v>
      </c>
      <c r="G54" s="4" t="s">
        <v>61</v>
      </c>
      <c r="H54" t="s">
        <v>144</v>
      </c>
      <c r="I54" s="5" t="s">
        <v>26</v>
      </c>
      <c r="J54" s="4" t="s">
        <v>27</v>
      </c>
      <c r="K54" s="4"/>
      <c r="L54" s="4"/>
      <c r="M54" s="4"/>
      <c r="N54" s="4"/>
      <c r="O54" s="4"/>
      <c r="P54" s="5">
        <v>140000000</v>
      </c>
      <c r="Q54" s="5" t="s">
        <v>29</v>
      </c>
      <c r="R54" s="4" t="s">
        <v>30</v>
      </c>
      <c r="S54" s="4" t="s">
        <v>31</v>
      </c>
      <c r="T54" s="4"/>
      <c r="U54" t="s">
        <v>61</v>
      </c>
      <c r="W54" s="6" t="s">
        <v>88</v>
      </c>
    </row>
    <row r="55" spans="1:23" x14ac:dyDescent="0.25">
      <c r="A55" t="s">
        <v>89</v>
      </c>
      <c r="B55" s="4" t="s">
        <v>19</v>
      </c>
      <c r="C55" s="4" t="s">
        <v>20</v>
      </c>
      <c r="D55" s="4" t="s">
        <v>21</v>
      </c>
      <c r="E55" s="4" t="s">
        <v>22</v>
      </c>
      <c r="F55" s="4" t="s">
        <v>23</v>
      </c>
      <c r="G55" s="4" t="s">
        <v>24</v>
      </c>
      <c r="H55" t="s">
        <v>145</v>
      </c>
      <c r="I55" s="5" t="s">
        <v>26</v>
      </c>
      <c r="J55" s="4" t="s">
        <v>27</v>
      </c>
      <c r="K55" s="4"/>
      <c r="L55" s="4"/>
      <c r="M55" s="4"/>
      <c r="N55" s="4"/>
      <c r="O55" s="4"/>
      <c r="P55" s="5">
        <v>523978</v>
      </c>
      <c r="Q55" s="5" t="s">
        <v>29</v>
      </c>
      <c r="R55" s="4" t="s">
        <v>30</v>
      </c>
      <c r="S55" s="4" t="s">
        <v>31</v>
      </c>
      <c r="T55" s="4"/>
      <c r="U55" t="s">
        <v>24</v>
      </c>
      <c r="W55" s="6" t="s">
        <v>88</v>
      </c>
    </row>
    <row r="56" spans="1:23" x14ac:dyDescent="0.25">
      <c r="A56" t="s">
        <v>89</v>
      </c>
      <c r="B56" s="4" t="s">
        <v>32</v>
      </c>
      <c r="C56" s="4" t="s">
        <v>20</v>
      </c>
      <c r="D56" s="4" t="s">
        <v>21</v>
      </c>
      <c r="E56" s="4" t="s">
        <v>33</v>
      </c>
      <c r="F56" s="4" t="s">
        <v>53</v>
      </c>
      <c r="G56" s="4" t="s">
        <v>54</v>
      </c>
      <c r="H56" t="s">
        <v>146</v>
      </c>
      <c r="I56" s="5" t="s">
        <v>26</v>
      </c>
      <c r="J56" s="4" t="s">
        <v>27</v>
      </c>
      <c r="K56" s="4"/>
      <c r="L56" s="4"/>
      <c r="M56" s="4"/>
      <c r="N56" s="4"/>
      <c r="O56" s="4"/>
      <c r="P56" s="5">
        <v>2791027.5</v>
      </c>
      <c r="Q56" s="5" t="s">
        <v>29</v>
      </c>
      <c r="R56" s="4" t="s">
        <v>30</v>
      </c>
      <c r="S56" s="4" t="s">
        <v>31</v>
      </c>
      <c r="T56" s="4"/>
      <c r="U56" t="s">
        <v>54</v>
      </c>
      <c r="W56" s="6" t="s">
        <v>88</v>
      </c>
    </row>
    <row r="57" spans="1:23" x14ac:dyDescent="0.25">
      <c r="A57" t="s">
        <v>95</v>
      </c>
      <c r="B57" t="s">
        <v>90</v>
      </c>
      <c r="C57" t="s">
        <v>40</v>
      </c>
      <c r="D57" t="s">
        <v>41</v>
      </c>
      <c r="E57" t="s">
        <v>42</v>
      </c>
      <c r="F57" t="s">
        <v>147</v>
      </c>
      <c r="G57" t="s">
        <v>148</v>
      </c>
      <c r="H57" t="s">
        <v>149</v>
      </c>
      <c r="I57" t="s">
        <v>26</v>
      </c>
      <c r="J57" t="s">
        <v>27</v>
      </c>
      <c r="O57" t="s">
        <v>95</v>
      </c>
      <c r="P57">
        <v>0.25</v>
      </c>
      <c r="Q57" t="s">
        <v>29</v>
      </c>
      <c r="R57" t="s">
        <v>30</v>
      </c>
      <c r="S57" t="s">
        <v>31</v>
      </c>
      <c r="U57" t="s">
        <v>148</v>
      </c>
      <c r="W57" s="6" t="s">
        <v>88</v>
      </c>
    </row>
    <row r="58" spans="1:23" x14ac:dyDescent="0.25">
      <c r="A58" t="s">
        <v>95</v>
      </c>
      <c r="B58" t="s">
        <v>90</v>
      </c>
      <c r="C58" t="s">
        <v>20</v>
      </c>
      <c r="D58" t="s">
        <v>21</v>
      </c>
      <c r="E58" t="s">
        <v>91</v>
      </c>
      <c r="F58" t="s">
        <v>92</v>
      </c>
      <c r="G58" t="s">
        <v>93</v>
      </c>
      <c r="H58" t="s">
        <v>150</v>
      </c>
      <c r="I58" t="s">
        <v>26</v>
      </c>
      <c r="J58" t="s">
        <v>27</v>
      </c>
      <c r="O58" t="s">
        <v>95</v>
      </c>
      <c r="P58">
        <v>4035000</v>
      </c>
      <c r="Q58" t="s">
        <v>29</v>
      </c>
      <c r="R58" t="s">
        <v>30</v>
      </c>
      <c r="S58" t="s">
        <v>31</v>
      </c>
      <c r="U58" t="s">
        <v>93</v>
      </c>
      <c r="W58" s="6" t="s">
        <v>88</v>
      </c>
    </row>
    <row r="59" spans="1:23" x14ac:dyDescent="0.25">
      <c r="A59" t="s">
        <v>95</v>
      </c>
      <c r="B59" t="s">
        <v>90</v>
      </c>
      <c r="C59" t="s">
        <v>20</v>
      </c>
      <c r="D59" t="s">
        <v>21</v>
      </c>
      <c r="E59" t="s">
        <v>151</v>
      </c>
      <c r="F59" t="s">
        <v>152</v>
      </c>
      <c r="G59" t="s">
        <v>153</v>
      </c>
      <c r="H59" t="s">
        <v>154</v>
      </c>
      <c r="I59" t="s">
        <v>26</v>
      </c>
      <c r="J59" t="s">
        <v>27</v>
      </c>
      <c r="O59" t="s">
        <v>95</v>
      </c>
      <c r="P59">
        <v>49500</v>
      </c>
      <c r="Q59" t="s">
        <v>29</v>
      </c>
      <c r="R59" t="s">
        <v>30</v>
      </c>
      <c r="S59" t="s">
        <v>31</v>
      </c>
      <c r="U59" t="s">
        <v>88</v>
      </c>
      <c r="V59" t="s">
        <v>126</v>
      </c>
      <c r="W59" s="6" t="s">
        <v>88</v>
      </c>
    </row>
    <row r="60" spans="1:23" x14ac:dyDescent="0.25">
      <c r="A60" t="s">
        <v>95</v>
      </c>
      <c r="B60" t="s">
        <v>90</v>
      </c>
      <c r="C60" t="s">
        <v>20</v>
      </c>
      <c r="D60" t="s">
        <v>21</v>
      </c>
      <c r="E60" t="s">
        <v>22</v>
      </c>
      <c r="F60" t="s">
        <v>114</v>
      </c>
      <c r="G60" t="s">
        <v>115</v>
      </c>
      <c r="H60" t="s">
        <v>155</v>
      </c>
      <c r="I60" t="s">
        <v>26</v>
      </c>
      <c r="J60" t="s">
        <v>27</v>
      </c>
      <c r="O60" t="s">
        <v>95</v>
      </c>
      <c r="P60">
        <v>3897812.75</v>
      </c>
      <c r="Q60" t="s">
        <v>29</v>
      </c>
      <c r="R60" t="s">
        <v>30</v>
      </c>
      <c r="S60" t="s">
        <v>31</v>
      </c>
      <c r="U60" t="s">
        <v>115</v>
      </c>
      <c r="W60" s="6" t="s">
        <v>88</v>
      </c>
    </row>
    <row r="61" spans="1:23" x14ac:dyDescent="0.25">
      <c r="A61" t="s">
        <v>95</v>
      </c>
      <c r="B61" t="s">
        <v>90</v>
      </c>
      <c r="C61" t="s">
        <v>20</v>
      </c>
      <c r="D61" t="s">
        <v>41</v>
      </c>
      <c r="E61" t="s">
        <v>101</v>
      </c>
      <c r="F61" t="s">
        <v>102</v>
      </c>
      <c r="G61" t="s">
        <v>103</v>
      </c>
      <c r="H61" t="s">
        <v>156</v>
      </c>
      <c r="I61" t="s">
        <v>26</v>
      </c>
      <c r="J61" t="s">
        <v>27</v>
      </c>
      <c r="O61" t="s">
        <v>95</v>
      </c>
      <c r="P61">
        <v>-36706144</v>
      </c>
      <c r="Q61" t="s">
        <v>29</v>
      </c>
      <c r="R61" t="s">
        <v>30</v>
      </c>
      <c r="S61" t="s">
        <v>31</v>
      </c>
      <c r="U61" t="s">
        <v>103</v>
      </c>
      <c r="W61" s="6" t="s">
        <v>88</v>
      </c>
    </row>
    <row r="62" spans="1:23" x14ac:dyDescent="0.25">
      <c r="A62" t="s">
        <v>95</v>
      </c>
      <c r="B62" t="s">
        <v>90</v>
      </c>
      <c r="C62" t="s">
        <v>20</v>
      </c>
      <c r="D62" t="s">
        <v>21</v>
      </c>
      <c r="E62" t="s">
        <v>117</v>
      </c>
      <c r="F62" t="s">
        <v>97</v>
      </c>
      <c r="G62" t="s">
        <v>118</v>
      </c>
      <c r="H62" t="s">
        <v>157</v>
      </c>
      <c r="I62" t="s">
        <v>26</v>
      </c>
      <c r="J62" t="s">
        <v>27</v>
      </c>
      <c r="O62" t="s">
        <v>95</v>
      </c>
      <c r="P62">
        <v>450000000</v>
      </c>
      <c r="Q62" t="s">
        <v>29</v>
      </c>
      <c r="R62" t="s">
        <v>30</v>
      </c>
      <c r="S62" t="s">
        <v>100</v>
      </c>
      <c r="U62" t="s">
        <v>118</v>
      </c>
      <c r="W62" s="6" t="s">
        <v>88</v>
      </c>
    </row>
    <row r="63" spans="1:23" x14ac:dyDescent="0.25">
      <c r="A63" t="s">
        <v>95</v>
      </c>
      <c r="B63" t="s">
        <v>90</v>
      </c>
      <c r="C63" t="s">
        <v>20</v>
      </c>
      <c r="D63" t="s">
        <v>21</v>
      </c>
      <c r="E63" t="s">
        <v>108</v>
      </c>
      <c r="F63" t="s">
        <v>97</v>
      </c>
      <c r="G63" t="s">
        <v>109</v>
      </c>
      <c r="H63" t="s">
        <v>158</v>
      </c>
      <c r="I63" t="s">
        <v>26</v>
      </c>
      <c r="J63" t="s">
        <v>27</v>
      </c>
      <c r="O63" t="s">
        <v>95</v>
      </c>
      <c r="P63">
        <v>624867.66</v>
      </c>
      <c r="Q63" t="s">
        <v>29</v>
      </c>
      <c r="R63" t="s">
        <v>30</v>
      </c>
      <c r="S63" t="s">
        <v>100</v>
      </c>
      <c r="U63" t="s">
        <v>109</v>
      </c>
      <c r="W63" s="6" t="s">
        <v>88</v>
      </c>
    </row>
    <row r="64" spans="1:23" x14ac:dyDescent="0.25">
      <c r="A64" t="s">
        <v>95</v>
      </c>
      <c r="B64" t="s">
        <v>90</v>
      </c>
      <c r="C64" t="s">
        <v>20</v>
      </c>
      <c r="D64" t="s">
        <v>21</v>
      </c>
      <c r="E64" t="s">
        <v>96</v>
      </c>
      <c r="F64" t="s">
        <v>97</v>
      </c>
      <c r="G64" t="s">
        <v>98</v>
      </c>
      <c r="H64" t="s">
        <v>159</v>
      </c>
      <c r="I64" t="s">
        <v>26</v>
      </c>
      <c r="J64" t="s">
        <v>27</v>
      </c>
      <c r="O64" t="s">
        <v>95</v>
      </c>
      <c r="P64">
        <v>38092.379999999997</v>
      </c>
      <c r="Q64" t="s">
        <v>29</v>
      </c>
      <c r="R64" t="s">
        <v>30</v>
      </c>
      <c r="S64" t="s">
        <v>100</v>
      </c>
      <c r="U64" t="s">
        <v>98</v>
      </c>
      <c r="W64" s="6" t="s">
        <v>88</v>
      </c>
    </row>
    <row r="65" spans="1:23" x14ac:dyDescent="0.25">
      <c r="A65" t="s">
        <v>95</v>
      </c>
      <c r="B65" t="s">
        <v>90</v>
      </c>
      <c r="C65" t="s">
        <v>20</v>
      </c>
      <c r="D65" t="s">
        <v>21</v>
      </c>
      <c r="E65" t="s">
        <v>33</v>
      </c>
      <c r="F65" t="s">
        <v>105</v>
      </c>
      <c r="G65" t="s">
        <v>106</v>
      </c>
      <c r="H65" t="s">
        <v>160</v>
      </c>
      <c r="I65" t="s">
        <v>26</v>
      </c>
      <c r="J65" t="s">
        <v>27</v>
      </c>
      <c r="O65" t="s">
        <v>95</v>
      </c>
      <c r="P65">
        <v>125397640.03</v>
      </c>
      <c r="Q65" t="s">
        <v>29</v>
      </c>
      <c r="R65" t="s">
        <v>30</v>
      </c>
      <c r="S65" t="s">
        <v>31</v>
      </c>
      <c r="U65" t="s">
        <v>106</v>
      </c>
      <c r="W65" s="6" t="s">
        <v>88</v>
      </c>
    </row>
    <row r="68" spans="1:23" x14ac:dyDescent="0.25">
      <c r="G68" t="s">
        <v>124</v>
      </c>
    </row>
    <row r="69" spans="1:23" x14ac:dyDescent="0.25">
      <c r="G69" t="s">
        <v>135</v>
      </c>
    </row>
    <row r="70" spans="1:23" x14ac:dyDescent="0.25">
      <c r="G70" t="s">
        <v>141</v>
      </c>
    </row>
    <row r="71" spans="1:23" x14ac:dyDescent="0.25">
      <c r="G71" t="s">
        <v>153</v>
      </c>
    </row>
    <row r="73" spans="1:23" x14ac:dyDescent="0.25">
      <c r="G73" s="6" t="s">
        <v>163</v>
      </c>
    </row>
  </sheetData>
  <autoFilter ref="A9:S33" xr:uid="{00000000-0001-0000-0000-000000000000}">
    <filterColumn colId="1">
      <filters>
        <filter val="CONT1;HFS2;B01;MC08;TYVA01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4:Y862"/>
  <sheetViews>
    <sheetView showGridLines="0" topLeftCell="A7" workbookViewId="0">
      <selection activeCell="J9" sqref="J9"/>
    </sheetView>
  </sheetViews>
  <sheetFormatPr defaultRowHeight="15" x14ac:dyDescent="0.25"/>
  <cols>
    <col min="2" max="2" width="38.28515625" bestFit="1" customWidth="1"/>
    <col min="4" max="4" width="12.42578125" bestFit="1" customWidth="1"/>
    <col min="7" max="8" width="12.42578125" bestFit="1" customWidth="1"/>
    <col min="24" max="24" width="11.42578125" bestFit="1" customWidth="1"/>
  </cols>
  <sheetData>
    <row r="4" spans="2:7" x14ac:dyDescent="0.25">
      <c r="B4" t="s">
        <v>582</v>
      </c>
    </row>
    <row r="6" spans="2:7" x14ac:dyDescent="0.25">
      <c r="B6" s="8" t="s">
        <v>583</v>
      </c>
      <c r="D6" s="5">
        <v>34516725.839999996</v>
      </c>
    </row>
    <row r="7" spans="2:7" x14ac:dyDescent="0.25">
      <c r="B7" s="11" t="s">
        <v>584</v>
      </c>
      <c r="C7" s="6" t="s">
        <v>88</v>
      </c>
    </row>
    <row r="8" spans="2:7" x14ac:dyDescent="0.25">
      <c r="B8" s="8" t="s">
        <v>585</v>
      </c>
      <c r="D8" s="5">
        <v>109847.13999999998</v>
      </c>
    </row>
    <row r="9" spans="2:7" x14ac:dyDescent="0.25">
      <c r="B9" s="11" t="s">
        <v>586</v>
      </c>
    </row>
    <row r="11" spans="2:7" x14ac:dyDescent="0.25">
      <c r="B11" s="8" t="s">
        <v>590</v>
      </c>
      <c r="D11" s="5">
        <f>3541572.61*-1</f>
        <v>-3541572.61</v>
      </c>
    </row>
    <row r="12" spans="2:7" x14ac:dyDescent="0.25">
      <c r="B12" s="11" t="s">
        <v>591</v>
      </c>
      <c r="C12" s="6" t="s">
        <v>88</v>
      </c>
      <c r="D12" s="9">
        <f>SUM(D6:D11)</f>
        <v>31085000.369999997</v>
      </c>
    </row>
    <row r="13" spans="2:7" x14ac:dyDescent="0.25">
      <c r="D13" s="5"/>
      <c r="G13" s="5"/>
    </row>
    <row r="14" spans="2:7" x14ac:dyDescent="0.25">
      <c r="D14" s="5"/>
      <c r="G14" s="5"/>
    </row>
    <row r="15" spans="2:7" x14ac:dyDescent="0.25">
      <c r="B15" s="1">
        <v>45809</v>
      </c>
    </row>
    <row r="17" spans="2:25" x14ac:dyDescent="0.25">
      <c r="B17" s="2" t="s">
        <v>0</v>
      </c>
      <c r="C17" s="2" t="s">
        <v>1</v>
      </c>
      <c r="D17" s="2" t="s">
        <v>2</v>
      </c>
      <c r="E17" s="2" t="s">
        <v>3</v>
      </c>
      <c r="F17" s="2" t="s">
        <v>4</v>
      </c>
      <c r="G17" s="2" t="s">
        <v>171</v>
      </c>
      <c r="H17" s="2" t="s">
        <v>6</v>
      </c>
      <c r="I17" s="2" t="s">
        <v>7</v>
      </c>
      <c r="J17" s="2" t="s">
        <v>8</v>
      </c>
      <c r="K17" s="2" t="s">
        <v>10</v>
      </c>
      <c r="L17" s="2" t="s">
        <v>11</v>
      </c>
      <c r="M17" s="2" t="s">
        <v>12</v>
      </c>
      <c r="N17" s="2" t="s">
        <v>14</v>
      </c>
      <c r="O17" s="2" t="s">
        <v>15</v>
      </c>
      <c r="P17" s="2" t="s">
        <v>16</v>
      </c>
      <c r="Q17" s="2" t="s">
        <v>164</v>
      </c>
      <c r="R17" s="2" t="s">
        <v>172</v>
      </c>
      <c r="T17" s="3" t="s">
        <v>17</v>
      </c>
      <c r="U17" s="3" t="s">
        <v>18</v>
      </c>
      <c r="X17" s="3" t="s">
        <v>173</v>
      </c>
      <c r="Y17" s="3" t="s">
        <v>174</v>
      </c>
    </row>
    <row r="18" spans="2:25" x14ac:dyDescent="0.25">
      <c r="B18" t="s">
        <v>177</v>
      </c>
      <c r="C18" t="s">
        <v>28</v>
      </c>
      <c r="D18" t="s">
        <v>28</v>
      </c>
      <c r="E18" t="s">
        <v>28</v>
      </c>
      <c r="F18" t="s">
        <v>28</v>
      </c>
      <c r="G18" t="s">
        <v>178</v>
      </c>
      <c r="H18" s="5">
        <v>94109.61</v>
      </c>
      <c r="I18" t="s">
        <v>26</v>
      </c>
      <c r="J18" t="s">
        <v>27</v>
      </c>
      <c r="N18" t="s">
        <v>29</v>
      </c>
      <c r="O18" t="s">
        <v>30</v>
      </c>
      <c r="P18" t="s">
        <v>31</v>
      </c>
      <c r="Q18">
        <v>23517</v>
      </c>
      <c r="R18">
        <v>2</v>
      </c>
      <c r="S18" s="6"/>
      <c r="T18">
        <v>23517</v>
      </c>
      <c r="U18" s="5"/>
      <c r="X18" s="5">
        <v>94109.61</v>
      </c>
      <c r="Y18">
        <v>0</v>
      </c>
    </row>
    <row r="19" spans="2:25" x14ac:dyDescent="0.25">
      <c r="B19" t="s">
        <v>177</v>
      </c>
      <c r="C19" t="s">
        <v>28</v>
      </c>
      <c r="D19" t="s">
        <v>28</v>
      </c>
      <c r="E19" t="s">
        <v>28</v>
      </c>
      <c r="F19" t="s">
        <v>28</v>
      </c>
      <c r="G19" t="s">
        <v>179</v>
      </c>
      <c r="H19" s="5">
        <v>9145.82</v>
      </c>
      <c r="I19" t="s">
        <v>26</v>
      </c>
      <c r="J19" t="s">
        <v>27</v>
      </c>
      <c r="N19" t="s">
        <v>29</v>
      </c>
      <c r="O19" t="s">
        <v>30</v>
      </c>
      <c r="P19" t="s">
        <v>31</v>
      </c>
      <c r="Q19">
        <v>23548</v>
      </c>
      <c r="R19">
        <v>2</v>
      </c>
      <c r="T19">
        <v>23548</v>
      </c>
      <c r="U19" s="5"/>
      <c r="X19" s="5">
        <v>9145.82</v>
      </c>
      <c r="Y19">
        <v>0</v>
      </c>
    </row>
    <row r="20" spans="2:25" x14ac:dyDescent="0.25">
      <c r="B20" t="s">
        <v>177</v>
      </c>
      <c r="C20" t="s">
        <v>28</v>
      </c>
      <c r="D20" t="s">
        <v>28</v>
      </c>
      <c r="E20" t="s">
        <v>28</v>
      </c>
      <c r="F20" t="s">
        <v>28</v>
      </c>
      <c r="G20" t="s">
        <v>180</v>
      </c>
      <c r="H20" s="5">
        <v>76226.98</v>
      </c>
      <c r="I20" t="s">
        <v>26</v>
      </c>
      <c r="J20" t="s">
        <v>27</v>
      </c>
      <c r="N20" t="s">
        <v>29</v>
      </c>
      <c r="O20" t="s">
        <v>30</v>
      </c>
      <c r="P20" t="s">
        <v>31</v>
      </c>
      <c r="Q20">
        <v>26800</v>
      </c>
      <c r="R20">
        <v>2</v>
      </c>
      <c r="T20">
        <v>26800</v>
      </c>
      <c r="U20" s="5"/>
      <c r="X20" s="5">
        <v>76226.98</v>
      </c>
      <c r="Y20">
        <v>0</v>
      </c>
    </row>
    <row r="21" spans="2:25" x14ac:dyDescent="0.25">
      <c r="B21" t="s">
        <v>177</v>
      </c>
      <c r="C21" t="s">
        <v>28</v>
      </c>
      <c r="D21" t="s">
        <v>28</v>
      </c>
      <c r="E21" t="s">
        <v>28</v>
      </c>
      <c r="F21" t="s">
        <v>28</v>
      </c>
      <c r="G21" t="s">
        <v>181</v>
      </c>
      <c r="H21" s="5">
        <v>262576.89</v>
      </c>
      <c r="I21" t="s">
        <v>26</v>
      </c>
      <c r="J21" t="s">
        <v>27</v>
      </c>
      <c r="N21" t="s">
        <v>29</v>
      </c>
      <c r="O21" t="s">
        <v>30</v>
      </c>
      <c r="P21" t="s">
        <v>31</v>
      </c>
      <c r="Q21">
        <v>23917</v>
      </c>
      <c r="R21">
        <v>2</v>
      </c>
      <c r="T21">
        <v>23917</v>
      </c>
      <c r="U21" s="5"/>
      <c r="X21" s="5">
        <v>262576.89</v>
      </c>
      <c r="Y21">
        <v>0</v>
      </c>
    </row>
    <row r="22" spans="2:25" x14ac:dyDescent="0.25">
      <c r="B22" t="s">
        <v>177</v>
      </c>
      <c r="C22" t="s">
        <v>28</v>
      </c>
      <c r="D22" t="s">
        <v>28</v>
      </c>
      <c r="E22" t="s">
        <v>28</v>
      </c>
      <c r="F22" t="s">
        <v>28</v>
      </c>
      <c r="G22" t="s">
        <v>183</v>
      </c>
      <c r="H22" s="5">
        <v>30846.26</v>
      </c>
      <c r="I22" t="s">
        <v>26</v>
      </c>
      <c r="J22" t="s">
        <v>27</v>
      </c>
      <c r="N22" t="s">
        <v>29</v>
      </c>
      <c r="O22" t="s">
        <v>30</v>
      </c>
      <c r="P22" t="s">
        <v>31</v>
      </c>
      <c r="Q22">
        <v>69025101</v>
      </c>
      <c r="R22">
        <v>2</v>
      </c>
      <c r="T22">
        <v>69025101</v>
      </c>
      <c r="U22" s="5"/>
      <c r="X22" s="5">
        <v>30846.26</v>
      </c>
      <c r="Y22">
        <v>0</v>
      </c>
    </row>
    <row r="23" spans="2:25" x14ac:dyDescent="0.25">
      <c r="B23" t="s">
        <v>177</v>
      </c>
      <c r="C23" t="s">
        <v>28</v>
      </c>
      <c r="D23" t="s">
        <v>28</v>
      </c>
      <c r="E23" t="s">
        <v>28</v>
      </c>
      <c r="F23" t="s">
        <v>28</v>
      </c>
      <c r="G23" t="s">
        <v>184</v>
      </c>
      <c r="H23" s="5">
        <v>1859.47</v>
      </c>
      <c r="I23" t="s">
        <v>26</v>
      </c>
      <c r="J23" t="s">
        <v>27</v>
      </c>
      <c r="N23" t="s">
        <v>29</v>
      </c>
      <c r="O23" t="s">
        <v>30</v>
      </c>
      <c r="P23" t="s">
        <v>31</v>
      </c>
      <c r="Q23">
        <v>23587</v>
      </c>
      <c r="R23">
        <v>2</v>
      </c>
      <c r="T23">
        <v>23587</v>
      </c>
      <c r="U23" s="5"/>
      <c r="X23" s="5">
        <v>1859.47</v>
      </c>
      <c r="Y23">
        <v>0</v>
      </c>
    </row>
    <row r="24" spans="2:25" x14ac:dyDescent="0.25">
      <c r="B24" t="s">
        <v>177</v>
      </c>
      <c r="C24" t="s">
        <v>28</v>
      </c>
      <c r="D24" t="s">
        <v>28</v>
      </c>
      <c r="E24" t="s">
        <v>28</v>
      </c>
      <c r="F24" t="s">
        <v>28</v>
      </c>
      <c r="G24" t="s">
        <v>185</v>
      </c>
      <c r="H24" s="5">
        <v>52572.639999999999</v>
      </c>
      <c r="I24" t="s">
        <v>26</v>
      </c>
      <c r="J24" t="s">
        <v>27</v>
      </c>
      <c r="N24" t="s">
        <v>29</v>
      </c>
      <c r="O24" t="s">
        <v>30</v>
      </c>
      <c r="P24" t="s">
        <v>31</v>
      </c>
      <c r="Q24">
        <v>25588</v>
      </c>
      <c r="R24">
        <v>2</v>
      </c>
      <c r="T24">
        <v>25588</v>
      </c>
      <c r="U24" s="5"/>
      <c r="X24" s="5">
        <v>52572.639999999999</v>
      </c>
      <c r="Y24">
        <v>0</v>
      </c>
    </row>
    <row r="25" spans="2:25" x14ac:dyDescent="0.25">
      <c r="B25" t="s">
        <v>177</v>
      </c>
      <c r="C25" t="s">
        <v>28</v>
      </c>
      <c r="D25" t="s">
        <v>28</v>
      </c>
      <c r="E25" t="s">
        <v>28</v>
      </c>
      <c r="F25" t="s">
        <v>28</v>
      </c>
      <c r="G25" t="s">
        <v>186</v>
      </c>
      <c r="H25" s="5">
        <v>82013.759999999995</v>
      </c>
      <c r="I25" t="s">
        <v>26</v>
      </c>
      <c r="J25" t="s">
        <v>27</v>
      </c>
      <c r="N25" t="s">
        <v>29</v>
      </c>
      <c r="O25" t="s">
        <v>30</v>
      </c>
      <c r="P25" t="s">
        <v>31</v>
      </c>
      <c r="Q25">
        <v>19061</v>
      </c>
      <c r="R25">
        <v>2</v>
      </c>
      <c r="T25">
        <v>19061</v>
      </c>
      <c r="U25" s="5"/>
      <c r="X25" s="5">
        <v>82013.759999999995</v>
      </c>
      <c r="Y25">
        <v>0</v>
      </c>
    </row>
    <row r="26" spans="2:25" x14ac:dyDescent="0.25">
      <c r="B26" t="s">
        <v>177</v>
      </c>
      <c r="C26" t="s">
        <v>28</v>
      </c>
      <c r="D26" t="s">
        <v>28</v>
      </c>
      <c r="E26" t="s">
        <v>28</v>
      </c>
      <c r="F26" t="s">
        <v>28</v>
      </c>
      <c r="G26" t="s">
        <v>187</v>
      </c>
      <c r="H26" s="5">
        <v>55000</v>
      </c>
      <c r="I26" t="s">
        <v>26</v>
      </c>
      <c r="J26" t="s">
        <v>27</v>
      </c>
      <c r="N26" t="s">
        <v>29</v>
      </c>
      <c r="O26" t="s">
        <v>30</v>
      </c>
      <c r="P26" t="s">
        <v>31</v>
      </c>
      <c r="Q26">
        <v>18545</v>
      </c>
      <c r="R26">
        <v>2</v>
      </c>
      <c r="T26">
        <v>18545</v>
      </c>
      <c r="U26" s="5"/>
      <c r="X26" s="5">
        <v>55000</v>
      </c>
      <c r="Y26">
        <v>0</v>
      </c>
    </row>
    <row r="27" spans="2:25" x14ac:dyDescent="0.25">
      <c r="B27" t="s">
        <v>177</v>
      </c>
      <c r="C27" t="s">
        <v>28</v>
      </c>
      <c r="D27" t="s">
        <v>28</v>
      </c>
      <c r="E27" t="s">
        <v>28</v>
      </c>
      <c r="F27" t="s">
        <v>28</v>
      </c>
      <c r="G27" t="s">
        <v>188</v>
      </c>
      <c r="H27" s="5">
        <v>334.28</v>
      </c>
      <c r="I27" t="s">
        <v>26</v>
      </c>
      <c r="J27" t="s">
        <v>27</v>
      </c>
      <c r="N27" t="s">
        <v>29</v>
      </c>
      <c r="O27" t="s">
        <v>30</v>
      </c>
      <c r="P27" t="s">
        <v>31</v>
      </c>
      <c r="Q27">
        <v>23643</v>
      </c>
      <c r="R27">
        <v>2</v>
      </c>
      <c r="T27">
        <v>23643</v>
      </c>
      <c r="U27" s="5"/>
      <c r="X27" s="5">
        <v>334.28</v>
      </c>
      <c r="Y27">
        <v>0</v>
      </c>
    </row>
    <row r="28" spans="2:25" x14ac:dyDescent="0.25">
      <c r="B28" t="s">
        <v>177</v>
      </c>
      <c r="C28" t="s">
        <v>28</v>
      </c>
      <c r="D28" t="s">
        <v>28</v>
      </c>
      <c r="E28" t="s">
        <v>28</v>
      </c>
      <c r="F28" t="s">
        <v>28</v>
      </c>
      <c r="G28" t="s">
        <v>189</v>
      </c>
      <c r="H28" s="5">
        <v>386525.1</v>
      </c>
      <c r="I28" t="s">
        <v>26</v>
      </c>
      <c r="J28" t="s">
        <v>27</v>
      </c>
      <c r="N28" t="s">
        <v>29</v>
      </c>
      <c r="O28" t="s">
        <v>30</v>
      </c>
      <c r="P28" t="s">
        <v>31</v>
      </c>
      <c r="Q28">
        <v>24113</v>
      </c>
      <c r="R28">
        <v>2</v>
      </c>
      <c r="T28">
        <v>24113</v>
      </c>
      <c r="U28" s="5"/>
      <c r="X28" s="5">
        <v>386525.1</v>
      </c>
      <c r="Y28">
        <v>0</v>
      </c>
    </row>
    <row r="29" spans="2:25" x14ac:dyDescent="0.25">
      <c r="B29" t="s">
        <v>177</v>
      </c>
      <c r="C29" t="s">
        <v>28</v>
      </c>
      <c r="D29" t="s">
        <v>28</v>
      </c>
      <c r="E29" t="s">
        <v>28</v>
      </c>
      <c r="F29" t="s">
        <v>28</v>
      </c>
      <c r="G29" t="s">
        <v>193</v>
      </c>
      <c r="H29" s="5">
        <v>180612.34</v>
      </c>
      <c r="I29" t="s">
        <v>26</v>
      </c>
      <c r="J29" t="s">
        <v>27</v>
      </c>
      <c r="N29" t="s">
        <v>29</v>
      </c>
      <c r="O29" t="s">
        <v>30</v>
      </c>
      <c r="P29" t="s">
        <v>31</v>
      </c>
      <c r="Q29">
        <v>23669</v>
      </c>
      <c r="R29">
        <v>2</v>
      </c>
      <c r="T29">
        <v>23669</v>
      </c>
      <c r="U29" s="5"/>
      <c r="X29" s="5">
        <v>180612.34</v>
      </c>
      <c r="Y29">
        <v>0</v>
      </c>
    </row>
    <row r="30" spans="2:25" x14ac:dyDescent="0.25">
      <c r="B30" t="s">
        <v>177</v>
      </c>
      <c r="C30" t="s">
        <v>28</v>
      </c>
      <c r="D30" t="s">
        <v>28</v>
      </c>
      <c r="E30" t="s">
        <v>28</v>
      </c>
      <c r="F30" t="s">
        <v>28</v>
      </c>
      <c r="G30" t="s">
        <v>197</v>
      </c>
      <c r="H30" s="5">
        <v>13435.51</v>
      </c>
      <c r="I30" t="s">
        <v>26</v>
      </c>
      <c r="J30" t="s">
        <v>27</v>
      </c>
      <c r="N30" t="s">
        <v>29</v>
      </c>
      <c r="O30" t="s">
        <v>30</v>
      </c>
      <c r="P30" t="s">
        <v>31</v>
      </c>
      <c r="Q30">
        <v>23575</v>
      </c>
      <c r="R30">
        <v>2</v>
      </c>
      <c r="T30">
        <v>23575</v>
      </c>
      <c r="U30" s="5"/>
      <c r="X30" s="5">
        <v>13435.51</v>
      </c>
      <c r="Y30">
        <v>0</v>
      </c>
    </row>
    <row r="31" spans="2:25" x14ac:dyDescent="0.25">
      <c r="B31" t="s">
        <v>177</v>
      </c>
      <c r="C31" t="s">
        <v>28</v>
      </c>
      <c r="D31" t="s">
        <v>28</v>
      </c>
      <c r="E31" t="s">
        <v>28</v>
      </c>
      <c r="F31" t="s">
        <v>28</v>
      </c>
      <c r="G31" t="s">
        <v>199</v>
      </c>
      <c r="H31" s="5">
        <v>11931.23</v>
      </c>
      <c r="I31" t="s">
        <v>26</v>
      </c>
      <c r="J31" t="s">
        <v>27</v>
      </c>
      <c r="N31" t="s">
        <v>29</v>
      </c>
      <c r="O31" t="s">
        <v>30</v>
      </c>
      <c r="P31" t="s">
        <v>31</v>
      </c>
      <c r="Q31">
        <v>27109</v>
      </c>
      <c r="R31">
        <v>2</v>
      </c>
      <c r="T31" s="6">
        <v>27109</v>
      </c>
      <c r="U31" s="5"/>
      <c r="X31" s="5">
        <v>11931.23</v>
      </c>
      <c r="Y31">
        <v>0</v>
      </c>
    </row>
    <row r="32" spans="2:25" x14ac:dyDescent="0.25">
      <c r="B32" t="s">
        <v>177</v>
      </c>
      <c r="C32" t="s">
        <v>28</v>
      </c>
      <c r="D32" t="s">
        <v>28</v>
      </c>
      <c r="E32" t="s">
        <v>28</v>
      </c>
      <c r="F32" t="s">
        <v>28</v>
      </c>
      <c r="G32" t="s">
        <v>202</v>
      </c>
      <c r="H32" s="5">
        <v>63813.84</v>
      </c>
      <c r="I32" t="s">
        <v>26</v>
      </c>
      <c r="J32" t="s">
        <v>27</v>
      </c>
      <c r="N32" t="s">
        <v>29</v>
      </c>
      <c r="O32" t="s">
        <v>30</v>
      </c>
      <c r="P32" t="s">
        <v>31</v>
      </c>
      <c r="Q32">
        <v>26378</v>
      </c>
      <c r="R32">
        <v>2</v>
      </c>
      <c r="T32">
        <v>26378</v>
      </c>
      <c r="U32" s="5"/>
      <c r="X32" s="5">
        <v>63813.84</v>
      </c>
      <c r="Y32">
        <v>0</v>
      </c>
    </row>
    <row r="33" spans="2:25" x14ac:dyDescent="0.25">
      <c r="B33" t="s">
        <v>177</v>
      </c>
      <c r="C33" t="s">
        <v>28</v>
      </c>
      <c r="D33" t="s">
        <v>28</v>
      </c>
      <c r="E33" t="s">
        <v>28</v>
      </c>
      <c r="F33" t="s">
        <v>28</v>
      </c>
      <c r="G33" t="s">
        <v>203</v>
      </c>
      <c r="H33" s="5">
        <v>10748.41</v>
      </c>
      <c r="I33" t="s">
        <v>26</v>
      </c>
      <c r="J33" t="s">
        <v>27</v>
      </c>
      <c r="N33" t="s">
        <v>29</v>
      </c>
      <c r="O33" t="s">
        <v>30</v>
      </c>
      <c r="P33" t="s">
        <v>31</v>
      </c>
      <c r="Q33">
        <v>23540</v>
      </c>
      <c r="R33">
        <v>2</v>
      </c>
      <c r="T33">
        <v>23540</v>
      </c>
      <c r="U33" s="5"/>
      <c r="X33" s="5">
        <v>10748.41</v>
      </c>
      <c r="Y33">
        <v>0</v>
      </c>
    </row>
    <row r="34" spans="2:25" x14ac:dyDescent="0.25">
      <c r="B34" t="s">
        <v>177</v>
      </c>
      <c r="C34" t="s">
        <v>28</v>
      </c>
      <c r="D34" t="s">
        <v>28</v>
      </c>
      <c r="E34" t="s">
        <v>28</v>
      </c>
      <c r="F34" t="s">
        <v>28</v>
      </c>
      <c r="G34" t="s">
        <v>204</v>
      </c>
      <c r="H34" s="5">
        <v>3257.84</v>
      </c>
      <c r="I34" t="s">
        <v>26</v>
      </c>
      <c r="J34" t="s">
        <v>27</v>
      </c>
      <c r="N34" t="s">
        <v>29</v>
      </c>
      <c r="O34" t="s">
        <v>30</v>
      </c>
      <c r="P34" t="s">
        <v>31</v>
      </c>
      <c r="Q34">
        <v>23581</v>
      </c>
      <c r="R34">
        <v>2</v>
      </c>
      <c r="T34" s="6">
        <v>23581</v>
      </c>
      <c r="U34" s="5"/>
      <c r="X34" s="5">
        <v>3257.84</v>
      </c>
      <c r="Y34">
        <v>0</v>
      </c>
    </row>
    <row r="35" spans="2:25" x14ac:dyDescent="0.25">
      <c r="B35" t="s">
        <v>177</v>
      </c>
      <c r="C35" t="s">
        <v>28</v>
      </c>
      <c r="D35" t="s">
        <v>28</v>
      </c>
      <c r="E35" t="s">
        <v>28</v>
      </c>
      <c r="F35" t="s">
        <v>28</v>
      </c>
      <c r="G35" t="s">
        <v>206</v>
      </c>
      <c r="H35" s="5">
        <v>149171.75</v>
      </c>
      <c r="I35" t="s">
        <v>26</v>
      </c>
      <c r="J35" t="s">
        <v>27</v>
      </c>
      <c r="N35" t="s">
        <v>29</v>
      </c>
      <c r="O35" t="s">
        <v>30</v>
      </c>
      <c r="P35" t="s">
        <v>31</v>
      </c>
      <c r="Q35">
        <v>23938</v>
      </c>
      <c r="R35">
        <v>2</v>
      </c>
      <c r="T35">
        <v>23938</v>
      </c>
      <c r="U35" s="5"/>
      <c r="X35" s="5">
        <v>149171.75</v>
      </c>
      <c r="Y35">
        <v>0</v>
      </c>
    </row>
    <row r="36" spans="2:25" x14ac:dyDescent="0.25">
      <c r="B36" t="s">
        <v>177</v>
      </c>
      <c r="C36" t="s">
        <v>28</v>
      </c>
      <c r="D36" t="s">
        <v>28</v>
      </c>
      <c r="E36" t="s">
        <v>28</v>
      </c>
      <c r="F36" t="s">
        <v>28</v>
      </c>
      <c r="G36" t="s">
        <v>207</v>
      </c>
      <c r="H36" s="5">
        <v>16330.68</v>
      </c>
      <c r="I36" t="s">
        <v>26</v>
      </c>
      <c r="J36" t="s">
        <v>27</v>
      </c>
      <c r="N36" t="s">
        <v>29</v>
      </c>
      <c r="O36" t="s">
        <v>30</v>
      </c>
      <c r="P36" t="s">
        <v>31</v>
      </c>
      <c r="Q36">
        <v>19502</v>
      </c>
      <c r="R36">
        <v>2</v>
      </c>
      <c r="T36">
        <v>19502</v>
      </c>
      <c r="U36" s="5"/>
      <c r="X36" s="5">
        <v>16330.68</v>
      </c>
      <c r="Y36">
        <v>0</v>
      </c>
    </row>
    <row r="37" spans="2:25" x14ac:dyDescent="0.25">
      <c r="B37" t="s">
        <v>177</v>
      </c>
      <c r="C37" t="s">
        <v>28</v>
      </c>
      <c r="D37" t="s">
        <v>28</v>
      </c>
      <c r="E37" t="s">
        <v>28</v>
      </c>
      <c r="F37" t="s">
        <v>28</v>
      </c>
      <c r="G37" t="s">
        <v>208</v>
      </c>
      <c r="H37" s="5">
        <v>243.99</v>
      </c>
      <c r="I37" t="s">
        <v>26</v>
      </c>
      <c r="J37" t="s">
        <v>27</v>
      </c>
      <c r="N37" t="s">
        <v>29</v>
      </c>
      <c r="O37" t="s">
        <v>30</v>
      </c>
      <c r="P37" t="s">
        <v>31</v>
      </c>
      <c r="Q37">
        <v>23654</v>
      </c>
      <c r="R37">
        <v>2</v>
      </c>
      <c r="T37">
        <v>23654</v>
      </c>
      <c r="U37" s="5"/>
      <c r="X37" s="5">
        <v>243.99</v>
      </c>
      <c r="Y37">
        <v>0</v>
      </c>
    </row>
    <row r="38" spans="2:25" x14ac:dyDescent="0.25">
      <c r="B38" t="s">
        <v>177</v>
      </c>
      <c r="C38" t="s">
        <v>28</v>
      </c>
      <c r="D38" t="s">
        <v>28</v>
      </c>
      <c r="E38" t="s">
        <v>28</v>
      </c>
      <c r="F38" t="s">
        <v>28</v>
      </c>
      <c r="G38" t="s">
        <v>210</v>
      </c>
      <c r="H38" s="5">
        <v>20653.07</v>
      </c>
      <c r="I38" t="s">
        <v>26</v>
      </c>
      <c r="J38" t="s">
        <v>27</v>
      </c>
      <c r="N38" t="s">
        <v>29</v>
      </c>
      <c r="O38" t="s">
        <v>30</v>
      </c>
      <c r="P38" t="s">
        <v>31</v>
      </c>
      <c r="Q38">
        <v>23530</v>
      </c>
      <c r="R38">
        <v>2</v>
      </c>
      <c r="T38" s="6">
        <v>23530</v>
      </c>
      <c r="U38" s="5"/>
      <c r="X38" s="5">
        <v>20653.07</v>
      </c>
      <c r="Y38">
        <v>0</v>
      </c>
    </row>
    <row r="39" spans="2:25" x14ac:dyDescent="0.25">
      <c r="B39" t="s">
        <v>177</v>
      </c>
      <c r="C39" t="s">
        <v>28</v>
      </c>
      <c r="D39" t="s">
        <v>28</v>
      </c>
      <c r="E39" t="s">
        <v>28</v>
      </c>
      <c r="F39" t="s">
        <v>28</v>
      </c>
      <c r="G39" t="s">
        <v>211</v>
      </c>
      <c r="H39" s="5">
        <v>117.16</v>
      </c>
      <c r="I39" t="s">
        <v>26</v>
      </c>
      <c r="J39" t="s">
        <v>27</v>
      </c>
      <c r="N39" t="s">
        <v>29</v>
      </c>
      <c r="O39" t="s">
        <v>30</v>
      </c>
      <c r="P39" t="s">
        <v>31</v>
      </c>
      <c r="Q39">
        <v>23651</v>
      </c>
      <c r="R39">
        <v>2</v>
      </c>
      <c r="T39">
        <v>23651</v>
      </c>
      <c r="U39" s="5"/>
      <c r="X39" s="5">
        <v>117.16</v>
      </c>
      <c r="Y39">
        <v>0</v>
      </c>
    </row>
    <row r="40" spans="2:25" x14ac:dyDescent="0.25">
      <c r="B40" t="s">
        <v>177</v>
      </c>
      <c r="C40" t="s">
        <v>28</v>
      </c>
      <c r="D40" t="s">
        <v>28</v>
      </c>
      <c r="E40" t="s">
        <v>28</v>
      </c>
      <c r="F40" t="s">
        <v>28</v>
      </c>
      <c r="G40" t="s">
        <v>214</v>
      </c>
      <c r="H40" s="5">
        <v>19026.830000000002</v>
      </c>
      <c r="I40" t="s">
        <v>26</v>
      </c>
      <c r="J40" t="s">
        <v>27</v>
      </c>
      <c r="N40" t="s">
        <v>29</v>
      </c>
      <c r="O40" t="s">
        <v>30</v>
      </c>
      <c r="P40" t="s">
        <v>31</v>
      </c>
      <c r="Q40">
        <v>23501</v>
      </c>
      <c r="R40">
        <v>2</v>
      </c>
      <c r="T40" s="6">
        <v>23501</v>
      </c>
      <c r="U40" s="5"/>
      <c r="X40" s="5">
        <v>19026.830000000002</v>
      </c>
      <c r="Y40">
        <v>0</v>
      </c>
    </row>
    <row r="41" spans="2:25" x14ac:dyDescent="0.25">
      <c r="B41" t="s">
        <v>177</v>
      </c>
      <c r="C41" t="s">
        <v>28</v>
      </c>
      <c r="D41" t="s">
        <v>28</v>
      </c>
      <c r="E41" t="s">
        <v>28</v>
      </c>
      <c r="F41" t="s">
        <v>28</v>
      </c>
      <c r="G41" t="s">
        <v>215</v>
      </c>
      <c r="H41" s="5">
        <v>29543.32</v>
      </c>
      <c r="I41" t="s">
        <v>26</v>
      </c>
      <c r="J41" t="s">
        <v>27</v>
      </c>
      <c r="N41" t="s">
        <v>29</v>
      </c>
      <c r="O41" t="s">
        <v>30</v>
      </c>
      <c r="P41" t="s">
        <v>31</v>
      </c>
      <c r="Q41">
        <v>9002212320</v>
      </c>
      <c r="R41">
        <v>2</v>
      </c>
      <c r="T41">
        <v>9002212320</v>
      </c>
      <c r="U41" s="5"/>
      <c r="X41" s="5">
        <v>29543.32</v>
      </c>
      <c r="Y41">
        <v>0</v>
      </c>
    </row>
    <row r="42" spans="2:25" x14ac:dyDescent="0.25">
      <c r="B42" t="s">
        <v>177</v>
      </c>
      <c r="C42" t="s">
        <v>28</v>
      </c>
      <c r="D42" t="s">
        <v>28</v>
      </c>
      <c r="E42" t="s">
        <v>28</v>
      </c>
      <c r="F42" t="s">
        <v>28</v>
      </c>
      <c r="G42" t="s">
        <v>216</v>
      </c>
      <c r="H42" s="5">
        <v>2176.5500000000002</v>
      </c>
      <c r="I42" t="s">
        <v>26</v>
      </c>
      <c r="J42" t="s">
        <v>27</v>
      </c>
      <c r="N42" t="s">
        <v>29</v>
      </c>
      <c r="O42" t="s">
        <v>30</v>
      </c>
      <c r="P42" t="s">
        <v>31</v>
      </c>
      <c r="Q42">
        <v>23593</v>
      </c>
      <c r="R42">
        <v>2</v>
      </c>
      <c r="T42">
        <v>23593</v>
      </c>
      <c r="U42" s="5"/>
      <c r="X42" s="5">
        <v>2176.5500000000002</v>
      </c>
      <c r="Y42">
        <v>0</v>
      </c>
    </row>
    <row r="43" spans="2:25" x14ac:dyDescent="0.25">
      <c r="B43" t="s">
        <v>177</v>
      </c>
      <c r="C43" t="s">
        <v>28</v>
      </c>
      <c r="D43" t="s">
        <v>28</v>
      </c>
      <c r="E43" t="s">
        <v>28</v>
      </c>
      <c r="F43" t="s">
        <v>28</v>
      </c>
      <c r="G43" t="s">
        <v>217</v>
      </c>
      <c r="H43" s="5">
        <v>1576002.22</v>
      </c>
      <c r="I43" t="s">
        <v>26</v>
      </c>
      <c r="J43" t="s">
        <v>27</v>
      </c>
      <c r="N43" t="s">
        <v>29</v>
      </c>
      <c r="O43" t="s">
        <v>30</v>
      </c>
      <c r="P43" t="s">
        <v>31</v>
      </c>
      <c r="Q43">
        <v>23720</v>
      </c>
      <c r="R43">
        <v>2</v>
      </c>
      <c r="T43">
        <v>23720</v>
      </c>
      <c r="U43" s="5"/>
      <c r="X43" s="5">
        <v>1575835.52</v>
      </c>
      <c r="Y43">
        <v>166.69999999995343</v>
      </c>
    </row>
    <row r="44" spans="2:25" x14ac:dyDescent="0.25">
      <c r="B44" t="s">
        <v>177</v>
      </c>
      <c r="C44" t="s">
        <v>28</v>
      </c>
      <c r="D44" t="s">
        <v>28</v>
      </c>
      <c r="E44" t="s">
        <v>28</v>
      </c>
      <c r="F44" t="s">
        <v>28</v>
      </c>
      <c r="G44" t="s">
        <v>218</v>
      </c>
      <c r="H44" s="5">
        <v>29640.62</v>
      </c>
      <c r="I44" t="s">
        <v>26</v>
      </c>
      <c r="J44" t="s">
        <v>27</v>
      </c>
      <c r="N44" t="s">
        <v>29</v>
      </c>
      <c r="O44" t="s">
        <v>30</v>
      </c>
      <c r="P44" t="s">
        <v>31</v>
      </c>
      <c r="Q44">
        <v>8000237888</v>
      </c>
      <c r="R44">
        <v>2</v>
      </c>
      <c r="T44">
        <v>8000237888</v>
      </c>
      <c r="U44" s="5"/>
      <c r="X44" s="5">
        <v>29640.62</v>
      </c>
      <c r="Y44">
        <v>0</v>
      </c>
    </row>
    <row r="45" spans="2:25" x14ac:dyDescent="0.25">
      <c r="B45" t="s">
        <v>177</v>
      </c>
      <c r="C45" t="s">
        <v>28</v>
      </c>
      <c r="D45" t="s">
        <v>28</v>
      </c>
      <c r="E45" t="s">
        <v>28</v>
      </c>
      <c r="F45" t="s">
        <v>28</v>
      </c>
      <c r="G45" t="s">
        <v>219</v>
      </c>
      <c r="H45" s="5">
        <v>632967.29</v>
      </c>
      <c r="I45" t="s">
        <v>26</v>
      </c>
      <c r="J45" t="s">
        <v>27</v>
      </c>
      <c r="N45" t="s">
        <v>29</v>
      </c>
      <c r="O45" t="s">
        <v>30</v>
      </c>
      <c r="P45" t="s">
        <v>31</v>
      </c>
      <c r="Q45">
        <v>25694</v>
      </c>
      <c r="R45">
        <v>2</v>
      </c>
      <c r="T45">
        <v>25694</v>
      </c>
      <c r="U45" s="5"/>
      <c r="X45" s="5">
        <v>632967.29</v>
      </c>
      <c r="Y45">
        <v>0</v>
      </c>
    </row>
    <row r="46" spans="2:25" x14ac:dyDescent="0.25">
      <c r="B46" t="s">
        <v>177</v>
      </c>
      <c r="C46" t="s">
        <v>28</v>
      </c>
      <c r="D46" t="s">
        <v>28</v>
      </c>
      <c r="E46" t="s">
        <v>28</v>
      </c>
      <c r="F46" t="s">
        <v>28</v>
      </c>
      <c r="G46" t="s">
        <v>221</v>
      </c>
      <c r="H46" s="5">
        <v>1687.5</v>
      </c>
      <c r="I46" t="s">
        <v>26</v>
      </c>
      <c r="J46" t="s">
        <v>27</v>
      </c>
      <c r="N46" t="s">
        <v>29</v>
      </c>
      <c r="O46" t="s">
        <v>30</v>
      </c>
      <c r="P46" t="s">
        <v>31</v>
      </c>
      <c r="Q46">
        <v>23554</v>
      </c>
      <c r="R46">
        <v>2</v>
      </c>
      <c r="T46">
        <v>23554</v>
      </c>
      <c r="U46" s="5"/>
      <c r="X46" s="5">
        <v>1687.5</v>
      </c>
      <c r="Y46">
        <v>0</v>
      </c>
    </row>
    <row r="47" spans="2:25" x14ac:dyDescent="0.25">
      <c r="B47" t="s">
        <v>177</v>
      </c>
      <c r="C47" t="s">
        <v>28</v>
      </c>
      <c r="D47" t="s">
        <v>28</v>
      </c>
      <c r="E47" t="s">
        <v>28</v>
      </c>
      <c r="F47" t="s">
        <v>28</v>
      </c>
      <c r="G47" t="s">
        <v>226</v>
      </c>
      <c r="H47" s="5">
        <v>54508</v>
      </c>
      <c r="I47" t="s">
        <v>26</v>
      </c>
      <c r="J47" t="s">
        <v>27</v>
      </c>
      <c r="N47" t="s">
        <v>29</v>
      </c>
      <c r="O47" t="s">
        <v>30</v>
      </c>
      <c r="P47" t="s">
        <v>31</v>
      </c>
      <c r="Q47">
        <v>7400091336</v>
      </c>
      <c r="R47">
        <v>2</v>
      </c>
      <c r="T47">
        <v>7400091336</v>
      </c>
      <c r="U47" s="5"/>
      <c r="X47" s="5">
        <v>54508</v>
      </c>
      <c r="Y47">
        <v>0</v>
      </c>
    </row>
    <row r="48" spans="2:25" x14ac:dyDescent="0.25">
      <c r="B48" t="s">
        <v>177</v>
      </c>
      <c r="C48" t="s">
        <v>28</v>
      </c>
      <c r="D48" t="s">
        <v>28</v>
      </c>
      <c r="E48" t="s">
        <v>28</v>
      </c>
      <c r="F48" t="s">
        <v>28</v>
      </c>
      <c r="G48" t="s">
        <v>227</v>
      </c>
      <c r="H48" s="5">
        <v>17273.77</v>
      </c>
      <c r="I48" t="s">
        <v>26</v>
      </c>
      <c r="J48" t="s">
        <v>27</v>
      </c>
      <c r="N48" t="s">
        <v>29</v>
      </c>
      <c r="O48" t="s">
        <v>30</v>
      </c>
      <c r="P48" t="s">
        <v>31</v>
      </c>
      <c r="Q48">
        <v>23529</v>
      </c>
      <c r="R48">
        <v>2</v>
      </c>
      <c r="T48">
        <v>23529</v>
      </c>
      <c r="U48" s="5"/>
      <c r="X48" s="5">
        <v>17273.77</v>
      </c>
      <c r="Y48">
        <v>0</v>
      </c>
    </row>
    <row r="49" spans="2:25" x14ac:dyDescent="0.25">
      <c r="B49" t="s">
        <v>177</v>
      </c>
      <c r="C49" t="s">
        <v>28</v>
      </c>
      <c r="D49" t="s">
        <v>28</v>
      </c>
      <c r="E49" t="s">
        <v>28</v>
      </c>
      <c r="F49" t="s">
        <v>28</v>
      </c>
      <c r="G49" t="s">
        <v>228</v>
      </c>
      <c r="H49" s="5">
        <v>59600</v>
      </c>
      <c r="I49" t="s">
        <v>26</v>
      </c>
      <c r="J49" t="s">
        <v>27</v>
      </c>
      <c r="N49" t="s">
        <v>29</v>
      </c>
      <c r="O49" t="s">
        <v>30</v>
      </c>
      <c r="P49" t="s">
        <v>31</v>
      </c>
      <c r="Q49">
        <v>18477</v>
      </c>
      <c r="R49">
        <v>2</v>
      </c>
      <c r="T49">
        <v>18477</v>
      </c>
      <c r="U49" s="5"/>
      <c r="X49" s="5">
        <v>59600</v>
      </c>
      <c r="Y49">
        <v>0</v>
      </c>
    </row>
    <row r="50" spans="2:25" x14ac:dyDescent="0.25">
      <c r="B50" t="s">
        <v>177</v>
      </c>
      <c r="C50" t="s">
        <v>28</v>
      </c>
      <c r="D50" t="s">
        <v>28</v>
      </c>
      <c r="E50" t="s">
        <v>28</v>
      </c>
      <c r="F50" t="s">
        <v>28</v>
      </c>
      <c r="G50" t="s">
        <v>230</v>
      </c>
      <c r="H50" s="5">
        <v>35733.86</v>
      </c>
      <c r="I50" t="s">
        <v>26</v>
      </c>
      <c r="J50" t="s">
        <v>27</v>
      </c>
      <c r="N50" t="s">
        <v>29</v>
      </c>
      <c r="O50" t="s">
        <v>30</v>
      </c>
      <c r="P50" t="s">
        <v>31</v>
      </c>
      <c r="Q50">
        <v>7400374370</v>
      </c>
      <c r="R50">
        <v>2</v>
      </c>
      <c r="T50">
        <v>7400374370</v>
      </c>
      <c r="U50" s="5"/>
      <c r="X50" s="5">
        <v>35733.86</v>
      </c>
      <c r="Y50">
        <v>0</v>
      </c>
    </row>
    <row r="51" spans="2:25" x14ac:dyDescent="0.25">
      <c r="B51" t="s">
        <v>177</v>
      </c>
      <c r="C51" t="s">
        <v>28</v>
      </c>
      <c r="D51" t="s">
        <v>28</v>
      </c>
      <c r="E51" t="s">
        <v>28</v>
      </c>
      <c r="F51" t="s">
        <v>28</v>
      </c>
      <c r="G51" t="s">
        <v>234</v>
      </c>
      <c r="H51" s="5">
        <v>64390</v>
      </c>
      <c r="I51" t="s">
        <v>26</v>
      </c>
      <c r="J51" t="s">
        <v>27</v>
      </c>
      <c r="N51" t="s">
        <v>29</v>
      </c>
      <c r="O51" t="s">
        <v>30</v>
      </c>
      <c r="P51" t="s">
        <v>31</v>
      </c>
      <c r="Q51">
        <v>23667</v>
      </c>
      <c r="R51">
        <v>2</v>
      </c>
      <c r="T51">
        <v>23667</v>
      </c>
      <c r="U51" s="5"/>
      <c r="X51" s="5">
        <v>64390</v>
      </c>
      <c r="Y51">
        <v>0</v>
      </c>
    </row>
    <row r="52" spans="2:25" x14ac:dyDescent="0.25">
      <c r="B52" t="s">
        <v>177</v>
      </c>
      <c r="C52" t="s">
        <v>28</v>
      </c>
      <c r="D52" t="s">
        <v>28</v>
      </c>
      <c r="E52" t="s">
        <v>28</v>
      </c>
      <c r="F52" t="s">
        <v>28</v>
      </c>
      <c r="G52" t="s">
        <v>235</v>
      </c>
      <c r="H52" s="5">
        <v>312134.84999999998</v>
      </c>
      <c r="I52" t="s">
        <v>26</v>
      </c>
      <c r="J52" t="s">
        <v>27</v>
      </c>
      <c r="N52" t="s">
        <v>29</v>
      </c>
      <c r="O52" t="s">
        <v>30</v>
      </c>
      <c r="P52" t="s">
        <v>31</v>
      </c>
      <c r="Q52">
        <v>25698</v>
      </c>
      <c r="R52">
        <v>2</v>
      </c>
      <c r="T52">
        <v>25698</v>
      </c>
      <c r="U52" s="5"/>
      <c r="X52" s="5">
        <v>312134.84999999998</v>
      </c>
      <c r="Y52">
        <v>0</v>
      </c>
    </row>
    <row r="53" spans="2:25" x14ac:dyDescent="0.25">
      <c r="B53" t="s">
        <v>177</v>
      </c>
      <c r="C53" t="s">
        <v>28</v>
      </c>
      <c r="D53" t="s">
        <v>28</v>
      </c>
      <c r="E53" t="s">
        <v>28</v>
      </c>
      <c r="F53" t="s">
        <v>28</v>
      </c>
      <c r="G53" t="s">
        <v>236</v>
      </c>
      <c r="H53" s="5">
        <v>26301.360000000001</v>
      </c>
      <c r="I53" t="s">
        <v>26</v>
      </c>
      <c r="J53" t="s">
        <v>27</v>
      </c>
      <c r="N53" t="s">
        <v>29</v>
      </c>
      <c r="O53" t="s">
        <v>30</v>
      </c>
      <c r="P53" t="s">
        <v>31</v>
      </c>
      <c r="Q53">
        <v>23498</v>
      </c>
      <c r="R53">
        <v>2</v>
      </c>
      <c r="T53">
        <v>23498</v>
      </c>
      <c r="U53" s="5"/>
      <c r="X53" s="5">
        <v>26301.360000000001</v>
      </c>
      <c r="Y53">
        <v>0</v>
      </c>
    </row>
    <row r="54" spans="2:25" x14ac:dyDescent="0.25">
      <c r="B54" t="s">
        <v>177</v>
      </c>
      <c r="C54" t="s">
        <v>28</v>
      </c>
      <c r="D54" t="s">
        <v>28</v>
      </c>
      <c r="E54" t="s">
        <v>28</v>
      </c>
      <c r="F54" t="s">
        <v>28</v>
      </c>
      <c r="G54" t="s">
        <v>238</v>
      </c>
      <c r="H54" s="5">
        <v>68670</v>
      </c>
      <c r="I54" t="s">
        <v>26</v>
      </c>
      <c r="J54" t="s">
        <v>27</v>
      </c>
      <c r="N54" t="s">
        <v>29</v>
      </c>
      <c r="O54" t="s">
        <v>30</v>
      </c>
      <c r="P54" t="s">
        <v>31</v>
      </c>
      <c r="Q54">
        <v>27167</v>
      </c>
      <c r="R54">
        <v>2</v>
      </c>
      <c r="T54" t="s">
        <v>88</v>
      </c>
      <c r="U54" s="5" t="s">
        <v>191</v>
      </c>
      <c r="X54" s="5" t="s">
        <v>88</v>
      </c>
      <c r="Y54" t="s">
        <v>88</v>
      </c>
    </row>
    <row r="55" spans="2:25" x14ac:dyDescent="0.25">
      <c r="B55" t="s">
        <v>177</v>
      </c>
      <c r="C55" t="s">
        <v>28</v>
      </c>
      <c r="D55" t="s">
        <v>28</v>
      </c>
      <c r="E55" t="s">
        <v>28</v>
      </c>
      <c r="F55" t="s">
        <v>28</v>
      </c>
      <c r="G55" t="s">
        <v>239</v>
      </c>
      <c r="H55" s="5">
        <v>10970.09</v>
      </c>
      <c r="I55" t="s">
        <v>26</v>
      </c>
      <c r="J55" t="s">
        <v>27</v>
      </c>
      <c r="N55" t="s">
        <v>29</v>
      </c>
      <c r="O55" t="s">
        <v>30</v>
      </c>
      <c r="P55" t="s">
        <v>31</v>
      </c>
      <c r="Q55">
        <v>3221</v>
      </c>
      <c r="R55">
        <v>2</v>
      </c>
      <c r="T55">
        <v>3221</v>
      </c>
      <c r="U55" s="5"/>
      <c r="X55" s="5">
        <v>10970.09</v>
      </c>
      <c r="Y55">
        <v>0</v>
      </c>
    </row>
    <row r="56" spans="2:25" x14ac:dyDescent="0.25">
      <c r="B56" t="s">
        <v>177</v>
      </c>
      <c r="C56" t="s">
        <v>28</v>
      </c>
      <c r="D56" t="s">
        <v>28</v>
      </c>
      <c r="E56" t="s">
        <v>28</v>
      </c>
      <c r="F56" t="s">
        <v>28</v>
      </c>
      <c r="G56" t="s">
        <v>242</v>
      </c>
      <c r="H56" s="5">
        <v>46361.68</v>
      </c>
      <c r="I56" t="s">
        <v>26</v>
      </c>
      <c r="J56" t="s">
        <v>27</v>
      </c>
      <c r="N56" t="s">
        <v>29</v>
      </c>
      <c r="O56" t="s">
        <v>30</v>
      </c>
      <c r="P56" t="s">
        <v>31</v>
      </c>
      <c r="Q56">
        <v>8030275314</v>
      </c>
      <c r="R56">
        <v>2</v>
      </c>
      <c r="T56">
        <v>8030275314</v>
      </c>
      <c r="U56" s="5"/>
      <c r="X56" s="5">
        <v>46361.68</v>
      </c>
      <c r="Y56">
        <v>0</v>
      </c>
    </row>
    <row r="57" spans="2:25" x14ac:dyDescent="0.25">
      <c r="B57" t="s">
        <v>177</v>
      </c>
      <c r="C57" t="s">
        <v>28</v>
      </c>
      <c r="D57" t="s">
        <v>28</v>
      </c>
      <c r="E57" t="s">
        <v>28</v>
      </c>
      <c r="F57" t="s">
        <v>28</v>
      </c>
      <c r="G57" t="s">
        <v>243</v>
      </c>
      <c r="H57" s="5">
        <v>156026.29999999999</v>
      </c>
      <c r="I57" t="s">
        <v>26</v>
      </c>
      <c r="J57" t="s">
        <v>27</v>
      </c>
      <c r="N57" t="s">
        <v>29</v>
      </c>
      <c r="O57" t="s">
        <v>30</v>
      </c>
      <c r="P57" t="s">
        <v>31</v>
      </c>
      <c r="Q57">
        <v>7351</v>
      </c>
      <c r="R57">
        <v>2</v>
      </c>
      <c r="T57">
        <v>7351</v>
      </c>
      <c r="U57" s="5"/>
      <c r="X57" s="5">
        <v>156026.29999999999</v>
      </c>
      <c r="Y57">
        <v>0</v>
      </c>
    </row>
    <row r="58" spans="2:25" x14ac:dyDescent="0.25">
      <c r="B58" t="s">
        <v>177</v>
      </c>
      <c r="C58" t="s">
        <v>28</v>
      </c>
      <c r="D58" t="s">
        <v>28</v>
      </c>
      <c r="E58" t="s">
        <v>28</v>
      </c>
      <c r="F58" t="s">
        <v>28</v>
      </c>
      <c r="G58" t="s">
        <v>244</v>
      </c>
      <c r="H58" s="5">
        <v>87925.61</v>
      </c>
      <c r="I58" t="s">
        <v>26</v>
      </c>
      <c r="J58" t="s">
        <v>27</v>
      </c>
      <c r="N58" t="s">
        <v>29</v>
      </c>
      <c r="O58" t="s">
        <v>30</v>
      </c>
      <c r="P58" t="s">
        <v>31</v>
      </c>
      <c r="Q58">
        <v>27168</v>
      </c>
      <c r="R58">
        <v>2</v>
      </c>
      <c r="T58" t="s">
        <v>88</v>
      </c>
      <c r="U58" s="5" t="s">
        <v>191</v>
      </c>
      <c r="X58" s="5" t="s">
        <v>88</v>
      </c>
      <c r="Y58" t="s">
        <v>88</v>
      </c>
    </row>
    <row r="59" spans="2:25" x14ac:dyDescent="0.25">
      <c r="B59" t="s">
        <v>177</v>
      </c>
      <c r="C59" t="s">
        <v>28</v>
      </c>
      <c r="D59" t="s">
        <v>28</v>
      </c>
      <c r="E59" t="s">
        <v>28</v>
      </c>
      <c r="F59" t="s">
        <v>28</v>
      </c>
      <c r="G59" t="s">
        <v>245</v>
      </c>
      <c r="H59" s="5">
        <v>21232.41</v>
      </c>
      <c r="I59" t="s">
        <v>26</v>
      </c>
      <c r="J59" t="s">
        <v>27</v>
      </c>
      <c r="N59" t="s">
        <v>29</v>
      </c>
      <c r="O59" t="s">
        <v>30</v>
      </c>
      <c r="P59" t="s">
        <v>31</v>
      </c>
      <c r="Q59">
        <v>23525</v>
      </c>
      <c r="R59">
        <v>2</v>
      </c>
      <c r="T59">
        <v>23525</v>
      </c>
      <c r="U59" s="5"/>
      <c r="X59" s="5">
        <v>21232.41</v>
      </c>
      <c r="Y59">
        <v>0</v>
      </c>
    </row>
    <row r="60" spans="2:25" x14ac:dyDescent="0.25">
      <c r="B60" t="s">
        <v>177</v>
      </c>
      <c r="C60" t="s">
        <v>28</v>
      </c>
      <c r="D60" t="s">
        <v>28</v>
      </c>
      <c r="E60" t="s">
        <v>28</v>
      </c>
      <c r="F60" t="s">
        <v>28</v>
      </c>
      <c r="G60" t="s">
        <v>247</v>
      </c>
      <c r="H60" s="5">
        <v>38336.32</v>
      </c>
      <c r="I60" t="s">
        <v>26</v>
      </c>
      <c r="J60" t="s">
        <v>27</v>
      </c>
      <c r="N60" t="s">
        <v>29</v>
      </c>
      <c r="O60" t="s">
        <v>30</v>
      </c>
      <c r="P60" t="s">
        <v>31</v>
      </c>
      <c r="Q60">
        <v>27006</v>
      </c>
      <c r="R60">
        <v>2</v>
      </c>
      <c r="T60">
        <v>27006</v>
      </c>
      <c r="U60" s="5"/>
      <c r="X60" s="5">
        <v>38336.32</v>
      </c>
      <c r="Y60">
        <v>0</v>
      </c>
    </row>
    <row r="61" spans="2:25" x14ac:dyDescent="0.25">
      <c r="B61" t="s">
        <v>177</v>
      </c>
      <c r="C61" t="s">
        <v>28</v>
      </c>
      <c r="D61" t="s">
        <v>28</v>
      </c>
      <c r="E61" t="s">
        <v>28</v>
      </c>
      <c r="F61" t="s">
        <v>28</v>
      </c>
      <c r="G61" t="s">
        <v>176</v>
      </c>
      <c r="H61" s="5">
        <v>89561.46</v>
      </c>
      <c r="I61" t="s">
        <v>26</v>
      </c>
      <c r="J61" t="s">
        <v>27</v>
      </c>
      <c r="N61" t="s">
        <v>29</v>
      </c>
      <c r="O61" t="s">
        <v>30</v>
      </c>
      <c r="P61" t="s">
        <v>31</v>
      </c>
      <c r="Q61">
        <v>23730</v>
      </c>
      <c r="R61">
        <v>2</v>
      </c>
      <c r="T61">
        <v>23730</v>
      </c>
      <c r="U61" s="5"/>
      <c r="X61" s="5">
        <v>89561.46</v>
      </c>
      <c r="Y61">
        <v>0</v>
      </c>
    </row>
    <row r="62" spans="2:25" x14ac:dyDescent="0.25">
      <c r="B62" t="s">
        <v>177</v>
      </c>
      <c r="C62" t="s">
        <v>28</v>
      </c>
      <c r="D62" t="s">
        <v>28</v>
      </c>
      <c r="E62" t="s">
        <v>28</v>
      </c>
      <c r="F62" t="s">
        <v>28</v>
      </c>
      <c r="G62" t="s">
        <v>255</v>
      </c>
      <c r="H62" s="5">
        <v>22229.86</v>
      </c>
      <c r="I62" t="s">
        <v>26</v>
      </c>
      <c r="J62" t="s">
        <v>27</v>
      </c>
      <c r="N62" t="s">
        <v>29</v>
      </c>
      <c r="O62" t="s">
        <v>30</v>
      </c>
      <c r="P62" t="s">
        <v>31</v>
      </c>
      <c r="Q62">
        <v>23488</v>
      </c>
      <c r="R62">
        <v>2</v>
      </c>
      <c r="T62">
        <v>23488</v>
      </c>
      <c r="U62" s="5"/>
      <c r="X62" s="5">
        <v>22229.86</v>
      </c>
      <c r="Y62">
        <v>0</v>
      </c>
    </row>
    <row r="63" spans="2:25" x14ac:dyDescent="0.25">
      <c r="B63" t="s">
        <v>177</v>
      </c>
      <c r="C63" t="s">
        <v>28</v>
      </c>
      <c r="D63" t="s">
        <v>28</v>
      </c>
      <c r="E63" t="s">
        <v>28</v>
      </c>
      <c r="F63" t="s">
        <v>28</v>
      </c>
      <c r="G63" t="s">
        <v>257</v>
      </c>
      <c r="H63" s="5">
        <v>1859.47</v>
      </c>
      <c r="I63" t="s">
        <v>26</v>
      </c>
      <c r="J63" t="s">
        <v>27</v>
      </c>
      <c r="N63" t="s">
        <v>29</v>
      </c>
      <c r="O63" t="s">
        <v>30</v>
      </c>
      <c r="P63" t="s">
        <v>31</v>
      </c>
      <c r="Q63">
        <v>23589</v>
      </c>
      <c r="R63">
        <v>2</v>
      </c>
      <c r="T63">
        <v>23589</v>
      </c>
      <c r="U63" s="5"/>
      <c r="X63" s="5">
        <v>1859.47</v>
      </c>
      <c r="Y63">
        <v>0</v>
      </c>
    </row>
    <row r="64" spans="2:25" x14ac:dyDescent="0.25">
      <c r="B64" t="s">
        <v>177</v>
      </c>
      <c r="C64" t="s">
        <v>28</v>
      </c>
      <c r="D64" t="s">
        <v>28</v>
      </c>
      <c r="E64" t="s">
        <v>28</v>
      </c>
      <c r="F64" t="s">
        <v>28</v>
      </c>
      <c r="G64" t="s">
        <v>261</v>
      </c>
      <c r="H64" s="5">
        <v>59761.15</v>
      </c>
      <c r="I64" t="s">
        <v>26</v>
      </c>
      <c r="J64" t="s">
        <v>27</v>
      </c>
      <c r="N64" t="s">
        <v>29</v>
      </c>
      <c r="O64" t="s">
        <v>30</v>
      </c>
      <c r="P64" t="s">
        <v>31</v>
      </c>
      <c r="Q64">
        <v>23656</v>
      </c>
      <c r="R64">
        <v>2</v>
      </c>
      <c r="T64">
        <v>23656</v>
      </c>
      <c r="U64" s="5"/>
      <c r="X64" s="5">
        <v>59761.15</v>
      </c>
      <c r="Y64">
        <v>0</v>
      </c>
    </row>
    <row r="65" spans="2:25" x14ac:dyDescent="0.25">
      <c r="B65" t="s">
        <v>177</v>
      </c>
      <c r="C65" t="s">
        <v>28</v>
      </c>
      <c r="D65" t="s">
        <v>28</v>
      </c>
      <c r="E65" t="s">
        <v>28</v>
      </c>
      <c r="F65" t="s">
        <v>28</v>
      </c>
      <c r="G65" t="s">
        <v>262</v>
      </c>
      <c r="H65" s="5">
        <v>580.41</v>
      </c>
      <c r="I65" t="s">
        <v>26</v>
      </c>
      <c r="J65" t="s">
        <v>27</v>
      </c>
      <c r="N65" t="s">
        <v>29</v>
      </c>
      <c r="O65" t="s">
        <v>30</v>
      </c>
      <c r="P65" t="s">
        <v>31</v>
      </c>
      <c r="Q65">
        <v>23618</v>
      </c>
      <c r="R65">
        <v>2</v>
      </c>
      <c r="T65">
        <v>23618</v>
      </c>
      <c r="U65" s="5"/>
      <c r="X65" s="5">
        <v>580.41</v>
      </c>
      <c r="Y65">
        <v>0</v>
      </c>
    </row>
    <row r="66" spans="2:25" x14ac:dyDescent="0.25">
      <c r="B66" t="s">
        <v>177</v>
      </c>
      <c r="C66" t="s">
        <v>28</v>
      </c>
      <c r="D66" t="s">
        <v>28</v>
      </c>
      <c r="E66" t="s">
        <v>28</v>
      </c>
      <c r="F66" t="s">
        <v>28</v>
      </c>
      <c r="G66" t="s">
        <v>266</v>
      </c>
      <c r="H66" s="5">
        <v>77248.66</v>
      </c>
      <c r="I66" t="s">
        <v>26</v>
      </c>
      <c r="J66" t="s">
        <v>27</v>
      </c>
      <c r="N66" t="s">
        <v>29</v>
      </c>
      <c r="O66" t="s">
        <v>30</v>
      </c>
      <c r="P66" t="s">
        <v>31</v>
      </c>
      <c r="Q66">
        <v>19594</v>
      </c>
      <c r="R66">
        <v>2</v>
      </c>
      <c r="T66">
        <v>19594</v>
      </c>
      <c r="U66" s="5"/>
      <c r="X66" s="5">
        <v>77248.66</v>
      </c>
      <c r="Y66">
        <v>0</v>
      </c>
    </row>
    <row r="67" spans="2:25" x14ac:dyDescent="0.25">
      <c r="B67" t="s">
        <v>177</v>
      </c>
      <c r="C67" t="s">
        <v>28</v>
      </c>
      <c r="D67" t="s">
        <v>28</v>
      </c>
      <c r="E67" t="s">
        <v>28</v>
      </c>
      <c r="F67" t="s">
        <v>28</v>
      </c>
      <c r="G67" t="s">
        <v>28</v>
      </c>
      <c r="H67" s="5">
        <v>1.21</v>
      </c>
      <c r="I67" t="s">
        <v>26</v>
      </c>
      <c r="J67" t="s">
        <v>27</v>
      </c>
      <c r="N67" t="s">
        <v>29</v>
      </c>
      <c r="O67" t="s">
        <v>30</v>
      </c>
      <c r="P67" t="s">
        <v>31</v>
      </c>
      <c r="Q67" t="s">
        <v>28</v>
      </c>
      <c r="R67">
        <v>4</v>
      </c>
      <c r="T67" t="s">
        <v>28</v>
      </c>
      <c r="U67" s="5"/>
      <c r="X67" s="5">
        <v>2.63</v>
      </c>
      <c r="Y67">
        <v>-1.42</v>
      </c>
    </row>
    <row r="68" spans="2:25" x14ac:dyDescent="0.25">
      <c r="B68" t="s">
        <v>177</v>
      </c>
      <c r="C68" t="s">
        <v>28</v>
      </c>
      <c r="D68" t="s">
        <v>28</v>
      </c>
      <c r="E68" t="s">
        <v>28</v>
      </c>
      <c r="F68" t="s">
        <v>28</v>
      </c>
      <c r="G68" t="s">
        <v>269</v>
      </c>
      <c r="H68" s="5">
        <v>75495.63</v>
      </c>
      <c r="I68" t="s">
        <v>26</v>
      </c>
      <c r="J68" t="s">
        <v>27</v>
      </c>
      <c r="N68" t="s">
        <v>29</v>
      </c>
      <c r="O68" t="s">
        <v>30</v>
      </c>
      <c r="P68" t="s">
        <v>31</v>
      </c>
      <c r="Q68">
        <v>9001811986</v>
      </c>
      <c r="R68">
        <v>2</v>
      </c>
      <c r="T68">
        <v>9001811986</v>
      </c>
      <c r="U68" s="5"/>
      <c r="X68" s="5">
        <v>75495.63</v>
      </c>
      <c r="Y68">
        <v>0</v>
      </c>
    </row>
    <row r="69" spans="2:25" x14ac:dyDescent="0.25">
      <c r="B69" t="s">
        <v>177</v>
      </c>
      <c r="C69" t="s">
        <v>28</v>
      </c>
      <c r="D69" t="s">
        <v>28</v>
      </c>
      <c r="E69" t="s">
        <v>28</v>
      </c>
      <c r="F69" t="s">
        <v>28</v>
      </c>
      <c r="G69" t="s">
        <v>270</v>
      </c>
      <c r="H69" s="5">
        <v>22229.86</v>
      </c>
      <c r="I69" t="s">
        <v>26</v>
      </c>
      <c r="J69" t="s">
        <v>27</v>
      </c>
      <c r="N69" t="s">
        <v>29</v>
      </c>
      <c r="O69" t="s">
        <v>30</v>
      </c>
      <c r="P69" t="s">
        <v>31</v>
      </c>
      <c r="Q69">
        <v>23490</v>
      </c>
      <c r="R69">
        <v>2</v>
      </c>
      <c r="T69">
        <v>23490</v>
      </c>
      <c r="U69" s="5"/>
      <c r="X69" s="5">
        <v>22229.86</v>
      </c>
      <c r="Y69">
        <v>0</v>
      </c>
    </row>
    <row r="70" spans="2:25" x14ac:dyDescent="0.25">
      <c r="B70" t="s">
        <v>177</v>
      </c>
      <c r="C70" t="s">
        <v>28</v>
      </c>
      <c r="D70" t="s">
        <v>28</v>
      </c>
      <c r="E70" t="s">
        <v>28</v>
      </c>
      <c r="F70" t="s">
        <v>28</v>
      </c>
      <c r="G70" t="s">
        <v>274</v>
      </c>
      <c r="H70" s="5">
        <v>1451.04</v>
      </c>
      <c r="I70" t="s">
        <v>26</v>
      </c>
      <c r="J70" t="s">
        <v>27</v>
      </c>
      <c r="N70" t="s">
        <v>29</v>
      </c>
      <c r="O70" t="s">
        <v>30</v>
      </c>
      <c r="P70" t="s">
        <v>31</v>
      </c>
      <c r="Q70">
        <v>23620</v>
      </c>
      <c r="R70">
        <v>2</v>
      </c>
      <c r="T70">
        <v>23620</v>
      </c>
      <c r="U70" s="5"/>
      <c r="X70" s="5">
        <v>1451.04</v>
      </c>
      <c r="Y70">
        <v>0</v>
      </c>
    </row>
    <row r="71" spans="2:25" x14ac:dyDescent="0.25">
      <c r="B71" t="s">
        <v>177</v>
      </c>
      <c r="C71" t="s">
        <v>28</v>
      </c>
      <c r="D71" t="s">
        <v>28</v>
      </c>
      <c r="E71" t="s">
        <v>28</v>
      </c>
      <c r="F71" t="s">
        <v>28</v>
      </c>
      <c r="G71" t="s">
        <v>275</v>
      </c>
      <c r="H71" s="5">
        <v>1859.47</v>
      </c>
      <c r="I71" t="s">
        <v>26</v>
      </c>
      <c r="J71" t="s">
        <v>27</v>
      </c>
      <c r="N71" t="s">
        <v>29</v>
      </c>
      <c r="O71" t="s">
        <v>30</v>
      </c>
      <c r="P71" t="s">
        <v>31</v>
      </c>
      <c r="Q71">
        <v>23591</v>
      </c>
      <c r="R71">
        <v>2</v>
      </c>
      <c r="T71">
        <v>23591</v>
      </c>
      <c r="U71" s="5"/>
      <c r="X71" s="5">
        <v>1859.47</v>
      </c>
      <c r="Y71">
        <v>0</v>
      </c>
    </row>
    <row r="72" spans="2:25" x14ac:dyDescent="0.25">
      <c r="B72" t="s">
        <v>177</v>
      </c>
      <c r="C72" t="s">
        <v>28</v>
      </c>
      <c r="D72" t="s">
        <v>28</v>
      </c>
      <c r="E72" t="s">
        <v>28</v>
      </c>
      <c r="F72" t="s">
        <v>28</v>
      </c>
      <c r="G72" t="s">
        <v>276</v>
      </c>
      <c r="H72" s="5">
        <v>1023.57</v>
      </c>
      <c r="I72" t="s">
        <v>26</v>
      </c>
      <c r="J72" t="s">
        <v>27</v>
      </c>
      <c r="N72" t="s">
        <v>29</v>
      </c>
      <c r="O72" t="s">
        <v>30</v>
      </c>
      <c r="P72" t="s">
        <v>31</v>
      </c>
      <c r="Q72">
        <v>949</v>
      </c>
      <c r="R72">
        <v>2</v>
      </c>
      <c r="T72">
        <v>949</v>
      </c>
      <c r="U72" s="5"/>
      <c r="X72" s="5">
        <v>1023.57</v>
      </c>
      <c r="Y72">
        <v>0</v>
      </c>
    </row>
    <row r="73" spans="2:25" x14ac:dyDescent="0.25">
      <c r="B73" t="s">
        <v>177</v>
      </c>
      <c r="C73" t="s">
        <v>28</v>
      </c>
      <c r="D73" t="s">
        <v>28</v>
      </c>
      <c r="E73" t="s">
        <v>28</v>
      </c>
      <c r="F73" t="s">
        <v>28</v>
      </c>
      <c r="G73" t="s">
        <v>277</v>
      </c>
      <c r="H73" s="5">
        <v>526570.41</v>
      </c>
      <c r="I73" t="s">
        <v>26</v>
      </c>
      <c r="J73" t="s">
        <v>27</v>
      </c>
      <c r="N73" t="s">
        <v>29</v>
      </c>
      <c r="O73" t="s">
        <v>30</v>
      </c>
      <c r="P73" t="s">
        <v>31</v>
      </c>
      <c r="Q73">
        <v>27143</v>
      </c>
      <c r="R73">
        <v>2</v>
      </c>
      <c r="T73" t="s">
        <v>88</v>
      </c>
      <c r="U73" s="5" t="s">
        <v>191</v>
      </c>
      <c r="X73" s="5" t="s">
        <v>88</v>
      </c>
      <c r="Y73" t="s">
        <v>88</v>
      </c>
    </row>
    <row r="74" spans="2:25" x14ac:dyDescent="0.25">
      <c r="B74" t="s">
        <v>177</v>
      </c>
      <c r="C74" t="s">
        <v>28</v>
      </c>
      <c r="D74" t="s">
        <v>28</v>
      </c>
      <c r="E74" t="s">
        <v>28</v>
      </c>
      <c r="F74" t="s">
        <v>28</v>
      </c>
      <c r="G74" t="s">
        <v>279</v>
      </c>
      <c r="H74" s="5">
        <v>2074.44</v>
      </c>
      <c r="I74" t="s">
        <v>26</v>
      </c>
      <c r="J74" t="s">
        <v>27</v>
      </c>
      <c r="N74" t="s">
        <v>29</v>
      </c>
      <c r="O74" t="s">
        <v>30</v>
      </c>
      <c r="P74" t="s">
        <v>31</v>
      </c>
      <c r="Q74">
        <v>23563</v>
      </c>
      <c r="R74">
        <v>2</v>
      </c>
      <c r="T74">
        <v>23563</v>
      </c>
      <c r="U74" s="5"/>
      <c r="X74" s="5">
        <v>2074.44</v>
      </c>
      <c r="Y74">
        <v>0</v>
      </c>
    </row>
    <row r="75" spans="2:25" x14ac:dyDescent="0.25">
      <c r="B75" t="s">
        <v>177</v>
      </c>
      <c r="C75" t="s">
        <v>28</v>
      </c>
      <c r="D75" t="s">
        <v>28</v>
      </c>
      <c r="E75" t="s">
        <v>28</v>
      </c>
      <c r="F75" t="s">
        <v>28</v>
      </c>
      <c r="G75" t="s">
        <v>283</v>
      </c>
      <c r="H75" s="5">
        <v>84160.04</v>
      </c>
      <c r="I75" t="s">
        <v>26</v>
      </c>
      <c r="J75" t="s">
        <v>27</v>
      </c>
      <c r="N75" t="s">
        <v>29</v>
      </c>
      <c r="O75" t="s">
        <v>30</v>
      </c>
      <c r="P75" t="s">
        <v>31</v>
      </c>
      <c r="Q75">
        <v>23509</v>
      </c>
      <c r="R75">
        <v>2</v>
      </c>
      <c r="T75">
        <v>23509</v>
      </c>
      <c r="U75" s="5"/>
      <c r="X75" s="5">
        <v>84160.04</v>
      </c>
      <c r="Y75">
        <v>0</v>
      </c>
    </row>
    <row r="76" spans="2:25" x14ac:dyDescent="0.25">
      <c r="B76" t="s">
        <v>177</v>
      </c>
      <c r="C76" t="s">
        <v>28</v>
      </c>
      <c r="D76" t="s">
        <v>28</v>
      </c>
      <c r="E76" t="s">
        <v>28</v>
      </c>
      <c r="F76" t="s">
        <v>28</v>
      </c>
      <c r="G76" t="s">
        <v>250</v>
      </c>
      <c r="H76" s="5">
        <v>564943.51</v>
      </c>
      <c r="I76" t="s">
        <v>26</v>
      </c>
      <c r="J76" t="s">
        <v>27</v>
      </c>
      <c r="N76" t="s">
        <v>29</v>
      </c>
      <c r="O76" t="s">
        <v>30</v>
      </c>
      <c r="P76" t="s">
        <v>31</v>
      </c>
      <c r="Q76">
        <v>25679</v>
      </c>
      <c r="R76">
        <v>2</v>
      </c>
      <c r="T76">
        <v>25679</v>
      </c>
      <c r="U76" s="5"/>
      <c r="X76" s="5">
        <v>564943.51</v>
      </c>
      <c r="Y76">
        <v>0</v>
      </c>
    </row>
    <row r="77" spans="2:25" x14ac:dyDescent="0.25">
      <c r="B77" t="s">
        <v>177</v>
      </c>
      <c r="C77" t="s">
        <v>28</v>
      </c>
      <c r="D77" t="s">
        <v>28</v>
      </c>
      <c r="E77" t="s">
        <v>28</v>
      </c>
      <c r="F77" t="s">
        <v>28</v>
      </c>
      <c r="G77" t="s">
        <v>288</v>
      </c>
      <c r="H77" s="5">
        <v>10748.41</v>
      </c>
      <c r="I77" t="s">
        <v>26</v>
      </c>
      <c r="J77" t="s">
        <v>27</v>
      </c>
      <c r="N77" t="s">
        <v>29</v>
      </c>
      <c r="O77" t="s">
        <v>30</v>
      </c>
      <c r="P77" t="s">
        <v>31</v>
      </c>
      <c r="Q77">
        <v>23573</v>
      </c>
      <c r="R77">
        <v>2</v>
      </c>
      <c r="T77">
        <v>23573</v>
      </c>
      <c r="U77" s="5"/>
      <c r="X77" s="5">
        <v>10748.41</v>
      </c>
      <c r="Y77">
        <v>0</v>
      </c>
    </row>
    <row r="78" spans="2:25" x14ac:dyDescent="0.25">
      <c r="B78" t="s">
        <v>177</v>
      </c>
      <c r="C78" t="s">
        <v>28</v>
      </c>
      <c r="D78" t="s">
        <v>28</v>
      </c>
      <c r="E78" t="s">
        <v>28</v>
      </c>
      <c r="F78" t="s">
        <v>28</v>
      </c>
      <c r="G78" t="s">
        <v>290</v>
      </c>
      <c r="H78" s="5">
        <v>26315.33</v>
      </c>
      <c r="I78" t="s">
        <v>26</v>
      </c>
      <c r="J78" t="s">
        <v>27</v>
      </c>
      <c r="N78" t="s">
        <v>29</v>
      </c>
      <c r="O78" t="s">
        <v>30</v>
      </c>
      <c r="P78" t="s">
        <v>31</v>
      </c>
      <c r="Q78">
        <v>23491</v>
      </c>
      <c r="R78">
        <v>2</v>
      </c>
      <c r="T78">
        <v>23491</v>
      </c>
      <c r="U78" s="5"/>
      <c r="X78" s="5">
        <v>26315.33</v>
      </c>
      <c r="Y78">
        <v>0</v>
      </c>
    </row>
    <row r="79" spans="2:25" x14ac:dyDescent="0.25">
      <c r="B79" t="s">
        <v>177</v>
      </c>
      <c r="C79" t="s">
        <v>28</v>
      </c>
      <c r="D79" t="s">
        <v>28</v>
      </c>
      <c r="E79" t="s">
        <v>28</v>
      </c>
      <c r="F79" t="s">
        <v>28</v>
      </c>
      <c r="G79" t="s">
        <v>292</v>
      </c>
      <c r="H79" s="5">
        <v>124.68</v>
      </c>
      <c r="I79" t="s">
        <v>26</v>
      </c>
      <c r="J79" t="s">
        <v>27</v>
      </c>
      <c r="N79" t="s">
        <v>29</v>
      </c>
      <c r="O79" t="s">
        <v>30</v>
      </c>
      <c r="P79" t="s">
        <v>31</v>
      </c>
      <c r="Q79">
        <v>23648</v>
      </c>
      <c r="R79">
        <v>2</v>
      </c>
      <c r="T79" s="6">
        <v>23648</v>
      </c>
      <c r="U79" s="5"/>
      <c r="X79" s="5">
        <v>124.68</v>
      </c>
      <c r="Y79">
        <v>0</v>
      </c>
    </row>
    <row r="80" spans="2:25" x14ac:dyDescent="0.25">
      <c r="B80" t="s">
        <v>177</v>
      </c>
      <c r="C80" t="s">
        <v>28</v>
      </c>
      <c r="D80" t="s">
        <v>28</v>
      </c>
      <c r="E80" t="s">
        <v>28</v>
      </c>
      <c r="F80" t="s">
        <v>28</v>
      </c>
      <c r="G80" t="s">
        <v>293</v>
      </c>
      <c r="H80" s="5">
        <v>96900</v>
      </c>
      <c r="I80" t="s">
        <v>26</v>
      </c>
      <c r="J80" t="s">
        <v>27</v>
      </c>
      <c r="N80" t="s">
        <v>29</v>
      </c>
      <c r="O80" t="s">
        <v>30</v>
      </c>
      <c r="P80" t="s">
        <v>31</v>
      </c>
      <c r="Q80">
        <v>2100176174</v>
      </c>
      <c r="R80">
        <v>2</v>
      </c>
      <c r="T80">
        <v>2100176174</v>
      </c>
      <c r="U80" s="5"/>
      <c r="X80" s="5">
        <v>96900</v>
      </c>
      <c r="Y80">
        <v>0</v>
      </c>
    </row>
    <row r="81" spans="2:25" x14ac:dyDescent="0.25">
      <c r="B81" t="s">
        <v>177</v>
      </c>
      <c r="C81" t="s">
        <v>28</v>
      </c>
      <c r="D81" t="s">
        <v>28</v>
      </c>
      <c r="E81" t="s">
        <v>28</v>
      </c>
      <c r="F81" t="s">
        <v>28</v>
      </c>
      <c r="G81" t="s">
        <v>278</v>
      </c>
      <c r="H81" s="5">
        <v>111.78</v>
      </c>
      <c r="I81" t="s">
        <v>26</v>
      </c>
      <c r="J81" t="s">
        <v>27</v>
      </c>
      <c r="N81" t="s">
        <v>29</v>
      </c>
      <c r="O81" t="s">
        <v>30</v>
      </c>
      <c r="P81" t="s">
        <v>31</v>
      </c>
      <c r="Q81">
        <v>23630</v>
      </c>
      <c r="R81">
        <v>2</v>
      </c>
      <c r="T81">
        <v>23630</v>
      </c>
      <c r="U81" s="5"/>
      <c r="X81" s="5">
        <v>111.78</v>
      </c>
      <c r="Y81">
        <v>0</v>
      </c>
    </row>
    <row r="82" spans="2:25" x14ac:dyDescent="0.25">
      <c r="B82" t="s">
        <v>177</v>
      </c>
      <c r="C82" t="s">
        <v>28</v>
      </c>
      <c r="D82" t="s">
        <v>28</v>
      </c>
      <c r="E82" t="s">
        <v>28</v>
      </c>
      <c r="F82" t="s">
        <v>28</v>
      </c>
      <c r="G82" t="s">
        <v>294</v>
      </c>
      <c r="H82" s="5">
        <v>97846.99</v>
      </c>
      <c r="I82" t="s">
        <v>26</v>
      </c>
      <c r="J82" t="s">
        <v>27</v>
      </c>
      <c r="N82" t="s">
        <v>29</v>
      </c>
      <c r="O82" t="s">
        <v>30</v>
      </c>
      <c r="P82" t="s">
        <v>31</v>
      </c>
      <c r="Q82">
        <v>25701</v>
      </c>
      <c r="R82">
        <v>2</v>
      </c>
      <c r="T82">
        <v>25701</v>
      </c>
      <c r="U82" s="5"/>
      <c r="X82" s="5">
        <v>97846.99</v>
      </c>
      <c r="Y82">
        <v>0</v>
      </c>
    </row>
    <row r="83" spans="2:25" x14ac:dyDescent="0.25">
      <c r="B83" t="s">
        <v>177</v>
      </c>
      <c r="C83" t="s">
        <v>28</v>
      </c>
      <c r="D83" t="s">
        <v>28</v>
      </c>
      <c r="E83" t="s">
        <v>28</v>
      </c>
      <c r="F83" t="s">
        <v>28</v>
      </c>
      <c r="G83" t="s">
        <v>296</v>
      </c>
      <c r="H83" s="5">
        <v>87864.55</v>
      </c>
      <c r="I83" t="s">
        <v>26</v>
      </c>
      <c r="J83" t="s">
        <v>27</v>
      </c>
      <c r="N83" t="s">
        <v>29</v>
      </c>
      <c r="O83" t="s">
        <v>30</v>
      </c>
      <c r="P83" t="s">
        <v>31</v>
      </c>
      <c r="Q83">
        <v>27169</v>
      </c>
      <c r="R83">
        <v>2</v>
      </c>
      <c r="T83" t="s">
        <v>88</v>
      </c>
      <c r="U83" s="5" t="s">
        <v>191</v>
      </c>
      <c r="X83" s="5" t="s">
        <v>88</v>
      </c>
      <c r="Y83" t="s">
        <v>88</v>
      </c>
    </row>
    <row r="84" spans="2:25" x14ac:dyDescent="0.25">
      <c r="B84" t="s">
        <v>177</v>
      </c>
      <c r="C84" t="s">
        <v>28</v>
      </c>
      <c r="D84" t="s">
        <v>28</v>
      </c>
      <c r="E84" t="s">
        <v>28</v>
      </c>
      <c r="F84" t="s">
        <v>28</v>
      </c>
      <c r="G84" t="s">
        <v>299</v>
      </c>
      <c r="H84" s="5">
        <v>36700.5</v>
      </c>
      <c r="I84" t="s">
        <v>26</v>
      </c>
      <c r="J84" t="s">
        <v>27</v>
      </c>
      <c r="N84" t="s">
        <v>29</v>
      </c>
      <c r="O84" t="s">
        <v>30</v>
      </c>
      <c r="P84" t="s">
        <v>31</v>
      </c>
      <c r="Q84">
        <v>18102</v>
      </c>
      <c r="R84">
        <v>2</v>
      </c>
      <c r="T84">
        <v>18102</v>
      </c>
      <c r="U84" s="5"/>
      <c r="X84" s="5">
        <v>36700.5</v>
      </c>
      <c r="Y84">
        <v>0</v>
      </c>
    </row>
    <row r="85" spans="2:25" x14ac:dyDescent="0.25">
      <c r="B85" t="s">
        <v>177</v>
      </c>
      <c r="C85" t="s">
        <v>28</v>
      </c>
      <c r="D85" t="s">
        <v>28</v>
      </c>
      <c r="E85" t="s">
        <v>28</v>
      </c>
      <c r="F85" t="s">
        <v>28</v>
      </c>
      <c r="G85" t="s">
        <v>300</v>
      </c>
      <c r="H85" s="5">
        <v>91143.34</v>
      </c>
      <c r="I85" t="s">
        <v>26</v>
      </c>
      <c r="J85" t="s">
        <v>27</v>
      </c>
      <c r="N85" t="s">
        <v>29</v>
      </c>
      <c r="O85" t="s">
        <v>30</v>
      </c>
      <c r="P85" t="s">
        <v>31</v>
      </c>
      <c r="Q85">
        <v>23512</v>
      </c>
      <c r="R85">
        <v>2</v>
      </c>
      <c r="T85" s="6">
        <v>23512</v>
      </c>
      <c r="U85" s="5"/>
      <c r="X85" s="5">
        <v>91143.34</v>
      </c>
      <c r="Y85">
        <v>0</v>
      </c>
    </row>
    <row r="86" spans="2:25" x14ac:dyDescent="0.25">
      <c r="B86" t="s">
        <v>177</v>
      </c>
      <c r="C86" t="s">
        <v>28</v>
      </c>
      <c r="D86" t="s">
        <v>28</v>
      </c>
      <c r="E86" t="s">
        <v>28</v>
      </c>
      <c r="F86" t="s">
        <v>28</v>
      </c>
      <c r="G86" t="s">
        <v>301</v>
      </c>
      <c r="H86" s="5">
        <v>92396.51</v>
      </c>
      <c r="I86" t="s">
        <v>26</v>
      </c>
      <c r="J86" t="s">
        <v>27</v>
      </c>
      <c r="N86" t="s">
        <v>29</v>
      </c>
      <c r="O86" t="s">
        <v>30</v>
      </c>
      <c r="P86" t="s">
        <v>31</v>
      </c>
      <c r="Q86">
        <v>25706</v>
      </c>
      <c r="R86">
        <v>2</v>
      </c>
      <c r="T86">
        <v>25706</v>
      </c>
      <c r="U86" s="5"/>
      <c r="X86" s="5">
        <v>92396.51</v>
      </c>
      <c r="Y86">
        <v>0</v>
      </c>
    </row>
    <row r="87" spans="2:25" x14ac:dyDescent="0.25">
      <c r="B87" t="s">
        <v>177</v>
      </c>
      <c r="C87" t="s">
        <v>28</v>
      </c>
      <c r="D87" t="s">
        <v>28</v>
      </c>
      <c r="E87" t="s">
        <v>28</v>
      </c>
      <c r="F87" t="s">
        <v>28</v>
      </c>
      <c r="G87" t="s">
        <v>302</v>
      </c>
      <c r="H87" s="5">
        <v>1334.65</v>
      </c>
      <c r="I87" t="s">
        <v>26</v>
      </c>
      <c r="J87" t="s">
        <v>27</v>
      </c>
      <c r="N87" t="s">
        <v>29</v>
      </c>
      <c r="O87" t="s">
        <v>30</v>
      </c>
      <c r="P87" t="s">
        <v>31</v>
      </c>
      <c r="Q87">
        <v>19156</v>
      </c>
      <c r="R87">
        <v>2</v>
      </c>
      <c r="T87">
        <v>19156</v>
      </c>
      <c r="U87" s="5"/>
      <c r="X87" s="5">
        <v>1334.65</v>
      </c>
      <c r="Y87">
        <v>0</v>
      </c>
    </row>
    <row r="88" spans="2:25" x14ac:dyDescent="0.25">
      <c r="B88" t="s">
        <v>177</v>
      </c>
      <c r="C88" t="s">
        <v>28</v>
      </c>
      <c r="D88" t="s">
        <v>28</v>
      </c>
      <c r="E88" t="s">
        <v>28</v>
      </c>
      <c r="F88" t="s">
        <v>28</v>
      </c>
      <c r="G88" t="s">
        <v>305</v>
      </c>
      <c r="H88" s="5">
        <v>13718.19</v>
      </c>
      <c r="I88" t="s">
        <v>26</v>
      </c>
      <c r="J88" t="s">
        <v>27</v>
      </c>
      <c r="N88" t="s">
        <v>29</v>
      </c>
      <c r="O88" t="s">
        <v>30</v>
      </c>
      <c r="P88" t="s">
        <v>31</v>
      </c>
      <c r="Q88">
        <v>23565</v>
      </c>
      <c r="R88">
        <v>2</v>
      </c>
      <c r="T88">
        <v>23565</v>
      </c>
      <c r="U88" s="5"/>
      <c r="X88" s="5">
        <v>13718.19</v>
      </c>
      <c r="Y88">
        <v>0</v>
      </c>
    </row>
    <row r="89" spans="2:25" x14ac:dyDescent="0.25">
      <c r="B89" t="s">
        <v>177</v>
      </c>
      <c r="C89" t="s">
        <v>28</v>
      </c>
      <c r="D89" t="s">
        <v>28</v>
      </c>
      <c r="E89" t="s">
        <v>28</v>
      </c>
      <c r="F89" t="s">
        <v>28</v>
      </c>
      <c r="G89" t="s">
        <v>306</v>
      </c>
      <c r="H89" s="5">
        <v>62376.07</v>
      </c>
      <c r="I89" t="s">
        <v>26</v>
      </c>
      <c r="J89" t="s">
        <v>27</v>
      </c>
      <c r="N89" t="s">
        <v>29</v>
      </c>
      <c r="O89" t="s">
        <v>30</v>
      </c>
      <c r="P89" t="s">
        <v>31</v>
      </c>
      <c r="Q89">
        <v>1700007349</v>
      </c>
      <c r="R89">
        <v>2</v>
      </c>
      <c r="T89">
        <v>1700007349</v>
      </c>
      <c r="U89" s="5"/>
      <c r="X89" s="5">
        <v>62376.07</v>
      </c>
      <c r="Y89">
        <v>0</v>
      </c>
    </row>
    <row r="90" spans="2:25" x14ac:dyDescent="0.25">
      <c r="B90" t="s">
        <v>177</v>
      </c>
      <c r="C90" t="s">
        <v>28</v>
      </c>
      <c r="D90" t="s">
        <v>28</v>
      </c>
      <c r="E90" t="s">
        <v>28</v>
      </c>
      <c r="F90" t="s">
        <v>28</v>
      </c>
      <c r="G90" t="s">
        <v>309</v>
      </c>
      <c r="H90" s="5">
        <v>25385.59</v>
      </c>
      <c r="I90" t="s">
        <v>26</v>
      </c>
      <c r="J90" t="s">
        <v>27</v>
      </c>
      <c r="N90" t="s">
        <v>29</v>
      </c>
      <c r="O90" t="s">
        <v>30</v>
      </c>
      <c r="P90" t="s">
        <v>31</v>
      </c>
      <c r="Q90">
        <v>23522</v>
      </c>
      <c r="R90">
        <v>2</v>
      </c>
      <c r="T90">
        <v>23522</v>
      </c>
      <c r="U90" s="5"/>
      <c r="X90" s="5">
        <v>25385.59</v>
      </c>
      <c r="Y90">
        <v>0</v>
      </c>
    </row>
    <row r="91" spans="2:25" x14ac:dyDescent="0.25">
      <c r="B91" t="s">
        <v>177</v>
      </c>
      <c r="C91" t="s">
        <v>28</v>
      </c>
      <c r="D91" t="s">
        <v>28</v>
      </c>
      <c r="E91" t="s">
        <v>28</v>
      </c>
      <c r="F91" t="s">
        <v>28</v>
      </c>
      <c r="G91" t="s">
        <v>310</v>
      </c>
      <c r="H91" s="5">
        <v>12648.73</v>
      </c>
      <c r="I91" t="s">
        <v>26</v>
      </c>
      <c r="J91" t="s">
        <v>27</v>
      </c>
      <c r="N91" t="s">
        <v>29</v>
      </c>
      <c r="O91" t="s">
        <v>30</v>
      </c>
      <c r="P91" t="s">
        <v>31</v>
      </c>
      <c r="Q91">
        <v>23520</v>
      </c>
      <c r="R91">
        <v>2</v>
      </c>
      <c r="T91">
        <v>23520</v>
      </c>
      <c r="U91" s="5"/>
      <c r="X91" s="5">
        <v>12648.73</v>
      </c>
      <c r="Y91">
        <v>0</v>
      </c>
    </row>
    <row r="92" spans="2:25" x14ac:dyDescent="0.25">
      <c r="B92" t="s">
        <v>177</v>
      </c>
      <c r="C92" t="s">
        <v>28</v>
      </c>
      <c r="D92" t="s">
        <v>28</v>
      </c>
      <c r="E92" t="s">
        <v>28</v>
      </c>
      <c r="F92" t="s">
        <v>28</v>
      </c>
      <c r="G92" t="s">
        <v>312</v>
      </c>
      <c r="H92" s="5">
        <v>19026.830000000002</v>
      </c>
      <c r="I92" t="s">
        <v>26</v>
      </c>
      <c r="J92" t="s">
        <v>27</v>
      </c>
      <c r="N92" t="s">
        <v>29</v>
      </c>
      <c r="O92" t="s">
        <v>30</v>
      </c>
      <c r="P92" t="s">
        <v>31</v>
      </c>
      <c r="Q92">
        <v>23505</v>
      </c>
      <c r="R92">
        <v>2</v>
      </c>
      <c r="T92">
        <v>23505</v>
      </c>
      <c r="U92" s="5"/>
      <c r="X92" s="5">
        <v>19026.830000000002</v>
      </c>
      <c r="Y92">
        <v>0</v>
      </c>
    </row>
    <row r="93" spans="2:25" x14ac:dyDescent="0.25">
      <c r="B93" t="s">
        <v>177</v>
      </c>
      <c r="C93" t="s">
        <v>28</v>
      </c>
      <c r="D93" t="s">
        <v>28</v>
      </c>
      <c r="E93" t="s">
        <v>28</v>
      </c>
      <c r="F93" t="s">
        <v>28</v>
      </c>
      <c r="G93" t="s">
        <v>213</v>
      </c>
      <c r="H93" s="5">
        <v>161631.99</v>
      </c>
      <c r="I93" t="s">
        <v>26</v>
      </c>
      <c r="J93" t="s">
        <v>27</v>
      </c>
      <c r="N93" t="s">
        <v>29</v>
      </c>
      <c r="O93" t="s">
        <v>30</v>
      </c>
      <c r="P93" t="s">
        <v>31</v>
      </c>
      <c r="Q93">
        <v>25696</v>
      </c>
      <c r="R93">
        <v>2</v>
      </c>
      <c r="T93">
        <v>25696</v>
      </c>
      <c r="U93" s="5"/>
      <c r="X93" s="5">
        <v>161631.99</v>
      </c>
      <c r="Y93">
        <v>0</v>
      </c>
    </row>
    <row r="94" spans="2:25" x14ac:dyDescent="0.25">
      <c r="B94" t="s">
        <v>177</v>
      </c>
      <c r="C94" t="s">
        <v>28</v>
      </c>
      <c r="D94" t="s">
        <v>28</v>
      </c>
      <c r="E94" t="s">
        <v>28</v>
      </c>
      <c r="F94" t="s">
        <v>28</v>
      </c>
      <c r="G94" t="s">
        <v>315</v>
      </c>
      <c r="H94" s="5">
        <v>150412.07999999999</v>
      </c>
      <c r="I94" t="s">
        <v>26</v>
      </c>
      <c r="J94" t="s">
        <v>27</v>
      </c>
      <c r="N94" t="s">
        <v>29</v>
      </c>
      <c r="O94" t="s">
        <v>30</v>
      </c>
      <c r="P94" t="s">
        <v>31</v>
      </c>
      <c r="Q94">
        <v>8027577467</v>
      </c>
      <c r="R94">
        <v>2</v>
      </c>
      <c r="T94">
        <v>8027577467</v>
      </c>
      <c r="U94" s="5"/>
      <c r="X94" s="5">
        <v>150412.07999999999</v>
      </c>
      <c r="Y94">
        <v>0</v>
      </c>
    </row>
    <row r="95" spans="2:25" x14ac:dyDescent="0.25">
      <c r="B95" t="s">
        <v>177</v>
      </c>
      <c r="C95" t="s">
        <v>28</v>
      </c>
      <c r="D95" t="s">
        <v>28</v>
      </c>
      <c r="E95" t="s">
        <v>28</v>
      </c>
      <c r="F95" t="s">
        <v>28</v>
      </c>
      <c r="G95" t="s">
        <v>319</v>
      </c>
      <c r="H95" s="5">
        <v>67539.990000000005</v>
      </c>
      <c r="I95" t="s">
        <v>26</v>
      </c>
      <c r="J95" t="s">
        <v>27</v>
      </c>
      <c r="N95" t="s">
        <v>29</v>
      </c>
      <c r="O95" t="s">
        <v>30</v>
      </c>
      <c r="P95" t="s">
        <v>31</v>
      </c>
      <c r="Q95">
        <v>26051</v>
      </c>
      <c r="R95">
        <v>2</v>
      </c>
      <c r="T95">
        <v>26051</v>
      </c>
      <c r="U95" s="5"/>
      <c r="X95" s="5">
        <v>67539.990000000005</v>
      </c>
      <c r="Y95">
        <v>0</v>
      </c>
    </row>
    <row r="96" spans="2:25" x14ac:dyDescent="0.25">
      <c r="B96" t="s">
        <v>177</v>
      </c>
      <c r="C96" t="s">
        <v>28</v>
      </c>
      <c r="D96" t="s">
        <v>28</v>
      </c>
      <c r="E96" t="s">
        <v>28</v>
      </c>
      <c r="F96" t="s">
        <v>28</v>
      </c>
      <c r="G96" t="s">
        <v>317</v>
      </c>
      <c r="H96" s="5">
        <v>13435.51</v>
      </c>
      <c r="I96" t="s">
        <v>26</v>
      </c>
      <c r="J96" t="s">
        <v>27</v>
      </c>
      <c r="N96" t="s">
        <v>29</v>
      </c>
      <c r="O96" t="s">
        <v>30</v>
      </c>
      <c r="P96" t="s">
        <v>31</v>
      </c>
      <c r="Q96">
        <v>23569</v>
      </c>
      <c r="R96">
        <v>2</v>
      </c>
      <c r="T96">
        <v>23569</v>
      </c>
      <c r="U96" s="5"/>
      <c r="X96" s="5">
        <v>13435.51</v>
      </c>
      <c r="Y96">
        <v>0</v>
      </c>
    </row>
    <row r="97" spans="2:25" x14ac:dyDescent="0.25">
      <c r="B97" t="s">
        <v>177</v>
      </c>
      <c r="C97" t="s">
        <v>28</v>
      </c>
      <c r="D97" t="s">
        <v>28</v>
      </c>
      <c r="E97" t="s">
        <v>28</v>
      </c>
      <c r="F97" t="s">
        <v>28</v>
      </c>
      <c r="G97" t="s">
        <v>321</v>
      </c>
      <c r="H97" s="5">
        <v>100529</v>
      </c>
      <c r="I97" t="s">
        <v>26</v>
      </c>
      <c r="J97" t="s">
        <v>27</v>
      </c>
      <c r="N97" t="s">
        <v>29</v>
      </c>
      <c r="O97" t="s">
        <v>30</v>
      </c>
      <c r="P97" t="s">
        <v>31</v>
      </c>
      <c r="Q97">
        <v>27150</v>
      </c>
      <c r="R97">
        <v>2</v>
      </c>
      <c r="T97" t="s">
        <v>88</v>
      </c>
      <c r="U97" s="5" t="s">
        <v>191</v>
      </c>
      <c r="X97" s="5" t="s">
        <v>88</v>
      </c>
      <c r="Y97" t="s">
        <v>88</v>
      </c>
    </row>
    <row r="98" spans="2:25" x14ac:dyDescent="0.25">
      <c r="B98" t="s">
        <v>177</v>
      </c>
      <c r="C98" t="s">
        <v>28</v>
      </c>
      <c r="D98" t="s">
        <v>28</v>
      </c>
      <c r="E98" t="s">
        <v>28</v>
      </c>
      <c r="F98" t="s">
        <v>28</v>
      </c>
      <c r="G98" t="s">
        <v>322</v>
      </c>
      <c r="H98" s="5">
        <v>216750</v>
      </c>
      <c r="I98" t="s">
        <v>26</v>
      </c>
      <c r="J98" t="s">
        <v>27</v>
      </c>
      <c r="N98" t="s">
        <v>29</v>
      </c>
      <c r="O98" t="s">
        <v>30</v>
      </c>
      <c r="P98" t="s">
        <v>31</v>
      </c>
      <c r="Q98">
        <v>8010495801</v>
      </c>
      <c r="R98">
        <v>2</v>
      </c>
      <c r="T98" t="s">
        <v>88</v>
      </c>
      <c r="U98" s="5" t="s">
        <v>191</v>
      </c>
      <c r="X98" s="5" t="s">
        <v>88</v>
      </c>
      <c r="Y98" t="s">
        <v>88</v>
      </c>
    </row>
    <row r="99" spans="2:25" x14ac:dyDescent="0.25">
      <c r="B99" t="s">
        <v>177</v>
      </c>
      <c r="C99" t="s">
        <v>28</v>
      </c>
      <c r="D99" t="s">
        <v>28</v>
      </c>
      <c r="E99" t="s">
        <v>28</v>
      </c>
      <c r="F99" t="s">
        <v>28</v>
      </c>
      <c r="G99" t="s">
        <v>324</v>
      </c>
      <c r="H99" s="5">
        <v>84441.23</v>
      </c>
      <c r="I99" t="s">
        <v>26</v>
      </c>
      <c r="J99" t="s">
        <v>27</v>
      </c>
      <c r="N99" t="s">
        <v>29</v>
      </c>
      <c r="O99" t="s">
        <v>30</v>
      </c>
      <c r="P99" t="s">
        <v>31</v>
      </c>
      <c r="Q99">
        <v>23791</v>
      </c>
      <c r="R99">
        <v>2</v>
      </c>
      <c r="T99">
        <v>23791</v>
      </c>
      <c r="U99" s="5"/>
      <c r="X99" s="5">
        <v>84441.23</v>
      </c>
      <c r="Y99">
        <v>0</v>
      </c>
    </row>
    <row r="100" spans="2:25" x14ac:dyDescent="0.25">
      <c r="B100" t="s">
        <v>177</v>
      </c>
      <c r="C100" t="s">
        <v>28</v>
      </c>
      <c r="D100" t="s">
        <v>28</v>
      </c>
      <c r="E100" t="s">
        <v>28</v>
      </c>
      <c r="F100" t="s">
        <v>28</v>
      </c>
      <c r="G100" t="s">
        <v>327</v>
      </c>
      <c r="H100" s="5">
        <v>1687.5</v>
      </c>
      <c r="I100" t="s">
        <v>26</v>
      </c>
      <c r="J100" t="s">
        <v>27</v>
      </c>
      <c r="N100" t="s">
        <v>29</v>
      </c>
      <c r="O100" t="s">
        <v>30</v>
      </c>
      <c r="P100" t="s">
        <v>31</v>
      </c>
      <c r="Q100">
        <v>23560</v>
      </c>
      <c r="R100">
        <v>2</v>
      </c>
      <c r="T100">
        <v>23560</v>
      </c>
      <c r="U100" s="5"/>
      <c r="X100" s="5">
        <v>1687.5</v>
      </c>
      <c r="Y100">
        <v>0</v>
      </c>
    </row>
    <row r="101" spans="2:25" x14ac:dyDescent="0.25">
      <c r="B101" t="s">
        <v>177</v>
      </c>
      <c r="C101" t="s">
        <v>28</v>
      </c>
      <c r="D101" t="s">
        <v>28</v>
      </c>
      <c r="E101" t="s">
        <v>28</v>
      </c>
      <c r="F101" t="s">
        <v>28</v>
      </c>
      <c r="G101" t="s">
        <v>328</v>
      </c>
      <c r="H101" s="5">
        <v>111417.18</v>
      </c>
      <c r="I101" t="s">
        <v>26</v>
      </c>
      <c r="J101" t="s">
        <v>27</v>
      </c>
      <c r="N101" t="s">
        <v>29</v>
      </c>
      <c r="O101" t="s">
        <v>30</v>
      </c>
      <c r="P101" t="s">
        <v>31</v>
      </c>
      <c r="Q101">
        <v>25692</v>
      </c>
      <c r="R101">
        <v>2</v>
      </c>
      <c r="T101">
        <v>25692</v>
      </c>
      <c r="U101" s="5"/>
      <c r="X101" s="5">
        <v>111417.18</v>
      </c>
      <c r="Y101">
        <v>0</v>
      </c>
    </row>
    <row r="102" spans="2:25" x14ac:dyDescent="0.25">
      <c r="B102" t="s">
        <v>177</v>
      </c>
      <c r="C102" t="s">
        <v>28</v>
      </c>
      <c r="D102" t="s">
        <v>28</v>
      </c>
      <c r="E102" t="s">
        <v>28</v>
      </c>
      <c r="F102" t="s">
        <v>28</v>
      </c>
      <c r="G102" t="s">
        <v>329</v>
      </c>
      <c r="H102" s="5">
        <v>19026.830000000002</v>
      </c>
      <c r="I102" t="s">
        <v>26</v>
      </c>
      <c r="J102" t="s">
        <v>27</v>
      </c>
      <c r="N102" t="s">
        <v>29</v>
      </c>
      <c r="O102" t="s">
        <v>30</v>
      </c>
      <c r="P102" t="s">
        <v>31</v>
      </c>
      <c r="Q102">
        <v>23503</v>
      </c>
      <c r="R102">
        <v>2</v>
      </c>
      <c r="T102">
        <v>23503</v>
      </c>
      <c r="U102" s="5"/>
      <c r="X102" s="5">
        <v>19026.830000000002</v>
      </c>
      <c r="Y102">
        <v>0</v>
      </c>
    </row>
    <row r="103" spans="2:25" x14ac:dyDescent="0.25">
      <c r="B103" t="s">
        <v>177</v>
      </c>
      <c r="C103" t="s">
        <v>28</v>
      </c>
      <c r="D103" t="s">
        <v>28</v>
      </c>
      <c r="E103" t="s">
        <v>28</v>
      </c>
      <c r="F103" t="s">
        <v>28</v>
      </c>
      <c r="G103" t="s">
        <v>330</v>
      </c>
      <c r="H103" s="5">
        <v>9145.82</v>
      </c>
      <c r="I103" t="s">
        <v>26</v>
      </c>
      <c r="J103" t="s">
        <v>27</v>
      </c>
      <c r="N103" t="s">
        <v>29</v>
      </c>
      <c r="O103" t="s">
        <v>30</v>
      </c>
      <c r="P103" t="s">
        <v>31</v>
      </c>
      <c r="Q103">
        <v>23566</v>
      </c>
      <c r="R103">
        <v>2</v>
      </c>
      <c r="T103">
        <v>23566</v>
      </c>
      <c r="U103" s="5"/>
      <c r="X103" s="5">
        <v>9145.82</v>
      </c>
      <c r="Y103">
        <v>0</v>
      </c>
    </row>
    <row r="104" spans="2:25" x14ac:dyDescent="0.25">
      <c r="B104" t="s">
        <v>177</v>
      </c>
      <c r="C104" t="s">
        <v>28</v>
      </c>
      <c r="D104" t="s">
        <v>28</v>
      </c>
      <c r="E104" t="s">
        <v>28</v>
      </c>
      <c r="F104" t="s">
        <v>28</v>
      </c>
      <c r="G104" t="s">
        <v>331</v>
      </c>
      <c r="H104" s="5">
        <v>274353.82</v>
      </c>
      <c r="I104" t="s">
        <v>26</v>
      </c>
      <c r="J104" t="s">
        <v>27</v>
      </c>
      <c r="N104" t="s">
        <v>29</v>
      </c>
      <c r="O104" t="s">
        <v>30</v>
      </c>
      <c r="P104" t="s">
        <v>31</v>
      </c>
      <c r="Q104">
        <v>6961494</v>
      </c>
      <c r="R104">
        <v>2</v>
      </c>
      <c r="T104">
        <v>6961494</v>
      </c>
      <c r="U104" s="5"/>
      <c r="X104" s="5">
        <v>274353.82</v>
      </c>
      <c r="Y104">
        <v>0</v>
      </c>
    </row>
    <row r="105" spans="2:25" x14ac:dyDescent="0.25">
      <c r="B105" t="s">
        <v>177</v>
      </c>
      <c r="C105" t="s">
        <v>28</v>
      </c>
      <c r="D105" t="s">
        <v>28</v>
      </c>
      <c r="E105" t="s">
        <v>28</v>
      </c>
      <c r="F105" t="s">
        <v>28</v>
      </c>
      <c r="G105" t="s">
        <v>259</v>
      </c>
      <c r="H105" s="5">
        <v>25385.59</v>
      </c>
      <c r="I105" t="s">
        <v>26</v>
      </c>
      <c r="J105" t="s">
        <v>27</v>
      </c>
      <c r="N105" t="s">
        <v>29</v>
      </c>
      <c r="O105" t="s">
        <v>30</v>
      </c>
      <c r="P105" t="s">
        <v>31</v>
      </c>
      <c r="Q105">
        <v>23524</v>
      </c>
      <c r="R105">
        <v>2</v>
      </c>
      <c r="T105">
        <v>23524</v>
      </c>
      <c r="U105" s="5"/>
      <c r="X105" s="5">
        <v>25385.59</v>
      </c>
      <c r="Y105">
        <v>0</v>
      </c>
    </row>
    <row r="106" spans="2:25" x14ac:dyDescent="0.25">
      <c r="B106" t="s">
        <v>177</v>
      </c>
      <c r="C106" t="s">
        <v>28</v>
      </c>
      <c r="D106" t="s">
        <v>28</v>
      </c>
      <c r="E106" t="s">
        <v>28</v>
      </c>
      <c r="F106" t="s">
        <v>28</v>
      </c>
      <c r="G106" t="s">
        <v>334</v>
      </c>
      <c r="H106" s="5">
        <v>54014.43</v>
      </c>
      <c r="I106" t="s">
        <v>26</v>
      </c>
      <c r="J106" t="s">
        <v>27</v>
      </c>
      <c r="N106" t="s">
        <v>29</v>
      </c>
      <c r="O106" t="s">
        <v>30</v>
      </c>
      <c r="P106" t="s">
        <v>31</v>
      </c>
      <c r="Q106">
        <v>27147</v>
      </c>
      <c r="R106">
        <v>2</v>
      </c>
      <c r="T106" t="s">
        <v>88</v>
      </c>
      <c r="U106" s="5" t="s">
        <v>191</v>
      </c>
      <c r="X106" s="5" t="s">
        <v>88</v>
      </c>
      <c r="Y106" t="s">
        <v>88</v>
      </c>
    </row>
    <row r="107" spans="2:25" x14ac:dyDescent="0.25">
      <c r="B107" t="s">
        <v>177</v>
      </c>
      <c r="C107" t="s">
        <v>28</v>
      </c>
      <c r="D107" t="s">
        <v>28</v>
      </c>
      <c r="E107" t="s">
        <v>28</v>
      </c>
      <c r="F107" t="s">
        <v>28</v>
      </c>
      <c r="G107" t="s">
        <v>295</v>
      </c>
      <c r="H107" s="5">
        <v>1687.5</v>
      </c>
      <c r="I107" t="s">
        <v>26</v>
      </c>
      <c r="J107" t="s">
        <v>27</v>
      </c>
      <c r="N107" t="s">
        <v>29</v>
      </c>
      <c r="O107" t="s">
        <v>30</v>
      </c>
      <c r="P107" t="s">
        <v>31</v>
      </c>
      <c r="Q107">
        <v>23557</v>
      </c>
      <c r="R107">
        <v>2</v>
      </c>
      <c r="T107">
        <v>23557</v>
      </c>
      <c r="U107" s="5"/>
      <c r="X107" s="5">
        <v>1687.5</v>
      </c>
      <c r="Y107">
        <v>0</v>
      </c>
    </row>
    <row r="108" spans="2:25" x14ac:dyDescent="0.25">
      <c r="B108" t="s">
        <v>177</v>
      </c>
      <c r="C108" t="s">
        <v>28</v>
      </c>
      <c r="D108" t="s">
        <v>28</v>
      </c>
      <c r="E108" t="s">
        <v>28</v>
      </c>
      <c r="F108" t="s">
        <v>28</v>
      </c>
      <c r="G108" t="s">
        <v>339</v>
      </c>
      <c r="H108" s="5">
        <v>1860.55</v>
      </c>
      <c r="I108" t="s">
        <v>26</v>
      </c>
      <c r="J108" t="s">
        <v>27</v>
      </c>
      <c r="N108" t="s">
        <v>29</v>
      </c>
      <c r="O108" t="s">
        <v>30</v>
      </c>
      <c r="P108" t="s">
        <v>31</v>
      </c>
      <c r="Q108">
        <v>23613</v>
      </c>
      <c r="R108">
        <v>2</v>
      </c>
      <c r="T108">
        <v>23613</v>
      </c>
      <c r="U108" s="5"/>
      <c r="X108" s="5">
        <v>1860.55</v>
      </c>
      <c r="Y108">
        <v>0</v>
      </c>
    </row>
    <row r="109" spans="2:25" x14ac:dyDescent="0.25">
      <c r="B109" t="s">
        <v>177</v>
      </c>
      <c r="C109" t="s">
        <v>28</v>
      </c>
      <c r="D109" t="s">
        <v>28</v>
      </c>
      <c r="E109" t="s">
        <v>28</v>
      </c>
      <c r="F109" t="s">
        <v>28</v>
      </c>
      <c r="G109" t="s">
        <v>340</v>
      </c>
      <c r="H109" s="5">
        <v>2172.25</v>
      </c>
      <c r="I109" t="s">
        <v>26</v>
      </c>
      <c r="J109" t="s">
        <v>27</v>
      </c>
      <c r="N109" t="s">
        <v>29</v>
      </c>
      <c r="O109" t="s">
        <v>30</v>
      </c>
      <c r="P109" t="s">
        <v>31</v>
      </c>
      <c r="Q109">
        <v>23580</v>
      </c>
      <c r="R109">
        <v>2</v>
      </c>
      <c r="T109">
        <v>23580</v>
      </c>
      <c r="U109" s="5"/>
      <c r="X109" s="5">
        <v>2172.25</v>
      </c>
      <c r="Y109">
        <v>0</v>
      </c>
    </row>
    <row r="110" spans="2:25" x14ac:dyDescent="0.25">
      <c r="B110" t="s">
        <v>177</v>
      </c>
      <c r="C110" t="s">
        <v>28</v>
      </c>
      <c r="D110" t="s">
        <v>28</v>
      </c>
      <c r="E110" t="s">
        <v>28</v>
      </c>
      <c r="F110" t="s">
        <v>28</v>
      </c>
      <c r="G110" t="s">
        <v>342</v>
      </c>
      <c r="H110" s="5">
        <v>21232.41</v>
      </c>
      <c r="I110" t="s">
        <v>26</v>
      </c>
      <c r="J110" t="s">
        <v>27</v>
      </c>
      <c r="N110" t="s">
        <v>29</v>
      </c>
      <c r="O110" t="s">
        <v>30</v>
      </c>
      <c r="P110" t="s">
        <v>31</v>
      </c>
      <c r="Q110">
        <v>23521</v>
      </c>
      <c r="R110">
        <v>2</v>
      </c>
      <c r="T110">
        <v>23521</v>
      </c>
      <c r="U110" s="5"/>
      <c r="X110" s="5">
        <v>21232.41</v>
      </c>
      <c r="Y110">
        <v>0</v>
      </c>
    </row>
    <row r="111" spans="2:25" x14ac:dyDescent="0.25">
      <c r="B111" t="s">
        <v>177</v>
      </c>
      <c r="C111" t="s">
        <v>28</v>
      </c>
      <c r="D111" t="s">
        <v>28</v>
      </c>
      <c r="E111" t="s">
        <v>28</v>
      </c>
      <c r="F111" t="s">
        <v>28</v>
      </c>
      <c r="G111" t="s">
        <v>343</v>
      </c>
      <c r="H111" s="5">
        <v>111038.49</v>
      </c>
      <c r="I111" t="s">
        <v>26</v>
      </c>
      <c r="J111" t="s">
        <v>27</v>
      </c>
      <c r="N111" t="s">
        <v>29</v>
      </c>
      <c r="O111" t="s">
        <v>30</v>
      </c>
      <c r="P111" t="s">
        <v>31</v>
      </c>
      <c r="Q111">
        <v>20789</v>
      </c>
      <c r="R111">
        <v>2</v>
      </c>
      <c r="T111">
        <v>20789</v>
      </c>
      <c r="U111" s="5"/>
      <c r="X111" s="5">
        <v>111038.49</v>
      </c>
      <c r="Y111">
        <v>0</v>
      </c>
    </row>
    <row r="112" spans="2:25" x14ac:dyDescent="0.25">
      <c r="B112" t="s">
        <v>177</v>
      </c>
      <c r="C112" t="s">
        <v>28</v>
      </c>
      <c r="D112" t="s">
        <v>28</v>
      </c>
      <c r="E112" t="s">
        <v>28</v>
      </c>
      <c r="F112" t="s">
        <v>28</v>
      </c>
      <c r="G112" t="s">
        <v>344</v>
      </c>
      <c r="H112" s="5">
        <v>13435.51</v>
      </c>
      <c r="I112" t="s">
        <v>26</v>
      </c>
      <c r="J112" t="s">
        <v>27</v>
      </c>
      <c r="N112" t="s">
        <v>29</v>
      </c>
      <c r="O112" t="s">
        <v>30</v>
      </c>
      <c r="P112" t="s">
        <v>31</v>
      </c>
      <c r="Q112">
        <v>23537</v>
      </c>
      <c r="R112">
        <v>2</v>
      </c>
      <c r="T112">
        <v>23537</v>
      </c>
      <c r="U112" s="5"/>
      <c r="X112" s="5">
        <v>13435.51</v>
      </c>
      <c r="Y112">
        <v>0</v>
      </c>
    </row>
    <row r="113" spans="2:25" x14ac:dyDescent="0.25">
      <c r="B113" t="s">
        <v>177</v>
      </c>
      <c r="C113" t="s">
        <v>28</v>
      </c>
      <c r="D113" t="s">
        <v>28</v>
      </c>
      <c r="E113" t="s">
        <v>28</v>
      </c>
      <c r="F113" t="s">
        <v>28</v>
      </c>
      <c r="G113" t="s">
        <v>345</v>
      </c>
      <c r="H113" s="5">
        <v>63196.58</v>
      </c>
      <c r="I113" t="s">
        <v>26</v>
      </c>
      <c r="J113" t="s">
        <v>27</v>
      </c>
      <c r="N113" t="s">
        <v>29</v>
      </c>
      <c r="O113" t="s">
        <v>30</v>
      </c>
      <c r="P113" t="s">
        <v>31</v>
      </c>
      <c r="Q113">
        <v>23788</v>
      </c>
      <c r="R113">
        <v>2</v>
      </c>
      <c r="T113">
        <v>23788</v>
      </c>
      <c r="U113" s="5"/>
      <c r="X113" s="5">
        <v>63196.58</v>
      </c>
      <c r="Y113">
        <v>0</v>
      </c>
    </row>
    <row r="114" spans="2:25" x14ac:dyDescent="0.25">
      <c r="B114" t="s">
        <v>177</v>
      </c>
      <c r="C114" t="s">
        <v>28</v>
      </c>
      <c r="D114" t="s">
        <v>28</v>
      </c>
      <c r="E114" t="s">
        <v>28</v>
      </c>
      <c r="F114" t="s">
        <v>28</v>
      </c>
      <c r="G114" t="s">
        <v>346</v>
      </c>
      <c r="H114" s="5">
        <v>91399.360000000001</v>
      </c>
      <c r="I114" t="s">
        <v>26</v>
      </c>
      <c r="J114" t="s">
        <v>27</v>
      </c>
      <c r="N114" t="s">
        <v>29</v>
      </c>
      <c r="O114" t="s">
        <v>30</v>
      </c>
      <c r="P114" t="s">
        <v>31</v>
      </c>
      <c r="Q114">
        <v>8038196907</v>
      </c>
      <c r="R114">
        <v>2</v>
      </c>
      <c r="T114">
        <v>8038196907</v>
      </c>
      <c r="U114" s="5"/>
      <c r="X114" s="5">
        <v>91399.360000000001</v>
      </c>
      <c r="Y114">
        <v>0</v>
      </c>
    </row>
    <row r="115" spans="2:25" x14ac:dyDescent="0.25">
      <c r="B115" t="s">
        <v>177</v>
      </c>
      <c r="C115" t="s">
        <v>28</v>
      </c>
      <c r="D115" t="s">
        <v>28</v>
      </c>
      <c r="E115" t="s">
        <v>28</v>
      </c>
      <c r="F115" t="s">
        <v>28</v>
      </c>
      <c r="G115" t="s">
        <v>231</v>
      </c>
      <c r="H115" s="5">
        <v>80000</v>
      </c>
      <c r="I115" t="s">
        <v>26</v>
      </c>
      <c r="J115" t="s">
        <v>27</v>
      </c>
      <c r="N115" t="s">
        <v>29</v>
      </c>
      <c r="O115" t="s">
        <v>30</v>
      </c>
      <c r="P115" t="s">
        <v>31</v>
      </c>
      <c r="Q115">
        <v>8009161420</v>
      </c>
      <c r="R115">
        <v>2</v>
      </c>
      <c r="T115">
        <v>8009161420</v>
      </c>
      <c r="U115" s="5"/>
      <c r="X115" s="5">
        <v>80000</v>
      </c>
      <c r="Y115">
        <v>0</v>
      </c>
    </row>
    <row r="116" spans="2:25" x14ac:dyDescent="0.25">
      <c r="B116" t="s">
        <v>177</v>
      </c>
      <c r="C116" t="s">
        <v>28</v>
      </c>
      <c r="D116" t="s">
        <v>28</v>
      </c>
      <c r="E116" t="s">
        <v>28</v>
      </c>
      <c r="F116" t="s">
        <v>28</v>
      </c>
      <c r="G116" t="s">
        <v>347</v>
      </c>
      <c r="H116" s="5">
        <v>72118.84</v>
      </c>
      <c r="I116" t="s">
        <v>26</v>
      </c>
      <c r="J116" t="s">
        <v>27</v>
      </c>
      <c r="N116" t="s">
        <v>29</v>
      </c>
      <c r="O116" t="s">
        <v>30</v>
      </c>
      <c r="P116" t="s">
        <v>31</v>
      </c>
      <c r="Q116">
        <v>27026</v>
      </c>
      <c r="R116">
        <v>2</v>
      </c>
      <c r="T116">
        <v>27026</v>
      </c>
      <c r="U116" s="5"/>
      <c r="X116" s="5">
        <v>72118.84</v>
      </c>
      <c r="Y116">
        <v>0</v>
      </c>
    </row>
    <row r="117" spans="2:25" x14ac:dyDescent="0.25">
      <c r="B117" t="s">
        <v>177</v>
      </c>
      <c r="C117" t="s">
        <v>28</v>
      </c>
      <c r="D117" t="s">
        <v>28</v>
      </c>
      <c r="E117" t="s">
        <v>28</v>
      </c>
      <c r="F117" t="s">
        <v>28</v>
      </c>
      <c r="G117" t="s">
        <v>348</v>
      </c>
      <c r="H117" s="5">
        <v>312516.42</v>
      </c>
      <c r="I117" t="s">
        <v>26</v>
      </c>
      <c r="J117" t="s">
        <v>27</v>
      </c>
      <c r="N117" t="s">
        <v>29</v>
      </c>
      <c r="O117" t="s">
        <v>30</v>
      </c>
      <c r="P117" t="s">
        <v>31</v>
      </c>
      <c r="Q117">
        <v>26784</v>
      </c>
      <c r="R117">
        <v>2</v>
      </c>
      <c r="T117">
        <v>26784</v>
      </c>
      <c r="U117" s="5"/>
      <c r="X117" s="5">
        <v>312516.42</v>
      </c>
      <c r="Y117">
        <v>0</v>
      </c>
    </row>
    <row r="118" spans="2:25" x14ac:dyDescent="0.25">
      <c r="B118" t="s">
        <v>177</v>
      </c>
      <c r="C118" t="s">
        <v>28</v>
      </c>
      <c r="D118" t="s">
        <v>28</v>
      </c>
      <c r="E118" t="s">
        <v>28</v>
      </c>
      <c r="F118" t="s">
        <v>28</v>
      </c>
      <c r="G118" t="s">
        <v>349</v>
      </c>
      <c r="H118" s="5">
        <v>57711.58</v>
      </c>
      <c r="I118" t="s">
        <v>26</v>
      </c>
      <c r="J118" t="s">
        <v>27</v>
      </c>
      <c r="N118" t="s">
        <v>29</v>
      </c>
      <c r="O118" t="s">
        <v>30</v>
      </c>
      <c r="P118" t="s">
        <v>31</v>
      </c>
      <c r="Q118">
        <v>2100094299</v>
      </c>
      <c r="R118">
        <v>2</v>
      </c>
      <c r="T118">
        <v>2100094299</v>
      </c>
      <c r="U118" s="5"/>
      <c r="X118" s="5">
        <v>57711.58</v>
      </c>
      <c r="Y118">
        <v>0</v>
      </c>
    </row>
    <row r="119" spans="2:25" x14ac:dyDescent="0.25">
      <c r="B119" t="s">
        <v>177</v>
      </c>
      <c r="C119" t="s">
        <v>28</v>
      </c>
      <c r="D119" t="s">
        <v>28</v>
      </c>
      <c r="E119" t="s">
        <v>28</v>
      </c>
      <c r="F119" t="s">
        <v>28</v>
      </c>
      <c r="G119" t="s">
        <v>286</v>
      </c>
      <c r="H119" s="5">
        <v>124344.2</v>
      </c>
      <c r="I119" t="s">
        <v>26</v>
      </c>
      <c r="J119" t="s">
        <v>27</v>
      </c>
      <c r="N119" t="s">
        <v>29</v>
      </c>
      <c r="O119" t="s">
        <v>30</v>
      </c>
      <c r="P119" t="s">
        <v>31</v>
      </c>
      <c r="Q119">
        <v>7346</v>
      </c>
      <c r="R119">
        <v>2</v>
      </c>
      <c r="T119">
        <v>7346</v>
      </c>
      <c r="U119" s="5"/>
      <c r="X119" s="5">
        <v>124344.2</v>
      </c>
      <c r="Y119">
        <v>0</v>
      </c>
    </row>
    <row r="120" spans="2:25" x14ac:dyDescent="0.25">
      <c r="B120" t="s">
        <v>177</v>
      </c>
      <c r="C120" t="s">
        <v>28</v>
      </c>
      <c r="D120" t="s">
        <v>28</v>
      </c>
      <c r="E120" t="s">
        <v>28</v>
      </c>
      <c r="F120" t="s">
        <v>28</v>
      </c>
      <c r="G120" t="s">
        <v>351</v>
      </c>
      <c r="H120" s="5">
        <v>96922.8</v>
      </c>
      <c r="I120" t="s">
        <v>26</v>
      </c>
      <c r="J120" t="s">
        <v>27</v>
      </c>
      <c r="N120" t="s">
        <v>29</v>
      </c>
      <c r="O120" t="s">
        <v>30</v>
      </c>
      <c r="P120" t="s">
        <v>31</v>
      </c>
      <c r="Q120">
        <v>25690</v>
      </c>
      <c r="R120">
        <v>2</v>
      </c>
      <c r="T120">
        <v>25690</v>
      </c>
      <c r="U120" s="5"/>
      <c r="X120" s="5">
        <v>96922.8</v>
      </c>
      <c r="Y120">
        <v>0</v>
      </c>
    </row>
    <row r="121" spans="2:25" x14ac:dyDescent="0.25">
      <c r="B121" t="s">
        <v>177</v>
      </c>
      <c r="C121" t="s">
        <v>28</v>
      </c>
      <c r="D121" t="s">
        <v>28</v>
      </c>
      <c r="E121" t="s">
        <v>28</v>
      </c>
      <c r="F121" t="s">
        <v>28</v>
      </c>
      <c r="G121" t="s">
        <v>352</v>
      </c>
      <c r="H121" s="5">
        <v>1934.71</v>
      </c>
      <c r="I121" t="s">
        <v>26</v>
      </c>
      <c r="J121" t="s">
        <v>27</v>
      </c>
      <c r="N121" t="s">
        <v>29</v>
      </c>
      <c r="O121" t="s">
        <v>30</v>
      </c>
      <c r="P121" t="s">
        <v>31</v>
      </c>
      <c r="Q121">
        <v>23616</v>
      </c>
      <c r="R121">
        <v>2</v>
      </c>
      <c r="T121" s="6">
        <v>23616</v>
      </c>
      <c r="U121" s="5"/>
      <c r="X121" s="5">
        <v>1934.71</v>
      </c>
      <c r="Y121">
        <v>0</v>
      </c>
    </row>
    <row r="122" spans="2:25" x14ac:dyDescent="0.25">
      <c r="B122" t="s">
        <v>177</v>
      </c>
      <c r="C122" t="s">
        <v>28</v>
      </c>
      <c r="D122" t="s">
        <v>28</v>
      </c>
      <c r="E122" t="s">
        <v>28</v>
      </c>
      <c r="F122" t="s">
        <v>28</v>
      </c>
      <c r="G122" t="s">
        <v>353</v>
      </c>
      <c r="H122" s="5">
        <v>4276.79</v>
      </c>
      <c r="I122" t="s">
        <v>26</v>
      </c>
      <c r="J122" t="s">
        <v>27</v>
      </c>
      <c r="N122" t="s">
        <v>29</v>
      </c>
      <c r="O122" t="s">
        <v>30</v>
      </c>
      <c r="P122" t="s">
        <v>31</v>
      </c>
      <c r="Q122">
        <v>23577</v>
      </c>
      <c r="R122">
        <v>2</v>
      </c>
      <c r="T122">
        <v>23577</v>
      </c>
      <c r="U122" s="5"/>
      <c r="X122" s="5">
        <v>4276.79</v>
      </c>
      <c r="Y122">
        <v>0</v>
      </c>
    </row>
    <row r="123" spans="2:25" x14ac:dyDescent="0.25">
      <c r="B123" t="s">
        <v>177</v>
      </c>
      <c r="C123" t="s">
        <v>28</v>
      </c>
      <c r="D123" t="s">
        <v>28</v>
      </c>
      <c r="E123" t="s">
        <v>28</v>
      </c>
      <c r="F123" t="s">
        <v>28</v>
      </c>
      <c r="G123" t="s">
        <v>198</v>
      </c>
      <c r="H123" s="5">
        <v>41500</v>
      </c>
      <c r="I123" t="s">
        <v>26</v>
      </c>
      <c r="J123" t="s">
        <v>27</v>
      </c>
      <c r="N123" t="s">
        <v>29</v>
      </c>
      <c r="O123" t="s">
        <v>30</v>
      </c>
      <c r="P123" t="s">
        <v>31</v>
      </c>
      <c r="Q123">
        <v>27117</v>
      </c>
      <c r="R123">
        <v>2</v>
      </c>
      <c r="T123" t="s">
        <v>88</v>
      </c>
      <c r="U123" s="5" t="s">
        <v>191</v>
      </c>
      <c r="X123" s="5" t="s">
        <v>88</v>
      </c>
      <c r="Y123" t="s">
        <v>88</v>
      </c>
    </row>
    <row r="124" spans="2:25" x14ac:dyDescent="0.25">
      <c r="B124" t="s">
        <v>177</v>
      </c>
      <c r="C124" t="s">
        <v>28</v>
      </c>
      <c r="D124" t="s">
        <v>28</v>
      </c>
      <c r="E124" t="s">
        <v>28</v>
      </c>
      <c r="F124" t="s">
        <v>28</v>
      </c>
      <c r="G124" t="s">
        <v>357</v>
      </c>
      <c r="H124" s="5">
        <v>95874.62</v>
      </c>
      <c r="I124" t="s">
        <v>26</v>
      </c>
      <c r="J124" t="s">
        <v>27</v>
      </c>
      <c r="N124" t="s">
        <v>29</v>
      </c>
      <c r="O124" t="s">
        <v>30</v>
      </c>
      <c r="P124" t="s">
        <v>31</v>
      </c>
      <c r="Q124">
        <v>27115</v>
      </c>
      <c r="R124">
        <v>2</v>
      </c>
      <c r="T124">
        <v>27115</v>
      </c>
      <c r="U124" s="5"/>
      <c r="X124" s="5">
        <v>95874.62</v>
      </c>
      <c r="Y124">
        <v>0</v>
      </c>
    </row>
    <row r="125" spans="2:25" x14ac:dyDescent="0.25">
      <c r="B125" t="s">
        <v>177</v>
      </c>
      <c r="C125" t="s">
        <v>28</v>
      </c>
      <c r="D125" t="s">
        <v>28</v>
      </c>
      <c r="E125" t="s">
        <v>28</v>
      </c>
      <c r="F125" t="s">
        <v>28</v>
      </c>
      <c r="G125" t="s">
        <v>358</v>
      </c>
      <c r="H125" s="5">
        <v>113375.76</v>
      </c>
      <c r="I125" t="s">
        <v>26</v>
      </c>
      <c r="J125" t="s">
        <v>27</v>
      </c>
      <c r="N125" t="s">
        <v>29</v>
      </c>
      <c r="O125" t="s">
        <v>30</v>
      </c>
      <c r="P125" t="s">
        <v>31</v>
      </c>
      <c r="Q125">
        <v>7383</v>
      </c>
      <c r="R125">
        <v>2</v>
      </c>
      <c r="T125">
        <v>7383</v>
      </c>
      <c r="U125" s="5"/>
      <c r="X125" s="5">
        <v>113375.76</v>
      </c>
      <c r="Y125">
        <v>0</v>
      </c>
    </row>
    <row r="126" spans="2:25" x14ac:dyDescent="0.25">
      <c r="B126" t="s">
        <v>177</v>
      </c>
      <c r="C126" t="s">
        <v>28</v>
      </c>
      <c r="D126" t="s">
        <v>28</v>
      </c>
      <c r="E126" t="s">
        <v>28</v>
      </c>
      <c r="F126" t="s">
        <v>28</v>
      </c>
      <c r="G126" t="s">
        <v>360</v>
      </c>
      <c r="H126" s="5">
        <v>10748.41</v>
      </c>
      <c r="I126" t="s">
        <v>26</v>
      </c>
      <c r="J126" t="s">
        <v>27</v>
      </c>
      <c r="N126" t="s">
        <v>29</v>
      </c>
      <c r="O126" t="s">
        <v>30</v>
      </c>
      <c r="P126" t="s">
        <v>31</v>
      </c>
      <c r="Q126">
        <v>23539</v>
      </c>
      <c r="R126">
        <v>2</v>
      </c>
      <c r="T126">
        <v>23539</v>
      </c>
      <c r="U126" s="5"/>
      <c r="X126" s="5">
        <v>10748.41</v>
      </c>
      <c r="Y126">
        <v>0</v>
      </c>
    </row>
    <row r="127" spans="2:25" x14ac:dyDescent="0.25">
      <c r="B127" t="s">
        <v>177</v>
      </c>
      <c r="C127" t="s">
        <v>28</v>
      </c>
      <c r="D127" t="s">
        <v>28</v>
      </c>
      <c r="E127" t="s">
        <v>28</v>
      </c>
      <c r="F127" t="s">
        <v>28</v>
      </c>
      <c r="G127" t="s">
        <v>361</v>
      </c>
      <c r="H127" s="5">
        <v>99248.05</v>
      </c>
      <c r="I127" t="s">
        <v>26</v>
      </c>
      <c r="J127" t="s">
        <v>27</v>
      </c>
      <c r="N127" t="s">
        <v>29</v>
      </c>
      <c r="O127" t="s">
        <v>30</v>
      </c>
      <c r="P127" t="s">
        <v>31</v>
      </c>
      <c r="Q127">
        <v>25688</v>
      </c>
      <c r="R127">
        <v>2</v>
      </c>
      <c r="T127">
        <v>25688</v>
      </c>
      <c r="U127" s="5"/>
      <c r="X127" s="5">
        <v>99248.05</v>
      </c>
      <c r="Y127">
        <v>0</v>
      </c>
    </row>
    <row r="128" spans="2:25" x14ac:dyDescent="0.25">
      <c r="B128" t="s">
        <v>177</v>
      </c>
      <c r="C128" t="s">
        <v>28</v>
      </c>
      <c r="D128" t="s">
        <v>28</v>
      </c>
      <c r="E128" t="s">
        <v>28</v>
      </c>
      <c r="F128" t="s">
        <v>28</v>
      </c>
      <c r="G128" t="s">
        <v>362</v>
      </c>
      <c r="H128" s="5">
        <v>52622.67</v>
      </c>
      <c r="I128" t="s">
        <v>26</v>
      </c>
      <c r="J128" t="s">
        <v>27</v>
      </c>
      <c r="N128" t="s">
        <v>29</v>
      </c>
      <c r="O128" t="s">
        <v>30</v>
      </c>
      <c r="P128" t="s">
        <v>31</v>
      </c>
      <c r="Q128">
        <v>23661</v>
      </c>
      <c r="R128">
        <v>2</v>
      </c>
      <c r="T128">
        <v>23661</v>
      </c>
      <c r="U128" s="5"/>
      <c r="X128" s="5">
        <v>52622.67</v>
      </c>
      <c r="Y128">
        <v>0</v>
      </c>
    </row>
    <row r="129" spans="2:25" x14ac:dyDescent="0.25">
      <c r="B129" t="s">
        <v>177</v>
      </c>
      <c r="C129" t="s">
        <v>28</v>
      </c>
      <c r="D129" t="s">
        <v>28</v>
      </c>
      <c r="E129" t="s">
        <v>28</v>
      </c>
      <c r="F129" t="s">
        <v>28</v>
      </c>
      <c r="G129" t="s">
        <v>364</v>
      </c>
      <c r="H129" s="5">
        <v>10748.41</v>
      </c>
      <c r="I129" t="s">
        <v>26</v>
      </c>
      <c r="J129" t="s">
        <v>27</v>
      </c>
      <c r="N129" t="s">
        <v>29</v>
      </c>
      <c r="O129" t="s">
        <v>30</v>
      </c>
      <c r="P129" t="s">
        <v>31</v>
      </c>
      <c r="Q129">
        <v>23603</v>
      </c>
      <c r="R129">
        <v>2</v>
      </c>
      <c r="T129">
        <v>23603</v>
      </c>
      <c r="U129" s="5"/>
      <c r="X129" s="5">
        <v>10748.41</v>
      </c>
      <c r="Y129">
        <v>0</v>
      </c>
    </row>
    <row r="130" spans="2:25" x14ac:dyDescent="0.25">
      <c r="B130" t="s">
        <v>177</v>
      </c>
      <c r="C130" t="s">
        <v>28</v>
      </c>
      <c r="D130" t="s">
        <v>28</v>
      </c>
      <c r="E130" t="s">
        <v>28</v>
      </c>
      <c r="F130" t="s">
        <v>28</v>
      </c>
      <c r="G130" t="s">
        <v>365</v>
      </c>
      <c r="H130" s="5">
        <v>338.57</v>
      </c>
      <c r="I130" t="s">
        <v>26</v>
      </c>
      <c r="J130" t="s">
        <v>27</v>
      </c>
      <c r="N130" t="s">
        <v>29</v>
      </c>
      <c r="O130" t="s">
        <v>30</v>
      </c>
      <c r="P130" t="s">
        <v>31</v>
      </c>
      <c r="Q130">
        <v>23646</v>
      </c>
      <c r="R130">
        <v>2</v>
      </c>
      <c r="T130">
        <v>23646</v>
      </c>
      <c r="U130" s="5"/>
      <c r="X130" s="5">
        <v>338.57</v>
      </c>
      <c r="Y130">
        <v>0</v>
      </c>
    </row>
    <row r="131" spans="2:25" x14ac:dyDescent="0.25">
      <c r="B131" t="s">
        <v>177</v>
      </c>
      <c r="C131" t="s">
        <v>28</v>
      </c>
      <c r="D131" t="s">
        <v>28</v>
      </c>
      <c r="E131" t="s">
        <v>28</v>
      </c>
      <c r="F131" t="s">
        <v>28</v>
      </c>
      <c r="G131" t="s">
        <v>220</v>
      </c>
      <c r="H131" s="5">
        <v>99497.34</v>
      </c>
      <c r="I131" t="s">
        <v>26</v>
      </c>
      <c r="J131" t="s">
        <v>27</v>
      </c>
      <c r="N131" t="s">
        <v>29</v>
      </c>
      <c r="O131" t="s">
        <v>30</v>
      </c>
      <c r="P131" t="s">
        <v>31</v>
      </c>
      <c r="Q131">
        <v>25695</v>
      </c>
      <c r="R131">
        <v>2</v>
      </c>
      <c r="T131">
        <v>25695</v>
      </c>
      <c r="U131" s="5"/>
      <c r="X131" s="5">
        <v>99497.34</v>
      </c>
      <c r="Y131">
        <v>0</v>
      </c>
    </row>
    <row r="132" spans="2:25" x14ac:dyDescent="0.25">
      <c r="B132" t="s">
        <v>177</v>
      </c>
      <c r="C132" t="s">
        <v>28</v>
      </c>
      <c r="D132" t="s">
        <v>28</v>
      </c>
      <c r="E132" t="s">
        <v>28</v>
      </c>
      <c r="F132" t="s">
        <v>28</v>
      </c>
      <c r="G132" t="s">
        <v>367</v>
      </c>
      <c r="H132" s="5">
        <v>112516.79</v>
      </c>
      <c r="I132" t="s">
        <v>26</v>
      </c>
      <c r="J132" t="s">
        <v>27</v>
      </c>
      <c r="N132" t="s">
        <v>29</v>
      </c>
      <c r="O132" t="s">
        <v>30</v>
      </c>
      <c r="P132" t="s">
        <v>31</v>
      </c>
      <c r="Q132">
        <v>23514</v>
      </c>
      <c r="R132">
        <v>2</v>
      </c>
      <c r="T132">
        <v>23514</v>
      </c>
      <c r="U132" s="5"/>
      <c r="X132" s="5">
        <v>112516.79</v>
      </c>
      <c r="Y132">
        <v>0</v>
      </c>
    </row>
    <row r="133" spans="2:25" x14ac:dyDescent="0.25">
      <c r="B133" t="s">
        <v>177</v>
      </c>
      <c r="C133" t="s">
        <v>28</v>
      </c>
      <c r="D133" t="s">
        <v>28</v>
      </c>
      <c r="E133" t="s">
        <v>28</v>
      </c>
      <c r="F133" t="s">
        <v>28</v>
      </c>
      <c r="G133" t="s">
        <v>368</v>
      </c>
      <c r="H133" s="5">
        <v>2323.81</v>
      </c>
      <c r="I133" t="s">
        <v>26</v>
      </c>
      <c r="J133" t="s">
        <v>27</v>
      </c>
      <c r="N133" t="s">
        <v>29</v>
      </c>
      <c r="O133" t="s">
        <v>30</v>
      </c>
      <c r="P133" t="s">
        <v>31</v>
      </c>
      <c r="Q133">
        <v>23592</v>
      </c>
      <c r="R133">
        <v>2</v>
      </c>
      <c r="T133">
        <v>23592</v>
      </c>
      <c r="U133" s="5"/>
      <c r="X133" s="5">
        <v>2323.81</v>
      </c>
      <c r="Y133">
        <v>0</v>
      </c>
    </row>
    <row r="134" spans="2:25" x14ac:dyDescent="0.25">
      <c r="B134" t="s">
        <v>177</v>
      </c>
      <c r="C134" t="s">
        <v>28</v>
      </c>
      <c r="D134" t="s">
        <v>28</v>
      </c>
      <c r="E134" t="s">
        <v>28</v>
      </c>
      <c r="F134" t="s">
        <v>28</v>
      </c>
      <c r="G134" t="s">
        <v>370</v>
      </c>
      <c r="H134" s="5">
        <v>93614.29</v>
      </c>
      <c r="I134" t="s">
        <v>26</v>
      </c>
      <c r="J134" t="s">
        <v>27</v>
      </c>
      <c r="N134" t="s">
        <v>29</v>
      </c>
      <c r="O134" t="s">
        <v>30</v>
      </c>
      <c r="P134" t="s">
        <v>31</v>
      </c>
      <c r="Q134">
        <v>25707</v>
      </c>
      <c r="R134">
        <v>2</v>
      </c>
      <c r="T134">
        <v>25707</v>
      </c>
      <c r="U134" s="5"/>
      <c r="X134" s="5">
        <v>93614.29</v>
      </c>
      <c r="Y134">
        <v>0</v>
      </c>
    </row>
    <row r="135" spans="2:25" x14ac:dyDescent="0.25">
      <c r="B135" t="s">
        <v>177</v>
      </c>
      <c r="C135" t="s">
        <v>28</v>
      </c>
      <c r="D135" t="s">
        <v>28</v>
      </c>
      <c r="E135" t="s">
        <v>28</v>
      </c>
      <c r="F135" t="s">
        <v>28</v>
      </c>
      <c r="G135" t="s">
        <v>325</v>
      </c>
      <c r="H135" s="5">
        <v>61479.72</v>
      </c>
      <c r="I135" t="s">
        <v>26</v>
      </c>
      <c r="J135" t="s">
        <v>27</v>
      </c>
      <c r="N135" t="s">
        <v>29</v>
      </c>
      <c r="O135" t="s">
        <v>30</v>
      </c>
      <c r="P135" t="s">
        <v>31</v>
      </c>
      <c r="Q135">
        <v>26399</v>
      </c>
      <c r="R135">
        <v>2</v>
      </c>
      <c r="T135">
        <v>26399</v>
      </c>
      <c r="U135" s="5"/>
      <c r="X135" s="5">
        <v>61479.72</v>
      </c>
      <c r="Y135">
        <v>0</v>
      </c>
    </row>
    <row r="136" spans="2:25" x14ac:dyDescent="0.25">
      <c r="B136" t="s">
        <v>177</v>
      </c>
      <c r="C136" t="s">
        <v>28</v>
      </c>
      <c r="D136" t="s">
        <v>28</v>
      </c>
      <c r="E136" t="s">
        <v>28</v>
      </c>
      <c r="F136" t="s">
        <v>28</v>
      </c>
      <c r="G136" t="s">
        <v>369</v>
      </c>
      <c r="H136" s="5">
        <v>354.7</v>
      </c>
      <c r="I136" t="s">
        <v>26</v>
      </c>
      <c r="J136" t="s">
        <v>27</v>
      </c>
      <c r="N136" t="s">
        <v>29</v>
      </c>
      <c r="O136" t="s">
        <v>30</v>
      </c>
      <c r="P136" t="s">
        <v>31</v>
      </c>
      <c r="Q136">
        <v>23641</v>
      </c>
      <c r="R136">
        <v>2</v>
      </c>
      <c r="T136">
        <v>23641</v>
      </c>
      <c r="U136" s="5"/>
      <c r="X136" s="5">
        <v>354.7</v>
      </c>
      <c r="Y136">
        <v>0</v>
      </c>
    </row>
    <row r="137" spans="2:25" x14ac:dyDescent="0.25">
      <c r="B137" t="s">
        <v>177</v>
      </c>
      <c r="C137" t="s">
        <v>28</v>
      </c>
      <c r="D137" t="s">
        <v>28</v>
      </c>
      <c r="E137" t="s">
        <v>28</v>
      </c>
      <c r="F137" t="s">
        <v>28</v>
      </c>
      <c r="G137" t="s">
        <v>333</v>
      </c>
      <c r="H137" s="5">
        <v>49333.66</v>
      </c>
      <c r="I137" t="s">
        <v>26</v>
      </c>
      <c r="J137" t="s">
        <v>27</v>
      </c>
      <c r="N137" t="s">
        <v>29</v>
      </c>
      <c r="O137" t="s">
        <v>30</v>
      </c>
      <c r="P137" t="s">
        <v>31</v>
      </c>
      <c r="Q137">
        <v>26045</v>
      </c>
      <c r="R137">
        <v>2</v>
      </c>
      <c r="T137">
        <v>26045</v>
      </c>
      <c r="U137" s="5"/>
      <c r="X137" s="5">
        <v>49333.66</v>
      </c>
      <c r="Y137">
        <v>0</v>
      </c>
    </row>
    <row r="138" spans="2:25" x14ac:dyDescent="0.25">
      <c r="B138" t="s">
        <v>177</v>
      </c>
      <c r="C138" t="s">
        <v>28</v>
      </c>
      <c r="D138" t="s">
        <v>28</v>
      </c>
      <c r="E138" t="s">
        <v>28</v>
      </c>
      <c r="F138" t="s">
        <v>28</v>
      </c>
      <c r="G138" t="s">
        <v>373</v>
      </c>
      <c r="H138" s="5">
        <v>137253.96</v>
      </c>
      <c r="I138" t="s">
        <v>26</v>
      </c>
      <c r="J138" t="s">
        <v>27</v>
      </c>
      <c r="N138" t="s">
        <v>29</v>
      </c>
      <c r="O138" t="s">
        <v>30</v>
      </c>
      <c r="P138" t="s">
        <v>31</v>
      </c>
      <c r="Q138">
        <v>26381</v>
      </c>
      <c r="R138">
        <v>2</v>
      </c>
      <c r="T138">
        <v>26381</v>
      </c>
      <c r="U138" s="5"/>
      <c r="X138" s="5">
        <v>136285.5</v>
      </c>
      <c r="Y138">
        <v>968.45999999999185</v>
      </c>
    </row>
    <row r="139" spans="2:25" x14ac:dyDescent="0.25">
      <c r="B139" t="s">
        <v>177</v>
      </c>
      <c r="C139" t="s">
        <v>28</v>
      </c>
      <c r="D139" t="s">
        <v>28</v>
      </c>
      <c r="E139" t="s">
        <v>28</v>
      </c>
      <c r="F139" t="s">
        <v>28</v>
      </c>
      <c r="G139" t="s">
        <v>374</v>
      </c>
      <c r="H139" s="5">
        <v>2109.91</v>
      </c>
      <c r="I139" t="s">
        <v>26</v>
      </c>
      <c r="J139" t="s">
        <v>27</v>
      </c>
      <c r="N139" t="s">
        <v>29</v>
      </c>
      <c r="O139" t="s">
        <v>30</v>
      </c>
      <c r="P139" t="s">
        <v>31</v>
      </c>
      <c r="Q139">
        <v>23558</v>
      </c>
      <c r="R139">
        <v>2</v>
      </c>
      <c r="T139">
        <v>23558</v>
      </c>
      <c r="U139" s="5"/>
      <c r="X139" s="5">
        <v>2109.91</v>
      </c>
      <c r="Y139">
        <v>0</v>
      </c>
    </row>
    <row r="140" spans="2:25" x14ac:dyDescent="0.25">
      <c r="B140" t="s">
        <v>177</v>
      </c>
      <c r="C140" t="s">
        <v>28</v>
      </c>
      <c r="D140" t="s">
        <v>28</v>
      </c>
      <c r="E140" t="s">
        <v>28</v>
      </c>
      <c r="F140" t="s">
        <v>28</v>
      </c>
      <c r="G140" t="s">
        <v>376</v>
      </c>
      <c r="H140" s="5">
        <v>9145.82</v>
      </c>
      <c r="I140" t="s">
        <v>26</v>
      </c>
      <c r="J140" t="s">
        <v>27</v>
      </c>
      <c r="N140" t="s">
        <v>29</v>
      </c>
      <c r="O140" t="s">
        <v>30</v>
      </c>
      <c r="P140" t="s">
        <v>31</v>
      </c>
      <c r="Q140">
        <v>23564</v>
      </c>
      <c r="R140">
        <v>2</v>
      </c>
      <c r="T140">
        <v>23564</v>
      </c>
      <c r="U140" s="5"/>
      <c r="X140" s="5">
        <v>9145.82</v>
      </c>
      <c r="Y140">
        <v>0</v>
      </c>
    </row>
    <row r="141" spans="2:25" x14ac:dyDescent="0.25">
      <c r="B141" t="s">
        <v>177</v>
      </c>
      <c r="C141" t="s">
        <v>28</v>
      </c>
      <c r="D141" t="s">
        <v>28</v>
      </c>
      <c r="E141" t="s">
        <v>28</v>
      </c>
      <c r="F141" t="s">
        <v>28</v>
      </c>
      <c r="G141" t="s">
        <v>237</v>
      </c>
      <c r="H141" s="5">
        <v>40097</v>
      </c>
      <c r="I141" t="s">
        <v>26</v>
      </c>
      <c r="J141" t="s">
        <v>27</v>
      </c>
      <c r="N141" t="s">
        <v>29</v>
      </c>
      <c r="O141" t="s">
        <v>30</v>
      </c>
      <c r="P141" t="s">
        <v>31</v>
      </c>
      <c r="Q141">
        <v>15141</v>
      </c>
      <c r="R141">
        <v>2</v>
      </c>
      <c r="T141">
        <v>15141</v>
      </c>
      <c r="U141" s="5"/>
      <c r="X141" s="5">
        <v>40097</v>
      </c>
      <c r="Y141">
        <v>0</v>
      </c>
    </row>
    <row r="142" spans="2:25" x14ac:dyDescent="0.25">
      <c r="B142" t="s">
        <v>177</v>
      </c>
      <c r="C142" t="s">
        <v>28</v>
      </c>
      <c r="D142" t="s">
        <v>28</v>
      </c>
      <c r="E142" t="s">
        <v>28</v>
      </c>
      <c r="F142" t="s">
        <v>28</v>
      </c>
      <c r="G142" t="s">
        <v>380</v>
      </c>
      <c r="H142" s="5">
        <v>76636.149999999994</v>
      </c>
      <c r="I142" t="s">
        <v>26</v>
      </c>
      <c r="J142" t="s">
        <v>27</v>
      </c>
      <c r="N142" t="s">
        <v>29</v>
      </c>
      <c r="O142" t="s">
        <v>30</v>
      </c>
      <c r="P142" t="s">
        <v>31</v>
      </c>
      <c r="Q142">
        <v>23508</v>
      </c>
      <c r="R142">
        <v>2</v>
      </c>
      <c r="T142">
        <v>23508</v>
      </c>
      <c r="U142" s="5"/>
      <c r="X142" s="5">
        <v>76636.149999999994</v>
      </c>
      <c r="Y142">
        <v>0</v>
      </c>
    </row>
    <row r="143" spans="2:25" x14ac:dyDescent="0.25">
      <c r="B143" t="s">
        <v>177</v>
      </c>
      <c r="C143" t="s">
        <v>28</v>
      </c>
      <c r="D143" t="s">
        <v>28</v>
      </c>
      <c r="E143" t="s">
        <v>28</v>
      </c>
      <c r="F143" t="s">
        <v>28</v>
      </c>
      <c r="G143" t="s">
        <v>383</v>
      </c>
      <c r="H143" s="5">
        <v>2074.44</v>
      </c>
      <c r="I143" t="s">
        <v>26</v>
      </c>
      <c r="J143" t="s">
        <v>27</v>
      </c>
      <c r="N143" t="s">
        <v>29</v>
      </c>
      <c r="O143" t="s">
        <v>30</v>
      </c>
      <c r="P143" t="s">
        <v>31</v>
      </c>
      <c r="Q143">
        <v>23551</v>
      </c>
      <c r="R143">
        <v>2</v>
      </c>
      <c r="T143" s="6">
        <v>23551</v>
      </c>
      <c r="U143" s="5"/>
      <c r="X143" s="5">
        <v>2074.44</v>
      </c>
      <c r="Y143">
        <v>0</v>
      </c>
    </row>
    <row r="144" spans="2:25" x14ac:dyDescent="0.25">
      <c r="B144" t="s">
        <v>177</v>
      </c>
      <c r="C144" t="s">
        <v>28</v>
      </c>
      <c r="D144" t="s">
        <v>28</v>
      </c>
      <c r="E144" t="s">
        <v>28</v>
      </c>
      <c r="F144" t="s">
        <v>28</v>
      </c>
      <c r="G144" t="s">
        <v>384</v>
      </c>
      <c r="H144" s="5">
        <v>22229.86</v>
      </c>
      <c r="I144" t="s">
        <v>26</v>
      </c>
      <c r="J144" t="s">
        <v>27</v>
      </c>
      <c r="N144" t="s">
        <v>29</v>
      </c>
      <c r="O144" t="s">
        <v>30</v>
      </c>
      <c r="P144" t="s">
        <v>31</v>
      </c>
      <c r="Q144">
        <v>23486</v>
      </c>
      <c r="R144">
        <v>2</v>
      </c>
      <c r="T144">
        <v>23486</v>
      </c>
      <c r="U144" s="5"/>
      <c r="X144" s="5">
        <v>22229.86</v>
      </c>
      <c r="Y144">
        <v>0</v>
      </c>
    </row>
    <row r="145" spans="2:25" x14ac:dyDescent="0.25">
      <c r="B145" t="s">
        <v>177</v>
      </c>
      <c r="C145" t="s">
        <v>28</v>
      </c>
      <c r="D145" t="s">
        <v>28</v>
      </c>
      <c r="E145" t="s">
        <v>28</v>
      </c>
      <c r="F145" t="s">
        <v>28</v>
      </c>
      <c r="G145" t="s">
        <v>201</v>
      </c>
      <c r="H145" s="5">
        <v>45239.56</v>
      </c>
      <c r="I145" t="s">
        <v>26</v>
      </c>
      <c r="J145" t="s">
        <v>27</v>
      </c>
      <c r="N145" t="s">
        <v>29</v>
      </c>
      <c r="O145" t="s">
        <v>30</v>
      </c>
      <c r="P145" t="s">
        <v>31</v>
      </c>
      <c r="Q145">
        <v>9000507854</v>
      </c>
      <c r="R145">
        <v>2</v>
      </c>
      <c r="T145">
        <v>9000507854</v>
      </c>
      <c r="U145" s="5"/>
      <c r="X145" s="5">
        <v>45239.56</v>
      </c>
      <c r="Y145">
        <v>0</v>
      </c>
    </row>
    <row r="146" spans="2:25" x14ac:dyDescent="0.25">
      <c r="B146" t="s">
        <v>177</v>
      </c>
      <c r="C146" t="s">
        <v>28</v>
      </c>
      <c r="D146" t="s">
        <v>28</v>
      </c>
      <c r="E146" t="s">
        <v>28</v>
      </c>
      <c r="F146" t="s">
        <v>28</v>
      </c>
      <c r="G146" t="s">
        <v>385</v>
      </c>
      <c r="H146" s="5">
        <v>615.88</v>
      </c>
      <c r="I146" t="s">
        <v>26</v>
      </c>
      <c r="J146" t="s">
        <v>27</v>
      </c>
      <c r="N146" t="s">
        <v>29</v>
      </c>
      <c r="O146" t="s">
        <v>30</v>
      </c>
      <c r="P146" t="s">
        <v>31</v>
      </c>
      <c r="Q146">
        <v>23622</v>
      </c>
      <c r="R146">
        <v>2</v>
      </c>
      <c r="T146">
        <v>23622</v>
      </c>
      <c r="U146" s="5"/>
      <c r="X146" s="5">
        <v>615.88</v>
      </c>
      <c r="Y146">
        <v>0</v>
      </c>
    </row>
    <row r="147" spans="2:25" x14ac:dyDescent="0.25">
      <c r="B147" t="s">
        <v>177</v>
      </c>
      <c r="C147" t="s">
        <v>28</v>
      </c>
      <c r="D147" t="s">
        <v>28</v>
      </c>
      <c r="E147" t="s">
        <v>28</v>
      </c>
      <c r="F147" t="s">
        <v>28</v>
      </c>
      <c r="G147" t="s">
        <v>386</v>
      </c>
      <c r="H147" s="5">
        <v>15623.49</v>
      </c>
      <c r="I147" t="s">
        <v>26</v>
      </c>
      <c r="J147" t="s">
        <v>27</v>
      </c>
      <c r="N147" t="s">
        <v>29</v>
      </c>
      <c r="O147" t="s">
        <v>30</v>
      </c>
      <c r="P147" t="s">
        <v>31</v>
      </c>
      <c r="Q147">
        <v>27145</v>
      </c>
      <c r="R147">
        <v>2</v>
      </c>
      <c r="T147">
        <v>27145</v>
      </c>
      <c r="U147" s="5"/>
      <c r="X147" s="5">
        <v>15623.49</v>
      </c>
      <c r="Y147">
        <v>0</v>
      </c>
    </row>
    <row r="148" spans="2:25" x14ac:dyDescent="0.25">
      <c r="B148" t="s">
        <v>177</v>
      </c>
      <c r="C148" t="s">
        <v>28</v>
      </c>
      <c r="D148" t="s">
        <v>28</v>
      </c>
      <c r="E148" t="s">
        <v>28</v>
      </c>
      <c r="F148" t="s">
        <v>28</v>
      </c>
      <c r="G148" t="s">
        <v>387</v>
      </c>
      <c r="H148" s="5">
        <v>67568.399999999994</v>
      </c>
      <c r="I148" t="s">
        <v>26</v>
      </c>
      <c r="J148" t="s">
        <v>27</v>
      </c>
      <c r="N148" t="s">
        <v>29</v>
      </c>
      <c r="O148" t="s">
        <v>30</v>
      </c>
      <c r="P148" t="s">
        <v>31</v>
      </c>
      <c r="Q148">
        <v>23670</v>
      </c>
      <c r="R148">
        <v>2</v>
      </c>
      <c r="T148">
        <v>23670</v>
      </c>
      <c r="U148" s="5"/>
      <c r="X148" s="5">
        <v>67568.399999999994</v>
      </c>
      <c r="Y148">
        <v>0</v>
      </c>
    </row>
    <row r="149" spans="2:25" x14ac:dyDescent="0.25">
      <c r="B149" t="s">
        <v>177</v>
      </c>
      <c r="C149" t="s">
        <v>28</v>
      </c>
      <c r="D149" t="s">
        <v>28</v>
      </c>
      <c r="E149" t="s">
        <v>28</v>
      </c>
      <c r="F149" t="s">
        <v>28</v>
      </c>
      <c r="G149" t="s">
        <v>212</v>
      </c>
      <c r="H149" s="5">
        <v>559555.30000000005</v>
      </c>
      <c r="I149" t="s">
        <v>26</v>
      </c>
      <c r="J149" t="s">
        <v>27</v>
      </c>
      <c r="N149" t="s">
        <v>29</v>
      </c>
      <c r="O149" t="s">
        <v>30</v>
      </c>
      <c r="P149" t="s">
        <v>31</v>
      </c>
      <c r="Q149">
        <v>24175</v>
      </c>
      <c r="R149">
        <v>2</v>
      </c>
      <c r="T149">
        <v>24175</v>
      </c>
      <c r="U149" s="5"/>
      <c r="X149" s="5">
        <v>559555.30000000005</v>
      </c>
      <c r="Y149">
        <v>0</v>
      </c>
    </row>
    <row r="150" spans="2:25" x14ac:dyDescent="0.25">
      <c r="B150" t="s">
        <v>177</v>
      </c>
      <c r="C150" t="s">
        <v>28</v>
      </c>
      <c r="D150" t="s">
        <v>28</v>
      </c>
      <c r="E150" t="s">
        <v>28</v>
      </c>
      <c r="F150" t="s">
        <v>28</v>
      </c>
      <c r="G150" t="s">
        <v>390</v>
      </c>
      <c r="H150" s="5">
        <v>12026.39</v>
      </c>
      <c r="I150" t="s">
        <v>26</v>
      </c>
      <c r="J150" t="s">
        <v>27</v>
      </c>
      <c r="N150" t="s">
        <v>29</v>
      </c>
      <c r="O150" t="s">
        <v>30</v>
      </c>
      <c r="P150" t="s">
        <v>31</v>
      </c>
      <c r="Q150">
        <v>23519</v>
      </c>
      <c r="R150">
        <v>2</v>
      </c>
      <c r="T150">
        <v>23519</v>
      </c>
      <c r="U150" s="5"/>
      <c r="X150" s="5">
        <v>12026.39</v>
      </c>
      <c r="Y150">
        <v>0</v>
      </c>
    </row>
    <row r="151" spans="2:25" x14ac:dyDescent="0.25">
      <c r="B151" t="s">
        <v>177</v>
      </c>
      <c r="C151" t="s">
        <v>28</v>
      </c>
      <c r="D151" t="s">
        <v>28</v>
      </c>
      <c r="E151" t="s">
        <v>28</v>
      </c>
      <c r="F151" t="s">
        <v>28</v>
      </c>
      <c r="G151" t="s">
        <v>391</v>
      </c>
      <c r="H151" s="5">
        <v>53685.7</v>
      </c>
      <c r="I151" t="s">
        <v>26</v>
      </c>
      <c r="J151" t="s">
        <v>27</v>
      </c>
      <c r="N151" t="s">
        <v>29</v>
      </c>
      <c r="O151" t="s">
        <v>30</v>
      </c>
      <c r="P151" t="s">
        <v>31</v>
      </c>
      <c r="Q151">
        <v>7400258484</v>
      </c>
      <c r="R151">
        <v>2</v>
      </c>
      <c r="T151">
        <v>7400258484</v>
      </c>
      <c r="U151" s="5"/>
      <c r="X151" s="5">
        <v>53685.7</v>
      </c>
      <c r="Y151">
        <v>0</v>
      </c>
    </row>
    <row r="152" spans="2:25" x14ac:dyDescent="0.25">
      <c r="B152" t="s">
        <v>177</v>
      </c>
      <c r="C152" t="s">
        <v>28</v>
      </c>
      <c r="D152" t="s">
        <v>28</v>
      </c>
      <c r="E152" t="s">
        <v>28</v>
      </c>
      <c r="F152" t="s">
        <v>28</v>
      </c>
      <c r="G152" t="s">
        <v>393</v>
      </c>
      <c r="H152" s="5">
        <v>243.99</v>
      </c>
      <c r="I152" t="s">
        <v>26</v>
      </c>
      <c r="J152" t="s">
        <v>27</v>
      </c>
      <c r="N152" t="s">
        <v>29</v>
      </c>
      <c r="O152" t="s">
        <v>30</v>
      </c>
      <c r="P152" t="s">
        <v>31</v>
      </c>
      <c r="Q152">
        <v>23655</v>
      </c>
      <c r="R152">
        <v>2</v>
      </c>
      <c r="T152">
        <v>23655</v>
      </c>
      <c r="U152" s="5"/>
      <c r="X152" s="5">
        <v>243.99</v>
      </c>
      <c r="Y152">
        <v>0</v>
      </c>
    </row>
    <row r="153" spans="2:25" x14ac:dyDescent="0.25">
      <c r="B153" t="s">
        <v>177</v>
      </c>
      <c r="C153" t="s">
        <v>28</v>
      </c>
      <c r="D153" t="s">
        <v>28</v>
      </c>
      <c r="E153" t="s">
        <v>28</v>
      </c>
      <c r="F153" t="s">
        <v>28</v>
      </c>
      <c r="G153" t="s">
        <v>394</v>
      </c>
      <c r="H153" s="5">
        <v>13021.7</v>
      </c>
      <c r="I153" t="s">
        <v>26</v>
      </c>
      <c r="J153" t="s">
        <v>27</v>
      </c>
      <c r="N153" t="s">
        <v>29</v>
      </c>
      <c r="O153" t="s">
        <v>30</v>
      </c>
      <c r="P153" t="s">
        <v>31</v>
      </c>
      <c r="Q153">
        <v>23492</v>
      </c>
      <c r="R153">
        <v>2</v>
      </c>
      <c r="T153">
        <v>23492</v>
      </c>
      <c r="U153" s="5"/>
      <c r="X153" s="5">
        <v>13021.7</v>
      </c>
      <c r="Y153">
        <v>0</v>
      </c>
    </row>
    <row r="154" spans="2:25" x14ac:dyDescent="0.25">
      <c r="B154" t="s">
        <v>177</v>
      </c>
      <c r="C154" t="s">
        <v>28</v>
      </c>
      <c r="D154" t="s">
        <v>28</v>
      </c>
      <c r="E154" t="s">
        <v>28</v>
      </c>
      <c r="F154" t="s">
        <v>28</v>
      </c>
      <c r="G154" t="s">
        <v>285</v>
      </c>
      <c r="H154" s="5">
        <v>111.78</v>
      </c>
      <c r="I154" t="s">
        <v>26</v>
      </c>
      <c r="J154" t="s">
        <v>27</v>
      </c>
      <c r="N154" t="s">
        <v>29</v>
      </c>
      <c r="O154" t="s">
        <v>30</v>
      </c>
      <c r="P154" t="s">
        <v>31</v>
      </c>
      <c r="Q154">
        <v>23631</v>
      </c>
      <c r="R154">
        <v>2</v>
      </c>
      <c r="T154">
        <v>23631</v>
      </c>
      <c r="U154" s="5"/>
      <c r="X154" s="5">
        <v>111.78</v>
      </c>
      <c r="Y154">
        <v>0</v>
      </c>
    </row>
    <row r="155" spans="2:25" x14ac:dyDescent="0.25">
      <c r="B155" t="s">
        <v>177</v>
      </c>
      <c r="C155" t="s">
        <v>28</v>
      </c>
      <c r="D155" t="s">
        <v>28</v>
      </c>
      <c r="E155" t="s">
        <v>28</v>
      </c>
      <c r="F155" t="s">
        <v>28</v>
      </c>
      <c r="G155" t="s">
        <v>395</v>
      </c>
      <c r="H155" s="5">
        <v>30109.25</v>
      </c>
      <c r="I155" t="s">
        <v>26</v>
      </c>
      <c r="J155" t="s">
        <v>27</v>
      </c>
      <c r="N155" t="s">
        <v>29</v>
      </c>
      <c r="O155" t="s">
        <v>30</v>
      </c>
      <c r="P155" t="s">
        <v>31</v>
      </c>
      <c r="Q155">
        <v>12230</v>
      </c>
      <c r="R155">
        <v>2</v>
      </c>
      <c r="T155">
        <v>12230</v>
      </c>
      <c r="U155" s="5"/>
      <c r="X155" s="5">
        <v>30109.25</v>
      </c>
      <c r="Y155">
        <v>0</v>
      </c>
    </row>
    <row r="156" spans="2:25" x14ac:dyDescent="0.25">
      <c r="B156" t="s">
        <v>177</v>
      </c>
      <c r="C156" t="s">
        <v>28</v>
      </c>
      <c r="D156" t="s">
        <v>28</v>
      </c>
      <c r="E156" t="s">
        <v>28</v>
      </c>
      <c r="F156" t="s">
        <v>28</v>
      </c>
      <c r="G156" t="s">
        <v>398</v>
      </c>
      <c r="H156" s="5">
        <v>141372.85999999999</v>
      </c>
      <c r="I156" t="s">
        <v>26</v>
      </c>
      <c r="J156" t="s">
        <v>27</v>
      </c>
      <c r="N156" t="s">
        <v>29</v>
      </c>
      <c r="O156" t="s">
        <v>30</v>
      </c>
      <c r="P156" t="s">
        <v>31</v>
      </c>
      <c r="Q156">
        <v>26511</v>
      </c>
      <c r="R156">
        <v>2</v>
      </c>
      <c r="T156">
        <v>26511</v>
      </c>
      <c r="U156" s="5"/>
      <c r="X156" s="5">
        <v>141372.85999999999</v>
      </c>
      <c r="Y156">
        <v>0</v>
      </c>
    </row>
    <row r="157" spans="2:25" x14ac:dyDescent="0.25">
      <c r="B157" t="s">
        <v>177</v>
      </c>
      <c r="C157" t="s">
        <v>28</v>
      </c>
      <c r="D157" t="s">
        <v>28</v>
      </c>
      <c r="E157" t="s">
        <v>28</v>
      </c>
      <c r="F157" t="s">
        <v>28</v>
      </c>
      <c r="G157" t="s">
        <v>399</v>
      </c>
      <c r="H157" s="5">
        <v>48875</v>
      </c>
      <c r="I157" t="s">
        <v>26</v>
      </c>
      <c r="J157" t="s">
        <v>27</v>
      </c>
      <c r="N157" t="s">
        <v>29</v>
      </c>
      <c r="O157" t="s">
        <v>30</v>
      </c>
      <c r="P157" t="s">
        <v>31</v>
      </c>
      <c r="Q157">
        <v>27082</v>
      </c>
      <c r="R157">
        <v>2</v>
      </c>
      <c r="T157">
        <v>27082</v>
      </c>
      <c r="U157" s="5"/>
      <c r="X157" s="5">
        <v>48875</v>
      </c>
      <c r="Y157">
        <v>0</v>
      </c>
    </row>
    <row r="158" spans="2:25" x14ac:dyDescent="0.25">
      <c r="B158" t="s">
        <v>177</v>
      </c>
      <c r="C158" t="s">
        <v>28</v>
      </c>
      <c r="D158" t="s">
        <v>28</v>
      </c>
      <c r="E158" t="s">
        <v>28</v>
      </c>
      <c r="F158" t="s">
        <v>28</v>
      </c>
      <c r="G158" t="s">
        <v>400</v>
      </c>
      <c r="H158" s="5">
        <v>9145.82</v>
      </c>
      <c r="I158" t="s">
        <v>26</v>
      </c>
      <c r="J158" t="s">
        <v>27</v>
      </c>
      <c r="N158" t="s">
        <v>29</v>
      </c>
      <c r="O158" t="s">
        <v>30</v>
      </c>
      <c r="P158" t="s">
        <v>31</v>
      </c>
      <c r="Q158">
        <v>23550</v>
      </c>
      <c r="R158">
        <v>2</v>
      </c>
      <c r="T158">
        <v>23550</v>
      </c>
      <c r="U158" s="5"/>
      <c r="X158" s="5">
        <v>9145.82</v>
      </c>
      <c r="Y158">
        <v>0</v>
      </c>
    </row>
    <row r="159" spans="2:25" x14ac:dyDescent="0.25">
      <c r="B159" t="s">
        <v>177</v>
      </c>
      <c r="C159" t="s">
        <v>28</v>
      </c>
      <c r="D159" t="s">
        <v>28</v>
      </c>
      <c r="E159" t="s">
        <v>28</v>
      </c>
      <c r="F159" t="s">
        <v>28</v>
      </c>
      <c r="G159" t="s">
        <v>404</v>
      </c>
      <c r="H159" s="5">
        <v>14495.74</v>
      </c>
      <c r="I159" t="s">
        <v>26</v>
      </c>
      <c r="J159" t="s">
        <v>27</v>
      </c>
      <c r="N159" t="s">
        <v>29</v>
      </c>
      <c r="O159" t="s">
        <v>30</v>
      </c>
      <c r="P159" t="s">
        <v>31</v>
      </c>
      <c r="Q159">
        <v>24378</v>
      </c>
      <c r="R159">
        <v>2</v>
      </c>
      <c r="T159">
        <v>24378</v>
      </c>
      <c r="U159" s="5"/>
      <c r="X159" s="5">
        <v>14495.74</v>
      </c>
      <c r="Y159">
        <v>0</v>
      </c>
    </row>
    <row r="160" spans="2:25" x14ac:dyDescent="0.25">
      <c r="B160" t="s">
        <v>177</v>
      </c>
      <c r="C160" t="s">
        <v>28</v>
      </c>
      <c r="D160" t="s">
        <v>28</v>
      </c>
      <c r="E160" t="s">
        <v>28</v>
      </c>
      <c r="F160" t="s">
        <v>28</v>
      </c>
      <c r="G160" t="s">
        <v>406</v>
      </c>
      <c r="H160" s="5">
        <v>10748.41</v>
      </c>
      <c r="I160" t="s">
        <v>26</v>
      </c>
      <c r="J160" t="s">
        <v>27</v>
      </c>
      <c r="N160" t="s">
        <v>29</v>
      </c>
      <c r="O160" t="s">
        <v>30</v>
      </c>
      <c r="P160" t="s">
        <v>31</v>
      </c>
      <c r="Q160">
        <v>23538</v>
      </c>
      <c r="R160">
        <v>2</v>
      </c>
      <c r="T160">
        <v>23538</v>
      </c>
      <c r="U160" s="5"/>
      <c r="X160" s="5">
        <v>10748.41</v>
      </c>
      <c r="Y160">
        <v>0</v>
      </c>
    </row>
    <row r="161" spans="2:25" x14ac:dyDescent="0.25">
      <c r="B161" t="s">
        <v>177</v>
      </c>
      <c r="C161" t="s">
        <v>28</v>
      </c>
      <c r="D161" t="s">
        <v>28</v>
      </c>
      <c r="E161" t="s">
        <v>28</v>
      </c>
      <c r="F161" t="s">
        <v>28</v>
      </c>
      <c r="G161" t="s">
        <v>408</v>
      </c>
      <c r="H161" s="5">
        <v>71091.39</v>
      </c>
      <c r="I161" t="s">
        <v>26</v>
      </c>
      <c r="J161" t="s">
        <v>27</v>
      </c>
      <c r="N161" t="s">
        <v>29</v>
      </c>
      <c r="O161" t="s">
        <v>30</v>
      </c>
      <c r="P161" t="s">
        <v>31</v>
      </c>
      <c r="Q161">
        <v>15975</v>
      </c>
      <c r="R161">
        <v>2</v>
      </c>
      <c r="T161">
        <v>15975</v>
      </c>
      <c r="U161" s="5"/>
      <c r="X161" s="5">
        <v>71091.39</v>
      </c>
      <c r="Y161">
        <v>0</v>
      </c>
    </row>
    <row r="162" spans="2:25" x14ac:dyDescent="0.25">
      <c r="B162" t="s">
        <v>177</v>
      </c>
      <c r="C162" t="s">
        <v>28</v>
      </c>
      <c r="D162" t="s">
        <v>28</v>
      </c>
      <c r="E162" t="s">
        <v>28</v>
      </c>
      <c r="F162" t="s">
        <v>28</v>
      </c>
      <c r="G162" t="s">
        <v>409</v>
      </c>
      <c r="H162" s="5">
        <v>10369.59</v>
      </c>
      <c r="I162" t="s">
        <v>26</v>
      </c>
      <c r="J162" t="s">
        <v>27</v>
      </c>
      <c r="N162" t="s">
        <v>29</v>
      </c>
      <c r="O162" t="s">
        <v>30</v>
      </c>
      <c r="P162" t="s">
        <v>31</v>
      </c>
      <c r="Q162">
        <v>27130</v>
      </c>
      <c r="R162">
        <v>2</v>
      </c>
      <c r="T162" t="s">
        <v>88</v>
      </c>
      <c r="U162" s="5" t="s">
        <v>191</v>
      </c>
      <c r="X162" s="5" t="s">
        <v>88</v>
      </c>
      <c r="Y162" t="s">
        <v>88</v>
      </c>
    </row>
    <row r="163" spans="2:25" x14ac:dyDescent="0.25">
      <c r="B163" t="s">
        <v>177</v>
      </c>
      <c r="C163" t="s">
        <v>28</v>
      </c>
      <c r="D163" t="s">
        <v>28</v>
      </c>
      <c r="E163" t="s">
        <v>28</v>
      </c>
      <c r="F163" t="s">
        <v>28</v>
      </c>
      <c r="G163" t="s">
        <v>410</v>
      </c>
      <c r="H163" s="5">
        <v>21250</v>
      </c>
      <c r="I163" t="s">
        <v>26</v>
      </c>
      <c r="J163" t="s">
        <v>27</v>
      </c>
      <c r="N163" t="s">
        <v>29</v>
      </c>
      <c r="O163" t="s">
        <v>30</v>
      </c>
      <c r="P163" t="s">
        <v>31</v>
      </c>
      <c r="Q163">
        <v>27078</v>
      </c>
      <c r="R163">
        <v>2</v>
      </c>
      <c r="T163">
        <v>27078</v>
      </c>
      <c r="U163" s="5"/>
      <c r="X163" s="5">
        <v>21250</v>
      </c>
      <c r="Y163">
        <v>0</v>
      </c>
    </row>
    <row r="164" spans="2:25" x14ac:dyDescent="0.25">
      <c r="B164" t="s">
        <v>177</v>
      </c>
      <c r="C164" t="s">
        <v>28</v>
      </c>
      <c r="D164" t="s">
        <v>28</v>
      </c>
      <c r="E164" t="s">
        <v>28</v>
      </c>
      <c r="F164" t="s">
        <v>28</v>
      </c>
      <c r="G164" t="s">
        <v>411</v>
      </c>
      <c r="H164" s="5">
        <v>381743.16</v>
      </c>
      <c r="I164" t="s">
        <v>26</v>
      </c>
      <c r="J164" t="s">
        <v>27</v>
      </c>
      <c r="N164" t="s">
        <v>29</v>
      </c>
      <c r="O164" t="s">
        <v>30</v>
      </c>
      <c r="P164" t="s">
        <v>31</v>
      </c>
      <c r="Q164">
        <v>24280</v>
      </c>
      <c r="R164">
        <v>2</v>
      </c>
      <c r="T164">
        <v>24280</v>
      </c>
      <c r="U164" s="5"/>
      <c r="X164" s="5">
        <v>381743.16</v>
      </c>
      <c r="Y164">
        <v>0</v>
      </c>
    </row>
    <row r="165" spans="2:25" x14ac:dyDescent="0.25">
      <c r="B165" t="s">
        <v>177</v>
      </c>
      <c r="C165" t="s">
        <v>28</v>
      </c>
      <c r="D165" t="s">
        <v>28</v>
      </c>
      <c r="E165" t="s">
        <v>28</v>
      </c>
      <c r="F165" t="s">
        <v>28</v>
      </c>
      <c r="G165" t="s">
        <v>413</v>
      </c>
      <c r="H165" s="5">
        <v>11780.26</v>
      </c>
      <c r="I165" t="s">
        <v>26</v>
      </c>
      <c r="J165" t="s">
        <v>27</v>
      </c>
      <c r="N165" t="s">
        <v>29</v>
      </c>
      <c r="O165" t="s">
        <v>30</v>
      </c>
      <c r="P165" t="s">
        <v>31</v>
      </c>
      <c r="Q165">
        <v>23666</v>
      </c>
      <c r="R165">
        <v>2</v>
      </c>
      <c r="T165">
        <v>23666</v>
      </c>
      <c r="U165" s="5"/>
      <c r="X165" s="5">
        <v>11780.26</v>
      </c>
      <c r="Y165">
        <v>0</v>
      </c>
    </row>
    <row r="166" spans="2:25" x14ac:dyDescent="0.25">
      <c r="B166" t="s">
        <v>177</v>
      </c>
      <c r="C166" t="s">
        <v>28</v>
      </c>
      <c r="D166" t="s">
        <v>28</v>
      </c>
      <c r="E166" t="s">
        <v>28</v>
      </c>
      <c r="F166" t="s">
        <v>28</v>
      </c>
      <c r="G166" t="s">
        <v>298</v>
      </c>
      <c r="H166" s="5">
        <v>1828.3</v>
      </c>
      <c r="I166" t="s">
        <v>26</v>
      </c>
      <c r="J166" t="s">
        <v>27</v>
      </c>
      <c r="N166" t="s">
        <v>29</v>
      </c>
      <c r="O166" t="s">
        <v>30</v>
      </c>
      <c r="P166" t="s">
        <v>31</v>
      </c>
      <c r="Q166">
        <v>23606</v>
      </c>
      <c r="R166">
        <v>2</v>
      </c>
      <c r="T166">
        <v>23606</v>
      </c>
      <c r="U166" s="5"/>
      <c r="X166" s="5">
        <v>1828.3</v>
      </c>
      <c r="Y166">
        <v>0</v>
      </c>
    </row>
    <row r="167" spans="2:25" x14ac:dyDescent="0.25">
      <c r="B167" t="s">
        <v>177</v>
      </c>
      <c r="C167" t="s">
        <v>28</v>
      </c>
      <c r="D167" t="s">
        <v>28</v>
      </c>
      <c r="E167" t="s">
        <v>28</v>
      </c>
      <c r="F167" t="s">
        <v>28</v>
      </c>
      <c r="G167" t="s">
        <v>289</v>
      </c>
      <c r="H167" s="5">
        <v>331271.03999999998</v>
      </c>
      <c r="I167" t="s">
        <v>26</v>
      </c>
      <c r="J167" t="s">
        <v>27</v>
      </c>
      <c r="N167" t="s">
        <v>29</v>
      </c>
      <c r="O167" t="s">
        <v>30</v>
      </c>
      <c r="P167" t="s">
        <v>31</v>
      </c>
      <c r="Q167">
        <v>25702</v>
      </c>
      <c r="R167">
        <v>2</v>
      </c>
      <c r="T167">
        <v>25702</v>
      </c>
      <c r="U167" s="5"/>
      <c r="X167" s="5">
        <v>331271.03999999998</v>
      </c>
      <c r="Y167">
        <v>0</v>
      </c>
    </row>
    <row r="168" spans="2:25" x14ac:dyDescent="0.25">
      <c r="B168" t="s">
        <v>177</v>
      </c>
      <c r="C168" t="s">
        <v>28</v>
      </c>
      <c r="D168" t="s">
        <v>28</v>
      </c>
      <c r="E168" t="s">
        <v>28</v>
      </c>
      <c r="F168" t="s">
        <v>28</v>
      </c>
      <c r="G168" t="s">
        <v>222</v>
      </c>
      <c r="H168" s="5">
        <v>188172.93</v>
      </c>
      <c r="I168" t="s">
        <v>26</v>
      </c>
      <c r="J168" t="s">
        <v>27</v>
      </c>
      <c r="N168" t="s">
        <v>29</v>
      </c>
      <c r="O168" t="s">
        <v>30</v>
      </c>
      <c r="P168" t="s">
        <v>31</v>
      </c>
      <c r="Q168">
        <v>26977</v>
      </c>
      <c r="R168">
        <v>2</v>
      </c>
      <c r="T168">
        <v>26977</v>
      </c>
      <c r="U168" s="5"/>
      <c r="X168" s="5">
        <v>188172.93</v>
      </c>
      <c r="Y168">
        <v>0</v>
      </c>
    </row>
    <row r="169" spans="2:25" x14ac:dyDescent="0.25">
      <c r="B169" t="s">
        <v>177</v>
      </c>
      <c r="C169" t="s">
        <v>28</v>
      </c>
      <c r="D169" t="s">
        <v>28</v>
      </c>
      <c r="E169" t="s">
        <v>28</v>
      </c>
      <c r="F169" t="s">
        <v>28</v>
      </c>
      <c r="G169" t="s">
        <v>415</v>
      </c>
      <c r="H169" s="5">
        <v>524.52</v>
      </c>
      <c r="I169" t="s">
        <v>26</v>
      </c>
      <c r="J169" t="s">
        <v>27</v>
      </c>
      <c r="N169" t="s">
        <v>29</v>
      </c>
      <c r="O169" t="s">
        <v>30</v>
      </c>
      <c r="P169" t="s">
        <v>31</v>
      </c>
      <c r="Q169">
        <v>23625</v>
      </c>
      <c r="R169">
        <v>2</v>
      </c>
      <c r="T169">
        <v>23625</v>
      </c>
      <c r="U169" s="5"/>
      <c r="X169" s="5">
        <v>524.52</v>
      </c>
      <c r="Y169">
        <v>0</v>
      </c>
    </row>
    <row r="170" spans="2:25" x14ac:dyDescent="0.25">
      <c r="B170" t="s">
        <v>177</v>
      </c>
      <c r="C170" t="s">
        <v>28</v>
      </c>
      <c r="D170" t="s">
        <v>28</v>
      </c>
      <c r="E170" t="s">
        <v>28</v>
      </c>
      <c r="F170" t="s">
        <v>28</v>
      </c>
      <c r="G170" t="s">
        <v>260</v>
      </c>
      <c r="H170" s="5">
        <v>20653.07</v>
      </c>
      <c r="I170" t="s">
        <v>26</v>
      </c>
      <c r="J170" t="s">
        <v>27</v>
      </c>
      <c r="N170" t="s">
        <v>29</v>
      </c>
      <c r="O170" t="s">
        <v>30</v>
      </c>
      <c r="P170" t="s">
        <v>31</v>
      </c>
      <c r="Q170">
        <v>23532</v>
      </c>
      <c r="R170">
        <v>2</v>
      </c>
      <c r="T170">
        <v>23532</v>
      </c>
      <c r="U170" s="5"/>
      <c r="X170" s="5">
        <v>20653.07</v>
      </c>
      <c r="Y170">
        <v>0</v>
      </c>
    </row>
    <row r="171" spans="2:25" x14ac:dyDescent="0.25">
      <c r="B171" t="s">
        <v>177</v>
      </c>
      <c r="C171" t="s">
        <v>28</v>
      </c>
      <c r="D171" t="s">
        <v>28</v>
      </c>
      <c r="E171" t="s">
        <v>28</v>
      </c>
      <c r="F171" t="s">
        <v>28</v>
      </c>
      <c r="G171" t="s">
        <v>419</v>
      </c>
      <c r="H171" s="5">
        <v>227.87</v>
      </c>
      <c r="I171" t="s">
        <v>26</v>
      </c>
      <c r="J171" t="s">
        <v>27</v>
      </c>
      <c r="N171" t="s">
        <v>29</v>
      </c>
      <c r="O171" t="s">
        <v>30</v>
      </c>
      <c r="P171" t="s">
        <v>31</v>
      </c>
      <c r="Q171">
        <v>23638</v>
      </c>
      <c r="R171">
        <v>2</v>
      </c>
      <c r="T171" s="6">
        <v>23638</v>
      </c>
      <c r="U171" s="5"/>
      <c r="X171" s="5">
        <v>227.87</v>
      </c>
      <c r="Y171">
        <v>0</v>
      </c>
    </row>
    <row r="172" spans="2:25" x14ac:dyDescent="0.25">
      <c r="B172" t="s">
        <v>177</v>
      </c>
      <c r="C172" t="s">
        <v>28</v>
      </c>
      <c r="D172" t="s">
        <v>28</v>
      </c>
      <c r="E172" t="s">
        <v>28</v>
      </c>
      <c r="F172" t="s">
        <v>28</v>
      </c>
      <c r="G172" t="s">
        <v>421</v>
      </c>
      <c r="H172" s="5">
        <v>21232.41</v>
      </c>
      <c r="I172" t="s">
        <v>26</v>
      </c>
      <c r="J172" t="s">
        <v>27</v>
      </c>
      <c r="N172" t="s">
        <v>29</v>
      </c>
      <c r="O172" t="s">
        <v>30</v>
      </c>
      <c r="P172" t="s">
        <v>31</v>
      </c>
      <c r="Q172">
        <v>23523</v>
      </c>
      <c r="R172">
        <v>2</v>
      </c>
      <c r="T172" s="6">
        <v>23523</v>
      </c>
      <c r="U172" s="5"/>
      <c r="X172" s="5">
        <v>21232.41</v>
      </c>
      <c r="Y172">
        <v>0</v>
      </c>
    </row>
    <row r="173" spans="2:25" x14ac:dyDescent="0.25">
      <c r="B173" t="s">
        <v>177</v>
      </c>
      <c r="C173" t="s">
        <v>28</v>
      </c>
      <c r="D173" t="s">
        <v>28</v>
      </c>
      <c r="E173" t="s">
        <v>28</v>
      </c>
      <c r="F173" t="s">
        <v>28</v>
      </c>
      <c r="G173" t="s">
        <v>425</v>
      </c>
      <c r="H173" s="5">
        <v>2171.1799999999998</v>
      </c>
      <c r="I173" t="s">
        <v>26</v>
      </c>
      <c r="J173" t="s">
        <v>27</v>
      </c>
      <c r="N173" t="s">
        <v>29</v>
      </c>
      <c r="O173" t="s">
        <v>30</v>
      </c>
      <c r="P173" t="s">
        <v>31</v>
      </c>
      <c r="Q173">
        <v>23594</v>
      </c>
      <c r="R173">
        <v>2</v>
      </c>
      <c r="T173">
        <v>23594</v>
      </c>
      <c r="U173" s="5"/>
      <c r="X173" s="5">
        <v>2171.1799999999998</v>
      </c>
      <c r="Y173">
        <v>0</v>
      </c>
    </row>
    <row r="174" spans="2:25" x14ac:dyDescent="0.25">
      <c r="B174" t="s">
        <v>177</v>
      </c>
      <c r="C174" t="s">
        <v>28</v>
      </c>
      <c r="D174" t="s">
        <v>28</v>
      </c>
      <c r="E174" t="s">
        <v>28</v>
      </c>
      <c r="F174" t="s">
        <v>28</v>
      </c>
      <c r="G174" t="s">
        <v>426</v>
      </c>
      <c r="H174" s="5">
        <v>58363.86</v>
      </c>
      <c r="I174" t="s">
        <v>26</v>
      </c>
      <c r="J174" t="s">
        <v>27</v>
      </c>
      <c r="N174" t="s">
        <v>29</v>
      </c>
      <c r="O174" t="s">
        <v>30</v>
      </c>
      <c r="P174" t="s">
        <v>31</v>
      </c>
      <c r="Q174">
        <v>23511</v>
      </c>
      <c r="R174">
        <v>2</v>
      </c>
      <c r="T174">
        <v>23511</v>
      </c>
      <c r="U174" s="5"/>
      <c r="X174" s="5">
        <v>58363.86</v>
      </c>
      <c r="Y174">
        <v>0</v>
      </c>
    </row>
    <row r="175" spans="2:25" x14ac:dyDescent="0.25">
      <c r="B175" t="s">
        <v>177</v>
      </c>
      <c r="C175" t="s">
        <v>28</v>
      </c>
      <c r="D175" t="s">
        <v>28</v>
      </c>
      <c r="E175" t="s">
        <v>28</v>
      </c>
      <c r="F175" t="s">
        <v>28</v>
      </c>
      <c r="G175" t="s">
        <v>431</v>
      </c>
      <c r="H175" s="5">
        <v>157250</v>
      </c>
      <c r="I175" t="s">
        <v>26</v>
      </c>
      <c r="J175" t="s">
        <v>27</v>
      </c>
      <c r="N175" t="s">
        <v>29</v>
      </c>
      <c r="O175" t="s">
        <v>30</v>
      </c>
      <c r="P175" t="s">
        <v>31</v>
      </c>
      <c r="Q175">
        <v>27153</v>
      </c>
      <c r="R175">
        <v>2</v>
      </c>
      <c r="T175" t="s">
        <v>88</v>
      </c>
      <c r="U175" s="5" t="s">
        <v>191</v>
      </c>
      <c r="X175" s="5" t="s">
        <v>88</v>
      </c>
      <c r="Y175" t="s">
        <v>88</v>
      </c>
    </row>
    <row r="176" spans="2:25" x14ac:dyDescent="0.25">
      <c r="B176" t="s">
        <v>177</v>
      </c>
      <c r="C176" t="s">
        <v>28</v>
      </c>
      <c r="D176" t="s">
        <v>28</v>
      </c>
      <c r="E176" t="s">
        <v>28</v>
      </c>
      <c r="F176" t="s">
        <v>28</v>
      </c>
      <c r="G176" t="s">
        <v>229</v>
      </c>
      <c r="H176" s="5">
        <v>10748.41</v>
      </c>
      <c r="I176" t="s">
        <v>26</v>
      </c>
      <c r="J176" t="s">
        <v>27</v>
      </c>
      <c r="N176" t="s">
        <v>29</v>
      </c>
      <c r="O176" t="s">
        <v>30</v>
      </c>
      <c r="P176" t="s">
        <v>31</v>
      </c>
      <c r="Q176">
        <v>23541</v>
      </c>
      <c r="R176">
        <v>2</v>
      </c>
      <c r="T176">
        <v>23541</v>
      </c>
      <c r="U176" s="5"/>
      <c r="X176" s="5">
        <v>10748.41</v>
      </c>
      <c r="Y176">
        <v>0</v>
      </c>
    </row>
    <row r="177" spans="2:25" x14ac:dyDescent="0.25">
      <c r="B177" t="s">
        <v>177</v>
      </c>
      <c r="C177" t="s">
        <v>28</v>
      </c>
      <c r="D177" t="s">
        <v>28</v>
      </c>
      <c r="E177" t="s">
        <v>28</v>
      </c>
      <c r="F177" t="s">
        <v>28</v>
      </c>
      <c r="G177" t="s">
        <v>432</v>
      </c>
      <c r="H177" s="5">
        <v>37434.51</v>
      </c>
      <c r="I177" t="s">
        <v>26</v>
      </c>
      <c r="J177" t="s">
        <v>27</v>
      </c>
      <c r="N177" t="s">
        <v>29</v>
      </c>
      <c r="O177" t="s">
        <v>30</v>
      </c>
      <c r="P177" t="s">
        <v>31</v>
      </c>
      <c r="Q177">
        <v>18101</v>
      </c>
      <c r="R177">
        <v>2</v>
      </c>
      <c r="T177">
        <v>18101</v>
      </c>
      <c r="U177" s="5"/>
      <c r="X177" s="5">
        <v>37434.51</v>
      </c>
      <c r="Y177">
        <v>0</v>
      </c>
    </row>
    <row r="178" spans="2:25" x14ac:dyDescent="0.25">
      <c r="B178" t="s">
        <v>177</v>
      </c>
      <c r="C178" t="s">
        <v>28</v>
      </c>
      <c r="D178" t="s">
        <v>28</v>
      </c>
      <c r="E178" t="s">
        <v>28</v>
      </c>
      <c r="F178" t="s">
        <v>28</v>
      </c>
      <c r="G178" t="s">
        <v>338</v>
      </c>
      <c r="H178" s="5">
        <v>9784.2800000000007</v>
      </c>
      <c r="I178" t="s">
        <v>26</v>
      </c>
      <c r="J178" t="s">
        <v>27</v>
      </c>
      <c r="N178" t="s">
        <v>29</v>
      </c>
      <c r="O178" t="s">
        <v>30</v>
      </c>
      <c r="P178" t="s">
        <v>31</v>
      </c>
      <c r="Q178">
        <v>23528</v>
      </c>
      <c r="R178">
        <v>2</v>
      </c>
      <c r="T178">
        <v>23528</v>
      </c>
      <c r="U178" s="5"/>
      <c r="X178" s="5">
        <v>9784.2800000000007</v>
      </c>
      <c r="Y178">
        <v>0</v>
      </c>
    </row>
    <row r="179" spans="2:25" x14ac:dyDescent="0.25">
      <c r="B179" t="s">
        <v>177</v>
      </c>
      <c r="C179" t="s">
        <v>28</v>
      </c>
      <c r="D179" t="s">
        <v>28</v>
      </c>
      <c r="E179" t="s">
        <v>28</v>
      </c>
      <c r="F179" t="s">
        <v>28</v>
      </c>
      <c r="G179" t="s">
        <v>434</v>
      </c>
      <c r="H179" s="5">
        <v>96280.9</v>
      </c>
      <c r="I179" t="s">
        <v>26</v>
      </c>
      <c r="J179" t="s">
        <v>27</v>
      </c>
      <c r="N179" t="s">
        <v>29</v>
      </c>
      <c r="O179" t="s">
        <v>30</v>
      </c>
      <c r="P179" t="s">
        <v>31</v>
      </c>
      <c r="Q179">
        <v>25689</v>
      </c>
      <c r="R179">
        <v>2</v>
      </c>
      <c r="T179">
        <v>25689</v>
      </c>
      <c r="U179" s="5"/>
      <c r="X179" s="5">
        <v>96280.9</v>
      </c>
      <c r="Y179">
        <v>0</v>
      </c>
    </row>
    <row r="180" spans="2:25" x14ac:dyDescent="0.25">
      <c r="B180" t="s">
        <v>177</v>
      </c>
      <c r="C180" t="s">
        <v>28</v>
      </c>
      <c r="D180" t="s">
        <v>28</v>
      </c>
      <c r="E180" t="s">
        <v>28</v>
      </c>
      <c r="F180" t="s">
        <v>28</v>
      </c>
      <c r="G180" t="s">
        <v>435</v>
      </c>
      <c r="H180" s="5">
        <v>22749.01</v>
      </c>
      <c r="I180" t="s">
        <v>26</v>
      </c>
      <c r="J180" t="s">
        <v>27</v>
      </c>
      <c r="N180" t="s">
        <v>29</v>
      </c>
      <c r="O180" t="s">
        <v>30</v>
      </c>
      <c r="P180" t="s">
        <v>31</v>
      </c>
      <c r="Q180">
        <v>23502</v>
      </c>
      <c r="R180">
        <v>2</v>
      </c>
      <c r="T180">
        <v>23502</v>
      </c>
      <c r="U180" s="5"/>
      <c r="X180" s="5">
        <v>22749.01</v>
      </c>
      <c r="Y180">
        <v>0</v>
      </c>
    </row>
    <row r="181" spans="2:25" x14ac:dyDescent="0.25">
      <c r="B181" t="s">
        <v>177</v>
      </c>
      <c r="C181" t="s">
        <v>28</v>
      </c>
      <c r="D181" t="s">
        <v>28</v>
      </c>
      <c r="E181" t="s">
        <v>28</v>
      </c>
      <c r="F181" t="s">
        <v>28</v>
      </c>
      <c r="G181" t="s">
        <v>437</v>
      </c>
      <c r="H181" s="5">
        <v>71700</v>
      </c>
      <c r="I181" t="s">
        <v>26</v>
      </c>
      <c r="J181" t="s">
        <v>27</v>
      </c>
      <c r="N181" t="s">
        <v>29</v>
      </c>
      <c r="O181" t="s">
        <v>30</v>
      </c>
      <c r="P181" t="s">
        <v>31</v>
      </c>
      <c r="Q181">
        <v>27141</v>
      </c>
      <c r="R181">
        <v>2</v>
      </c>
      <c r="T181">
        <v>27141</v>
      </c>
      <c r="U181" s="5"/>
      <c r="X181" s="5">
        <v>71700</v>
      </c>
      <c r="Y181">
        <v>0</v>
      </c>
    </row>
    <row r="182" spans="2:25" x14ac:dyDescent="0.25">
      <c r="B182" t="s">
        <v>177</v>
      </c>
      <c r="C182" t="s">
        <v>28</v>
      </c>
      <c r="D182" t="s">
        <v>28</v>
      </c>
      <c r="E182" t="s">
        <v>28</v>
      </c>
      <c r="F182" t="s">
        <v>28</v>
      </c>
      <c r="G182" t="s">
        <v>439</v>
      </c>
      <c r="H182" s="5">
        <v>77638.94</v>
      </c>
      <c r="I182" t="s">
        <v>26</v>
      </c>
      <c r="J182" t="s">
        <v>27</v>
      </c>
      <c r="N182" t="s">
        <v>29</v>
      </c>
      <c r="O182" t="s">
        <v>30</v>
      </c>
      <c r="P182" t="s">
        <v>31</v>
      </c>
      <c r="Q182">
        <v>7400325342</v>
      </c>
      <c r="R182">
        <v>2</v>
      </c>
      <c r="T182">
        <v>7400325342</v>
      </c>
      <c r="U182" s="5"/>
      <c r="X182" s="5">
        <v>77638.94</v>
      </c>
      <c r="Y182">
        <v>0</v>
      </c>
    </row>
    <row r="183" spans="2:25" x14ac:dyDescent="0.25">
      <c r="B183" t="s">
        <v>177</v>
      </c>
      <c r="C183" t="s">
        <v>28</v>
      </c>
      <c r="D183" t="s">
        <v>28</v>
      </c>
      <c r="E183" t="s">
        <v>28</v>
      </c>
      <c r="F183" t="s">
        <v>28</v>
      </c>
      <c r="G183" t="s">
        <v>440</v>
      </c>
      <c r="H183" s="5">
        <v>2172.25</v>
      </c>
      <c r="I183" t="s">
        <v>26</v>
      </c>
      <c r="J183" t="s">
        <v>27</v>
      </c>
      <c r="N183" t="s">
        <v>29</v>
      </c>
      <c r="O183" t="s">
        <v>30</v>
      </c>
      <c r="P183" t="s">
        <v>31</v>
      </c>
      <c r="Q183">
        <v>23598</v>
      </c>
      <c r="R183">
        <v>2</v>
      </c>
      <c r="T183">
        <v>23598</v>
      </c>
      <c r="U183" s="5"/>
      <c r="X183" s="5">
        <v>2172.25</v>
      </c>
      <c r="Y183">
        <v>0</v>
      </c>
    </row>
    <row r="184" spans="2:25" x14ac:dyDescent="0.25">
      <c r="B184" t="s">
        <v>177</v>
      </c>
      <c r="C184" t="s">
        <v>28</v>
      </c>
      <c r="D184" t="s">
        <v>28</v>
      </c>
      <c r="E184" t="s">
        <v>28</v>
      </c>
      <c r="F184" t="s">
        <v>28</v>
      </c>
      <c r="G184" t="s">
        <v>280</v>
      </c>
      <c r="H184" s="5">
        <v>22749.01</v>
      </c>
      <c r="I184" t="s">
        <v>26</v>
      </c>
      <c r="J184" t="s">
        <v>27</v>
      </c>
      <c r="N184" t="s">
        <v>29</v>
      </c>
      <c r="O184" t="s">
        <v>30</v>
      </c>
      <c r="P184" t="s">
        <v>31</v>
      </c>
      <c r="Q184">
        <v>23504</v>
      </c>
      <c r="R184">
        <v>2</v>
      </c>
      <c r="T184">
        <v>23504</v>
      </c>
      <c r="U184" s="5"/>
      <c r="X184" s="5">
        <v>22749.01</v>
      </c>
      <c r="Y184">
        <v>0</v>
      </c>
    </row>
    <row r="185" spans="2:25" x14ac:dyDescent="0.25">
      <c r="B185" t="s">
        <v>177</v>
      </c>
      <c r="C185" t="s">
        <v>28</v>
      </c>
      <c r="D185" t="s">
        <v>28</v>
      </c>
      <c r="E185" t="s">
        <v>28</v>
      </c>
      <c r="F185" t="s">
        <v>28</v>
      </c>
      <c r="G185" t="s">
        <v>392</v>
      </c>
      <c r="H185" s="5">
        <v>46145.37</v>
      </c>
      <c r="I185" t="s">
        <v>26</v>
      </c>
      <c r="J185" t="s">
        <v>27</v>
      </c>
      <c r="N185" t="s">
        <v>29</v>
      </c>
      <c r="O185" t="s">
        <v>30</v>
      </c>
      <c r="P185" t="s">
        <v>31</v>
      </c>
      <c r="Q185">
        <v>27149</v>
      </c>
      <c r="R185">
        <v>2</v>
      </c>
      <c r="T185" t="s">
        <v>88</v>
      </c>
      <c r="U185" s="5" t="s">
        <v>191</v>
      </c>
      <c r="X185" s="5" t="s">
        <v>88</v>
      </c>
      <c r="Y185" t="s">
        <v>88</v>
      </c>
    </row>
    <row r="186" spans="2:25" x14ac:dyDescent="0.25">
      <c r="B186" t="s">
        <v>177</v>
      </c>
      <c r="C186" t="s">
        <v>28</v>
      </c>
      <c r="D186" t="s">
        <v>28</v>
      </c>
      <c r="E186" t="s">
        <v>28</v>
      </c>
      <c r="F186" t="s">
        <v>28</v>
      </c>
      <c r="G186" t="s">
        <v>443</v>
      </c>
      <c r="H186" s="5">
        <v>2818.7</v>
      </c>
      <c r="I186" t="s">
        <v>26</v>
      </c>
      <c r="J186" t="s">
        <v>27</v>
      </c>
      <c r="N186" t="s">
        <v>29</v>
      </c>
      <c r="O186" t="s">
        <v>30</v>
      </c>
      <c r="P186" t="s">
        <v>31</v>
      </c>
      <c r="Q186">
        <v>19370</v>
      </c>
      <c r="R186">
        <v>2</v>
      </c>
      <c r="T186">
        <v>19370</v>
      </c>
      <c r="U186" s="5"/>
      <c r="X186" s="5">
        <v>2818.7</v>
      </c>
      <c r="Y186">
        <v>0</v>
      </c>
    </row>
    <row r="187" spans="2:25" x14ac:dyDescent="0.25">
      <c r="B187" t="s">
        <v>177</v>
      </c>
      <c r="C187" t="s">
        <v>28</v>
      </c>
      <c r="D187" t="s">
        <v>28</v>
      </c>
      <c r="E187" t="s">
        <v>28</v>
      </c>
      <c r="F187" t="s">
        <v>28</v>
      </c>
      <c r="G187" t="s">
        <v>240</v>
      </c>
      <c r="H187" s="5">
        <v>138191.62</v>
      </c>
      <c r="I187" t="s">
        <v>26</v>
      </c>
      <c r="J187" t="s">
        <v>27</v>
      </c>
      <c r="N187" t="s">
        <v>29</v>
      </c>
      <c r="O187" t="s">
        <v>30</v>
      </c>
      <c r="P187" t="s">
        <v>31</v>
      </c>
      <c r="Q187">
        <v>2611001226</v>
      </c>
      <c r="R187">
        <v>2</v>
      </c>
      <c r="T187">
        <v>2611001226</v>
      </c>
      <c r="U187" s="5"/>
      <c r="X187" s="5">
        <v>138191.62</v>
      </c>
      <c r="Y187">
        <v>0</v>
      </c>
    </row>
    <row r="188" spans="2:25" x14ac:dyDescent="0.25">
      <c r="B188" t="s">
        <v>177</v>
      </c>
      <c r="C188" t="s">
        <v>28</v>
      </c>
      <c r="D188" t="s">
        <v>28</v>
      </c>
      <c r="E188" t="s">
        <v>28</v>
      </c>
      <c r="F188" t="s">
        <v>28</v>
      </c>
      <c r="G188" t="s">
        <v>444</v>
      </c>
      <c r="H188" s="5">
        <v>389003.7</v>
      </c>
      <c r="I188" t="s">
        <v>26</v>
      </c>
      <c r="J188" t="s">
        <v>27</v>
      </c>
      <c r="N188" t="s">
        <v>29</v>
      </c>
      <c r="O188" t="s">
        <v>30</v>
      </c>
      <c r="P188" t="s">
        <v>31</v>
      </c>
      <c r="Q188">
        <v>24166</v>
      </c>
      <c r="R188">
        <v>2</v>
      </c>
      <c r="T188" s="6">
        <v>24166</v>
      </c>
      <c r="U188" s="5"/>
      <c r="X188" s="5">
        <v>389003.7</v>
      </c>
      <c r="Y188">
        <v>0</v>
      </c>
    </row>
    <row r="189" spans="2:25" x14ac:dyDescent="0.25">
      <c r="B189" t="s">
        <v>177</v>
      </c>
      <c r="C189" t="s">
        <v>28</v>
      </c>
      <c r="D189" t="s">
        <v>28</v>
      </c>
      <c r="E189" t="s">
        <v>28</v>
      </c>
      <c r="F189" t="s">
        <v>28</v>
      </c>
      <c r="G189" t="s">
        <v>446</v>
      </c>
      <c r="H189" s="5">
        <v>40789.5</v>
      </c>
      <c r="I189" t="s">
        <v>26</v>
      </c>
      <c r="J189" t="s">
        <v>27</v>
      </c>
      <c r="N189" t="s">
        <v>29</v>
      </c>
      <c r="O189" t="s">
        <v>30</v>
      </c>
      <c r="P189" t="s">
        <v>31</v>
      </c>
      <c r="Q189">
        <v>26679</v>
      </c>
      <c r="R189">
        <v>2</v>
      </c>
      <c r="T189">
        <v>26679</v>
      </c>
      <c r="U189" s="5"/>
      <c r="X189" s="5">
        <v>40789.5</v>
      </c>
      <c r="Y189">
        <v>0</v>
      </c>
    </row>
    <row r="190" spans="2:25" x14ac:dyDescent="0.25">
      <c r="B190" t="s">
        <v>177</v>
      </c>
      <c r="C190" t="s">
        <v>28</v>
      </c>
      <c r="D190" t="s">
        <v>28</v>
      </c>
      <c r="E190" t="s">
        <v>28</v>
      </c>
      <c r="F190" t="s">
        <v>28</v>
      </c>
      <c r="G190" t="s">
        <v>428</v>
      </c>
      <c r="H190" s="5">
        <v>115786.62</v>
      </c>
      <c r="I190" t="s">
        <v>26</v>
      </c>
      <c r="J190" t="s">
        <v>27</v>
      </c>
      <c r="N190" t="s">
        <v>29</v>
      </c>
      <c r="O190" t="s">
        <v>30</v>
      </c>
      <c r="P190" t="s">
        <v>31</v>
      </c>
      <c r="Q190">
        <v>7353</v>
      </c>
      <c r="R190">
        <v>2</v>
      </c>
      <c r="T190">
        <v>7353</v>
      </c>
      <c r="U190" s="5"/>
      <c r="X190" s="5">
        <v>115786.62</v>
      </c>
      <c r="Y190">
        <v>0</v>
      </c>
    </row>
    <row r="191" spans="2:25" x14ac:dyDescent="0.25">
      <c r="B191" t="s">
        <v>177</v>
      </c>
      <c r="C191" t="s">
        <v>28</v>
      </c>
      <c r="D191" t="s">
        <v>28</v>
      </c>
      <c r="E191" t="s">
        <v>28</v>
      </c>
      <c r="F191" t="s">
        <v>28</v>
      </c>
      <c r="G191" t="s">
        <v>447</v>
      </c>
      <c r="H191" s="5">
        <v>33150</v>
      </c>
      <c r="I191" t="s">
        <v>26</v>
      </c>
      <c r="J191" t="s">
        <v>27</v>
      </c>
      <c r="N191" t="s">
        <v>29</v>
      </c>
      <c r="O191" t="s">
        <v>30</v>
      </c>
      <c r="P191" t="s">
        <v>31</v>
      </c>
      <c r="Q191">
        <v>27146</v>
      </c>
      <c r="R191">
        <v>2</v>
      </c>
      <c r="T191">
        <v>27146</v>
      </c>
      <c r="U191" s="5"/>
      <c r="X191" s="5">
        <v>33150</v>
      </c>
      <c r="Y191">
        <v>0</v>
      </c>
    </row>
    <row r="192" spans="2:25" x14ac:dyDescent="0.25">
      <c r="B192" t="s">
        <v>177</v>
      </c>
      <c r="C192" t="s">
        <v>28</v>
      </c>
      <c r="D192" t="s">
        <v>28</v>
      </c>
      <c r="E192" t="s">
        <v>28</v>
      </c>
      <c r="F192" t="s">
        <v>28</v>
      </c>
      <c r="G192" t="s">
        <v>449</v>
      </c>
      <c r="H192" s="5">
        <v>94109.61</v>
      </c>
      <c r="I192" t="s">
        <v>26</v>
      </c>
      <c r="J192" t="s">
        <v>27</v>
      </c>
      <c r="N192" t="s">
        <v>29</v>
      </c>
      <c r="O192" t="s">
        <v>30</v>
      </c>
      <c r="P192" t="s">
        <v>31</v>
      </c>
      <c r="Q192">
        <v>23515</v>
      </c>
      <c r="R192">
        <v>2</v>
      </c>
      <c r="T192">
        <v>23515</v>
      </c>
      <c r="U192" s="5"/>
      <c r="X192" s="5">
        <v>94109.61</v>
      </c>
      <c r="Y192">
        <v>0</v>
      </c>
    </row>
    <row r="193" spans="2:25" x14ac:dyDescent="0.25">
      <c r="B193" t="s">
        <v>177</v>
      </c>
      <c r="C193" t="s">
        <v>28</v>
      </c>
      <c r="D193" t="s">
        <v>28</v>
      </c>
      <c r="E193" t="s">
        <v>28</v>
      </c>
      <c r="F193" t="s">
        <v>28</v>
      </c>
      <c r="G193" t="s">
        <v>450</v>
      </c>
      <c r="H193" s="5">
        <v>187286.39999999999</v>
      </c>
      <c r="I193" t="s">
        <v>26</v>
      </c>
      <c r="J193" t="s">
        <v>27</v>
      </c>
      <c r="N193" t="s">
        <v>29</v>
      </c>
      <c r="O193" t="s">
        <v>30</v>
      </c>
      <c r="P193" t="s">
        <v>31</v>
      </c>
      <c r="Q193">
        <v>23778</v>
      </c>
      <c r="R193">
        <v>2</v>
      </c>
      <c r="T193">
        <v>23778</v>
      </c>
      <c r="U193" s="5"/>
      <c r="X193" s="5">
        <v>187286.39999999999</v>
      </c>
      <c r="Y193">
        <v>0</v>
      </c>
    </row>
    <row r="194" spans="2:25" x14ac:dyDescent="0.25">
      <c r="B194" t="s">
        <v>177</v>
      </c>
      <c r="C194" t="s">
        <v>28</v>
      </c>
      <c r="D194" t="s">
        <v>28</v>
      </c>
      <c r="E194" t="s">
        <v>28</v>
      </c>
      <c r="F194" t="s">
        <v>28</v>
      </c>
      <c r="G194" t="s">
        <v>195</v>
      </c>
      <c r="H194" s="5">
        <v>9145.82</v>
      </c>
      <c r="I194" t="s">
        <v>26</v>
      </c>
      <c r="J194" t="s">
        <v>27</v>
      </c>
      <c r="N194" t="s">
        <v>29</v>
      </c>
      <c r="O194" t="s">
        <v>30</v>
      </c>
      <c r="P194" t="s">
        <v>31</v>
      </c>
      <c r="Q194">
        <v>23549</v>
      </c>
      <c r="R194">
        <v>2</v>
      </c>
      <c r="T194">
        <v>23549</v>
      </c>
      <c r="U194" s="5"/>
      <c r="X194" s="5">
        <v>9145.82</v>
      </c>
      <c r="Y194">
        <v>0</v>
      </c>
    </row>
    <row r="195" spans="2:25" x14ac:dyDescent="0.25">
      <c r="B195" t="s">
        <v>177</v>
      </c>
      <c r="C195" t="s">
        <v>28</v>
      </c>
      <c r="D195" t="s">
        <v>28</v>
      </c>
      <c r="E195" t="s">
        <v>28</v>
      </c>
      <c r="F195" t="s">
        <v>28</v>
      </c>
      <c r="G195" t="s">
        <v>452</v>
      </c>
      <c r="H195" s="5">
        <v>62914.92</v>
      </c>
      <c r="I195" t="s">
        <v>26</v>
      </c>
      <c r="J195" t="s">
        <v>27</v>
      </c>
      <c r="N195" t="s">
        <v>29</v>
      </c>
      <c r="O195" t="s">
        <v>30</v>
      </c>
      <c r="P195" t="s">
        <v>31</v>
      </c>
      <c r="Q195">
        <v>27061</v>
      </c>
      <c r="R195">
        <v>2</v>
      </c>
      <c r="T195">
        <v>27061</v>
      </c>
      <c r="U195" s="5"/>
      <c r="X195" s="5">
        <v>62914.92</v>
      </c>
      <c r="Y195">
        <v>0</v>
      </c>
    </row>
    <row r="196" spans="2:25" x14ac:dyDescent="0.25">
      <c r="B196" t="s">
        <v>177</v>
      </c>
      <c r="C196" t="s">
        <v>28</v>
      </c>
      <c r="D196" t="s">
        <v>28</v>
      </c>
      <c r="E196" t="s">
        <v>28</v>
      </c>
      <c r="F196" t="s">
        <v>28</v>
      </c>
      <c r="G196" t="s">
        <v>359</v>
      </c>
      <c r="H196" s="5">
        <v>88569.84</v>
      </c>
      <c r="I196" t="s">
        <v>26</v>
      </c>
      <c r="J196" t="s">
        <v>27</v>
      </c>
      <c r="N196" t="s">
        <v>29</v>
      </c>
      <c r="O196" t="s">
        <v>30</v>
      </c>
      <c r="P196" t="s">
        <v>31</v>
      </c>
      <c r="Q196">
        <v>27172</v>
      </c>
      <c r="R196">
        <v>2</v>
      </c>
      <c r="T196" t="s">
        <v>88</v>
      </c>
      <c r="U196" s="5" t="s">
        <v>191</v>
      </c>
      <c r="X196" s="5" t="s">
        <v>88</v>
      </c>
      <c r="Y196" t="s">
        <v>88</v>
      </c>
    </row>
    <row r="197" spans="2:25" x14ac:dyDescent="0.25">
      <c r="B197" t="s">
        <v>177</v>
      </c>
      <c r="C197" t="s">
        <v>28</v>
      </c>
      <c r="D197" t="s">
        <v>28</v>
      </c>
      <c r="E197" t="s">
        <v>28</v>
      </c>
      <c r="F197" t="s">
        <v>28</v>
      </c>
      <c r="G197" t="s">
        <v>453</v>
      </c>
      <c r="H197" s="5">
        <v>10748.41</v>
      </c>
      <c r="I197" t="s">
        <v>26</v>
      </c>
      <c r="J197" t="s">
        <v>27</v>
      </c>
      <c r="N197" t="s">
        <v>29</v>
      </c>
      <c r="O197" t="s">
        <v>30</v>
      </c>
      <c r="P197" t="s">
        <v>31</v>
      </c>
      <c r="Q197">
        <v>23546</v>
      </c>
      <c r="R197">
        <v>2</v>
      </c>
      <c r="T197">
        <v>23546</v>
      </c>
      <c r="U197" s="5"/>
      <c r="X197" s="5">
        <v>10748.41</v>
      </c>
      <c r="Y197">
        <v>0</v>
      </c>
    </row>
    <row r="198" spans="2:25" x14ac:dyDescent="0.25">
      <c r="B198" t="s">
        <v>177</v>
      </c>
      <c r="C198" t="s">
        <v>28</v>
      </c>
      <c r="D198" t="s">
        <v>28</v>
      </c>
      <c r="E198" t="s">
        <v>28</v>
      </c>
      <c r="F198" t="s">
        <v>28</v>
      </c>
      <c r="G198" t="s">
        <v>272</v>
      </c>
      <c r="H198" s="5">
        <v>346.1</v>
      </c>
      <c r="I198" t="s">
        <v>26</v>
      </c>
      <c r="J198" t="s">
        <v>27</v>
      </c>
      <c r="N198" t="s">
        <v>29</v>
      </c>
      <c r="O198" t="s">
        <v>30</v>
      </c>
      <c r="P198" t="s">
        <v>31</v>
      </c>
      <c r="Q198">
        <v>23653</v>
      </c>
      <c r="R198">
        <v>2</v>
      </c>
      <c r="T198">
        <v>23653</v>
      </c>
      <c r="U198" s="5"/>
      <c r="X198" s="5">
        <v>346.1</v>
      </c>
      <c r="Y198">
        <v>0</v>
      </c>
    </row>
    <row r="199" spans="2:25" x14ac:dyDescent="0.25">
      <c r="B199" t="s">
        <v>177</v>
      </c>
      <c r="C199" t="s">
        <v>28</v>
      </c>
      <c r="D199" t="s">
        <v>28</v>
      </c>
      <c r="E199" t="s">
        <v>28</v>
      </c>
      <c r="F199" t="s">
        <v>28</v>
      </c>
      <c r="G199" t="s">
        <v>223</v>
      </c>
      <c r="H199" s="5">
        <v>31058</v>
      </c>
      <c r="I199" t="s">
        <v>26</v>
      </c>
      <c r="J199" t="s">
        <v>27</v>
      </c>
      <c r="N199" t="s">
        <v>29</v>
      </c>
      <c r="O199" t="s">
        <v>30</v>
      </c>
      <c r="P199" t="s">
        <v>31</v>
      </c>
      <c r="Q199">
        <v>27074</v>
      </c>
      <c r="R199">
        <v>2</v>
      </c>
      <c r="T199">
        <v>27074</v>
      </c>
      <c r="U199" s="5"/>
      <c r="X199" s="5">
        <v>31058</v>
      </c>
      <c r="Y199">
        <v>0</v>
      </c>
    </row>
    <row r="200" spans="2:25" x14ac:dyDescent="0.25">
      <c r="B200" t="s">
        <v>177</v>
      </c>
      <c r="C200" t="s">
        <v>28</v>
      </c>
      <c r="D200" t="s">
        <v>28</v>
      </c>
      <c r="E200" t="s">
        <v>28</v>
      </c>
      <c r="F200" t="s">
        <v>28</v>
      </c>
      <c r="G200" t="s">
        <v>455</v>
      </c>
      <c r="H200" s="5">
        <v>44013.41</v>
      </c>
      <c r="I200" t="s">
        <v>26</v>
      </c>
      <c r="J200" t="s">
        <v>27</v>
      </c>
      <c r="N200" t="s">
        <v>29</v>
      </c>
      <c r="O200" t="s">
        <v>30</v>
      </c>
      <c r="P200" t="s">
        <v>31</v>
      </c>
      <c r="Q200">
        <v>23662</v>
      </c>
      <c r="R200">
        <v>2</v>
      </c>
      <c r="T200">
        <v>23662</v>
      </c>
      <c r="U200" s="5"/>
      <c r="X200" s="5">
        <v>44013.41</v>
      </c>
      <c r="Y200">
        <v>0</v>
      </c>
    </row>
    <row r="201" spans="2:25" x14ac:dyDescent="0.25">
      <c r="B201" t="s">
        <v>177</v>
      </c>
      <c r="C201" t="s">
        <v>28</v>
      </c>
      <c r="D201" t="s">
        <v>28</v>
      </c>
      <c r="E201" t="s">
        <v>28</v>
      </c>
      <c r="F201" t="s">
        <v>28</v>
      </c>
      <c r="G201" t="s">
        <v>249</v>
      </c>
      <c r="H201" s="5">
        <v>280.52999999999997</v>
      </c>
      <c r="I201" t="s">
        <v>26</v>
      </c>
      <c r="J201" t="s">
        <v>27</v>
      </c>
      <c r="N201" t="s">
        <v>29</v>
      </c>
      <c r="O201" t="s">
        <v>30</v>
      </c>
      <c r="P201" t="s">
        <v>31</v>
      </c>
      <c r="Q201">
        <v>23632</v>
      </c>
      <c r="R201">
        <v>2</v>
      </c>
      <c r="T201">
        <v>23632</v>
      </c>
      <c r="U201" s="5"/>
      <c r="X201" s="5">
        <v>280.52999999999997</v>
      </c>
      <c r="Y201">
        <v>0</v>
      </c>
    </row>
    <row r="202" spans="2:25" x14ac:dyDescent="0.25">
      <c r="B202" t="s">
        <v>177</v>
      </c>
      <c r="C202" t="s">
        <v>28</v>
      </c>
      <c r="D202" t="s">
        <v>28</v>
      </c>
      <c r="E202" t="s">
        <v>28</v>
      </c>
      <c r="F202" t="s">
        <v>28</v>
      </c>
      <c r="G202" t="s">
        <v>456</v>
      </c>
      <c r="H202" s="5">
        <v>85021.9</v>
      </c>
      <c r="I202" t="s">
        <v>26</v>
      </c>
      <c r="J202" t="s">
        <v>27</v>
      </c>
      <c r="N202" t="s">
        <v>29</v>
      </c>
      <c r="O202" t="s">
        <v>30</v>
      </c>
      <c r="P202" t="s">
        <v>31</v>
      </c>
      <c r="Q202">
        <v>27157</v>
      </c>
      <c r="R202">
        <v>2</v>
      </c>
      <c r="T202" t="s">
        <v>88</v>
      </c>
      <c r="U202" s="5" t="s">
        <v>191</v>
      </c>
      <c r="X202" s="5" t="s">
        <v>88</v>
      </c>
      <c r="Y202" t="s">
        <v>88</v>
      </c>
    </row>
    <row r="203" spans="2:25" x14ac:dyDescent="0.25">
      <c r="B203" t="s">
        <v>177</v>
      </c>
      <c r="C203" t="s">
        <v>28</v>
      </c>
      <c r="D203" t="s">
        <v>28</v>
      </c>
      <c r="E203" t="s">
        <v>28</v>
      </c>
      <c r="F203" t="s">
        <v>28</v>
      </c>
      <c r="G203" t="s">
        <v>457</v>
      </c>
      <c r="H203" s="5">
        <v>16122.61</v>
      </c>
      <c r="I203" t="s">
        <v>26</v>
      </c>
      <c r="J203" t="s">
        <v>27</v>
      </c>
      <c r="N203" t="s">
        <v>29</v>
      </c>
      <c r="O203" t="s">
        <v>30</v>
      </c>
      <c r="P203" t="s">
        <v>31</v>
      </c>
      <c r="Q203">
        <v>23604</v>
      </c>
      <c r="R203">
        <v>2</v>
      </c>
      <c r="T203">
        <v>23604</v>
      </c>
      <c r="U203" s="5"/>
      <c r="X203" s="5">
        <v>16122.61</v>
      </c>
      <c r="Y203">
        <v>0</v>
      </c>
    </row>
    <row r="204" spans="2:25" x14ac:dyDescent="0.25">
      <c r="B204" t="s">
        <v>177</v>
      </c>
      <c r="C204" t="s">
        <v>28</v>
      </c>
      <c r="D204" t="s">
        <v>28</v>
      </c>
      <c r="E204" t="s">
        <v>28</v>
      </c>
      <c r="F204" t="s">
        <v>28</v>
      </c>
      <c r="G204" t="s">
        <v>458</v>
      </c>
      <c r="H204" s="5">
        <v>2172.25</v>
      </c>
      <c r="I204" t="s">
        <v>26</v>
      </c>
      <c r="J204" t="s">
        <v>27</v>
      </c>
      <c r="N204" t="s">
        <v>29</v>
      </c>
      <c r="O204" t="s">
        <v>30</v>
      </c>
      <c r="P204" t="s">
        <v>31</v>
      </c>
      <c r="Q204">
        <v>23582</v>
      </c>
      <c r="R204">
        <v>2</v>
      </c>
      <c r="T204">
        <v>23582</v>
      </c>
      <c r="U204" s="5"/>
      <c r="X204" s="5">
        <v>2172.25</v>
      </c>
      <c r="Y204">
        <v>0</v>
      </c>
    </row>
    <row r="205" spans="2:25" x14ac:dyDescent="0.25">
      <c r="B205" t="s">
        <v>177</v>
      </c>
      <c r="C205" t="s">
        <v>28</v>
      </c>
      <c r="D205" t="s">
        <v>28</v>
      </c>
      <c r="E205" t="s">
        <v>28</v>
      </c>
      <c r="F205" t="s">
        <v>28</v>
      </c>
      <c r="G205" t="s">
        <v>254</v>
      </c>
      <c r="H205" s="5">
        <v>10748.41</v>
      </c>
      <c r="I205" t="s">
        <v>26</v>
      </c>
      <c r="J205" t="s">
        <v>27</v>
      </c>
      <c r="N205" t="s">
        <v>29</v>
      </c>
      <c r="O205" t="s">
        <v>30</v>
      </c>
      <c r="P205" t="s">
        <v>31</v>
      </c>
      <c r="Q205">
        <v>23571</v>
      </c>
      <c r="R205">
        <v>2</v>
      </c>
      <c r="T205">
        <v>23571</v>
      </c>
      <c r="U205" s="5"/>
      <c r="X205" s="5">
        <v>10748.41</v>
      </c>
      <c r="Y205">
        <v>0</v>
      </c>
    </row>
    <row r="206" spans="2:25" x14ac:dyDescent="0.25">
      <c r="B206" t="s">
        <v>177</v>
      </c>
      <c r="C206" t="s">
        <v>28</v>
      </c>
      <c r="D206" t="s">
        <v>28</v>
      </c>
      <c r="E206" t="s">
        <v>28</v>
      </c>
      <c r="F206" t="s">
        <v>28</v>
      </c>
      <c r="G206" t="s">
        <v>284</v>
      </c>
      <c r="H206" s="5">
        <v>91.36</v>
      </c>
      <c r="I206" t="s">
        <v>26</v>
      </c>
      <c r="J206" t="s">
        <v>27</v>
      </c>
      <c r="N206" t="s">
        <v>29</v>
      </c>
      <c r="O206" t="s">
        <v>30</v>
      </c>
      <c r="P206" t="s">
        <v>31</v>
      </c>
      <c r="Q206">
        <v>23636</v>
      </c>
      <c r="R206">
        <v>2</v>
      </c>
      <c r="T206" s="6">
        <v>23636</v>
      </c>
      <c r="U206" s="5"/>
      <c r="X206" s="5">
        <v>91.36</v>
      </c>
      <c r="Y206">
        <v>0</v>
      </c>
    </row>
    <row r="207" spans="2:25" x14ac:dyDescent="0.25">
      <c r="B207" t="s">
        <v>177</v>
      </c>
      <c r="C207" t="s">
        <v>28</v>
      </c>
      <c r="D207" t="s">
        <v>28</v>
      </c>
      <c r="E207" t="s">
        <v>28</v>
      </c>
      <c r="F207" t="s">
        <v>28</v>
      </c>
      <c r="G207" t="s">
        <v>354</v>
      </c>
      <c r="H207" s="5">
        <v>12628.31</v>
      </c>
      <c r="I207" t="s">
        <v>26</v>
      </c>
      <c r="J207" t="s">
        <v>27</v>
      </c>
      <c r="N207" t="s">
        <v>29</v>
      </c>
      <c r="O207" t="s">
        <v>30</v>
      </c>
      <c r="P207" t="s">
        <v>31</v>
      </c>
      <c r="Q207">
        <v>23499</v>
      </c>
      <c r="R207">
        <v>2</v>
      </c>
      <c r="T207">
        <v>23499</v>
      </c>
      <c r="U207" s="5"/>
      <c r="X207" s="5">
        <v>12628.31</v>
      </c>
      <c r="Y207">
        <v>0</v>
      </c>
    </row>
    <row r="208" spans="2:25" x14ac:dyDescent="0.25">
      <c r="B208" t="s">
        <v>177</v>
      </c>
      <c r="C208" t="s">
        <v>28</v>
      </c>
      <c r="D208" t="s">
        <v>28</v>
      </c>
      <c r="E208" t="s">
        <v>28</v>
      </c>
      <c r="F208" t="s">
        <v>28</v>
      </c>
      <c r="G208" t="s">
        <v>461</v>
      </c>
      <c r="H208" s="5">
        <v>273442.05</v>
      </c>
      <c r="I208" t="s">
        <v>26</v>
      </c>
      <c r="J208" t="s">
        <v>27</v>
      </c>
      <c r="N208" t="s">
        <v>29</v>
      </c>
      <c r="O208" t="s">
        <v>30</v>
      </c>
      <c r="P208" t="s">
        <v>31</v>
      </c>
      <c r="Q208">
        <v>25693</v>
      </c>
      <c r="R208">
        <v>2</v>
      </c>
      <c r="T208">
        <v>25693</v>
      </c>
      <c r="U208" s="5"/>
      <c r="X208" s="5">
        <v>273442.05</v>
      </c>
      <c r="Y208">
        <v>0</v>
      </c>
    </row>
    <row r="209" spans="2:25" x14ac:dyDescent="0.25">
      <c r="B209" t="s">
        <v>177</v>
      </c>
      <c r="C209" t="s">
        <v>28</v>
      </c>
      <c r="D209" t="s">
        <v>28</v>
      </c>
      <c r="E209" t="s">
        <v>28</v>
      </c>
      <c r="F209" t="s">
        <v>28</v>
      </c>
      <c r="G209" t="s">
        <v>436</v>
      </c>
      <c r="H209" s="5">
        <v>870.62</v>
      </c>
      <c r="I209" t="s">
        <v>26</v>
      </c>
      <c r="J209" t="s">
        <v>27</v>
      </c>
      <c r="N209" t="s">
        <v>29</v>
      </c>
      <c r="O209" t="s">
        <v>30</v>
      </c>
      <c r="P209" t="s">
        <v>31</v>
      </c>
      <c r="Q209">
        <v>23621</v>
      </c>
      <c r="R209">
        <v>2</v>
      </c>
      <c r="T209">
        <v>23621</v>
      </c>
      <c r="U209" s="5"/>
      <c r="X209" s="5">
        <v>870.62</v>
      </c>
      <c r="Y209">
        <v>0</v>
      </c>
    </row>
    <row r="210" spans="2:25" x14ac:dyDescent="0.25">
      <c r="B210" t="s">
        <v>177</v>
      </c>
      <c r="C210" t="s">
        <v>28</v>
      </c>
      <c r="D210" t="s">
        <v>28</v>
      </c>
      <c r="E210" t="s">
        <v>28</v>
      </c>
      <c r="F210" t="s">
        <v>28</v>
      </c>
      <c r="G210" t="s">
        <v>463</v>
      </c>
      <c r="H210" s="5">
        <v>178582</v>
      </c>
      <c r="I210" t="s">
        <v>26</v>
      </c>
      <c r="J210" t="s">
        <v>27</v>
      </c>
      <c r="N210" t="s">
        <v>29</v>
      </c>
      <c r="O210" t="s">
        <v>30</v>
      </c>
      <c r="P210" t="s">
        <v>31</v>
      </c>
      <c r="Q210">
        <v>27171</v>
      </c>
      <c r="R210">
        <v>2</v>
      </c>
      <c r="T210" t="s">
        <v>88</v>
      </c>
      <c r="U210" s="5" t="s">
        <v>191</v>
      </c>
      <c r="X210" s="5" t="s">
        <v>88</v>
      </c>
      <c r="Y210" t="s">
        <v>88</v>
      </c>
    </row>
    <row r="211" spans="2:25" x14ac:dyDescent="0.25">
      <c r="B211" t="s">
        <v>177</v>
      </c>
      <c r="C211" t="s">
        <v>28</v>
      </c>
      <c r="D211" t="s">
        <v>28</v>
      </c>
      <c r="E211" t="s">
        <v>28</v>
      </c>
      <c r="F211" t="s">
        <v>28</v>
      </c>
      <c r="G211" t="s">
        <v>464</v>
      </c>
      <c r="H211" s="5">
        <v>2171.1799999999998</v>
      </c>
      <c r="I211" t="s">
        <v>26</v>
      </c>
      <c r="J211" t="s">
        <v>27</v>
      </c>
      <c r="N211" t="s">
        <v>29</v>
      </c>
      <c r="O211" t="s">
        <v>30</v>
      </c>
      <c r="P211" t="s">
        <v>31</v>
      </c>
      <c r="Q211">
        <v>23586</v>
      </c>
      <c r="R211">
        <v>2</v>
      </c>
      <c r="T211">
        <v>23586</v>
      </c>
      <c r="U211" s="5"/>
      <c r="X211" s="5">
        <v>2171.1799999999998</v>
      </c>
      <c r="Y211">
        <v>0</v>
      </c>
    </row>
    <row r="212" spans="2:25" x14ac:dyDescent="0.25">
      <c r="B212" t="s">
        <v>177</v>
      </c>
      <c r="C212" t="s">
        <v>28</v>
      </c>
      <c r="D212" t="s">
        <v>28</v>
      </c>
      <c r="E212" t="s">
        <v>28</v>
      </c>
      <c r="F212" t="s">
        <v>28</v>
      </c>
      <c r="G212" t="s">
        <v>466</v>
      </c>
      <c r="H212" s="5">
        <v>22523.29</v>
      </c>
      <c r="I212" t="s">
        <v>26</v>
      </c>
      <c r="J212" t="s">
        <v>27</v>
      </c>
      <c r="N212" t="s">
        <v>29</v>
      </c>
      <c r="O212" t="s">
        <v>30</v>
      </c>
      <c r="P212" t="s">
        <v>31</v>
      </c>
      <c r="Q212">
        <v>23506</v>
      </c>
      <c r="R212">
        <v>2</v>
      </c>
      <c r="T212">
        <v>23506</v>
      </c>
      <c r="U212" s="5"/>
      <c r="X212" s="5">
        <v>22523.29</v>
      </c>
      <c r="Y212">
        <v>0</v>
      </c>
    </row>
    <row r="213" spans="2:25" x14ac:dyDescent="0.25">
      <c r="B213" t="s">
        <v>177</v>
      </c>
      <c r="C213" t="s">
        <v>28</v>
      </c>
      <c r="D213" t="s">
        <v>28</v>
      </c>
      <c r="E213" t="s">
        <v>28</v>
      </c>
      <c r="F213" t="s">
        <v>28</v>
      </c>
      <c r="G213" t="s">
        <v>467</v>
      </c>
      <c r="H213" s="5">
        <v>58360.32</v>
      </c>
      <c r="I213" t="s">
        <v>26</v>
      </c>
      <c r="J213" t="s">
        <v>27</v>
      </c>
      <c r="N213" t="s">
        <v>29</v>
      </c>
      <c r="O213" t="s">
        <v>30</v>
      </c>
      <c r="P213" t="s">
        <v>31</v>
      </c>
      <c r="Q213">
        <v>25602</v>
      </c>
      <c r="R213">
        <v>2</v>
      </c>
      <c r="T213">
        <v>25602</v>
      </c>
      <c r="U213" s="5"/>
      <c r="X213" s="5">
        <v>58360.32</v>
      </c>
      <c r="Y213">
        <v>0</v>
      </c>
    </row>
    <row r="214" spans="2:25" x14ac:dyDescent="0.25">
      <c r="B214" t="s">
        <v>177</v>
      </c>
      <c r="C214" t="s">
        <v>28</v>
      </c>
      <c r="D214" t="s">
        <v>28</v>
      </c>
      <c r="E214" t="s">
        <v>28</v>
      </c>
      <c r="F214" t="s">
        <v>28</v>
      </c>
      <c r="G214" t="s">
        <v>468</v>
      </c>
      <c r="H214" s="5">
        <v>316</v>
      </c>
      <c r="I214" t="s">
        <v>26</v>
      </c>
      <c r="J214" t="s">
        <v>27</v>
      </c>
      <c r="N214" t="s">
        <v>29</v>
      </c>
      <c r="O214" t="s">
        <v>30</v>
      </c>
      <c r="P214" t="s">
        <v>31</v>
      </c>
      <c r="Q214">
        <v>23644</v>
      </c>
      <c r="R214">
        <v>2</v>
      </c>
      <c r="T214" s="6">
        <v>23644</v>
      </c>
      <c r="U214" s="5"/>
      <c r="X214" s="5">
        <v>316</v>
      </c>
      <c r="Y214">
        <v>0</v>
      </c>
    </row>
    <row r="215" spans="2:25" x14ac:dyDescent="0.25">
      <c r="B215" t="s">
        <v>177</v>
      </c>
      <c r="C215" t="s">
        <v>28</v>
      </c>
      <c r="D215" t="s">
        <v>28</v>
      </c>
      <c r="E215" t="s">
        <v>28</v>
      </c>
      <c r="F215" t="s">
        <v>28</v>
      </c>
      <c r="G215" t="s">
        <v>470</v>
      </c>
      <c r="H215" s="5">
        <v>2713.97</v>
      </c>
      <c r="I215" t="s">
        <v>26</v>
      </c>
      <c r="J215" t="s">
        <v>27</v>
      </c>
      <c r="N215" t="s">
        <v>29</v>
      </c>
      <c r="O215" t="s">
        <v>30</v>
      </c>
      <c r="P215" t="s">
        <v>31</v>
      </c>
      <c r="Q215">
        <v>23584</v>
      </c>
      <c r="R215">
        <v>2</v>
      </c>
      <c r="T215">
        <v>23584</v>
      </c>
      <c r="U215" s="5"/>
      <c r="X215" s="5">
        <v>2713.97</v>
      </c>
      <c r="Y215">
        <v>0</v>
      </c>
    </row>
    <row r="216" spans="2:25" x14ac:dyDescent="0.25">
      <c r="B216" t="s">
        <v>177</v>
      </c>
      <c r="C216" t="s">
        <v>28</v>
      </c>
      <c r="D216" t="s">
        <v>28</v>
      </c>
      <c r="E216" t="s">
        <v>28</v>
      </c>
      <c r="F216" t="s">
        <v>28</v>
      </c>
      <c r="G216" t="s">
        <v>473</v>
      </c>
      <c r="H216" s="5">
        <v>2593.59</v>
      </c>
      <c r="I216" t="s">
        <v>26</v>
      </c>
      <c r="J216" t="s">
        <v>27</v>
      </c>
      <c r="N216" t="s">
        <v>29</v>
      </c>
      <c r="O216" t="s">
        <v>30</v>
      </c>
      <c r="P216" t="s">
        <v>31</v>
      </c>
      <c r="Q216">
        <v>23553</v>
      </c>
      <c r="R216">
        <v>2</v>
      </c>
      <c r="T216">
        <v>23553</v>
      </c>
      <c r="U216" s="5"/>
      <c r="X216" s="5">
        <v>2593.59</v>
      </c>
      <c r="Y216">
        <v>0</v>
      </c>
    </row>
    <row r="217" spans="2:25" x14ac:dyDescent="0.25">
      <c r="B217" t="s">
        <v>177</v>
      </c>
      <c r="C217" t="s">
        <v>28</v>
      </c>
      <c r="D217" t="s">
        <v>28</v>
      </c>
      <c r="E217" t="s">
        <v>28</v>
      </c>
      <c r="F217" t="s">
        <v>28</v>
      </c>
      <c r="G217" t="s">
        <v>475</v>
      </c>
      <c r="H217" s="5">
        <v>376277.61</v>
      </c>
      <c r="I217" t="s">
        <v>26</v>
      </c>
      <c r="J217" t="s">
        <v>27</v>
      </c>
      <c r="N217" t="s">
        <v>29</v>
      </c>
      <c r="O217" t="s">
        <v>30</v>
      </c>
      <c r="P217" t="s">
        <v>31</v>
      </c>
      <c r="Q217">
        <v>24233</v>
      </c>
      <c r="R217">
        <v>2</v>
      </c>
      <c r="T217">
        <v>24233</v>
      </c>
      <c r="U217" s="5"/>
      <c r="X217" s="5">
        <v>376277.61</v>
      </c>
      <c r="Y217">
        <v>0</v>
      </c>
    </row>
    <row r="218" spans="2:25" x14ac:dyDescent="0.25">
      <c r="B218" t="s">
        <v>177</v>
      </c>
      <c r="C218" t="s">
        <v>28</v>
      </c>
      <c r="D218" t="s">
        <v>28</v>
      </c>
      <c r="E218" t="s">
        <v>28</v>
      </c>
      <c r="F218" t="s">
        <v>28</v>
      </c>
      <c r="G218" t="s">
        <v>476</v>
      </c>
      <c r="H218" s="5">
        <v>44013.41</v>
      </c>
      <c r="I218" t="s">
        <v>26</v>
      </c>
      <c r="J218" t="s">
        <v>27</v>
      </c>
      <c r="N218" t="s">
        <v>29</v>
      </c>
      <c r="O218" t="s">
        <v>30</v>
      </c>
      <c r="P218" t="s">
        <v>31</v>
      </c>
      <c r="Q218">
        <v>23664</v>
      </c>
      <c r="R218">
        <v>2</v>
      </c>
      <c r="T218">
        <v>23664</v>
      </c>
      <c r="U218" s="5"/>
      <c r="X218" s="5">
        <v>44013.41</v>
      </c>
      <c r="Y218">
        <v>0</v>
      </c>
    </row>
    <row r="219" spans="2:25" x14ac:dyDescent="0.25">
      <c r="B219" t="s">
        <v>177</v>
      </c>
      <c r="C219" t="s">
        <v>28</v>
      </c>
      <c r="D219" t="s">
        <v>28</v>
      </c>
      <c r="E219" t="s">
        <v>28</v>
      </c>
      <c r="F219" t="s">
        <v>28</v>
      </c>
      <c r="G219" t="s">
        <v>412</v>
      </c>
      <c r="H219" s="5">
        <v>1825950.18</v>
      </c>
      <c r="I219" t="s">
        <v>26</v>
      </c>
      <c r="J219" t="s">
        <v>27</v>
      </c>
      <c r="N219" t="s">
        <v>29</v>
      </c>
      <c r="O219" t="s">
        <v>30</v>
      </c>
      <c r="P219" t="s">
        <v>31</v>
      </c>
      <c r="Q219">
        <v>25699</v>
      </c>
      <c r="R219">
        <v>2</v>
      </c>
      <c r="T219" s="6">
        <v>25699</v>
      </c>
      <c r="U219" s="5"/>
      <c r="X219" s="5">
        <v>1825950.18</v>
      </c>
      <c r="Y219">
        <v>0</v>
      </c>
    </row>
    <row r="220" spans="2:25" x14ac:dyDescent="0.25">
      <c r="B220" t="s">
        <v>177</v>
      </c>
      <c r="C220" t="s">
        <v>28</v>
      </c>
      <c r="D220" t="s">
        <v>28</v>
      </c>
      <c r="E220" t="s">
        <v>28</v>
      </c>
      <c r="F220" t="s">
        <v>28</v>
      </c>
      <c r="G220" t="s">
        <v>264</v>
      </c>
      <c r="H220" s="5">
        <v>327.83</v>
      </c>
      <c r="I220" t="s">
        <v>26</v>
      </c>
      <c r="J220" t="s">
        <v>27</v>
      </c>
      <c r="N220" t="s">
        <v>29</v>
      </c>
      <c r="O220" t="s">
        <v>30</v>
      </c>
      <c r="P220" t="s">
        <v>31</v>
      </c>
      <c r="Q220">
        <v>23639</v>
      </c>
      <c r="R220">
        <v>2</v>
      </c>
      <c r="T220">
        <v>23639</v>
      </c>
      <c r="U220" s="5"/>
      <c r="X220" s="5">
        <v>327.83</v>
      </c>
      <c r="Y220">
        <v>0</v>
      </c>
    </row>
    <row r="221" spans="2:25" x14ac:dyDescent="0.25">
      <c r="B221" t="s">
        <v>177</v>
      </c>
      <c r="C221" t="s">
        <v>28</v>
      </c>
      <c r="D221" t="s">
        <v>28</v>
      </c>
      <c r="E221" t="s">
        <v>28</v>
      </c>
      <c r="F221" t="s">
        <v>28</v>
      </c>
      <c r="G221" t="s">
        <v>477</v>
      </c>
      <c r="H221" s="5">
        <v>31938.3</v>
      </c>
      <c r="I221" t="s">
        <v>26</v>
      </c>
      <c r="J221" t="s">
        <v>27</v>
      </c>
      <c r="N221" t="s">
        <v>29</v>
      </c>
      <c r="O221" t="s">
        <v>30</v>
      </c>
      <c r="P221" t="s">
        <v>31</v>
      </c>
      <c r="Q221">
        <v>2100680114</v>
      </c>
      <c r="R221">
        <v>10</v>
      </c>
      <c r="T221" t="s">
        <v>88</v>
      </c>
      <c r="U221" s="5" t="s">
        <v>191</v>
      </c>
      <c r="X221" s="5" t="s">
        <v>88</v>
      </c>
      <c r="Y221" t="s">
        <v>88</v>
      </c>
    </row>
    <row r="222" spans="2:25" x14ac:dyDescent="0.25">
      <c r="B222" t="s">
        <v>177</v>
      </c>
      <c r="C222" t="s">
        <v>28</v>
      </c>
      <c r="D222" t="s">
        <v>28</v>
      </c>
      <c r="E222" t="s">
        <v>28</v>
      </c>
      <c r="F222" t="s">
        <v>28</v>
      </c>
      <c r="G222" t="s">
        <v>478</v>
      </c>
      <c r="H222" s="5">
        <v>22218.04</v>
      </c>
      <c r="I222" t="s">
        <v>26</v>
      </c>
      <c r="J222" t="s">
        <v>27</v>
      </c>
      <c r="N222" t="s">
        <v>29</v>
      </c>
      <c r="O222" t="s">
        <v>30</v>
      </c>
      <c r="P222" t="s">
        <v>31</v>
      </c>
      <c r="Q222">
        <v>23495</v>
      </c>
      <c r="R222">
        <v>2</v>
      </c>
      <c r="T222">
        <v>23495</v>
      </c>
      <c r="U222" s="5"/>
      <c r="X222" s="5">
        <v>22218.04</v>
      </c>
      <c r="Y222">
        <v>0</v>
      </c>
    </row>
    <row r="223" spans="2:25" x14ac:dyDescent="0.25">
      <c r="B223" t="s">
        <v>177</v>
      </c>
      <c r="C223" t="s">
        <v>28</v>
      </c>
      <c r="D223" t="s">
        <v>28</v>
      </c>
      <c r="E223" t="s">
        <v>28</v>
      </c>
      <c r="F223" t="s">
        <v>28</v>
      </c>
      <c r="G223" t="s">
        <v>469</v>
      </c>
      <c r="H223" s="5">
        <v>66168.12</v>
      </c>
      <c r="I223" t="s">
        <v>26</v>
      </c>
      <c r="J223" t="s">
        <v>27</v>
      </c>
      <c r="N223" t="s">
        <v>29</v>
      </c>
      <c r="O223" t="s">
        <v>30</v>
      </c>
      <c r="P223" t="s">
        <v>31</v>
      </c>
      <c r="Q223">
        <v>26401</v>
      </c>
      <c r="R223">
        <v>2</v>
      </c>
      <c r="T223">
        <v>26401</v>
      </c>
      <c r="U223" s="5"/>
      <c r="X223" s="5">
        <v>65515.5</v>
      </c>
      <c r="Y223">
        <v>652.61999999999534</v>
      </c>
    </row>
    <row r="224" spans="2:25" x14ac:dyDescent="0.25">
      <c r="B224" t="s">
        <v>177</v>
      </c>
      <c r="C224" t="s">
        <v>28</v>
      </c>
      <c r="D224" t="s">
        <v>28</v>
      </c>
      <c r="E224" t="s">
        <v>28</v>
      </c>
      <c r="F224" t="s">
        <v>28</v>
      </c>
      <c r="G224" t="s">
        <v>479</v>
      </c>
      <c r="H224" s="5">
        <v>131200</v>
      </c>
      <c r="I224" t="s">
        <v>26</v>
      </c>
      <c r="J224" t="s">
        <v>27</v>
      </c>
      <c r="N224" t="s">
        <v>29</v>
      </c>
      <c r="O224" t="s">
        <v>30</v>
      </c>
      <c r="P224" t="s">
        <v>31</v>
      </c>
      <c r="Q224">
        <v>26777</v>
      </c>
      <c r="R224">
        <v>2</v>
      </c>
      <c r="T224">
        <v>26777</v>
      </c>
      <c r="U224" s="5"/>
      <c r="X224" s="5">
        <v>131200</v>
      </c>
      <c r="Y224">
        <v>0</v>
      </c>
    </row>
    <row r="225" spans="2:25" x14ac:dyDescent="0.25">
      <c r="B225" t="s">
        <v>177</v>
      </c>
      <c r="C225" t="s">
        <v>28</v>
      </c>
      <c r="D225" t="s">
        <v>28</v>
      </c>
      <c r="E225" t="s">
        <v>28</v>
      </c>
      <c r="F225" t="s">
        <v>28</v>
      </c>
      <c r="G225" t="s">
        <v>484</v>
      </c>
      <c r="H225" s="5">
        <v>237182.22</v>
      </c>
      <c r="I225" t="s">
        <v>26</v>
      </c>
      <c r="J225" t="s">
        <v>27</v>
      </c>
      <c r="N225" t="s">
        <v>29</v>
      </c>
      <c r="O225" t="s">
        <v>30</v>
      </c>
      <c r="P225" t="s">
        <v>31</v>
      </c>
      <c r="Q225">
        <v>25682</v>
      </c>
      <c r="R225">
        <v>2</v>
      </c>
      <c r="T225">
        <v>25682</v>
      </c>
      <c r="U225" s="5"/>
      <c r="X225" s="5">
        <v>237182.22</v>
      </c>
      <c r="Y225">
        <v>0</v>
      </c>
    </row>
    <row r="226" spans="2:25" x14ac:dyDescent="0.25">
      <c r="B226" t="s">
        <v>177</v>
      </c>
      <c r="C226" t="s">
        <v>28</v>
      </c>
      <c r="D226" t="s">
        <v>28</v>
      </c>
      <c r="E226" t="s">
        <v>28</v>
      </c>
      <c r="F226" t="s">
        <v>28</v>
      </c>
      <c r="G226" t="s">
        <v>445</v>
      </c>
      <c r="H226" s="5">
        <v>87884</v>
      </c>
      <c r="I226" t="s">
        <v>26</v>
      </c>
      <c r="J226" t="s">
        <v>27</v>
      </c>
      <c r="N226" t="s">
        <v>29</v>
      </c>
      <c r="O226" t="s">
        <v>30</v>
      </c>
      <c r="P226" t="s">
        <v>31</v>
      </c>
      <c r="Q226">
        <v>9002101516</v>
      </c>
      <c r="R226">
        <v>2</v>
      </c>
      <c r="T226">
        <v>9002101516</v>
      </c>
      <c r="U226" s="5"/>
      <c r="X226" s="5">
        <v>87884</v>
      </c>
      <c r="Y226">
        <v>0</v>
      </c>
    </row>
    <row r="227" spans="2:25" x14ac:dyDescent="0.25">
      <c r="B227" t="s">
        <v>177</v>
      </c>
      <c r="C227" t="s">
        <v>28</v>
      </c>
      <c r="D227" t="s">
        <v>28</v>
      </c>
      <c r="E227" t="s">
        <v>28</v>
      </c>
      <c r="F227" t="s">
        <v>28</v>
      </c>
      <c r="G227" t="s">
        <v>487</v>
      </c>
      <c r="H227" s="5">
        <v>10290.530000000001</v>
      </c>
      <c r="I227" t="s">
        <v>26</v>
      </c>
      <c r="J227" t="s">
        <v>27</v>
      </c>
      <c r="N227" t="s">
        <v>29</v>
      </c>
      <c r="O227" t="s">
        <v>30</v>
      </c>
      <c r="P227" t="s">
        <v>31</v>
      </c>
      <c r="Q227">
        <v>23527</v>
      </c>
      <c r="R227">
        <v>2</v>
      </c>
      <c r="T227">
        <v>23527</v>
      </c>
      <c r="U227" s="5"/>
      <c r="X227" s="5">
        <v>10290.530000000001</v>
      </c>
      <c r="Y227">
        <v>0</v>
      </c>
    </row>
    <row r="228" spans="2:25" x14ac:dyDescent="0.25">
      <c r="B228" t="s">
        <v>177</v>
      </c>
      <c r="C228" t="s">
        <v>28</v>
      </c>
      <c r="D228" t="s">
        <v>28</v>
      </c>
      <c r="E228" t="s">
        <v>28</v>
      </c>
      <c r="F228" t="s">
        <v>28</v>
      </c>
      <c r="G228" t="s">
        <v>253</v>
      </c>
      <c r="H228" s="5">
        <v>615569.17000000004</v>
      </c>
      <c r="I228" t="s">
        <v>26</v>
      </c>
      <c r="J228" t="s">
        <v>27</v>
      </c>
      <c r="N228" t="s">
        <v>29</v>
      </c>
      <c r="O228" t="s">
        <v>30</v>
      </c>
      <c r="P228" t="s">
        <v>31</v>
      </c>
      <c r="Q228">
        <v>25700</v>
      </c>
      <c r="R228">
        <v>2</v>
      </c>
      <c r="T228">
        <v>25700</v>
      </c>
      <c r="U228" s="5"/>
      <c r="X228" s="5">
        <v>615569.17000000004</v>
      </c>
      <c r="Y228">
        <v>0</v>
      </c>
    </row>
    <row r="229" spans="2:25" x14ac:dyDescent="0.25">
      <c r="B229" t="s">
        <v>177</v>
      </c>
      <c r="C229" t="s">
        <v>28</v>
      </c>
      <c r="D229" t="s">
        <v>28</v>
      </c>
      <c r="E229" t="s">
        <v>28</v>
      </c>
      <c r="F229" t="s">
        <v>28</v>
      </c>
      <c r="G229" t="s">
        <v>488</v>
      </c>
      <c r="H229" s="5">
        <v>171686.94</v>
      </c>
      <c r="I229" t="s">
        <v>26</v>
      </c>
      <c r="J229" t="s">
        <v>27</v>
      </c>
      <c r="N229" t="s">
        <v>29</v>
      </c>
      <c r="O229" t="s">
        <v>30</v>
      </c>
      <c r="P229" t="s">
        <v>31</v>
      </c>
      <c r="Q229">
        <v>25683</v>
      </c>
      <c r="R229">
        <v>2</v>
      </c>
      <c r="T229">
        <v>25683</v>
      </c>
      <c r="U229" s="5"/>
      <c r="X229" s="5">
        <v>171686.94</v>
      </c>
      <c r="Y229">
        <v>0</v>
      </c>
    </row>
    <row r="230" spans="2:25" x14ac:dyDescent="0.25">
      <c r="B230" t="s">
        <v>177</v>
      </c>
      <c r="C230" t="s">
        <v>28</v>
      </c>
      <c r="D230" t="s">
        <v>28</v>
      </c>
      <c r="E230" t="s">
        <v>28</v>
      </c>
      <c r="F230" t="s">
        <v>28</v>
      </c>
      <c r="G230" t="s">
        <v>232</v>
      </c>
      <c r="H230" s="5">
        <v>2050.8000000000002</v>
      </c>
      <c r="I230" t="s">
        <v>26</v>
      </c>
      <c r="J230" t="s">
        <v>27</v>
      </c>
      <c r="N230" t="s">
        <v>29</v>
      </c>
      <c r="O230" t="s">
        <v>30</v>
      </c>
      <c r="P230" t="s">
        <v>31</v>
      </c>
      <c r="Q230">
        <v>23614</v>
      </c>
      <c r="R230">
        <v>2</v>
      </c>
      <c r="T230">
        <v>23614</v>
      </c>
      <c r="U230" s="5"/>
      <c r="X230" s="5">
        <v>2050.8000000000002</v>
      </c>
      <c r="Y230">
        <v>0</v>
      </c>
    </row>
    <row r="231" spans="2:25" x14ac:dyDescent="0.25">
      <c r="B231" t="s">
        <v>177</v>
      </c>
      <c r="C231" t="s">
        <v>28</v>
      </c>
      <c r="D231" t="s">
        <v>28</v>
      </c>
      <c r="E231" t="s">
        <v>28</v>
      </c>
      <c r="F231" t="s">
        <v>28</v>
      </c>
      <c r="G231" t="s">
        <v>491</v>
      </c>
      <c r="H231" s="5">
        <v>166611.76</v>
      </c>
      <c r="I231" t="s">
        <v>26</v>
      </c>
      <c r="J231" t="s">
        <v>27</v>
      </c>
      <c r="N231" t="s">
        <v>29</v>
      </c>
      <c r="O231" t="s">
        <v>30</v>
      </c>
      <c r="P231" t="s">
        <v>31</v>
      </c>
      <c r="Q231">
        <v>23872</v>
      </c>
      <c r="R231">
        <v>2</v>
      </c>
      <c r="T231">
        <v>23872</v>
      </c>
      <c r="U231" s="5"/>
      <c r="X231" s="5">
        <v>166611.76</v>
      </c>
      <c r="Y231">
        <v>0</v>
      </c>
    </row>
    <row r="232" spans="2:25" x14ac:dyDescent="0.25">
      <c r="B232" t="s">
        <v>177</v>
      </c>
      <c r="C232" t="s">
        <v>28</v>
      </c>
      <c r="D232" t="s">
        <v>28</v>
      </c>
      <c r="E232" t="s">
        <v>28</v>
      </c>
      <c r="F232" t="s">
        <v>28</v>
      </c>
      <c r="G232" t="s">
        <v>492</v>
      </c>
      <c r="H232" s="5">
        <v>10616.28</v>
      </c>
      <c r="I232" t="s">
        <v>26</v>
      </c>
      <c r="J232" t="s">
        <v>27</v>
      </c>
      <c r="N232" t="s">
        <v>29</v>
      </c>
      <c r="O232" t="s">
        <v>30</v>
      </c>
      <c r="P232" t="s">
        <v>31</v>
      </c>
      <c r="Q232">
        <v>26926</v>
      </c>
      <c r="R232">
        <v>2</v>
      </c>
      <c r="T232">
        <v>26926</v>
      </c>
      <c r="U232" s="5"/>
      <c r="X232" s="5">
        <v>10616.28</v>
      </c>
      <c r="Y232">
        <v>0</v>
      </c>
    </row>
    <row r="233" spans="2:25" x14ac:dyDescent="0.25">
      <c r="B233" t="s">
        <v>177</v>
      </c>
      <c r="C233" t="s">
        <v>28</v>
      </c>
      <c r="D233" t="s">
        <v>28</v>
      </c>
      <c r="E233" t="s">
        <v>28</v>
      </c>
      <c r="F233" t="s">
        <v>28</v>
      </c>
      <c r="G233" t="s">
        <v>297</v>
      </c>
      <c r="H233" s="5">
        <v>10748.41</v>
      </c>
      <c r="I233" t="s">
        <v>26</v>
      </c>
      <c r="J233" t="s">
        <v>27</v>
      </c>
      <c r="N233" t="s">
        <v>29</v>
      </c>
      <c r="O233" t="s">
        <v>30</v>
      </c>
      <c r="P233" t="s">
        <v>31</v>
      </c>
      <c r="Q233">
        <v>23547</v>
      </c>
      <c r="R233">
        <v>2</v>
      </c>
      <c r="T233">
        <v>23547</v>
      </c>
      <c r="U233" s="5"/>
      <c r="X233" s="5">
        <v>10748.41</v>
      </c>
      <c r="Y233">
        <v>0</v>
      </c>
    </row>
    <row r="234" spans="2:25" x14ac:dyDescent="0.25">
      <c r="B234" t="s">
        <v>177</v>
      </c>
      <c r="C234" t="s">
        <v>28</v>
      </c>
      <c r="D234" t="s">
        <v>28</v>
      </c>
      <c r="E234" t="s">
        <v>28</v>
      </c>
      <c r="F234" t="s">
        <v>28</v>
      </c>
      <c r="G234" t="s">
        <v>493</v>
      </c>
      <c r="H234" s="5">
        <v>524.52</v>
      </c>
      <c r="I234" t="s">
        <v>26</v>
      </c>
      <c r="J234" t="s">
        <v>27</v>
      </c>
      <c r="N234" t="s">
        <v>29</v>
      </c>
      <c r="O234" t="s">
        <v>30</v>
      </c>
      <c r="P234" t="s">
        <v>31</v>
      </c>
      <c r="Q234">
        <v>23626</v>
      </c>
      <c r="R234">
        <v>2</v>
      </c>
      <c r="T234">
        <v>23626</v>
      </c>
      <c r="U234" s="5"/>
      <c r="X234" s="5">
        <v>524.52</v>
      </c>
      <c r="Y234">
        <v>0</v>
      </c>
    </row>
    <row r="235" spans="2:25" x14ac:dyDescent="0.25">
      <c r="B235" t="s">
        <v>177</v>
      </c>
      <c r="C235" t="s">
        <v>28</v>
      </c>
      <c r="D235" t="s">
        <v>28</v>
      </c>
      <c r="E235" t="s">
        <v>28</v>
      </c>
      <c r="F235" t="s">
        <v>28</v>
      </c>
      <c r="G235" t="s">
        <v>336</v>
      </c>
      <c r="H235" s="5">
        <v>70937</v>
      </c>
      <c r="I235" t="s">
        <v>26</v>
      </c>
      <c r="J235" t="s">
        <v>27</v>
      </c>
      <c r="N235" t="s">
        <v>29</v>
      </c>
      <c r="O235" t="s">
        <v>30</v>
      </c>
      <c r="P235" t="s">
        <v>31</v>
      </c>
      <c r="Q235">
        <v>9000817157</v>
      </c>
      <c r="R235">
        <v>2</v>
      </c>
      <c r="T235">
        <v>9000817157</v>
      </c>
      <c r="U235" s="5"/>
      <c r="X235" s="5">
        <v>70937</v>
      </c>
      <c r="Y235">
        <v>0</v>
      </c>
    </row>
    <row r="236" spans="2:25" x14ac:dyDescent="0.25">
      <c r="B236" t="s">
        <v>177</v>
      </c>
      <c r="C236" t="s">
        <v>28</v>
      </c>
      <c r="D236" t="s">
        <v>28</v>
      </c>
      <c r="E236" t="s">
        <v>28</v>
      </c>
      <c r="F236" t="s">
        <v>28</v>
      </c>
      <c r="G236" t="s">
        <v>190</v>
      </c>
      <c r="H236" s="5">
        <v>56979.39</v>
      </c>
      <c r="I236" t="s">
        <v>26</v>
      </c>
      <c r="J236" t="s">
        <v>27</v>
      </c>
      <c r="N236" t="s">
        <v>29</v>
      </c>
      <c r="O236" t="s">
        <v>30</v>
      </c>
      <c r="P236" t="s">
        <v>31</v>
      </c>
      <c r="Q236">
        <v>27129</v>
      </c>
      <c r="R236">
        <v>2</v>
      </c>
      <c r="T236" t="s">
        <v>88</v>
      </c>
      <c r="U236" s="5" t="s">
        <v>191</v>
      </c>
      <c r="X236" s="5" t="s">
        <v>88</v>
      </c>
      <c r="Y236" t="s">
        <v>88</v>
      </c>
    </row>
    <row r="237" spans="2:25" x14ac:dyDescent="0.25">
      <c r="B237" t="s">
        <v>177</v>
      </c>
      <c r="C237" t="s">
        <v>28</v>
      </c>
      <c r="D237" t="s">
        <v>28</v>
      </c>
      <c r="E237" t="s">
        <v>28</v>
      </c>
      <c r="F237" t="s">
        <v>28</v>
      </c>
      <c r="G237" t="s">
        <v>495</v>
      </c>
      <c r="H237" s="5">
        <v>72558.429999999993</v>
      </c>
      <c r="I237" t="s">
        <v>26</v>
      </c>
      <c r="J237" t="s">
        <v>27</v>
      </c>
      <c r="N237" t="s">
        <v>29</v>
      </c>
      <c r="O237" t="s">
        <v>30</v>
      </c>
      <c r="P237" t="s">
        <v>31</v>
      </c>
      <c r="Q237">
        <v>2090</v>
      </c>
      <c r="R237">
        <v>2</v>
      </c>
      <c r="T237">
        <v>2090</v>
      </c>
      <c r="U237" s="5"/>
      <c r="X237" s="5">
        <v>72558.429999999993</v>
      </c>
      <c r="Y237">
        <v>0</v>
      </c>
    </row>
    <row r="238" spans="2:25" x14ac:dyDescent="0.25">
      <c r="B238" t="s">
        <v>177</v>
      </c>
      <c r="C238" t="s">
        <v>28</v>
      </c>
      <c r="D238" t="s">
        <v>28</v>
      </c>
      <c r="E238" t="s">
        <v>28</v>
      </c>
      <c r="F238" t="s">
        <v>28</v>
      </c>
      <c r="G238" t="s">
        <v>200</v>
      </c>
      <c r="H238" s="5">
        <v>123626</v>
      </c>
      <c r="I238" t="s">
        <v>26</v>
      </c>
      <c r="J238" t="s">
        <v>27</v>
      </c>
      <c r="N238" t="s">
        <v>29</v>
      </c>
      <c r="O238" t="s">
        <v>30</v>
      </c>
      <c r="P238" t="s">
        <v>31</v>
      </c>
      <c r="Q238">
        <v>27170</v>
      </c>
      <c r="R238">
        <v>2</v>
      </c>
      <c r="T238" t="s">
        <v>88</v>
      </c>
      <c r="U238" s="5" t="s">
        <v>191</v>
      </c>
      <c r="X238" s="5" t="s">
        <v>88</v>
      </c>
      <c r="Y238" t="s">
        <v>88</v>
      </c>
    </row>
    <row r="239" spans="2:25" x14ac:dyDescent="0.25">
      <c r="B239" t="s">
        <v>177</v>
      </c>
      <c r="C239" t="s">
        <v>28</v>
      </c>
      <c r="D239" t="s">
        <v>28</v>
      </c>
      <c r="E239" t="s">
        <v>28</v>
      </c>
      <c r="F239" t="s">
        <v>28</v>
      </c>
      <c r="G239" t="s">
        <v>224</v>
      </c>
      <c r="H239" s="5">
        <v>2296.14</v>
      </c>
      <c r="I239" t="s">
        <v>26</v>
      </c>
      <c r="J239" t="s">
        <v>27</v>
      </c>
      <c r="N239" t="s">
        <v>29</v>
      </c>
      <c r="O239" t="s">
        <v>30</v>
      </c>
      <c r="P239" t="s">
        <v>31</v>
      </c>
      <c r="Q239">
        <v>23555</v>
      </c>
      <c r="R239">
        <v>2</v>
      </c>
      <c r="T239">
        <v>23555</v>
      </c>
      <c r="U239" s="5"/>
      <c r="X239" s="5">
        <v>2296.14</v>
      </c>
      <c r="Y239">
        <v>0</v>
      </c>
    </row>
    <row r="240" spans="2:25" x14ac:dyDescent="0.25">
      <c r="B240" t="s">
        <v>177</v>
      </c>
      <c r="C240" t="s">
        <v>28</v>
      </c>
      <c r="D240" t="s">
        <v>28</v>
      </c>
      <c r="E240" t="s">
        <v>28</v>
      </c>
      <c r="F240" t="s">
        <v>28</v>
      </c>
      <c r="G240" t="s">
        <v>265</v>
      </c>
      <c r="H240" s="5">
        <v>58806.05</v>
      </c>
      <c r="I240" t="s">
        <v>26</v>
      </c>
      <c r="J240" t="s">
        <v>27</v>
      </c>
      <c r="N240" t="s">
        <v>29</v>
      </c>
      <c r="O240" t="s">
        <v>30</v>
      </c>
      <c r="P240" t="s">
        <v>31</v>
      </c>
      <c r="Q240">
        <v>27114</v>
      </c>
      <c r="R240">
        <v>2</v>
      </c>
      <c r="T240">
        <v>27114</v>
      </c>
      <c r="U240" s="5"/>
      <c r="X240" s="5">
        <v>58806.05</v>
      </c>
      <c r="Y240">
        <v>0</v>
      </c>
    </row>
    <row r="241" spans="2:25" x14ac:dyDescent="0.25">
      <c r="B241" t="s">
        <v>177</v>
      </c>
      <c r="C241" t="s">
        <v>28</v>
      </c>
      <c r="D241" t="s">
        <v>28</v>
      </c>
      <c r="E241" t="s">
        <v>28</v>
      </c>
      <c r="F241" t="s">
        <v>28</v>
      </c>
      <c r="G241" t="s">
        <v>497</v>
      </c>
      <c r="H241" s="5">
        <v>75548.61</v>
      </c>
      <c r="I241" t="s">
        <v>26</v>
      </c>
      <c r="J241" t="s">
        <v>27</v>
      </c>
      <c r="N241" t="s">
        <v>29</v>
      </c>
      <c r="O241" t="s">
        <v>30</v>
      </c>
      <c r="P241" t="s">
        <v>31</v>
      </c>
      <c r="Q241">
        <v>27080</v>
      </c>
      <c r="R241">
        <v>2</v>
      </c>
      <c r="T241" s="6">
        <v>27080</v>
      </c>
      <c r="U241" s="5"/>
      <c r="X241" s="5">
        <v>75548.61</v>
      </c>
      <c r="Y241">
        <v>0</v>
      </c>
    </row>
    <row r="242" spans="2:25" x14ac:dyDescent="0.25">
      <c r="B242" t="s">
        <v>177</v>
      </c>
      <c r="C242" t="s">
        <v>28</v>
      </c>
      <c r="D242" t="s">
        <v>28</v>
      </c>
      <c r="E242" t="s">
        <v>28</v>
      </c>
      <c r="F242" t="s">
        <v>28</v>
      </c>
      <c r="G242" t="s">
        <v>246</v>
      </c>
      <c r="H242" s="5">
        <v>46907.19</v>
      </c>
      <c r="I242" t="s">
        <v>26</v>
      </c>
      <c r="J242" t="s">
        <v>27</v>
      </c>
      <c r="N242" t="s">
        <v>29</v>
      </c>
      <c r="O242" t="s">
        <v>30</v>
      </c>
      <c r="P242" t="s">
        <v>31</v>
      </c>
      <c r="Q242">
        <v>7400196620</v>
      </c>
      <c r="R242">
        <v>2</v>
      </c>
      <c r="T242">
        <v>7400196620</v>
      </c>
      <c r="U242" s="5"/>
      <c r="X242" s="5">
        <v>46907.19</v>
      </c>
      <c r="Y242">
        <v>0</v>
      </c>
    </row>
    <row r="243" spans="2:25" x14ac:dyDescent="0.25">
      <c r="B243" t="s">
        <v>177</v>
      </c>
      <c r="C243" t="s">
        <v>28</v>
      </c>
      <c r="D243" t="s">
        <v>28</v>
      </c>
      <c r="E243" t="s">
        <v>28</v>
      </c>
      <c r="F243" t="s">
        <v>28</v>
      </c>
      <c r="G243" t="s">
        <v>496</v>
      </c>
      <c r="H243" s="5">
        <v>26578.67</v>
      </c>
      <c r="I243" t="s">
        <v>26</v>
      </c>
      <c r="J243" t="s">
        <v>27</v>
      </c>
      <c r="N243" t="s">
        <v>29</v>
      </c>
      <c r="O243" t="s">
        <v>30</v>
      </c>
      <c r="P243" t="s">
        <v>31</v>
      </c>
      <c r="Q243">
        <v>23489</v>
      </c>
      <c r="R243">
        <v>2</v>
      </c>
      <c r="T243">
        <v>23489</v>
      </c>
      <c r="U243" s="5"/>
      <c r="X243" s="5">
        <v>26578.67</v>
      </c>
      <c r="Y243">
        <v>0</v>
      </c>
    </row>
    <row r="244" spans="2:25" x14ac:dyDescent="0.25">
      <c r="B244" t="s">
        <v>177</v>
      </c>
      <c r="C244" t="s">
        <v>28</v>
      </c>
      <c r="D244" t="s">
        <v>28</v>
      </c>
      <c r="E244" t="s">
        <v>28</v>
      </c>
      <c r="F244" t="s">
        <v>28</v>
      </c>
      <c r="G244" t="s">
        <v>291</v>
      </c>
      <c r="H244" s="5">
        <v>4276.79</v>
      </c>
      <c r="I244" t="s">
        <v>26</v>
      </c>
      <c r="J244" t="s">
        <v>27</v>
      </c>
      <c r="N244" t="s">
        <v>29</v>
      </c>
      <c r="O244" t="s">
        <v>30</v>
      </c>
      <c r="P244" t="s">
        <v>31</v>
      </c>
      <c r="Q244">
        <v>23601</v>
      </c>
      <c r="R244">
        <v>2</v>
      </c>
      <c r="T244">
        <v>23601</v>
      </c>
      <c r="U244" s="5"/>
      <c r="X244" s="5">
        <v>4276.79</v>
      </c>
      <c r="Y244">
        <v>0</v>
      </c>
    </row>
    <row r="245" spans="2:25" x14ac:dyDescent="0.25">
      <c r="B245" t="s">
        <v>177</v>
      </c>
      <c r="C245" t="s">
        <v>28</v>
      </c>
      <c r="D245" t="s">
        <v>28</v>
      </c>
      <c r="E245" t="s">
        <v>28</v>
      </c>
      <c r="F245" t="s">
        <v>28</v>
      </c>
      <c r="G245" t="s">
        <v>502</v>
      </c>
      <c r="H245" s="5">
        <v>119.31</v>
      </c>
      <c r="I245" t="s">
        <v>26</v>
      </c>
      <c r="J245" t="s">
        <v>27</v>
      </c>
      <c r="N245" t="s">
        <v>29</v>
      </c>
      <c r="O245" t="s">
        <v>30</v>
      </c>
      <c r="P245" t="s">
        <v>31</v>
      </c>
      <c r="Q245">
        <v>23628</v>
      </c>
      <c r="R245">
        <v>2</v>
      </c>
      <c r="T245">
        <v>23628</v>
      </c>
      <c r="U245" s="5"/>
      <c r="X245" s="5">
        <v>119.31</v>
      </c>
      <c r="Y245">
        <v>0</v>
      </c>
    </row>
    <row r="246" spans="2:25" x14ac:dyDescent="0.25">
      <c r="B246" t="s">
        <v>177</v>
      </c>
      <c r="C246" t="s">
        <v>28</v>
      </c>
      <c r="D246" t="s">
        <v>28</v>
      </c>
      <c r="E246" t="s">
        <v>28</v>
      </c>
      <c r="F246" t="s">
        <v>28</v>
      </c>
      <c r="G246" t="s">
        <v>503</v>
      </c>
      <c r="H246" s="5">
        <v>2079668.23</v>
      </c>
      <c r="I246" t="s">
        <v>26</v>
      </c>
      <c r="J246" t="s">
        <v>27</v>
      </c>
      <c r="N246" t="s">
        <v>29</v>
      </c>
      <c r="O246" t="s">
        <v>30</v>
      </c>
      <c r="P246" t="s">
        <v>31</v>
      </c>
      <c r="Q246">
        <v>23685</v>
      </c>
      <c r="R246">
        <v>2</v>
      </c>
      <c r="T246">
        <v>23685</v>
      </c>
      <c r="U246" s="5"/>
      <c r="X246" s="5">
        <v>2079668.23</v>
      </c>
      <c r="Y246">
        <v>0</v>
      </c>
    </row>
    <row r="247" spans="2:25" x14ac:dyDescent="0.25">
      <c r="B247" t="s">
        <v>177</v>
      </c>
      <c r="C247" t="s">
        <v>28</v>
      </c>
      <c r="D247" t="s">
        <v>28</v>
      </c>
      <c r="E247" t="s">
        <v>28</v>
      </c>
      <c r="F247" t="s">
        <v>28</v>
      </c>
      <c r="G247" t="s">
        <v>504</v>
      </c>
      <c r="H247" s="5">
        <v>2109.91</v>
      </c>
      <c r="I247" t="s">
        <v>26</v>
      </c>
      <c r="J247" t="s">
        <v>27</v>
      </c>
      <c r="N247" t="s">
        <v>29</v>
      </c>
      <c r="O247" t="s">
        <v>30</v>
      </c>
      <c r="P247" t="s">
        <v>31</v>
      </c>
      <c r="Q247">
        <v>23556</v>
      </c>
      <c r="R247">
        <v>2</v>
      </c>
      <c r="T247">
        <v>23556</v>
      </c>
      <c r="U247" s="5"/>
      <c r="X247" s="5">
        <v>2109.91</v>
      </c>
      <c r="Y247">
        <v>0</v>
      </c>
    </row>
    <row r="248" spans="2:25" x14ac:dyDescent="0.25">
      <c r="B248" t="s">
        <v>177</v>
      </c>
      <c r="C248" t="s">
        <v>28</v>
      </c>
      <c r="D248" t="s">
        <v>28</v>
      </c>
      <c r="E248" t="s">
        <v>28</v>
      </c>
      <c r="F248" t="s">
        <v>28</v>
      </c>
      <c r="G248" t="s">
        <v>281</v>
      </c>
      <c r="H248" s="5">
        <v>2144.5100000000002</v>
      </c>
      <c r="I248" t="s">
        <v>26</v>
      </c>
      <c r="J248" t="s">
        <v>27</v>
      </c>
      <c r="N248" t="s">
        <v>29</v>
      </c>
      <c r="O248" t="s">
        <v>30</v>
      </c>
      <c r="P248" t="s">
        <v>31</v>
      </c>
      <c r="Q248">
        <v>23609</v>
      </c>
      <c r="R248">
        <v>2</v>
      </c>
      <c r="T248">
        <v>23609</v>
      </c>
      <c r="U248" s="5"/>
      <c r="X248" s="5">
        <v>2144.5100000000002</v>
      </c>
      <c r="Y248">
        <v>0</v>
      </c>
    </row>
    <row r="249" spans="2:25" x14ac:dyDescent="0.25">
      <c r="B249" t="s">
        <v>177</v>
      </c>
      <c r="C249" t="s">
        <v>28</v>
      </c>
      <c r="D249" t="s">
        <v>28</v>
      </c>
      <c r="E249" t="s">
        <v>28</v>
      </c>
      <c r="F249" t="s">
        <v>28</v>
      </c>
      <c r="G249" t="s">
        <v>506</v>
      </c>
      <c r="H249" s="5">
        <v>82558.12</v>
      </c>
      <c r="I249" t="s">
        <v>26</v>
      </c>
      <c r="J249" t="s">
        <v>27</v>
      </c>
      <c r="N249" t="s">
        <v>29</v>
      </c>
      <c r="O249" t="s">
        <v>30</v>
      </c>
      <c r="P249" t="s">
        <v>31</v>
      </c>
      <c r="Q249">
        <v>27142</v>
      </c>
      <c r="R249">
        <v>2</v>
      </c>
      <c r="T249" t="s">
        <v>88</v>
      </c>
      <c r="U249" s="5" t="s">
        <v>191</v>
      </c>
      <c r="X249" s="5" t="s">
        <v>88</v>
      </c>
      <c r="Y249" t="s">
        <v>88</v>
      </c>
    </row>
    <row r="250" spans="2:25" x14ac:dyDescent="0.25">
      <c r="B250" t="s">
        <v>177</v>
      </c>
      <c r="C250" t="s">
        <v>28</v>
      </c>
      <c r="D250" t="s">
        <v>28</v>
      </c>
      <c r="E250" t="s">
        <v>28</v>
      </c>
      <c r="F250" t="s">
        <v>28</v>
      </c>
      <c r="G250" t="s">
        <v>233</v>
      </c>
      <c r="H250" s="5">
        <v>13435.51</v>
      </c>
      <c r="I250" t="s">
        <v>26</v>
      </c>
      <c r="J250" t="s">
        <v>27</v>
      </c>
      <c r="N250" t="s">
        <v>29</v>
      </c>
      <c r="O250" t="s">
        <v>30</v>
      </c>
      <c r="P250" t="s">
        <v>31</v>
      </c>
      <c r="Q250">
        <v>23542</v>
      </c>
      <c r="R250">
        <v>2</v>
      </c>
      <c r="T250">
        <v>23542</v>
      </c>
      <c r="U250" s="5"/>
      <c r="X250" s="5">
        <v>13435.51</v>
      </c>
      <c r="Y250">
        <v>0</v>
      </c>
    </row>
    <row r="251" spans="2:25" x14ac:dyDescent="0.25">
      <c r="B251" t="s">
        <v>177</v>
      </c>
      <c r="C251" t="s">
        <v>28</v>
      </c>
      <c r="D251" t="s">
        <v>28</v>
      </c>
      <c r="E251" t="s">
        <v>28</v>
      </c>
      <c r="F251" t="s">
        <v>28</v>
      </c>
      <c r="G251" t="s">
        <v>248</v>
      </c>
      <c r="H251" s="5">
        <v>10748.41</v>
      </c>
      <c r="I251" t="s">
        <v>26</v>
      </c>
      <c r="J251" t="s">
        <v>27</v>
      </c>
      <c r="N251" t="s">
        <v>29</v>
      </c>
      <c r="O251" t="s">
        <v>30</v>
      </c>
      <c r="P251" t="s">
        <v>31</v>
      </c>
      <c r="Q251">
        <v>23602</v>
      </c>
      <c r="R251">
        <v>2</v>
      </c>
      <c r="T251">
        <v>23602</v>
      </c>
      <c r="U251" s="5"/>
      <c r="X251" s="5">
        <v>10748.41</v>
      </c>
      <c r="Y251">
        <v>0</v>
      </c>
    </row>
    <row r="252" spans="2:25" x14ac:dyDescent="0.25">
      <c r="B252" t="s">
        <v>177</v>
      </c>
      <c r="C252" t="s">
        <v>28</v>
      </c>
      <c r="D252" t="s">
        <v>28</v>
      </c>
      <c r="E252" t="s">
        <v>28</v>
      </c>
      <c r="F252" t="s">
        <v>28</v>
      </c>
      <c r="G252" t="s">
        <v>507</v>
      </c>
      <c r="H252" s="5">
        <v>55370.83</v>
      </c>
      <c r="I252" t="s">
        <v>26</v>
      </c>
      <c r="J252" t="s">
        <v>27</v>
      </c>
      <c r="N252" t="s">
        <v>29</v>
      </c>
      <c r="O252" t="s">
        <v>30</v>
      </c>
      <c r="P252" t="s">
        <v>31</v>
      </c>
      <c r="Q252">
        <v>26978</v>
      </c>
      <c r="R252">
        <v>2</v>
      </c>
      <c r="T252">
        <v>26978</v>
      </c>
      <c r="U252" s="5"/>
      <c r="X252" s="5">
        <v>55370.83</v>
      </c>
      <c r="Y252">
        <v>0</v>
      </c>
    </row>
    <row r="253" spans="2:25" x14ac:dyDescent="0.25">
      <c r="B253" t="s">
        <v>177</v>
      </c>
      <c r="C253" t="s">
        <v>28</v>
      </c>
      <c r="D253" t="s">
        <v>28</v>
      </c>
      <c r="E253" t="s">
        <v>28</v>
      </c>
      <c r="F253" t="s">
        <v>28</v>
      </c>
      <c r="G253" t="s">
        <v>378</v>
      </c>
      <c r="H253" s="5">
        <v>831.93</v>
      </c>
      <c r="I253" t="s">
        <v>26</v>
      </c>
      <c r="J253" t="s">
        <v>27</v>
      </c>
      <c r="N253" t="s">
        <v>29</v>
      </c>
      <c r="O253" t="s">
        <v>30</v>
      </c>
      <c r="P253" t="s">
        <v>31</v>
      </c>
      <c r="Q253">
        <v>23617</v>
      </c>
      <c r="R253">
        <v>2</v>
      </c>
      <c r="T253">
        <v>23617</v>
      </c>
      <c r="U253" s="5"/>
      <c r="X253" s="5">
        <v>831.93</v>
      </c>
      <c r="Y253">
        <v>0</v>
      </c>
    </row>
    <row r="254" spans="2:25" x14ac:dyDescent="0.25">
      <c r="B254" t="s">
        <v>177</v>
      </c>
      <c r="C254" t="s">
        <v>28</v>
      </c>
      <c r="D254" t="s">
        <v>28</v>
      </c>
      <c r="E254" t="s">
        <v>28</v>
      </c>
      <c r="F254" t="s">
        <v>28</v>
      </c>
      <c r="G254" t="s">
        <v>512</v>
      </c>
      <c r="H254" s="5">
        <v>44013.41</v>
      </c>
      <c r="I254" t="s">
        <v>26</v>
      </c>
      <c r="J254" t="s">
        <v>27</v>
      </c>
      <c r="N254" t="s">
        <v>29</v>
      </c>
      <c r="O254" t="s">
        <v>30</v>
      </c>
      <c r="P254" t="s">
        <v>31</v>
      </c>
      <c r="Q254">
        <v>23660</v>
      </c>
      <c r="R254">
        <v>2</v>
      </c>
      <c r="T254">
        <v>23660</v>
      </c>
      <c r="U254" s="5"/>
      <c r="X254" s="5">
        <v>44013.41</v>
      </c>
      <c r="Y254">
        <v>0</v>
      </c>
    </row>
    <row r="255" spans="2:25" x14ac:dyDescent="0.25">
      <c r="B255" t="s">
        <v>177</v>
      </c>
      <c r="C255" t="s">
        <v>28</v>
      </c>
      <c r="D255" t="s">
        <v>28</v>
      </c>
      <c r="E255" t="s">
        <v>28</v>
      </c>
      <c r="F255" t="s">
        <v>28</v>
      </c>
      <c r="G255" t="s">
        <v>377</v>
      </c>
      <c r="H255" s="5">
        <v>5927306.1299999999</v>
      </c>
      <c r="I255" t="s">
        <v>26</v>
      </c>
      <c r="J255" t="s">
        <v>27</v>
      </c>
      <c r="N255" t="s">
        <v>29</v>
      </c>
      <c r="O255" t="s">
        <v>30</v>
      </c>
      <c r="P255" t="s">
        <v>31</v>
      </c>
      <c r="Q255">
        <v>2101488396</v>
      </c>
      <c r="R255">
        <v>2</v>
      </c>
      <c r="T255" t="s">
        <v>88</v>
      </c>
      <c r="U255" s="5" t="s">
        <v>191</v>
      </c>
      <c r="X255" s="5" t="s">
        <v>88</v>
      </c>
      <c r="Y255" t="s">
        <v>88</v>
      </c>
    </row>
    <row r="256" spans="2:25" x14ac:dyDescent="0.25">
      <c r="B256" t="s">
        <v>177</v>
      </c>
      <c r="C256" t="s">
        <v>28</v>
      </c>
      <c r="D256" t="s">
        <v>28</v>
      </c>
      <c r="E256" t="s">
        <v>28</v>
      </c>
      <c r="F256" t="s">
        <v>28</v>
      </c>
      <c r="G256" t="s">
        <v>225</v>
      </c>
      <c r="H256" s="5">
        <v>39594</v>
      </c>
      <c r="I256" t="s">
        <v>26</v>
      </c>
      <c r="J256" t="s">
        <v>27</v>
      </c>
      <c r="N256" t="s">
        <v>29</v>
      </c>
      <c r="O256" t="s">
        <v>30</v>
      </c>
      <c r="P256" t="s">
        <v>31</v>
      </c>
      <c r="Q256">
        <v>1010675</v>
      </c>
      <c r="R256">
        <v>2</v>
      </c>
      <c r="T256">
        <v>1010675</v>
      </c>
      <c r="U256" s="5"/>
      <c r="X256" s="5">
        <v>39594</v>
      </c>
      <c r="Y256">
        <v>0</v>
      </c>
    </row>
    <row r="257" spans="2:25" x14ac:dyDescent="0.25">
      <c r="B257" t="s">
        <v>177</v>
      </c>
      <c r="C257" t="s">
        <v>28</v>
      </c>
      <c r="D257" t="s">
        <v>28</v>
      </c>
      <c r="E257" t="s">
        <v>28</v>
      </c>
      <c r="F257" t="s">
        <v>28</v>
      </c>
      <c r="G257" t="s">
        <v>515</v>
      </c>
      <c r="H257" s="5">
        <v>102071.41</v>
      </c>
      <c r="I257" t="s">
        <v>26</v>
      </c>
      <c r="J257" t="s">
        <v>27</v>
      </c>
      <c r="N257" t="s">
        <v>29</v>
      </c>
      <c r="O257" t="s">
        <v>30</v>
      </c>
      <c r="P257" t="s">
        <v>31</v>
      </c>
      <c r="Q257">
        <v>26536</v>
      </c>
      <c r="R257">
        <v>2</v>
      </c>
      <c r="T257">
        <v>26536</v>
      </c>
      <c r="U257" s="5"/>
      <c r="X257" s="5">
        <v>102071.41</v>
      </c>
      <c r="Y257">
        <v>0</v>
      </c>
    </row>
    <row r="258" spans="2:25" x14ac:dyDescent="0.25">
      <c r="B258" t="s">
        <v>177</v>
      </c>
      <c r="C258" t="s">
        <v>28</v>
      </c>
      <c r="D258" t="s">
        <v>28</v>
      </c>
      <c r="E258" t="s">
        <v>28</v>
      </c>
      <c r="F258" t="s">
        <v>28</v>
      </c>
      <c r="G258" t="s">
        <v>516</v>
      </c>
      <c r="H258" s="5">
        <v>873.03</v>
      </c>
      <c r="I258" t="s">
        <v>26</v>
      </c>
      <c r="J258" t="s">
        <v>27</v>
      </c>
      <c r="N258" t="s">
        <v>29</v>
      </c>
      <c r="O258" t="s">
        <v>30</v>
      </c>
      <c r="P258" t="s">
        <v>31</v>
      </c>
      <c r="Q258">
        <v>27148</v>
      </c>
      <c r="R258">
        <v>2</v>
      </c>
      <c r="T258" t="s">
        <v>88</v>
      </c>
      <c r="U258" s="5" t="s">
        <v>191</v>
      </c>
      <c r="X258" s="5" t="s">
        <v>88</v>
      </c>
      <c r="Y258" t="s">
        <v>88</v>
      </c>
    </row>
    <row r="259" spans="2:25" x14ac:dyDescent="0.25">
      <c r="B259" t="s">
        <v>177</v>
      </c>
      <c r="C259" t="s">
        <v>28</v>
      </c>
      <c r="D259" t="s">
        <v>28</v>
      </c>
      <c r="E259" t="s">
        <v>28</v>
      </c>
      <c r="F259" t="s">
        <v>28</v>
      </c>
      <c r="G259" t="s">
        <v>517</v>
      </c>
      <c r="H259" s="5">
        <v>26544.68</v>
      </c>
      <c r="I259" t="s">
        <v>26</v>
      </c>
      <c r="J259" t="s">
        <v>27</v>
      </c>
      <c r="N259" t="s">
        <v>29</v>
      </c>
      <c r="O259" t="s">
        <v>30</v>
      </c>
      <c r="P259" t="s">
        <v>31</v>
      </c>
      <c r="Q259">
        <v>1010263</v>
      </c>
      <c r="R259">
        <v>2</v>
      </c>
      <c r="T259" t="s">
        <v>88</v>
      </c>
      <c r="U259" s="5" t="s">
        <v>191</v>
      </c>
      <c r="X259" s="5" t="s">
        <v>88</v>
      </c>
      <c r="Y259" t="s">
        <v>88</v>
      </c>
    </row>
    <row r="260" spans="2:25" x14ac:dyDescent="0.25">
      <c r="B260" t="s">
        <v>177</v>
      </c>
      <c r="C260" t="s">
        <v>28</v>
      </c>
      <c r="D260" t="s">
        <v>28</v>
      </c>
      <c r="E260" t="s">
        <v>28</v>
      </c>
      <c r="F260" t="s">
        <v>28</v>
      </c>
      <c r="G260" t="s">
        <v>355</v>
      </c>
      <c r="H260" s="5">
        <v>320234.38</v>
      </c>
      <c r="I260" t="s">
        <v>26</v>
      </c>
      <c r="J260" t="s">
        <v>27</v>
      </c>
      <c r="N260" t="s">
        <v>29</v>
      </c>
      <c r="O260" t="s">
        <v>30</v>
      </c>
      <c r="P260" t="s">
        <v>31</v>
      </c>
      <c r="Q260">
        <v>3301</v>
      </c>
      <c r="R260">
        <v>2</v>
      </c>
      <c r="T260">
        <v>3301</v>
      </c>
      <c r="U260" s="5"/>
      <c r="X260" s="5">
        <v>320234.38</v>
      </c>
      <c r="Y260">
        <v>0</v>
      </c>
    </row>
    <row r="261" spans="2:25" x14ac:dyDescent="0.25">
      <c r="B261" t="s">
        <v>177</v>
      </c>
      <c r="C261" t="s">
        <v>28</v>
      </c>
      <c r="D261" t="s">
        <v>28</v>
      </c>
      <c r="E261" t="s">
        <v>28</v>
      </c>
      <c r="F261" t="s">
        <v>28</v>
      </c>
      <c r="G261" t="s">
        <v>472</v>
      </c>
      <c r="H261" s="5">
        <v>103300</v>
      </c>
      <c r="I261" t="s">
        <v>26</v>
      </c>
      <c r="J261" t="s">
        <v>27</v>
      </c>
      <c r="N261" t="s">
        <v>29</v>
      </c>
      <c r="O261" t="s">
        <v>30</v>
      </c>
      <c r="P261" t="s">
        <v>31</v>
      </c>
      <c r="Q261" t="s">
        <v>28</v>
      </c>
      <c r="R261">
        <v>4</v>
      </c>
      <c r="T261" s="6" t="s">
        <v>28</v>
      </c>
      <c r="U261" s="5"/>
      <c r="X261" s="5">
        <v>2.63</v>
      </c>
      <c r="Y261">
        <v>103297.37</v>
      </c>
    </row>
    <row r="262" spans="2:25" x14ac:dyDescent="0.25">
      <c r="B262" t="s">
        <v>177</v>
      </c>
      <c r="C262" t="s">
        <v>28</v>
      </c>
      <c r="D262" t="s">
        <v>28</v>
      </c>
      <c r="E262" t="s">
        <v>28</v>
      </c>
      <c r="F262" t="s">
        <v>28</v>
      </c>
      <c r="G262" t="s">
        <v>402</v>
      </c>
      <c r="H262" s="5">
        <v>26761.919999999998</v>
      </c>
      <c r="I262" t="s">
        <v>26</v>
      </c>
      <c r="J262" t="s">
        <v>27</v>
      </c>
      <c r="N262" t="s">
        <v>29</v>
      </c>
      <c r="O262" t="s">
        <v>30</v>
      </c>
      <c r="P262" t="s">
        <v>31</v>
      </c>
      <c r="Q262">
        <v>27103</v>
      </c>
      <c r="R262">
        <v>2</v>
      </c>
      <c r="T262">
        <v>27103</v>
      </c>
      <c r="U262" s="5"/>
      <c r="X262" s="5">
        <v>26761.919999999998</v>
      </c>
      <c r="Y262">
        <v>0</v>
      </c>
    </row>
    <row r="263" spans="2:25" x14ac:dyDescent="0.25">
      <c r="B263" t="s">
        <v>177</v>
      </c>
      <c r="C263" t="s">
        <v>28</v>
      </c>
      <c r="D263" t="s">
        <v>28</v>
      </c>
      <c r="E263" t="s">
        <v>28</v>
      </c>
      <c r="F263" t="s">
        <v>28</v>
      </c>
      <c r="G263" t="s">
        <v>371</v>
      </c>
      <c r="H263" s="5">
        <v>118189.87</v>
      </c>
      <c r="I263" t="s">
        <v>26</v>
      </c>
      <c r="J263" t="s">
        <v>27</v>
      </c>
      <c r="N263" t="s">
        <v>29</v>
      </c>
      <c r="O263" t="s">
        <v>30</v>
      </c>
      <c r="P263" t="s">
        <v>31</v>
      </c>
      <c r="Q263">
        <v>7378</v>
      </c>
      <c r="R263">
        <v>2</v>
      </c>
      <c r="T263">
        <v>7378</v>
      </c>
      <c r="U263" s="5"/>
      <c r="X263" s="5">
        <v>118189.87</v>
      </c>
      <c r="Y263">
        <v>0</v>
      </c>
    </row>
    <row r="264" spans="2:25" x14ac:dyDescent="0.25">
      <c r="B264" t="s">
        <v>177</v>
      </c>
      <c r="C264" t="s">
        <v>28</v>
      </c>
      <c r="D264" t="s">
        <v>28</v>
      </c>
      <c r="E264" t="s">
        <v>28</v>
      </c>
      <c r="F264" t="s">
        <v>28</v>
      </c>
      <c r="G264" t="s">
        <v>519</v>
      </c>
      <c r="H264" s="5">
        <v>82510.73</v>
      </c>
      <c r="I264" t="s">
        <v>26</v>
      </c>
      <c r="J264" t="s">
        <v>27</v>
      </c>
      <c r="N264" t="s">
        <v>29</v>
      </c>
      <c r="O264" t="s">
        <v>30</v>
      </c>
      <c r="P264" t="s">
        <v>31</v>
      </c>
      <c r="Q264">
        <v>2100680114</v>
      </c>
      <c r="R264">
        <v>10</v>
      </c>
      <c r="T264" t="s">
        <v>88</v>
      </c>
      <c r="U264" s="5" t="s">
        <v>191</v>
      </c>
      <c r="X264" s="5" t="s">
        <v>88</v>
      </c>
      <c r="Y264" t="s">
        <v>88</v>
      </c>
    </row>
    <row r="265" spans="2:25" x14ac:dyDescent="0.25">
      <c r="B265" t="s">
        <v>177</v>
      </c>
      <c r="C265" t="s">
        <v>28</v>
      </c>
      <c r="D265" t="s">
        <v>28</v>
      </c>
      <c r="E265" t="s">
        <v>28</v>
      </c>
      <c r="F265" t="s">
        <v>28</v>
      </c>
      <c r="G265" t="s">
        <v>405</v>
      </c>
      <c r="H265" s="5">
        <v>293.43</v>
      </c>
      <c r="I265" t="s">
        <v>26</v>
      </c>
      <c r="J265" t="s">
        <v>27</v>
      </c>
      <c r="N265" t="s">
        <v>29</v>
      </c>
      <c r="O265" t="s">
        <v>30</v>
      </c>
      <c r="P265" t="s">
        <v>31</v>
      </c>
      <c r="Q265">
        <v>23652</v>
      </c>
      <c r="R265">
        <v>2</v>
      </c>
      <c r="T265">
        <v>23652</v>
      </c>
      <c r="U265" s="5"/>
      <c r="X265" s="5">
        <v>293.43</v>
      </c>
      <c r="Y265">
        <v>0</v>
      </c>
    </row>
    <row r="266" spans="2:25" x14ac:dyDescent="0.25">
      <c r="B266" t="s">
        <v>177</v>
      </c>
      <c r="C266" t="s">
        <v>28</v>
      </c>
      <c r="D266" t="s">
        <v>28</v>
      </c>
      <c r="E266" t="s">
        <v>28</v>
      </c>
      <c r="F266" t="s">
        <v>28</v>
      </c>
      <c r="G266" t="s">
        <v>520</v>
      </c>
      <c r="H266" s="5">
        <v>10878.7</v>
      </c>
      <c r="I266" t="s">
        <v>26</v>
      </c>
      <c r="J266" t="s">
        <v>27</v>
      </c>
      <c r="N266" t="s">
        <v>29</v>
      </c>
      <c r="O266" t="s">
        <v>30</v>
      </c>
      <c r="P266" t="s">
        <v>31</v>
      </c>
      <c r="Q266">
        <v>27007</v>
      </c>
      <c r="R266">
        <v>2</v>
      </c>
      <c r="T266">
        <v>27007</v>
      </c>
      <c r="U266" s="5"/>
      <c r="X266" s="5">
        <v>10878.7</v>
      </c>
      <c r="Y266">
        <v>0</v>
      </c>
    </row>
    <row r="267" spans="2:25" x14ac:dyDescent="0.25">
      <c r="B267" t="s">
        <v>177</v>
      </c>
      <c r="C267" t="s">
        <v>28</v>
      </c>
      <c r="D267" t="s">
        <v>28</v>
      </c>
      <c r="E267" t="s">
        <v>28</v>
      </c>
      <c r="F267" t="s">
        <v>28</v>
      </c>
      <c r="G267" t="s">
        <v>521</v>
      </c>
      <c r="H267" s="5">
        <v>2171.1799999999998</v>
      </c>
      <c r="I267" t="s">
        <v>26</v>
      </c>
      <c r="J267" t="s">
        <v>27</v>
      </c>
      <c r="N267" t="s">
        <v>29</v>
      </c>
      <c r="O267" t="s">
        <v>30</v>
      </c>
      <c r="P267" t="s">
        <v>31</v>
      </c>
      <c r="Q267">
        <v>23595</v>
      </c>
      <c r="R267">
        <v>2</v>
      </c>
      <c r="T267">
        <v>23595</v>
      </c>
      <c r="U267" s="5"/>
      <c r="X267" s="5">
        <v>2171.1799999999998</v>
      </c>
      <c r="Y267">
        <v>0</v>
      </c>
    </row>
    <row r="268" spans="2:25" x14ac:dyDescent="0.25">
      <c r="B268" t="s">
        <v>177</v>
      </c>
      <c r="C268" t="s">
        <v>28</v>
      </c>
      <c r="D268" t="s">
        <v>28</v>
      </c>
      <c r="E268" t="s">
        <v>28</v>
      </c>
      <c r="F268" t="s">
        <v>28</v>
      </c>
      <c r="G268" t="s">
        <v>522</v>
      </c>
      <c r="H268" s="5">
        <v>25432827.530000001</v>
      </c>
      <c r="I268" t="s">
        <v>26</v>
      </c>
      <c r="J268" t="s">
        <v>27</v>
      </c>
      <c r="N268" t="s">
        <v>29</v>
      </c>
      <c r="O268" t="s">
        <v>30</v>
      </c>
      <c r="P268" t="s">
        <v>31</v>
      </c>
      <c r="Q268">
        <v>2100680114</v>
      </c>
      <c r="R268">
        <v>10</v>
      </c>
      <c r="T268" t="s">
        <v>88</v>
      </c>
      <c r="U268" s="5" t="s">
        <v>191</v>
      </c>
      <c r="X268" s="5" t="s">
        <v>88</v>
      </c>
      <c r="Y268" t="s">
        <v>88</v>
      </c>
    </row>
    <row r="269" spans="2:25" x14ac:dyDescent="0.25">
      <c r="B269" t="s">
        <v>177</v>
      </c>
      <c r="C269" t="s">
        <v>28</v>
      </c>
      <c r="D269" t="s">
        <v>28</v>
      </c>
      <c r="E269" t="s">
        <v>28</v>
      </c>
      <c r="F269" t="s">
        <v>28</v>
      </c>
      <c r="G269" t="s">
        <v>407</v>
      </c>
      <c r="H269" s="5">
        <v>138083.78</v>
      </c>
      <c r="I269" t="s">
        <v>26</v>
      </c>
      <c r="J269" t="s">
        <v>27</v>
      </c>
      <c r="N269" t="s">
        <v>29</v>
      </c>
      <c r="O269" t="s">
        <v>30</v>
      </c>
      <c r="P269" t="s">
        <v>31</v>
      </c>
      <c r="Q269">
        <v>26050</v>
      </c>
      <c r="R269">
        <v>2</v>
      </c>
      <c r="T269">
        <v>26050</v>
      </c>
      <c r="U269" s="5"/>
      <c r="X269" s="5">
        <v>138083.78</v>
      </c>
      <c r="Y269">
        <v>0</v>
      </c>
    </row>
    <row r="270" spans="2:25" x14ac:dyDescent="0.25">
      <c r="B270" t="s">
        <v>177</v>
      </c>
      <c r="C270" t="s">
        <v>28</v>
      </c>
      <c r="D270" t="s">
        <v>28</v>
      </c>
      <c r="E270" t="s">
        <v>28</v>
      </c>
      <c r="F270" t="s">
        <v>28</v>
      </c>
      <c r="G270" t="s">
        <v>196</v>
      </c>
      <c r="H270" s="5">
        <v>89297.81</v>
      </c>
      <c r="I270" t="s">
        <v>26</v>
      </c>
      <c r="J270" t="s">
        <v>27</v>
      </c>
      <c r="N270" t="s">
        <v>29</v>
      </c>
      <c r="O270" t="s">
        <v>30</v>
      </c>
      <c r="P270" t="s">
        <v>31</v>
      </c>
      <c r="Q270">
        <v>3761002127</v>
      </c>
      <c r="R270">
        <v>2</v>
      </c>
      <c r="T270">
        <v>3761002127</v>
      </c>
      <c r="U270" s="5"/>
      <c r="X270" s="5">
        <v>89297.81</v>
      </c>
      <c r="Y270">
        <v>0</v>
      </c>
    </row>
    <row r="271" spans="2:25" x14ac:dyDescent="0.25">
      <c r="B271" t="s">
        <v>177</v>
      </c>
      <c r="C271" t="s">
        <v>28</v>
      </c>
      <c r="D271" t="s">
        <v>28</v>
      </c>
      <c r="E271" t="s">
        <v>28</v>
      </c>
      <c r="F271" t="s">
        <v>28</v>
      </c>
      <c r="G271" t="s">
        <v>524</v>
      </c>
      <c r="H271" s="5">
        <v>54867.77</v>
      </c>
      <c r="I271" t="s">
        <v>26</v>
      </c>
      <c r="J271" t="s">
        <v>27</v>
      </c>
      <c r="N271" t="s">
        <v>29</v>
      </c>
      <c r="O271" t="s">
        <v>30</v>
      </c>
      <c r="P271" t="s">
        <v>31</v>
      </c>
      <c r="Q271">
        <v>1539</v>
      </c>
      <c r="R271">
        <v>2</v>
      </c>
      <c r="T271">
        <v>1539</v>
      </c>
      <c r="U271" s="5"/>
      <c r="X271" s="5">
        <v>54867.77</v>
      </c>
      <c r="Y271">
        <v>0</v>
      </c>
    </row>
    <row r="272" spans="2:25" x14ac:dyDescent="0.25">
      <c r="B272" t="s">
        <v>177</v>
      </c>
      <c r="C272" t="s">
        <v>28</v>
      </c>
      <c r="D272" t="s">
        <v>28</v>
      </c>
      <c r="E272" t="s">
        <v>28</v>
      </c>
      <c r="F272" t="s">
        <v>28</v>
      </c>
      <c r="G272" t="s">
        <v>481</v>
      </c>
      <c r="H272" s="5">
        <v>133118.75</v>
      </c>
      <c r="I272" t="s">
        <v>26</v>
      </c>
      <c r="J272" t="s">
        <v>27</v>
      </c>
      <c r="N272" t="s">
        <v>29</v>
      </c>
      <c r="O272" t="s">
        <v>30</v>
      </c>
      <c r="P272" t="s">
        <v>31</v>
      </c>
      <c r="Q272">
        <v>2100680114</v>
      </c>
      <c r="R272">
        <v>10</v>
      </c>
      <c r="T272" s="6" t="s">
        <v>88</v>
      </c>
      <c r="U272" s="5" t="s">
        <v>191</v>
      </c>
      <c r="X272" s="5" t="s">
        <v>88</v>
      </c>
      <c r="Y272" t="s">
        <v>88</v>
      </c>
    </row>
    <row r="273" spans="2:25" x14ac:dyDescent="0.25">
      <c r="B273" t="s">
        <v>177</v>
      </c>
      <c r="C273" t="s">
        <v>28</v>
      </c>
      <c r="D273" t="s">
        <v>28</v>
      </c>
      <c r="E273" t="s">
        <v>28</v>
      </c>
      <c r="F273" t="s">
        <v>28</v>
      </c>
      <c r="G273" t="s">
        <v>523</v>
      </c>
      <c r="H273" s="5">
        <v>41578.089999999997</v>
      </c>
      <c r="I273" t="s">
        <v>26</v>
      </c>
      <c r="J273" t="s">
        <v>27</v>
      </c>
      <c r="N273" t="s">
        <v>29</v>
      </c>
      <c r="O273" t="s">
        <v>30</v>
      </c>
      <c r="P273" t="s">
        <v>31</v>
      </c>
      <c r="Q273">
        <v>69016611</v>
      </c>
      <c r="R273">
        <v>2</v>
      </c>
      <c r="T273" t="s">
        <v>88</v>
      </c>
      <c r="U273" s="5" t="s">
        <v>191</v>
      </c>
      <c r="X273" s="5" t="s">
        <v>88</v>
      </c>
      <c r="Y273" t="s">
        <v>88</v>
      </c>
    </row>
    <row r="274" spans="2:25" x14ac:dyDescent="0.25">
      <c r="B274" t="s">
        <v>177</v>
      </c>
      <c r="C274" t="s">
        <v>28</v>
      </c>
      <c r="D274" t="s">
        <v>28</v>
      </c>
      <c r="E274" t="s">
        <v>28</v>
      </c>
      <c r="F274" t="s">
        <v>28</v>
      </c>
      <c r="G274" t="s">
        <v>271</v>
      </c>
      <c r="H274" s="5">
        <v>22218.04</v>
      </c>
      <c r="I274" t="s">
        <v>26</v>
      </c>
      <c r="J274" t="s">
        <v>27</v>
      </c>
      <c r="N274" t="s">
        <v>29</v>
      </c>
      <c r="O274" t="s">
        <v>30</v>
      </c>
      <c r="P274" t="s">
        <v>31</v>
      </c>
      <c r="Q274">
        <v>23493</v>
      </c>
      <c r="R274">
        <v>2</v>
      </c>
      <c r="T274">
        <v>23493</v>
      </c>
      <c r="U274" s="5"/>
      <c r="X274" s="5">
        <v>22218.04</v>
      </c>
      <c r="Y274">
        <v>0</v>
      </c>
    </row>
    <row r="275" spans="2:25" x14ac:dyDescent="0.25">
      <c r="B275" t="s">
        <v>177</v>
      </c>
      <c r="C275" t="s">
        <v>28</v>
      </c>
      <c r="D275" t="s">
        <v>28</v>
      </c>
      <c r="E275" t="s">
        <v>28</v>
      </c>
      <c r="F275" t="s">
        <v>28</v>
      </c>
      <c r="G275" t="s">
        <v>416</v>
      </c>
      <c r="H275" s="5">
        <v>10748.41</v>
      </c>
      <c r="I275" t="s">
        <v>26</v>
      </c>
      <c r="J275" t="s">
        <v>27</v>
      </c>
      <c r="N275" t="s">
        <v>29</v>
      </c>
      <c r="O275" t="s">
        <v>30</v>
      </c>
      <c r="P275" t="s">
        <v>31</v>
      </c>
      <c r="Q275">
        <v>23572</v>
      </c>
      <c r="R275">
        <v>2</v>
      </c>
      <c r="T275">
        <v>23572</v>
      </c>
      <c r="U275" s="5"/>
      <c r="X275" s="5">
        <v>10748.41</v>
      </c>
      <c r="Y275">
        <v>0</v>
      </c>
    </row>
    <row r="276" spans="2:25" x14ac:dyDescent="0.25">
      <c r="B276" t="s">
        <v>177</v>
      </c>
      <c r="C276" t="s">
        <v>28</v>
      </c>
      <c r="D276" t="s">
        <v>28</v>
      </c>
      <c r="E276" t="s">
        <v>28</v>
      </c>
      <c r="F276" t="s">
        <v>28</v>
      </c>
      <c r="G276" t="s">
        <v>527</v>
      </c>
      <c r="H276" s="5">
        <v>126131.63</v>
      </c>
      <c r="I276" t="s">
        <v>26</v>
      </c>
      <c r="J276" t="s">
        <v>27</v>
      </c>
      <c r="N276" t="s">
        <v>29</v>
      </c>
      <c r="O276" t="s">
        <v>30</v>
      </c>
      <c r="P276" t="s">
        <v>31</v>
      </c>
      <c r="Q276">
        <v>19368</v>
      </c>
      <c r="R276">
        <v>2</v>
      </c>
      <c r="T276">
        <v>19368</v>
      </c>
      <c r="U276" s="5"/>
      <c r="X276" s="5">
        <v>126131.63</v>
      </c>
      <c r="Y276">
        <v>0</v>
      </c>
    </row>
    <row r="277" spans="2:25" x14ac:dyDescent="0.25">
      <c r="B277" t="s">
        <v>177</v>
      </c>
      <c r="C277" t="s">
        <v>28</v>
      </c>
      <c r="D277" t="s">
        <v>28</v>
      </c>
      <c r="E277" t="s">
        <v>28</v>
      </c>
      <c r="F277" t="s">
        <v>28</v>
      </c>
      <c r="G277" t="s">
        <v>525</v>
      </c>
      <c r="H277" s="5">
        <v>20702.96</v>
      </c>
      <c r="I277" t="s">
        <v>26</v>
      </c>
      <c r="J277" t="s">
        <v>27</v>
      </c>
      <c r="N277" t="s">
        <v>29</v>
      </c>
      <c r="O277" t="s">
        <v>30</v>
      </c>
      <c r="P277" t="s">
        <v>31</v>
      </c>
      <c r="Q277">
        <v>18272</v>
      </c>
      <c r="R277">
        <v>2</v>
      </c>
      <c r="T277">
        <v>18272</v>
      </c>
      <c r="U277" s="5"/>
      <c r="X277" s="5">
        <v>20702.96</v>
      </c>
      <c r="Y277">
        <v>0</v>
      </c>
    </row>
    <row r="278" spans="2:25" x14ac:dyDescent="0.25">
      <c r="B278" t="s">
        <v>177</v>
      </c>
      <c r="C278" t="s">
        <v>28</v>
      </c>
      <c r="D278" t="s">
        <v>28</v>
      </c>
      <c r="E278" t="s">
        <v>28</v>
      </c>
      <c r="F278" t="s">
        <v>28</v>
      </c>
      <c r="G278" t="s">
        <v>529</v>
      </c>
      <c r="H278" s="5">
        <v>615.88</v>
      </c>
      <c r="I278" t="s">
        <v>26</v>
      </c>
      <c r="J278" t="s">
        <v>27</v>
      </c>
      <c r="N278" t="s">
        <v>29</v>
      </c>
      <c r="O278" t="s">
        <v>30</v>
      </c>
      <c r="P278" t="s">
        <v>31</v>
      </c>
      <c r="Q278">
        <v>23623</v>
      </c>
      <c r="R278">
        <v>2</v>
      </c>
      <c r="T278">
        <v>23623</v>
      </c>
      <c r="U278" s="5"/>
      <c r="X278" s="5">
        <v>615.88</v>
      </c>
      <c r="Y278">
        <v>0</v>
      </c>
    </row>
    <row r="279" spans="2:25" x14ac:dyDescent="0.25">
      <c r="B279" t="s">
        <v>177</v>
      </c>
      <c r="C279" t="s">
        <v>28</v>
      </c>
      <c r="D279" t="s">
        <v>28</v>
      </c>
      <c r="E279" t="s">
        <v>28</v>
      </c>
      <c r="F279" t="s">
        <v>28</v>
      </c>
      <c r="G279" t="s">
        <v>451</v>
      </c>
      <c r="H279" s="5">
        <v>13435.51</v>
      </c>
      <c r="I279" t="s">
        <v>26</v>
      </c>
      <c r="J279" t="s">
        <v>27</v>
      </c>
      <c r="N279" t="s">
        <v>29</v>
      </c>
      <c r="O279" t="s">
        <v>30</v>
      </c>
      <c r="P279" t="s">
        <v>31</v>
      </c>
      <c r="Q279">
        <v>23574</v>
      </c>
      <c r="R279">
        <v>2</v>
      </c>
      <c r="T279">
        <v>23574</v>
      </c>
      <c r="U279" s="5"/>
      <c r="X279" s="5">
        <v>13435.51</v>
      </c>
      <c r="Y279">
        <v>0</v>
      </c>
    </row>
    <row r="280" spans="2:25" x14ac:dyDescent="0.25">
      <c r="B280" t="s">
        <v>177</v>
      </c>
      <c r="C280" t="s">
        <v>28</v>
      </c>
      <c r="D280" t="s">
        <v>28</v>
      </c>
      <c r="E280" t="s">
        <v>28</v>
      </c>
      <c r="F280" t="s">
        <v>28</v>
      </c>
      <c r="G280" t="s">
        <v>498</v>
      </c>
      <c r="H280" s="5">
        <v>121171.33</v>
      </c>
      <c r="I280" t="s">
        <v>26</v>
      </c>
      <c r="J280" t="s">
        <v>27</v>
      </c>
      <c r="N280" t="s">
        <v>29</v>
      </c>
      <c r="O280" t="s">
        <v>30</v>
      </c>
      <c r="P280" t="s">
        <v>31</v>
      </c>
      <c r="Q280">
        <v>2100680114</v>
      </c>
      <c r="R280">
        <v>10</v>
      </c>
      <c r="T280" t="s">
        <v>88</v>
      </c>
      <c r="U280" s="5" t="s">
        <v>191</v>
      </c>
      <c r="X280" s="5" t="s">
        <v>88</v>
      </c>
      <c r="Y280" t="s">
        <v>88</v>
      </c>
    </row>
    <row r="281" spans="2:25" x14ac:dyDescent="0.25">
      <c r="B281" t="s">
        <v>177</v>
      </c>
      <c r="C281" t="s">
        <v>28</v>
      </c>
      <c r="D281" t="s">
        <v>28</v>
      </c>
      <c r="E281" t="s">
        <v>28</v>
      </c>
      <c r="F281" t="s">
        <v>28</v>
      </c>
      <c r="G281" t="s">
        <v>532</v>
      </c>
      <c r="H281" s="5">
        <v>23163.43</v>
      </c>
      <c r="I281" t="s">
        <v>26</v>
      </c>
      <c r="J281" t="s">
        <v>27</v>
      </c>
      <c r="N281" t="s">
        <v>29</v>
      </c>
      <c r="O281" t="s">
        <v>30</v>
      </c>
      <c r="P281" t="s">
        <v>31</v>
      </c>
      <c r="Q281">
        <v>26984</v>
      </c>
      <c r="R281">
        <v>2</v>
      </c>
      <c r="T281">
        <v>26984</v>
      </c>
      <c r="U281" s="5"/>
      <c r="X281" s="5">
        <v>23163.43</v>
      </c>
      <c r="Y281">
        <v>0</v>
      </c>
    </row>
    <row r="282" spans="2:25" x14ac:dyDescent="0.25">
      <c r="B282" t="s">
        <v>177</v>
      </c>
      <c r="C282" t="s">
        <v>28</v>
      </c>
      <c r="D282" t="s">
        <v>28</v>
      </c>
      <c r="E282" t="s">
        <v>28</v>
      </c>
      <c r="F282" t="s">
        <v>28</v>
      </c>
      <c r="G282" t="s">
        <v>465</v>
      </c>
      <c r="H282" s="5">
        <v>10748.41</v>
      </c>
      <c r="I282" t="s">
        <v>26</v>
      </c>
      <c r="J282" t="s">
        <v>27</v>
      </c>
      <c r="N282" t="s">
        <v>29</v>
      </c>
      <c r="O282" t="s">
        <v>30</v>
      </c>
      <c r="P282" t="s">
        <v>31</v>
      </c>
      <c r="Q282">
        <v>23567</v>
      </c>
      <c r="R282">
        <v>2</v>
      </c>
      <c r="T282">
        <v>23567</v>
      </c>
      <c r="U282" s="5"/>
      <c r="X282" s="5">
        <v>10748.41</v>
      </c>
      <c r="Y282">
        <v>0</v>
      </c>
    </row>
    <row r="283" spans="2:25" x14ac:dyDescent="0.25">
      <c r="B283" t="s">
        <v>177</v>
      </c>
      <c r="C283" t="s">
        <v>28</v>
      </c>
      <c r="D283" t="s">
        <v>28</v>
      </c>
      <c r="E283" t="s">
        <v>28</v>
      </c>
      <c r="F283" t="s">
        <v>28</v>
      </c>
      <c r="G283" t="s">
        <v>508</v>
      </c>
      <c r="H283" s="5">
        <v>572503.82999999996</v>
      </c>
      <c r="I283" t="s">
        <v>26</v>
      </c>
      <c r="J283" t="s">
        <v>27</v>
      </c>
      <c r="N283" t="s">
        <v>29</v>
      </c>
      <c r="O283" t="s">
        <v>30</v>
      </c>
      <c r="P283" t="s">
        <v>31</v>
      </c>
      <c r="Q283">
        <v>25686</v>
      </c>
      <c r="R283">
        <v>2</v>
      </c>
      <c r="T283">
        <v>25686</v>
      </c>
      <c r="U283" s="5"/>
      <c r="X283" s="5">
        <v>572503.82999999996</v>
      </c>
      <c r="Y283">
        <v>0</v>
      </c>
    </row>
    <row r="284" spans="2:25" x14ac:dyDescent="0.25">
      <c r="B284" t="s">
        <v>177</v>
      </c>
      <c r="C284" t="s">
        <v>28</v>
      </c>
      <c r="D284" t="s">
        <v>28</v>
      </c>
      <c r="E284" t="s">
        <v>28</v>
      </c>
      <c r="F284" t="s">
        <v>28</v>
      </c>
      <c r="G284" t="s">
        <v>273</v>
      </c>
      <c r="H284" s="5">
        <v>580.41</v>
      </c>
      <c r="I284" t="s">
        <v>26</v>
      </c>
      <c r="J284" t="s">
        <v>27</v>
      </c>
      <c r="N284" t="s">
        <v>29</v>
      </c>
      <c r="O284" t="s">
        <v>30</v>
      </c>
      <c r="P284" t="s">
        <v>31</v>
      </c>
      <c r="Q284">
        <v>23619</v>
      </c>
      <c r="R284">
        <v>2</v>
      </c>
      <c r="T284">
        <v>23619</v>
      </c>
      <c r="U284" s="5"/>
      <c r="X284" s="5">
        <v>580.41</v>
      </c>
      <c r="Y284">
        <v>0</v>
      </c>
    </row>
    <row r="285" spans="2:25" x14ac:dyDescent="0.25">
      <c r="B285" t="s">
        <v>177</v>
      </c>
      <c r="C285" t="s">
        <v>28</v>
      </c>
      <c r="D285" t="s">
        <v>28</v>
      </c>
      <c r="E285" t="s">
        <v>28</v>
      </c>
      <c r="F285" t="s">
        <v>28</v>
      </c>
      <c r="G285" t="s">
        <v>314</v>
      </c>
      <c r="H285" s="5">
        <v>50385.79</v>
      </c>
      <c r="I285" t="s">
        <v>26</v>
      </c>
      <c r="J285" t="s">
        <v>27</v>
      </c>
      <c r="N285" t="s">
        <v>29</v>
      </c>
      <c r="O285" t="s">
        <v>30</v>
      </c>
      <c r="P285" t="s">
        <v>31</v>
      </c>
      <c r="Q285">
        <v>27136</v>
      </c>
      <c r="R285">
        <v>2</v>
      </c>
      <c r="T285">
        <v>27136</v>
      </c>
      <c r="U285" s="5"/>
      <c r="X285" s="5">
        <v>50150</v>
      </c>
      <c r="Y285">
        <v>235.79000000000087</v>
      </c>
    </row>
    <row r="286" spans="2:25" x14ac:dyDescent="0.25">
      <c r="B286" t="s">
        <v>177</v>
      </c>
      <c r="C286" t="s">
        <v>28</v>
      </c>
      <c r="D286" t="s">
        <v>28</v>
      </c>
      <c r="E286" t="s">
        <v>28</v>
      </c>
      <c r="F286" t="s">
        <v>28</v>
      </c>
      <c r="G286" t="s">
        <v>192</v>
      </c>
      <c r="H286" s="5">
        <v>26120.79</v>
      </c>
      <c r="I286" t="s">
        <v>26</v>
      </c>
      <c r="J286" t="s">
        <v>27</v>
      </c>
      <c r="N286" t="s">
        <v>29</v>
      </c>
      <c r="O286" t="s">
        <v>30</v>
      </c>
      <c r="P286" t="s">
        <v>31</v>
      </c>
      <c r="Q286">
        <v>7400356304</v>
      </c>
      <c r="R286">
        <v>2</v>
      </c>
      <c r="T286" s="6">
        <v>7400356304</v>
      </c>
      <c r="U286" s="5"/>
      <c r="X286" s="5">
        <v>26120.79</v>
      </c>
      <c r="Y286">
        <v>0</v>
      </c>
    </row>
    <row r="287" spans="2:25" x14ac:dyDescent="0.25">
      <c r="B287" t="s">
        <v>177</v>
      </c>
      <c r="C287" t="s">
        <v>28</v>
      </c>
      <c r="D287" t="s">
        <v>28</v>
      </c>
      <c r="E287" t="s">
        <v>28</v>
      </c>
      <c r="F287" t="s">
        <v>28</v>
      </c>
      <c r="G287" t="s">
        <v>536</v>
      </c>
      <c r="H287" s="5">
        <v>2818.69</v>
      </c>
      <c r="I287" t="s">
        <v>26</v>
      </c>
      <c r="J287" t="s">
        <v>27</v>
      </c>
      <c r="N287" t="s">
        <v>29</v>
      </c>
      <c r="O287" t="s">
        <v>30</v>
      </c>
      <c r="P287" t="s">
        <v>31</v>
      </c>
      <c r="Q287">
        <v>19369</v>
      </c>
      <c r="R287">
        <v>2</v>
      </c>
      <c r="T287">
        <v>19369</v>
      </c>
      <c r="U287" s="5"/>
      <c r="X287" s="5">
        <v>2818.69</v>
      </c>
      <c r="Y287">
        <v>0</v>
      </c>
    </row>
    <row r="288" spans="2:25" x14ac:dyDescent="0.25">
      <c r="B288" t="s">
        <v>177</v>
      </c>
      <c r="C288" t="s">
        <v>28</v>
      </c>
      <c r="D288" t="s">
        <v>28</v>
      </c>
      <c r="E288" t="s">
        <v>28</v>
      </c>
      <c r="F288" t="s">
        <v>28</v>
      </c>
      <c r="G288" t="s">
        <v>433</v>
      </c>
      <c r="H288" s="5">
        <v>635274.76</v>
      </c>
      <c r="I288" t="s">
        <v>26</v>
      </c>
      <c r="J288" t="s">
        <v>27</v>
      </c>
      <c r="N288" t="s">
        <v>29</v>
      </c>
      <c r="O288" t="s">
        <v>30</v>
      </c>
      <c r="P288" t="s">
        <v>31</v>
      </c>
      <c r="Q288">
        <v>23976</v>
      </c>
      <c r="R288">
        <v>2</v>
      </c>
      <c r="T288">
        <v>23976</v>
      </c>
      <c r="U288" s="5"/>
      <c r="X288" s="5">
        <v>635122.44999999995</v>
      </c>
      <c r="Y288">
        <v>152.31000000005588</v>
      </c>
    </row>
    <row r="289" spans="2:25" x14ac:dyDescent="0.25">
      <c r="B289" t="s">
        <v>177</v>
      </c>
      <c r="C289" t="s">
        <v>28</v>
      </c>
      <c r="D289" t="s">
        <v>28</v>
      </c>
      <c r="E289" t="s">
        <v>28</v>
      </c>
      <c r="F289" t="s">
        <v>28</v>
      </c>
      <c r="G289" t="s">
        <v>303</v>
      </c>
      <c r="H289" s="5">
        <v>17273.77</v>
      </c>
      <c r="I289" t="s">
        <v>26</v>
      </c>
      <c r="J289" t="s">
        <v>27</v>
      </c>
      <c r="N289" t="s">
        <v>29</v>
      </c>
      <c r="O289" t="s">
        <v>30</v>
      </c>
      <c r="P289" t="s">
        <v>31</v>
      </c>
      <c r="Q289">
        <v>23533</v>
      </c>
      <c r="R289">
        <v>2</v>
      </c>
      <c r="T289">
        <v>23533</v>
      </c>
      <c r="U289" s="5"/>
      <c r="X289" s="5">
        <v>17273.77</v>
      </c>
      <c r="Y289">
        <v>0</v>
      </c>
    </row>
    <row r="290" spans="2:25" x14ac:dyDescent="0.25">
      <c r="B290" t="s">
        <v>177</v>
      </c>
      <c r="C290" t="s">
        <v>28</v>
      </c>
      <c r="D290" t="s">
        <v>28</v>
      </c>
      <c r="E290" t="s">
        <v>28</v>
      </c>
      <c r="F290" t="s">
        <v>28</v>
      </c>
      <c r="G290" t="s">
        <v>538</v>
      </c>
      <c r="H290" s="5">
        <v>59116.25</v>
      </c>
      <c r="I290" t="s">
        <v>26</v>
      </c>
      <c r="J290" t="s">
        <v>27</v>
      </c>
      <c r="N290" t="s">
        <v>29</v>
      </c>
      <c r="O290" t="s">
        <v>30</v>
      </c>
      <c r="P290" t="s">
        <v>31</v>
      </c>
      <c r="Q290">
        <v>23510</v>
      </c>
      <c r="R290">
        <v>2</v>
      </c>
      <c r="T290">
        <v>23510</v>
      </c>
      <c r="U290" s="5"/>
      <c r="X290" s="5">
        <v>59116.25</v>
      </c>
      <c r="Y290">
        <v>0</v>
      </c>
    </row>
    <row r="291" spans="2:25" x14ac:dyDescent="0.25">
      <c r="B291" t="s">
        <v>177</v>
      </c>
      <c r="C291" t="s">
        <v>28</v>
      </c>
      <c r="D291" t="s">
        <v>28</v>
      </c>
      <c r="E291" t="s">
        <v>28</v>
      </c>
      <c r="F291" t="s">
        <v>28</v>
      </c>
      <c r="G291" t="s">
        <v>541</v>
      </c>
      <c r="H291" s="5">
        <v>38503.94</v>
      </c>
      <c r="I291" t="s">
        <v>26</v>
      </c>
      <c r="J291" t="s">
        <v>27</v>
      </c>
      <c r="N291" t="s">
        <v>29</v>
      </c>
      <c r="O291" t="s">
        <v>30</v>
      </c>
      <c r="P291" t="s">
        <v>31</v>
      </c>
      <c r="Q291">
        <v>23674</v>
      </c>
      <c r="R291">
        <v>2</v>
      </c>
      <c r="T291">
        <v>23674</v>
      </c>
      <c r="U291" s="5"/>
      <c r="X291" s="5">
        <v>38503.94</v>
      </c>
      <c r="Y291">
        <v>0</v>
      </c>
    </row>
    <row r="292" spans="2:25" x14ac:dyDescent="0.25">
      <c r="B292" t="s">
        <v>177</v>
      </c>
      <c r="C292" t="s">
        <v>28</v>
      </c>
      <c r="D292" t="s">
        <v>28</v>
      </c>
      <c r="E292" t="s">
        <v>28</v>
      </c>
      <c r="F292" t="s">
        <v>28</v>
      </c>
      <c r="G292" t="s">
        <v>341</v>
      </c>
      <c r="H292" s="5">
        <v>428214.09</v>
      </c>
      <c r="I292" t="s">
        <v>26</v>
      </c>
      <c r="J292" t="s">
        <v>27</v>
      </c>
      <c r="N292" t="s">
        <v>29</v>
      </c>
      <c r="O292" t="s">
        <v>30</v>
      </c>
      <c r="P292" t="s">
        <v>31</v>
      </c>
      <c r="Q292">
        <v>25685</v>
      </c>
      <c r="R292">
        <v>2</v>
      </c>
      <c r="T292">
        <v>25685</v>
      </c>
      <c r="U292" s="5"/>
      <c r="X292" s="5">
        <v>428214.09</v>
      </c>
      <c r="Y292">
        <v>0</v>
      </c>
    </row>
    <row r="293" spans="2:25" x14ac:dyDescent="0.25">
      <c r="B293" t="s">
        <v>177</v>
      </c>
      <c r="C293" t="s">
        <v>28</v>
      </c>
      <c r="D293" t="s">
        <v>28</v>
      </c>
      <c r="E293" t="s">
        <v>28</v>
      </c>
      <c r="F293" t="s">
        <v>28</v>
      </c>
      <c r="G293" t="s">
        <v>544</v>
      </c>
      <c r="H293" s="5">
        <v>10748.41</v>
      </c>
      <c r="I293" t="s">
        <v>26</v>
      </c>
      <c r="J293" t="s">
        <v>27</v>
      </c>
      <c r="N293" t="s">
        <v>29</v>
      </c>
      <c r="O293" t="s">
        <v>30</v>
      </c>
      <c r="P293" t="s">
        <v>31</v>
      </c>
      <c r="Q293">
        <v>23576</v>
      </c>
      <c r="R293">
        <v>2</v>
      </c>
      <c r="T293">
        <v>23576</v>
      </c>
      <c r="U293" s="5"/>
      <c r="X293" s="5">
        <v>10748.41</v>
      </c>
      <c r="Y293">
        <v>0</v>
      </c>
    </row>
    <row r="294" spans="2:25" x14ac:dyDescent="0.25">
      <c r="B294" t="s">
        <v>177</v>
      </c>
      <c r="C294" t="s">
        <v>28</v>
      </c>
      <c r="D294" t="s">
        <v>28</v>
      </c>
      <c r="E294" t="s">
        <v>28</v>
      </c>
      <c r="F294" t="s">
        <v>28</v>
      </c>
      <c r="G294" t="s">
        <v>417</v>
      </c>
      <c r="H294" s="5">
        <v>10464.879999999999</v>
      </c>
      <c r="I294" t="s">
        <v>26</v>
      </c>
      <c r="J294" t="s">
        <v>27</v>
      </c>
      <c r="N294" t="s">
        <v>29</v>
      </c>
      <c r="O294" t="s">
        <v>30</v>
      </c>
      <c r="P294" t="s">
        <v>31</v>
      </c>
      <c r="Q294">
        <v>26902</v>
      </c>
      <c r="R294">
        <v>2</v>
      </c>
      <c r="T294">
        <v>26902</v>
      </c>
      <c r="U294" s="5"/>
      <c r="X294" s="5">
        <v>10464.879999999999</v>
      </c>
      <c r="Y294">
        <v>0</v>
      </c>
    </row>
    <row r="295" spans="2:25" x14ac:dyDescent="0.25">
      <c r="B295" t="s">
        <v>177</v>
      </c>
      <c r="C295" t="s">
        <v>28</v>
      </c>
      <c r="D295" t="s">
        <v>28</v>
      </c>
      <c r="E295" t="s">
        <v>28</v>
      </c>
      <c r="F295" t="s">
        <v>28</v>
      </c>
      <c r="G295" t="s">
        <v>320</v>
      </c>
      <c r="H295" s="5">
        <v>22218.04</v>
      </c>
      <c r="I295" t="s">
        <v>26</v>
      </c>
      <c r="J295" t="s">
        <v>27</v>
      </c>
      <c r="N295" t="s">
        <v>29</v>
      </c>
      <c r="O295" t="s">
        <v>30</v>
      </c>
      <c r="P295" t="s">
        <v>31</v>
      </c>
      <c r="Q295">
        <v>23497</v>
      </c>
      <c r="R295">
        <v>2</v>
      </c>
      <c r="T295">
        <v>23497</v>
      </c>
      <c r="U295" s="5"/>
      <c r="X295" s="5">
        <v>22218.04</v>
      </c>
      <c r="Y295">
        <v>0</v>
      </c>
    </row>
    <row r="296" spans="2:25" x14ac:dyDescent="0.25">
      <c r="B296" t="s">
        <v>177</v>
      </c>
      <c r="C296" t="s">
        <v>28</v>
      </c>
      <c r="D296" t="s">
        <v>28</v>
      </c>
      <c r="E296" t="s">
        <v>28</v>
      </c>
      <c r="F296" t="s">
        <v>28</v>
      </c>
      <c r="G296" t="s">
        <v>514</v>
      </c>
      <c r="H296" s="5">
        <v>161378.88</v>
      </c>
      <c r="I296" t="s">
        <v>26</v>
      </c>
      <c r="J296" t="s">
        <v>27</v>
      </c>
      <c r="N296" t="s">
        <v>29</v>
      </c>
      <c r="O296" t="s">
        <v>30</v>
      </c>
      <c r="P296" t="s">
        <v>31</v>
      </c>
      <c r="Q296">
        <v>23694</v>
      </c>
      <c r="R296">
        <v>2</v>
      </c>
      <c r="T296">
        <v>23694</v>
      </c>
      <c r="U296" s="5"/>
      <c r="X296" s="5">
        <v>161378.88</v>
      </c>
      <c r="Y296">
        <v>0</v>
      </c>
    </row>
    <row r="297" spans="2:25" x14ac:dyDescent="0.25">
      <c r="B297" t="s">
        <v>177</v>
      </c>
      <c r="C297" t="s">
        <v>28</v>
      </c>
      <c r="D297" t="s">
        <v>28</v>
      </c>
      <c r="E297" t="s">
        <v>28</v>
      </c>
      <c r="F297" t="s">
        <v>28</v>
      </c>
      <c r="G297" t="s">
        <v>540</v>
      </c>
      <c r="H297" s="5">
        <v>49333.65</v>
      </c>
      <c r="I297" t="s">
        <v>26</v>
      </c>
      <c r="J297" t="s">
        <v>27</v>
      </c>
      <c r="N297" t="s">
        <v>29</v>
      </c>
      <c r="O297" t="s">
        <v>30</v>
      </c>
      <c r="P297" t="s">
        <v>31</v>
      </c>
      <c r="Q297">
        <v>26044</v>
      </c>
      <c r="R297">
        <v>2</v>
      </c>
      <c r="T297">
        <v>26044</v>
      </c>
      <c r="U297" s="5"/>
      <c r="X297" s="5">
        <v>49333.65</v>
      </c>
      <c r="Y297">
        <v>0</v>
      </c>
    </row>
    <row r="298" spans="2:25" x14ac:dyDescent="0.25">
      <c r="B298" t="s">
        <v>177</v>
      </c>
      <c r="C298" t="s">
        <v>28</v>
      </c>
      <c r="D298" t="s">
        <v>28</v>
      </c>
      <c r="E298" t="s">
        <v>28</v>
      </c>
      <c r="F298" t="s">
        <v>28</v>
      </c>
      <c r="G298" t="s">
        <v>205</v>
      </c>
      <c r="H298" s="5">
        <v>11085.91</v>
      </c>
      <c r="I298" t="s">
        <v>26</v>
      </c>
      <c r="J298" t="s">
        <v>27</v>
      </c>
      <c r="N298" t="s">
        <v>29</v>
      </c>
      <c r="O298" t="s">
        <v>30</v>
      </c>
      <c r="P298" t="s">
        <v>31</v>
      </c>
      <c r="Q298">
        <v>23665</v>
      </c>
      <c r="R298">
        <v>2</v>
      </c>
      <c r="T298">
        <v>23665</v>
      </c>
      <c r="U298" s="5"/>
      <c r="X298" s="5">
        <v>11085.91</v>
      </c>
      <c r="Y298">
        <v>0</v>
      </c>
    </row>
    <row r="299" spans="2:25" x14ac:dyDescent="0.25">
      <c r="B299" t="s">
        <v>177</v>
      </c>
      <c r="C299" t="s">
        <v>28</v>
      </c>
      <c r="D299" t="s">
        <v>28</v>
      </c>
      <c r="E299" t="s">
        <v>28</v>
      </c>
      <c r="F299" t="s">
        <v>28</v>
      </c>
      <c r="G299" t="s">
        <v>545</v>
      </c>
      <c r="H299" s="5">
        <v>91.36</v>
      </c>
      <c r="I299" t="s">
        <v>26</v>
      </c>
      <c r="J299" t="s">
        <v>27</v>
      </c>
      <c r="N299" t="s">
        <v>29</v>
      </c>
      <c r="O299" t="s">
        <v>30</v>
      </c>
      <c r="P299" t="s">
        <v>31</v>
      </c>
      <c r="Q299">
        <v>23637</v>
      </c>
      <c r="R299">
        <v>2</v>
      </c>
      <c r="T299">
        <v>23637</v>
      </c>
      <c r="U299" s="5"/>
      <c r="X299" s="5">
        <v>91.36</v>
      </c>
      <c r="Y299">
        <v>0</v>
      </c>
    </row>
    <row r="300" spans="2:25" x14ac:dyDescent="0.25">
      <c r="B300" t="s">
        <v>177</v>
      </c>
      <c r="C300" t="s">
        <v>28</v>
      </c>
      <c r="D300" t="s">
        <v>28</v>
      </c>
      <c r="E300" t="s">
        <v>28</v>
      </c>
      <c r="F300" t="s">
        <v>28</v>
      </c>
      <c r="G300" t="s">
        <v>530</v>
      </c>
      <c r="H300" s="5">
        <v>396830.59</v>
      </c>
      <c r="I300" t="s">
        <v>26</v>
      </c>
      <c r="J300" t="s">
        <v>27</v>
      </c>
      <c r="N300" t="s">
        <v>29</v>
      </c>
      <c r="O300" t="s">
        <v>30</v>
      </c>
      <c r="P300" t="s">
        <v>31</v>
      </c>
      <c r="Q300">
        <v>25697</v>
      </c>
      <c r="R300">
        <v>2</v>
      </c>
      <c r="T300">
        <v>25697</v>
      </c>
      <c r="U300" s="5"/>
      <c r="X300" s="5">
        <v>396830.59</v>
      </c>
      <c r="Y300">
        <v>0</v>
      </c>
    </row>
    <row r="301" spans="2:25" x14ac:dyDescent="0.25">
      <c r="B301" t="s">
        <v>177</v>
      </c>
      <c r="C301" t="s">
        <v>28</v>
      </c>
      <c r="D301" t="s">
        <v>28</v>
      </c>
      <c r="E301" t="s">
        <v>28</v>
      </c>
      <c r="F301" t="s">
        <v>28</v>
      </c>
      <c r="G301" t="s">
        <v>366</v>
      </c>
      <c r="H301" s="5">
        <v>10748.41</v>
      </c>
      <c r="I301" t="s">
        <v>26</v>
      </c>
      <c r="J301" t="s">
        <v>27</v>
      </c>
      <c r="N301" t="s">
        <v>29</v>
      </c>
      <c r="O301" t="s">
        <v>30</v>
      </c>
      <c r="P301" t="s">
        <v>31</v>
      </c>
      <c r="Q301">
        <v>23570</v>
      </c>
      <c r="R301">
        <v>2</v>
      </c>
      <c r="T301">
        <v>23570</v>
      </c>
      <c r="U301" s="5"/>
      <c r="X301" s="5">
        <v>10748.41</v>
      </c>
      <c r="Y301">
        <v>0</v>
      </c>
    </row>
    <row r="302" spans="2:25" x14ac:dyDescent="0.25">
      <c r="B302" t="s">
        <v>177</v>
      </c>
      <c r="C302" t="s">
        <v>28</v>
      </c>
      <c r="D302" t="s">
        <v>28</v>
      </c>
      <c r="E302" t="s">
        <v>28</v>
      </c>
      <c r="F302" t="s">
        <v>28</v>
      </c>
      <c r="G302" t="s">
        <v>509</v>
      </c>
      <c r="H302" s="5">
        <v>17273.77</v>
      </c>
      <c r="I302" t="s">
        <v>26</v>
      </c>
      <c r="J302" t="s">
        <v>27</v>
      </c>
      <c r="N302" t="s">
        <v>29</v>
      </c>
      <c r="O302" t="s">
        <v>30</v>
      </c>
      <c r="P302" t="s">
        <v>31</v>
      </c>
      <c r="Q302">
        <v>23531</v>
      </c>
      <c r="R302">
        <v>2</v>
      </c>
      <c r="T302">
        <v>23531</v>
      </c>
      <c r="U302" s="5"/>
      <c r="X302" s="5">
        <v>17273.77</v>
      </c>
      <c r="Y302">
        <v>0</v>
      </c>
    </row>
    <row r="303" spans="2:25" x14ac:dyDescent="0.25">
      <c r="B303" t="s">
        <v>177</v>
      </c>
      <c r="C303" t="s">
        <v>28</v>
      </c>
      <c r="D303" t="s">
        <v>28</v>
      </c>
      <c r="E303" t="s">
        <v>28</v>
      </c>
      <c r="F303" t="s">
        <v>28</v>
      </c>
      <c r="G303" t="s">
        <v>546</v>
      </c>
      <c r="H303" s="5">
        <v>4276.79</v>
      </c>
      <c r="I303" t="s">
        <v>26</v>
      </c>
      <c r="J303" t="s">
        <v>27</v>
      </c>
      <c r="N303" t="s">
        <v>29</v>
      </c>
      <c r="O303" t="s">
        <v>30</v>
      </c>
      <c r="P303" t="s">
        <v>31</v>
      </c>
      <c r="Q303">
        <v>23599</v>
      </c>
      <c r="R303">
        <v>2</v>
      </c>
      <c r="T303">
        <v>23599</v>
      </c>
      <c r="U303" s="5"/>
      <c r="X303" s="5">
        <v>4276.79</v>
      </c>
      <c r="Y303">
        <v>0</v>
      </c>
    </row>
    <row r="304" spans="2:25" x14ac:dyDescent="0.25">
      <c r="B304" t="s">
        <v>177</v>
      </c>
      <c r="C304" t="s">
        <v>28</v>
      </c>
      <c r="D304" t="s">
        <v>28</v>
      </c>
      <c r="E304" t="s">
        <v>28</v>
      </c>
      <c r="F304" t="s">
        <v>28</v>
      </c>
      <c r="G304" t="s">
        <v>480</v>
      </c>
      <c r="H304" s="5">
        <v>2131.41</v>
      </c>
      <c r="I304" t="s">
        <v>26</v>
      </c>
      <c r="J304" t="s">
        <v>27</v>
      </c>
      <c r="N304" t="s">
        <v>29</v>
      </c>
      <c r="O304" t="s">
        <v>30</v>
      </c>
      <c r="P304" t="s">
        <v>31</v>
      </c>
      <c r="Q304">
        <v>23615</v>
      </c>
      <c r="R304">
        <v>2</v>
      </c>
      <c r="T304">
        <v>23615</v>
      </c>
      <c r="U304" s="5"/>
      <c r="X304" s="5">
        <v>2131.41</v>
      </c>
      <c r="Y304">
        <v>0</v>
      </c>
    </row>
    <row r="305" spans="2:25" x14ac:dyDescent="0.25">
      <c r="B305" t="s">
        <v>177</v>
      </c>
      <c r="C305" t="s">
        <v>28</v>
      </c>
      <c r="D305" t="s">
        <v>28</v>
      </c>
      <c r="E305" t="s">
        <v>28</v>
      </c>
      <c r="F305" t="s">
        <v>28</v>
      </c>
      <c r="G305" t="s">
        <v>429</v>
      </c>
      <c r="H305" s="5">
        <v>79621.740000000005</v>
      </c>
      <c r="I305" t="s">
        <v>26</v>
      </c>
      <c r="J305" t="s">
        <v>27</v>
      </c>
      <c r="N305" t="s">
        <v>29</v>
      </c>
      <c r="O305" t="s">
        <v>30</v>
      </c>
      <c r="P305" t="s">
        <v>31</v>
      </c>
      <c r="Q305">
        <v>22432</v>
      </c>
      <c r="R305">
        <v>2</v>
      </c>
      <c r="T305">
        <v>22432</v>
      </c>
      <c r="U305" s="5"/>
      <c r="X305" s="5">
        <v>79621.740000000005</v>
      </c>
      <c r="Y305">
        <v>0</v>
      </c>
    </row>
    <row r="306" spans="2:25" x14ac:dyDescent="0.25">
      <c r="B306" t="s">
        <v>177</v>
      </c>
      <c r="C306" t="s">
        <v>28</v>
      </c>
      <c r="D306" t="s">
        <v>28</v>
      </c>
      <c r="E306" t="s">
        <v>28</v>
      </c>
      <c r="F306" t="s">
        <v>28</v>
      </c>
      <c r="G306" t="s">
        <v>372</v>
      </c>
      <c r="H306" s="5">
        <v>13435.51</v>
      </c>
      <c r="I306" t="s">
        <v>26</v>
      </c>
      <c r="J306" t="s">
        <v>27</v>
      </c>
      <c r="N306" t="s">
        <v>29</v>
      </c>
      <c r="O306" t="s">
        <v>30</v>
      </c>
      <c r="P306" t="s">
        <v>31</v>
      </c>
      <c r="Q306">
        <v>23545</v>
      </c>
      <c r="R306">
        <v>2</v>
      </c>
      <c r="T306">
        <v>23545</v>
      </c>
      <c r="U306" s="5"/>
      <c r="X306" s="5">
        <v>13435.51</v>
      </c>
      <c r="Y306">
        <v>0</v>
      </c>
    </row>
    <row r="307" spans="2:25" x14ac:dyDescent="0.25">
      <c r="B307" t="s">
        <v>177</v>
      </c>
      <c r="C307" t="s">
        <v>28</v>
      </c>
      <c r="D307" t="s">
        <v>28</v>
      </c>
      <c r="E307" t="s">
        <v>28</v>
      </c>
      <c r="F307" t="s">
        <v>28</v>
      </c>
      <c r="G307" t="s">
        <v>356</v>
      </c>
      <c r="H307" s="5">
        <v>2097.34</v>
      </c>
      <c r="I307" t="s">
        <v>26</v>
      </c>
      <c r="J307" t="s">
        <v>27</v>
      </c>
      <c r="N307" t="s">
        <v>29</v>
      </c>
      <c r="O307" t="s">
        <v>30</v>
      </c>
      <c r="P307" t="s">
        <v>31</v>
      </c>
      <c r="Q307">
        <v>19503</v>
      </c>
      <c r="R307">
        <v>2</v>
      </c>
      <c r="T307">
        <v>19503</v>
      </c>
      <c r="U307" s="5"/>
      <c r="X307" s="5">
        <v>2097.34</v>
      </c>
      <c r="Y307">
        <v>0</v>
      </c>
    </row>
    <row r="308" spans="2:25" x14ac:dyDescent="0.25">
      <c r="B308" t="s">
        <v>177</v>
      </c>
      <c r="C308" t="s">
        <v>28</v>
      </c>
      <c r="D308" t="s">
        <v>28</v>
      </c>
      <c r="E308" t="s">
        <v>28</v>
      </c>
      <c r="F308" t="s">
        <v>28</v>
      </c>
      <c r="G308" t="s">
        <v>547</v>
      </c>
      <c r="H308" s="5">
        <v>543487.18000000005</v>
      </c>
      <c r="I308" t="s">
        <v>26</v>
      </c>
      <c r="J308" t="s">
        <v>27</v>
      </c>
      <c r="N308" t="s">
        <v>29</v>
      </c>
      <c r="O308" t="s">
        <v>30</v>
      </c>
      <c r="P308" t="s">
        <v>31</v>
      </c>
      <c r="Q308">
        <v>26994</v>
      </c>
      <c r="R308">
        <v>2</v>
      </c>
      <c r="T308">
        <v>26994</v>
      </c>
      <c r="U308" s="5"/>
      <c r="X308" s="5">
        <v>543487.18000000005</v>
      </c>
      <c r="Y308">
        <v>0</v>
      </c>
    </row>
    <row r="309" spans="2:25" x14ac:dyDescent="0.25">
      <c r="B309" t="s">
        <v>177</v>
      </c>
      <c r="C309" t="s">
        <v>28</v>
      </c>
      <c r="D309" t="s">
        <v>28</v>
      </c>
      <c r="E309" t="s">
        <v>28</v>
      </c>
      <c r="F309" t="s">
        <v>28</v>
      </c>
      <c r="G309" t="s">
        <v>548</v>
      </c>
      <c r="H309" s="5">
        <v>1892.79</v>
      </c>
      <c r="I309" t="s">
        <v>26</v>
      </c>
      <c r="J309" t="s">
        <v>27</v>
      </c>
      <c r="N309" t="s">
        <v>29</v>
      </c>
      <c r="O309" t="s">
        <v>30</v>
      </c>
      <c r="P309" t="s">
        <v>31</v>
      </c>
      <c r="Q309">
        <v>23611</v>
      </c>
      <c r="R309">
        <v>2</v>
      </c>
      <c r="T309">
        <v>23611</v>
      </c>
      <c r="U309" s="5"/>
      <c r="X309" s="5">
        <v>1892.79</v>
      </c>
      <c r="Y309">
        <v>0</v>
      </c>
    </row>
    <row r="310" spans="2:25" x14ac:dyDescent="0.25">
      <c r="B310" t="s">
        <v>177</v>
      </c>
      <c r="C310" t="s">
        <v>28</v>
      </c>
      <c r="D310" t="s">
        <v>28</v>
      </c>
      <c r="E310" t="s">
        <v>28</v>
      </c>
      <c r="F310" t="s">
        <v>28</v>
      </c>
      <c r="G310" t="s">
        <v>311</v>
      </c>
      <c r="H310" s="5">
        <v>393874.74</v>
      </c>
      <c r="I310" t="s">
        <v>26</v>
      </c>
      <c r="J310" t="s">
        <v>27</v>
      </c>
      <c r="N310" t="s">
        <v>29</v>
      </c>
      <c r="O310" t="s">
        <v>30</v>
      </c>
      <c r="P310" t="s">
        <v>31</v>
      </c>
      <c r="Q310">
        <v>25684</v>
      </c>
      <c r="R310">
        <v>2</v>
      </c>
      <c r="T310">
        <v>25684</v>
      </c>
      <c r="U310" s="5"/>
      <c r="X310" s="5">
        <v>393874.74</v>
      </c>
      <c r="Y310">
        <v>0</v>
      </c>
    </row>
    <row r="311" spans="2:25" x14ac:dyDescent="0.25">
      <c r="B311" t="s">
        <v>177</v>
      </c>
      <c r="C311" t="s">
        <v>28</v>
      </c>
      <c r="D311" t="s">
        <v>28</v>
      </c>
      <c r="E311" t="s">
        <v>28</v>
      </c>
      <c r="F311" t="s">
        <v>28</v>
      </c>
      <c r="G311" t="s">
        <v>549</v>
      </c>
      <c r="H311" s="5">
        <v>124.68</v>
      </c>
      <c r="I311" t="s">
        <v>26</v>
      </c>
      <c r="J311" t="s">
        <v>27</v>
      </c>
      <c r="N311" t="s">
        <v>29</v>
      </c>
      <c r="O311" t="s">
        <v>30</v>
      </c>
      <c r="P311" t="s">
        <v>31</v>
      </c>
      <c r="Q311">
        <v>23649</v>
      </c>
      <c r="R311">
        <v>2</v>
      </c>
      <c r="T311">
        <v>23649</v>
      </c>
      <c r="U311" s="5"/>
      <c r="X311" s="5">
        <v>124.68</v>
      </c>
      <c r="Y311">
        <v>0</v>
      </c>
    </row>
    <row r="312" spans="2:25" x14ac:dyDescent="0.25">
      <c r="B312" t="s">
        <v>177</v>
      </c>
      <c r="C312" t="s">
        <v>28</v>
      </c>
      <c r="D312" t="s">
        <v>28</v>
      </c>
      <c r="E312" t="s">
        <v>28</v>
      </c>
      <c r="F312" t="s">
        <v>28</v>
      </c>
      <c r="G312" t="s">
        <v>459</v>
      </c>
      <c r="H312" s="5">
        <v>42107.6</v>
      </c>
      <c r="I312" t="s">
        <v>26</v>
      </c>
      <c r="J312" t="s">
        <v>27</v>
      </c>
      <c r="N312" t="s">
        <v>29</v>
      </c>
      <c r="O312" t="s">
        <v>30</v>
      </c>
      <c r="P312" t="s">
        <v>31</v>
      </c>
      <c r="Q312">
        <v>8264</v>
      </c>
      <c r="R312">
        <v>2</v>
      </c>
      <c r="T312">
        <v>8264</v>
      </c>
      <c r="U312" s="5"/>
      <c r="X312" s="5">
        <v>42107.6</v>
      </c>
      <c r="Y312">
        <v>0</v>
      </c>
    </row>
    <row r="313" spans="2:25" x14ac:dyDescent="0.25">
      <c r="B313" t="s">
        <v>177</v>
      </c>
      <c r="C313" t="s">
        <v>28</v>
      </c>
      <c r="D313" t="s">
        <v>28</v>
      </c>
      <c r="E313" t="s">
        <v>28</v>
      </c>
      <c r="F313" t="s">
        <v>28</v>
      </c>
      <c r="G313" t="s">
        <v>308</v>
      </c>
      <c r="H313" s="5">
        <v>167.68</v>
      </c>
      <c r="I313" t="s">
        <v>26</v>
      </c>
      <c r="J313" t="s">
        <v>27</v>
      </c>
      <c r="N313" t="s">
        <v>29</v>
      </c>
      <c r="O313" t="s">
        <v>30</v>
      </c>
      <c r="P313" t="s">
        <v>31</v>
      </c>
      <c r="Q313">
        <v>23627</v>
      </c>
      <c r="R313">
        <v>2</v>
      </c>
      <c r="T313">
        <v>23627</v>
      </c>
      <c r="U313" s="5"/>
      <c r="X313" s="5">
        <v>167.68</v>
      </c>
      <c r="Y313">
        <v>0</v>
      </c>
    </row>
    <row r="314" spans="2:25" x14ac:dyDescent="0.25">
      <c r="B314" t="s">
        <v>177</v>
      </c>
      <c r="C314" t="s">
        <v>28</v>
      </c>
      <c r="D314" t="s">
        <v>28</v>
      </c>
      <c r="E314" t="s">
        <v>28</v>
      </c>
      <c r="F314" t="s">
        <v>28</v>
      </c>
      <c r="G314" t="s">
        <v>263</v>
      </c>
      <c r="H314" s="5">
        <v>96.74</v>
      </c>
      <c r="I314" t="s">
        <v>26</v>
      </c>
      <c r="J314" t="s">
        <v>27</v>
      </c>
      <c r="N314" t="s">
        <v>29</v>
      </c>
      <c r="O314" t="s">
        <v>30</v>
      </c>
      <c r="P314" t="s">
        <v>31</v>
      </c>
      <c r="Q314">
        <v>23635</v>
      </c>
      <c r="R314">
        <v>2</v>
      </c>
      <c r="T314">
        <v>23635</v>
      </c>
      <c r="U314" s="5"/>
      <c r="X314" s="5">
        <v>96.74</v>
      </c>
      <c r="Y314">
        <v>0</v>
      </c>
    </row>
    <row r="315" spans="2:25" x14ac:dyDescent="0.25">
      <c r="B315" t="s">
        <v>177</v>
      </c>
      <c r="C315" t="s">
        <v>28</v>
      </c>
      <c r="D315" t="s">
        <v>28</v>
      </c>
      <c r="E315" t="s">
        <v>28</v>
      </c>
      <c r="F315" t="s">
        <v>28</v>
      </c>
      <c r="G315" t="s">
        <v>474</v>
      </c>
      <c r="H315" s="5">
        <v>51057.279999999999</v>
      </c>
      <c r="I315" t="s">
        <v>26</v>
      </c>
      <c r="J315" t="s">
        <v>27</v>
      </c>
      <c r="N315" t="s">
        <v>29</v>
      </c>
      <c r="O315" t="s">
        <v>30</v>
      </c>
      <c r="P315" t="s">
        <v>31</v>
      </c>
      <c r="Q315">
        <v>9002370446</v>
      </c>
      <c r="R315">
        <v>2</v>
      </c>
      <c r="T315">
        <v>9002370446</v>
      </c>
      <c r="U315" s="5"/>
      <c r="X315" s="5">
        <v>51057.279999999999</v>
      </c>
      <c r="Y315">
        <v>0</v>
      </c>
    </row>
    <row r="316" spans="2:25" x14ac:dyDescent="0.25">
      <c r="B316" t="s">
        <v>177</v>
      </c>
      <c r="C316" t="s">
        <v>28</v>
      </c>
      <c r="D316" t="s">
        <v>28</v>
      </c>
      <c r="E316" t="s">
        <v>28</v>
      </c>
      <c r="F316" t="s">
        <v>28</v>
      </c>
      <c r="G316" t="s">
        <v>551</v>
      </c>
      <c r="H316" s="5">
        <v>2074.44</v>
      </c>
      <c r="I316" t="s">
        <v>26</v>
      </c>
      <c r="J316" t="s">
        <v>27</v>
      </c>
      <c r="N316" t="s">
        <v>29</v>
      </c>
      <c r="O316" t="s">
        <v>30</v>
      </c>
      <c r="P316" t="s">
        <v>31</v>
      </c>
      <c r="Q316">
        <v>23561</v>
      </c>
      <c r="R316">
        <v>2</v>
      </c>
      <c r="T316">
        <v>23561</v>
      </c>
      <c r="U316" s="5"/>
      <c r="X316" s="5">
        <v>2074.44</v>
      </c>
      <c r="Y316">
        <v>0</v>
      </c>
    </row>
    <row r="317" spans="2:25" x14ac:dyDescent="0.25">
      <c r="B317" t="s">
        <v>177</v>
      </c>
      <c r="C317" t="s">
        <v>28</v>
      </c>
      <c r="D317" t="s">
        <v>28</v>
      </c>
      <c r="E317" t="s">
        <v>28</v>
      </c>
      <c r="F317" t="s">
        <v>28</v>
      </c>
      <c r="G317" t="s">
        <v>552</v>
      </c>
      <c r="H317" s="5">
        <v>43081.95</v>
      </c>
      <c r="I317" t="s">
        <v>26</v>
      </c>
      <c r="J317" t="s">
        <v>27</v>
      </c>
      <c r="N317" t="s">
        <v>29</v>
      </c>
      <c r="O317" t="s">
        <v>30</v>
      </c>
      <c r="P317" t="s">
        <v>31</v>
      </c>
      <c r="Q317">
        <v>26501</v>
      </c>
      <c r="R317">
        <v>2</v>
      </c>
      <c r="T317">
        <v>26501</v>
      </c>
      <c r="U317" s="5"/>
      <c r="X317" s="5">
        <v>43081.95</v>
      </c>
      <c r="Y317">
        <v>0</v>
      </c>
    </row>
    <row r="318" spans="2:25" x14ac:dyDescent="0.25">
      <c r="B318" t="s">
        <v>177</v>
      </c>
      <c r="C318" t="s">
        <v>28</v>
      </c>
      <c r="D318" t="s">
        <v>28</v>
      </c>
      <c r="E318" t="s">
        <v>28</v>
      </c>
      <c r="F318" t="s">
        <v>28</v>
      </c>
      <c r="G318" t="s">
        <v>430</v>
      </c>
      <c r="H318" s="5">
        <v>2074.44</v>
      </c>
      <c r="I318" t="s">
        <v>26</v>
      </c>
      <c r="J318" t="s">
        <v>27</v>
      </c>
      <c r="N318" t="s">
        <v>29</v>
      </c>
      <c r="O318" t="s">
        <v>30</v>
      </c>
      <c r="P318" t="s">
        <v>31</v>
      </c>
      <c r="Q318">
        <v>23552</v>
      </c>
      <c r="R318">
        <v>2</v>
      </c>
      <c r="T318" s="6">
        <v>23552</v>
      </c>
      <c r="U318" s="5"/>
      <c r="X318" s="5">
        <v>2074.44</v>
      </c>
      <c r="Y318">
        <v>0</v>
      </c>
    </row>
    <row r="319" spans="2:25" x14ac:dyDescent="0.25">
      <c r="B319" t="s">
        <v>177</v>
      </c>
      <c r="C319" t="s">
        <v>28</v>
      </c>
      <c r="D319" t="s">
        <v>28</v>
      </c>
      <c r="E319" t="s">
        <v>28</v>
      </c>
      <c r="F319" t="s">
        <v>28</v>
      </c>
      <c r="G319" t="s">
        <v>454</v>
      </c>
      <c r="H319" s="5">
        <v>117.16</v>
      </c>
      <c r="I319" t="s">
        <v>26</v>
      </c>
      <c r="J319" t="s">
        <v>27</v>
      </c>
      <c r="N319" t="s">
        <v>29</v>
      </c>
      <c r="O319" t="s">
        <v>30</v>
      </c>
      <c r="P319" t="s">
        <v>31</v>
      </c>
      <c r="Q319">
        <v>23650</v>
      </c>
      <c r="R319">
        <v>2</v>
      </c>
      <c r="T319">
        <v>23650</v>
      </c>
      <c r="U319" s="5"/>
      <c r="X319" s="5">
        <v>117.16</v>
      </c>
      <c r="Y319">
        <v>0</v>
      </c>
    </row>
    <row r="320" spans="2:25" x14ac:dyDescent="0.25">
      <c r="B320" t="s">
        <v>177</v>
      </c>
      <c r="C320" t="s">
        <v>28</v>
      </c>
      <c r="D320" t="s">
        <v>28</v>
      </c>
      <c r="E320" t="s">
        <v>28</v>
      </c>
      <c r="F320" t="s">
        <v>28</v>
      </c>
      <c r="G320" t="s">
        <v>460</v>
      </c>
      <c r="H320" s="5">
        <v>92666.64</v>
      </c>
      <c r="I320" t="s">
        <v>26</v>
      </c>
      <c r="J320" t="s">
        <v>27</v>
      </c>
      <c r="N320" t="s">
        <v>29</v>
      </c>
      <c r="O320" t="s">
        <v>30</v>
      </c>
      <c r="P320" t="s">
        <v>31</v>
      </c>
      <c r="Q320">
        <v>25681</v>
      </c>
      <c r="R320">
        <v>2</v>
      </c>
      <c r="T320">
        <v>25681</v>
      </c>
      <c r="U320" s="5"/>
      <c r="X320" s="5">
        <v>92666.64</v>
      </c>
      <c r="Y320">
        <v>0</v>
      </c>
    </row>
    <row r="321" spans="2:25" x14ac:dyDescent="0.25">
      <c r="B321" t="s">
        <v>177</v>
      </c>
      <c r="C321" t="s">
        <v>28</v>
      </c>
      <c r="D321" t="s">
        <v>28</v>
      </c>
      <c r="E321" t="s">
        <v>28</v>
      </c>
      <c r="F321" t="s">
        <v>28</v>
      </c>
      <c r="G321" t="s">
        <v>510</v>
      </c>
      <c r="H321" s="5">
        <v>305715.98</v>
      </c>
      <c r="I321" t="s">
        <v>26</v>
      </c>
      <c r="J321" t="s">
        <v>27</v>
      </c>
      <c r="N321" t="s">
        <v>29</v>
      </c>
      <c r="O321" t="s">
        <v>30</v>
      </c>
      <c r="P321" t="s">
        <v>31</v>
      </c>
      <c r="Q321">
        <v>27151</v>
      </c>
      <c r="R321">
        <v>2</v>
      </c>
      <c r="T321" t="s">
        <v>88</v>
      </c>
      <c r="U321" s="5" t="s">
        <v>191</v>
      </c>
      <c r="X321" s="5" t="s">
        <v>88</v>
      </c>
      <c r="Y321" t="s">
        <v>88</v>
      </c>
    </row>
    <row r="322" spans="2:25" x14ac:dyDescent="0.25">
      <c r="B322" t="s">
        <v>177</v>
      </c>
      <c r="C322" t="s">
        <v>28</v>
      </c>
      <c r="D322" t="s">
        <v>28</v>
      </c>
      <c r="E322" t="s">
        <v>28</v>
      </c>
      <c r="F322" t="s">
        <v>28</v>
      </c>
      <c r="G322" t="s">
        <v>553</v>
      </c>
      <c r="H322" s="5">
        <v>176.27</v>
      </c>
      <c r="I322" t="s">
        <v>26</v>
      </c>
      <c r="J322" t="s">
        <v>27</v>
      </c>
      <c r="N322" t="s">
        <v>29</v>
      </c>
      <c r="O322" t="s">
        <v>30</v>
      </c>
      <c r="P322" t="s">
        <v>31</v>
      </c>
      <c r="Q322">
        <v>23647</v>
      </c>
      <c r="R322">
        <v>2</v>
      </c>
      <c r="T322">
        <v>23647</v>
      </c>
      <c r="U322" s="5"/>
      <c r="X322" s="5">
        <v>176.27</v>
      </c>
      <c r="Y322">
        <v>0</v>
      </c>
    </row>
    <row r="323" spans="2:25" x14ac:dyDescent="0.25">
      <c r="B323" t="s">
        <v>177</v>
      </c>
      <c r="C323" t="s">
        <v>28</v>
      </c>
      <c r="D323" t="s">
        <v>28</v>
      </c>
      <c r="E323" t="s">
        <v>28</v>
      </c>
      <c r="F323" t="s">
        <v>28</v>
      </c>
      <c r="G323" t="s">
        <v>505</v>
      </c>
      <c r="H323" s="5">
        <v>16929.830000000002</v>
      </c>
      <c r="I323" t="s">
        <v>26</v>
      </c>
      <c r="J323" t="s">
        <v>27</v>
      </c>
      <c r="N323" t="s">
        <v>29</v>
      </c>
      <c r="O323" t="s">
        <v>30</v>
      </c>
      <c r="P323" t="s">
        <v>31</v>
      </c>
      <c r="Q323">
        <v>27036</v>
      </c>
      <c r="R323">
        <v>2</v>
      </c>
      <c r="T323">
        <v>27036</v>
      </c>
      <c r="U323" s="5"/>
      <c r="X323" s="5">
        <v>16929.830000000002</v>
      </c>
      <c r="Y323">
        <v>0</v>
      </c>
    </row>
    <row r="324" spans="2:25" x14ac:dyDescent="0.25">
      <c r="B324" t="s">
        <v>177</v>
      </c>
      <c r="C324" t="s">
        <v>28</v>
      </c>
      <c r="D324" t="s">
        <v>28</v>
      </c>
      <c r="E324" t="s">
        <v>28</v>
      </c>
      <c r="F324" t="s">
        <v>28</v>
      </c>
      <c r="G324" t="s">
        <v>427</v>
      </c>
      <c r="H324" s="5">
        <v>55379.199999999997</v>
      </c>
      <c r="I324" t="s">
        <v>26</v>
      </c>
      <c r="J324" t="s">
        <v>27</v>
      </c>
      <c r="N324" t="s">
        <v>29</v>
      </c>
      <c r="O324" t="s">
        <v>30</v>
      </c>
      <c r="P324" t="s">
        <v>31</v>
      </c>
      <c r="Q324">
        <v>24019</v>
      </c>
      <c r="R324">
        <v>2</v>
      </c>
      <c r="T324">
        <v>24019</v>
      </c>
      <c r="U324" s="5"/>
      <c r="X324" s="5">
        <v>55379.199999999997</v>
      </c>
      <c r="Y324">
        <v>0</v>
      </c>
    </row>
    <row r="325" spans="2:25" x14ac:dyDescent="0.25">
      <c r="B325" t="s">
        <v>177</v>
      </c>
      <c r="C325" t="s">
        <v>28</v>
      </c>
      <c r="D325" t="s">
        <v>28</v>
      </c>
      <c r="E325" t="s">
        <v>28</v>
      </c>
      <c r="F325" t="s">
        <v>28</v>
      </c>
      <c r="G325" t="s">
        <v>482</v>
      </c>
      <c r="H325" s="5">
        <v>68429.929999999993</v>
      </c>
      <c r="I325" t="s">
        <v>26</v>
      </c>
      <c r="J325" t="s">
        <v>27</v>
      </c>
      <c r="N325" t="s">
        <v>29</v>
      </c>
      <c r="O325" t="s">
        <v>30</v>
      </c>
      <c r="P325" t="s">
        <v>31</v>
      </c>
      <c r="Q325">
        <v>7400168683</v>
      </c>
      <c r="R325">
        <v>2</v>
      </c>
      <c r="T325">
        <v>7400168683</v>
      </c>
      <c r="U325" s="5"/>
      <c r="X325" s="5">
        <v>68429.929999999993</v>
      </c>
      <c r="Y325">
        <v>0</v>
      </c>
    </row>
    <row r="326" spans="2:25" x14ac:dyDescent="0.25">
      <c r="B326" t="s">
        <v>177</v>
      </c>
      <c r="C326" t="s">
        <v>28</v>
      </c>
      <c r="D326" t="s">
        <v>28</v>
      </c>
      <c r="E326" t="s">
        <v>28</v>
      </c>
      <c r="F326" t="s">
        <v>28</v>
      </c>
      <c r="G326" t="s">
        <v>448</v>
      </c>
      <c r="H326" s="5">
        <v>101096.36</v>
      </c>
      <c r="I326" t="s">
        <v>26</v>
      </c>
      <c r="J326" t="s">
        <v>27</v>
      </c>
      <c r="N326" t="s">
        <v>29</v>
      </c>
      <c r="O326" t="s">
        <v>30</v>
      </c>
      <c r="P326" t="s">
        <v>31</v>
      </c>
      <c r="Q326">
        <v>8010464178</v>
      </c>
      <c r="R326">
        <v>2</v>
      </c>
      <c r="T326">
        <v>8010464178</v>
      </c>
      <c r="U326" s="5"/>
      <c r="X326" s="5">
        <v>101096.36</v>
      </c>
      <c r="Y326">
        <v>0</v>
      </c>
    </row>
    <row r="327" spans="2:25" x14ac:dyDescent="0.25">
      <c r="B327" t="s">
        <v>177</v>
      </c>
      <c r="C327" t="s">
        <v>28</v>
      </c>
      <c r="D327" t="s">
        <v>28</v>
      </c>
      <c r="E327" t="s">
        <v>28</v>
      </c>
      <c r="F327" t="s">
        <v>28</v>
      </c>
      <c r="G327" t="s">
        <v>558</v>
      </c>
      <c r="H327" s="5">
        <v>78341.02</v>
      </c>
      <c r="I327" t="s">
        <v>26</v>
      </c>
      <c r="J327" t="s">
        <v>27</v>
      </c>
      <c r="N327" t="s">
        <v>29</v>
      </c>
      <c r="O327" t="s">
        <v>30</v>
      </c>
      <c r="P327" t="s">
        <v>31</v>
      </c>
      <c r="Q327">
        <v>25516</v>
      </c>
      <c r="R327">
        <v>2</v>
      </c>
      <c r="T327">
        <v>25516</v>
      </c>
      <c r="U327" s="5"/>
      <c r="X327" s="5">
        <v>77909.8</v>
      </c>
      <c r="Y327">
        <v>431.22000000000116</v>
      </c>
    </row>
    <row r="328" spans="2:25" x14ac:dyDescent="0.25">
      <c r="B328" t="s">
        <v>177</v>
      </c>
      <c r="C328" t="s">
        <v>28</v>
      </c>
      <c r="D328" t="s">
        <v>28</v>
      </c>
      <c r="E328" t="s">
        <v>28</v>
      </c>
      <c r="F328" t="s">
        <v>28</v>
      </c>
      <c r="G328" t="s">
        <v>318</v>
      </c>
      <c r="H328" s="5">
        <v>23699.82</v>
      </c>
      <c r="I328" t="s">
        <v>26</v>
      </c>
      <c r="J328" t="s">
        <v>27</v>
      </c>
      <c r="N328" t="s">
        <v>29</v>
      </c>
      <c r="O328" t="s">
        <v>30</v>
      </c>
      <c r="P328" t="s">
        <v>31</v>
      </c>
      <c r="Q328">
        <v>7400403925</v>
      </c>
      <c r="R328">
        <v>2</v>
      </c>
      <c r="T328">
        <v>7400403925</v>
      </c>
      <c r="U328" s="5"/>
      <c r="X328" s="5">
        <v>23699.82</v>
      </c>
      <c r="Y328">
        <v>0</v>
      </c>
    </row>
    <row r="329" spans="2:25" x14ac:dyDescent="0.25">
      <c r="B329" t="s">
        <v>177</v>
      </c>
      <c r="C329" t="s">
        <v>28</v>
      </c>
      <c r="D329" t="s">
        <v>28</v>
      </c>
      <c r="E329" t="s">
        <v>28</v>
      </c>
      <c r="F329" t="s">
        <v>28</v>
      </c>
      <c r="G329" t="s">
        <v>256</v>
      </c>
      <c r="H329" s="5">
        <v>94109.61</v>
      </c>
      <c r="I329" t="s">
        <v>26</v>
      </c>
      <c r="J329" t="s">
        <v>27</v>
      </c>
      <c r="N329" t="s">
        <v>29</v>
      </c>
      <c r="O329" t="s">
        <v>30</v>
      </c>
      <c r="P329" t="s">
        <v>31</v>
      </c>
      <c r="Q329">
        <v>23513</v>
      </c>
      <c r="R329">
        <v>2</v>
      </c>
      <c r="T329">
        <v>23513</v>
      </c>
      <c r="U329" s="5"/>
      <c r="X329" s="5">
        <v>94109.61</v>
      </c>
      <c r="Y329">
        <v>0</v>
      </c>
    </row>
    <row r="330" spans="2:25" x14ac:dyDescent="0.25">
      <c r="B330" t="s">
        <v>177</v>
      </c>
      <c r="C330" t="s">
        <v>28</v>
      </c>
      <c r="D330" t="s">
        <v>28</v>
      </c>
      <c r="E330" t="s">
        <v>28</v>
      </c>
      <c r="F330" t="s">
        <v>28</v>
      </c>
      <c r="G330" t="s">
        <v>561</v>
      </c>
      <c r="H330" s="5">
        <v>10748.41</v>
      </c>
      <c r="I330" t="s">
        <v>26</v>
      </c>
      <c r="J330" t="s">
        <v>27</v>
      </c>
      <c r="N330" t="s">
        <v>29</v>
      </c>
      <c r="O330" t="s">
        <v>30</v>
      </c>
      <c r="P330" t="s">
        <v>31</v>
      </c>
      <c r="Q330">
        <v>23543</v>
      </c>
      <c r="R330">
        <v>2</v>
      </c>
      <c r="T330">
        <v>23543</v>
      </c>
      <c r="U330" s="5"/>
      <c r="X330" s="5">
        <v>10748.41</v>
      </c>
      <c r="Y330">
        <v>0</v>
      </c>
    </row>
    <row r="331" spans="2:25" x14ac:dyDescent="0.25">
      <c r="B331" t="s">
        <v>177</v>
      </c>
      <c r="C331" t="s">
        <v>28</v>
      </c>
      <c r="D331" t="s">
        <v>28</v>
      </c>
      <c r="E331" t="s">
        <v>28</v>
      </c>
      <c r="F331" t="s">
        <v>28</v>
      </c>
      <c r="G331" t="s">
        <v>363</v>
      </c>
      <c r="H331" s="5">
        <v>52101.81</v>
      </c>
      <c r="I331" t="s">
        <v>26</v>
      </c>
      <c r="J331" t="s">
        <v>27</v>
      </c>
      <c r="N331" t="s">
        <v>29</v>
      </c>
      <c r="O331" t="s">
        <v>30</v>
      </c>
      <c r="P331" t="s">
        <v>31</v>
      </c>
      <c r="Q331">
        <v>23663</v>
      </c>
      <c r="R331">
        <v>2</v>
      </c>
      <c r="T331">
        <v>23663</v>
      </c>
      <c r="U331" s="5"/>
      <c r="X331" s="5">
        <v>52101.81</v>
      </c>
      <c r="Y331">
        <v>0</v>
      </c>
    </row>
    <row r="332" spans="2:25" x14ac:dyDescent="0.25">
      <c r="B332" t="s">
        <v>177</v>
      </c>
      <c r="C332" t="s">
        <v>28</v>
      </c>
      <c r="D332" t="s">
        <v>28</v>
      </c>
      <c r="E332" t="s">
        <v>28</v>
      </c>
      <c r="F332" t="s">
        <v>28</v>
      </c>
      <c r="G332" t="s">
        <v>267</v>
      </c>
      <c r="H332" s="5">
        <v>2109.91</v>
      </c>
      <c r="I332" t="s">
        <v>26</v>
      </c>
      <c r="J332" t="s">
        <v>27</v>
      </c>
      <c r="N332" t="s">
        <v>29</v>
      </c>
      <c r="O332" t="s">
        <v>30</v>
      </c>
      <c r="P332" t="s">
        <v>31</v>
      </c>
      <c r="Q332">
        <v>23559</v>
      </c>
      <c r="R332">
        <v>2</v>
      </c>
      <c r="T332">
        <v>23559</v>
      </c>
      <c r="U332" s="5"/>
      <c r="X332" s="5">
        <v>2109.91</v>
      </c>
      <c r="Y332">
        <v>0</v>
      </c>
    </row>
    <row r="333" spans="2:25" x14ac:dyDescent="0.25">
      <c r="B333" t="s">
        <v>177</v>
      </c>
      <c r="C333" t="s">
        <v>28</v>
      </c>
      <c r="D333" t="s">
        <v>28</v>
      </c>
      <c r="E333" t="s">
        <v>28</v>
      </c>
      <c r="F333" t="s">
        <v>28</v>
      </c>
      <c r="G333" t="s">
        <v>562</v>
      </c>
      <c r="H333" s="5">
        <v>75219.31</v>
      </c>
      <c r="I333" t="s">
        <v>26</v>
      </c>
      <c r="J333" t="s">
        <v>27</v>
      </c>
      <c r="N333" t="s">
        <v>29</v>
      </c>
      <c r="O333" t="s">
        <v>30</v>
      </c>
      <c r="P333" t="s">
        <v>31</v>
      </c>
      <c r="Q333">
        <v>27127</v>
      </c>
      <c r="R333">
        <v>2</v>
      </c>
      <c r="T333" t="s">
        <v>88</v>
      </c>
      <c r="U333" s="5" t="s">
        <v>191</v>
      </c>
      <c r="X333" s="5" t="s">
        <v>88</v>
      </c>
      <c r="Y333" t="s">
        <v>88</v>
      </c>
    </row>
    <row r="334" spans="2:25" x14ac:dyDescent="0.25">
      <c r="B334" t="s">
        <v>177</v>
      </c>
      <c r="C334" t="s">
        <v>28</v>
      </c>
      <c r="D334" t="s">
        <v>28</v>
      </c>
      <c r="E334" t="s">
        <v>28</v>
      </c>
      <c r="F334" t="s">
        <v>28</v>
      </c>
      <c r="G334" t="s">
        <v>396</v>
      </c>
      <c r="H334" s="5">
        <v>3111.66</v>
      </c>
      <c r="I334" t="s">
        <v>26</v>
      </c>
      <c r="J334" t="s">
        <v>27</v>
      </c>
      <c r="N334" t="s">
        <v>29</v>
      </c>
      <c r="O334" t="s">
        <v>30</v>
      </c>
      <c r="P334" t="s">
        <v>31</v>
      </c>
      <c r="Q334">
        <v>23562</v>
      </c>
      <c r="R334">
        <v>2</v>
      </c>
      <c r="T334">
        <v>23562</v>
      </c>
      <c r="U334" s="5"/>
      <c r="X334" s="5">
        <v>3111.66</v>
      </c>
      <c r="Y334">
        <v>0</v>
      </c>
    </row>
    <row r="335" spans="2:25" x14ac:dyDescent="0.25">
      <c r="B335" t="s">
        <v>177</v>
      </c>
      <c r="C335" t="s">
        <v>28</v>
      </c>
      <c r="D335" t="s">
        <v>28</v>
      </c>
      <c r="E335" t="s">
        <v>28</v>
      </c>
      <c r="F335" t="s">
        <v>28</v>
      </c>
      <c r="G335" t="s">
        <v>537</v>
      </c>
      <c r="H335" s="5">
        <v>53550</v>
      </c>
      <c r="I335" t="s">
        <v>26</v>
      </c>
      <c r="J335" t="s">
        <v>27</v>
      </c>
      <c r="N335" t="s">
        <v>29</v>
      </c>
      <c r="O335" t="s">
        <v>30</v>
      </c>
      <c r="P335" t="s">
        <v>31</v>
      </c>
      <c r="Q335">
        <v>9001791600</v>
      </c>
      <c r="R335">
        <v>2</v>
      </c>
      <c r="T335">
        <v>9001791600</v>
      </c>
      <c r="U335" s="5"/>
      <c r="X335" s="5">
        <v>53550</v>
      </c>
      <c r="Y335">
        <v>0</v>
      </c>
    </row>
    <row r="336" spans="2:25" x14ac:dyDescent="0.25">
      <c r="B336" t="s">
        <v>177</v>
      </c>
      <c r="C336" t="s">
        <v>28</v>
      </c>
      <c r="D336" t="s">
        <v>28</v>
      </c>
      <c r="E336" t="s">
        <v>28</v>
      </c>
      <c r="F336" t="s">
        <v>28</v>
      </c>
      <c r="G336" t="s">
        <v>251</v>
      </c>
      <c r="H336" s="5">
        <v>2171.1799999999998</v>
      </c>
      <c r="I336" t="s">
        <v>26</v>
      </c>
      <c r="J336" t="s">
        <v>27</v>
      </c>
      <c r="N336" t="s">
        <v>29</v>
      </c>
      <c r="O336" t="s">
        <v>30</v>
      </c>
      <c r="P336" t="s">
        <v>31</v>
      </c>
      <c r="Q336">
        <v>23583</v>
      </c>
      <c r="R336">
        <v>2</v>
      </c>
      <c r="T336" s="6">
        <v>23583</v>
      </c>
      <c r="U336" s="5"/>
      <c r="X336" s="5">
        <v>2171.1799999999998</v>
      </c>
      <c r="Y336">
        <v>0</v>
      </c>
    </row>
    <row r="337" spans="2:25" x14ac:dyDescent="0.25">
      <c r="B337" t="s">
        <v>177</v>
      </c>
      <c r="C337" t="s">
        <v>28</v>
      </c>
      <c r="D337" t="s">
        <v>28</v>
      </c>
      <c r="E337" t="s">
        <v>28</v>
      </c>
      <c r="F337" t="s">
        <v>28</v>
      </c>
      <c r="G337" t="s">
        <v>494</v>
      </c>
      <c r="H337" s="5">
        <v>1934.71</v>
      </c>
      <c r="I337" t="s">
        <v>26</v>
      </c>
      <c r="J337" t="s">
        <v>27</v>
      </c>
      <c r="N337" t="s">
        <v>29</v>
      </c>
      <c r="O337" t="s">
        <v>30</v>
      </c>
      <c r="P337" t="s">
        <v>31</v>
      </c>
      <c r="Q337">
        <v>23607</v>
      </c>
      <c r="R337">
        <v>2</v>
      </c>
      <c r="T337">
        <v>23607</v>
      </c>
      <c r="U337" s="5"/>
      <c r="X337" s="5">
        <v>1934.71</v>
      </c>
      <c r="Y337">
        <v>0</v>
      </c>
    </row>
    <row r="338" spans="2:25" x14ac:dyDescent="0.25">
      <c r="B338" t="s">
        <v>177</v>
      </c>
      <c r="C338" t="s">
        <v>28</v>
      </c>
      <c r="D338" t="s">
        <v>28</v>
      </c>
      <c r="E338" t="s">
        <v>28</v>
      </c>
      <c r="F338" t="s">
        <v>28</v>
      </c>
      <c r="G338" t="s">
        <v>209</v>
      </c>
      <c r="H338" s="5">
        <v>26578.67</v>
      </c>
      <c r="I338" t="s">
        <v>26</v>
      </c>
      <c r="J338" t="s">
        <v>27</v>
      </c>
      <c r="N338" t="s">
        <v>29</v>
      </c>
      <c r="O338" t="s">
        <v>30</v>
      </c>
      <c r="P338" t="s">
        <v>31</v>
      </c>
      <c r="Q338">
        <v>23487</v>
      </c>
      <c r="R338">
        <v>2</v>
      </c>
      <c r="T338">
        <v>23487</v>
      </c>
      <c r="U338" s="5"/>
      <c r="X338" s="5">
        <v>26578.67</v>
      </c>
      <c r="Y338">
        <v>0</v>
      </c>
    </row>
    <row r="339" spans="2:25" x14ac:dyDescent="0.25">
      <c r="B339" t="s">
        <v>177</v>
      </c>
      <c r="C339" t="s">
        <v>28</v>
      </c>
      <c r="D339" t="s">
        <v>28</v>
      </c>
      <c r="E339" t="s">
        <v>28</v>
      </c>
      <c r="F339" t="s">
        <v>28</v>
      </c>
      <c r="G339" t="s">
        <v>418</v>
      </c>
      <c r="H339" s="5">
        <v>107786.11</v>
      </c>
      <c r="I339" t="s">
        <v>26</v>
      </c>
      <c r="J339" t="s">
        <v>27</v>
      </c>
      <c r="N339" t="s">
        <v>29</v>
      </c>
      <c r="O339" t="s">
        <v>30</v>
      </c>
      <c r="P339" t="s">
        <v>31</v>
      </c>
      <c r="Q339">
        <v>23997</v>
      </c>
      <c r="R339">
        <v>2</v>
      </c>
      <c r="T339">
        <v>23997</v>
      </c>
      <c r="U339" s="5"/>
      <c r="X339" s="5">
        <v>107786.11</v>
      </c>
      <c r="Y339">
        <v>0</v>
      </c>
    </row>
    <row r="340" spans="2:25" x14ac:dyDescent="0.25">
      <c r="B340" t="s">
        <v>177</v>
      </c>
      <c r="C340" t="s">
        <v>28</v>
      </c>
      <c r="D340" t="s">
        <v>28</v>
      </c>
      <c r="E340" t="s">
        <v>28</v>
      </c>
      <c r="F340" t="s">
        <v>28</v>
      </c>
      <c r="G340" t="s">
        <v>567</v>
      </c>
      <c r="H340" s="5">
        <v>39497.14</v>
      </c>
      <c r="I340" t="s">
        <v>26</v>
      </c>
      <c r="J340" t="s">
        <v>27</v>
      </c>
      <c r="N340" t="s">
        <v>29</v>
      </c>
      <c r="O340" t="s">
        <v>30</v>
      </c>
      <c r="P340" t="s">
        <v>31</v>
      </c>
      <c r="Q340" t="s">
        <v>165</v>
      </c>
      <c r="R340">
        <v>2</v>
      </c>
      <c r="T340" t="s">
        <v>165</v>
      </c>
      <c r="U340" s="5"/>
      <c r="X340" s="5">
        <v>39497.14</v>
      </c>
      <c r="Y340">
        <v>0</v>
      </c>
    </row>
    <row r="341" spans="2:25" x14ac:dyDescent="0.25">
      <c r="B341" t="s">
        <v>177</v>
      </c>
      <c r="C341" t="s">
        <v>28</v>
      </c>
      <c r="D341" t="s">
        <v>28</v>
      </c>
      <c r="E341" t="s">
        <v>28</v>
      </c>
      <c r="F341" t="s">
        <v>28</v>
      </c>
      <c r="G341" t="s">
        <v>375</v>
      </c>
      <c r="H341" s="5">
        <v>21948.35</v>
      </c>
      <c r="I341" t="s">
        <v>26</v>
      </c>
      <c r="J341" t="s">
        <v>27</v>
      </c>
      <c r="N341" t="s">
        <v>29</v>
      </c>
      <c r="O341" t="s">
        <v>30</v>
      </c>
      <c r="P341" t="s">
        <v>31</v>
      </c>
      <c r="Q341">
        <v>23657</v>
      </c>
      <c r="R341">
        <v>2</v>
      </c>
      <c r="T341">
        <v>23657</v>
      </c>
      <c r="U341" s="5"/>
      <c r="X341" s="5">
        <v>21948.35</v>
      </c>
      <c r="Y341">
        <v>0</v>
      </c>
    </row>
    <row r="342" spans="2:25" x14ac:dyDescent="0.25">
      <c r="B342" t="s">
        <v>177</v>
      </c>
      <c r="C342" t="s">
        <v>28</v>
      </c>
      <c r="D342" t="s">
        <v>28</v>
      </c>
      <c r="E342" t="s">
        <v>28</v>
      </c>
      <c r="F342" t="s">
        <v>28</v>
      </c>
      <c r="G342" t="s">
        <v>382</v>
      </c>
      <c r="H342" s="5">
        <v>74898.63</v>
      </c>
      <c r="I342" t="s">
        <v>26</v>
      </c>
      <c r="J342" t="s">
        <v>27</v>
      </c>
      <c r="N342" t="s">
        <v>29</v>
      </c>
      <c r="O342" t="s">
        <v>30</v>
      </c>
      <c r="P342" t="s">
        <v>31</v>
      </c>
      <c r="Q342">
        <v>27125</v>
      </c>
      <c r="R342">
        <v>2</v>
      </c>
      <c r="T342">
        <v>27125</v>
      </c>
      <c r="U342" s="5"/>
      <c r="X342" s="5">
        <v>72500</v>
      </c>
      <c r="Y342">
        <v>2398.6300000000047</v>
      </c>
    </row>
    <row r="343" spans="2:25" x14ac:dyDescent="0.25">
      <c r="B343" t="s">
        <v>177</v>
      </c>
      <c r="C343" t="s">
        <v>28</v>
      </c>
      <c r="D343" t="s">
        <v>28</v>
      </c>
      <c r="E343" t="s">
        <v>28</v>
      </c>
      <c r="F343" t="s">
        <v>28</v>
      </c>
      <c r="G343" t="s">
        <v>287</v>
      </c>
      <c r="H343" s="5">
        <v>825.48</v>
      </c>
      <c r="I343" t="s">
        <v>26</v>
      </c>
      <c r="J343" t="s">
        <v>27</v>
      </c>
      <c r="N343" t="s">
        <v>29</v>
      </c>
      <c r="O343" t="s">
        <v>30</v>
      </c>
      <c r="P343" t="s">
        <v>31</v>
      </c>
      <c r="Q343">
        <v>23608</v>
      </c>
      <c r="R343">
        <v>2</v>
      </c>
      <c r="T343">
        <v>23608</v>
      </c>
      <c r="U343" s="5"/>
      <c r="X343" s="5">
        <v>825.48</v>
      </c>
      <c r="Y343">
        <v>0</v>
      </c>
    </row>
    <row r="344" spans="2:25" x14ac:dyDescent="0.25">
      <c r="B344" t="s">
        <v>177</v>
      </c>
      <c r="C344" t="s">
        <v>28</v>
      </c>
      <c r="D344" t="s">
        <v>28</v>
      </c>
      <c r="E344" t="s">
        <v>28</v>
      </c>
      <c r="F344" t="s">
        <v>28</v>
      </c>
      <c r="G344" t="s">
        <v>568</v>
      </c>
      <c r="H344" s="5">
        <v>38092.01</v>
      </c>
      <c r="I344" t="s">
        <v>26</v>
      </c>
      <c r="J344" t="s">
        <v>27</v>
      </c>
      <c r="N344" t="s">
        <v>29</v>
      </c>
      <c r="O344" t="s">
        <v>30</v>
      </c>
      <c r="P344" t="s">
        <v>31</v>
      </c>
      <c r="Q344">
        <v>23949</v>
      </c>
      <c r="R344">
        <v>2</v>
      </c>
      <c r="T344">
        <v>23949</v>
      </c>
      <c r="U344" s="5"/>
      <c r="X344" s="5">
        <v>38092.01</v>
      </c>
      <c r="Y344">
        <v>0</v>
      </c>
    </row>
    <row r="345" spans="2:25" x14ac:dyDescent="0.25">
      <c r="B345" t="s">
        <v>177</v>
      </c>
      <c r="C345" t="s">
        <v>28</v>
      </c>
      <c r="D345" t="s">
        <v>28</v>
      </c>
      <c r="E345" t="s">
        <v>28</v>
      </c>
      <c r="F345" t="s">
        <v>28</v>
      </c>
      <c r="G345" t="s">
        <v>401</v>
      </c>
      <c r="H345" s="5">
        <v>26563.62</v>
      </c>
      <c r="I345" t="s">
        <v>26</v>
      </c>
      <c r="J345" t="s">
        <v>27</v>
      </c>
      <c r="N345" t="s">
        <v>29</v>
      </c>
      <c r="O345" t="s">
        <v>30</v>
      </c>
      <c r="P345" t="s">
        <v>31</v>
      </c>
      <c r="Q345">
        <v>23494</v>
      </c>
      <c r="R345">
        <v>2</v>
      </c>
      <c r="T345">
        <v>23494</v>
      </c>
      <c r="U345" s="5"/>
      <c r="X345" s="5">
        <v>26563.62</v>
      </c>
      <c r="Y345">
        <v>0</v>
      </c>
    </row>
    <row r="346" spans="2:25" x14ac:dyDescent="0.25">
      <c r="B346" t="s">
        <v>177</v>
      </c>
      <c r="C346" t="s">
        <v>28</v>
      </c>
      <c r="D346" t="s">
        <v>28</v>
      </c>
      <c r="E346" t="s">
        <v>28</v>
      </c>
      <c r="F346" t="s">
        <v>28</v>
      </c>
      <c r="G346" t="s">
        <v>403</v>
      </c>
      <c r="H346" s="5">
        <v>96.74</v>
      </c>
      <c r="I346" t="s">
        <v>26</v>
      </c>
      <c r="J346" t="s">
        <v>27</v>
      </c>
      <c r="N346" t="s">
        <v>29</v>
      </c>
      <c r="O346" t="s">
        <v>30</v>
      </c>
      <c r="P346" t="s">
        <v>31</v>
      </c>
      <c r="Q346">
        <v>23634</v>
      </c>
      <c r="R346">
        <v>2</v>
      </c>
      <c r="T346">
        <v>23634</v>
      </c>
      <c r="U346" s="5"/>
      <c r="X346" s="5">
        <v>96.74</v>
      </c>
      <c r="Y346">
        <v>0</v>
      </c>
    </row>
    <row r="347" spans="2:25" x14ac:dyDescent="0.25">
      <c r="B347" t="s">
        <v>177</v>
      </c>
      <c r="C347" t="s">
        <v>28</v>
      </c>
      <c r="D347" t="s">
        <v>28</v>
      </c>
      <c r="E347" t="s">
        <v>28</v>
      </c>
      <c r="F347" t="s">
        <v>28</v>
      </c>
      <c r="G347" t="s">
        <v>499</v>
      </c>
      <c r="H347" s="5">
        <v>90114.69</v>
      </c>
      <c r="I347" t="s">
        <v>26</v>
      </c>
      <c r="J347" t="s">
        <v>27</v>
      </c>
      <c r="N347" t="s">
        <v>29</v>
      </c>
      <c r="O347" t="s">
        <v>30</v>
      </c>
      <c r="P347" t="s">
        <v>31</v>
      </c>
      <c r="Q347">
        <v>25704</v>
      </c>
      <c r="R347">
        <v>2</v>
      </c>
      <c r="T347">
        <v>25704</v>
      </c>
      <c r="U347" s="5"/>
      <c r="X347" s="5">
        <v>90114.69</v>
      </c>
      <c r="Y347">
        <v>0</v>
      </c>
    </row>
    <row r="348" spans="2:25" x14ac:dyDescent="0.25">
      <c r="B348" t="s">
        <v>177</v>
      </c>
      <c r="C348" t="s">
        <v>28</v>
      </c>
      <c r="D348" t="s">
        <v>28</v>
      </c>
      <c r="E348" t="s">
        <v>28</v>
      </c>
      <c r="F348" t="s">
        <v>28</v>
      </c>
      <c r="G348" t="s">
        <v>258</v>
      </c>
      <c r="H348" s="5">
        <v>44680.3</v>
      </c>
      <c r="I348" t="s">
        <v>26</v>
      </c>
      <c r="J348" t="s">
        <v>27</v>
      </c>
      <c r="N348" t="s">
        <v>29</v>
      </c>
      <c r="O348" t="s">
        <v>30</v>
      </c>
      <c r="P348" t="s">
        <v>31</v>
      </c>
      <c r="Q348">
        <v>23792</v>
      </c>
      <c r="R348">
        <v>2</v>
      </c>
      <c r="T348">
        <v>23792</v>
      </c>
      <c r="U348" s="5"/>
      <c r="X348" s="5">
        <v>44680.3</v>
      </c>
      <c r="Y348">
        <v>0</v>
      </c>
    </row>
    <row r="349" spans="2:25" x14ac:dyDescent="0.25">
      <c r="B349" t="s">
        <v>177</v>
      </c>
      <c r="C349" t="s">
        <v>28</v>
      </c>
      <c r="D349" t="s">
        <v>28</v>
      </c>
      <c r="E349" t="s">
        <v>28</v>
      </c>
      <c r="F349" t="s">
        <v>28</v>
      </c>
      <c r="G349" t="s">
        <v>563</v>
      </c>
      <c r="H349" s="5">
        <v>35827.79</v>
      </c>
      <c r="I349" t="s">
        <v>26</v>
      </c>
      <c r="J349" t="s">
        <v>27</v>
      </c>
      <c r="N349" t="s">
        <v>29</v>
      </c>
      <c r="O349" t="s">
        <v>30</v>
      </c>
      <c r="P349" t="s">
        <v>31</v>
      </c>
      <c r="Q349">
        <v>27047</v>
      </c>
      <c r="R349">
        <v>2</v>
      </c>
      <c r="T349">
        <v>27047</v>
      </c>
      <c r="U349" s="5"/>
      <c r="X349" s="5">
        <v>35200</v>
      </c>
      <c r="Y349">
        <v>627.79000000000087</v>
      </c>
    </row>
    <row r="350" spans="2:25" x14ac:dyDescent="0.25">
      <c r="B350" t="s">
        <v>177</v>
      </c>
      <c r="C350" t="s">
        <v>28</v>
      </c>
      <c r="D350" t="s">
        <v>28</v>
      </c>
      <c r="E350" t="s">
        <v>28</v>
      </c>
      <c r="F350" t="s">
        <v>28</v>
      </c>
      <c r="G350" t="s">
        <v>335</v>
      </c>
      <c r="H350" s="5">
        <v>76636.149999999994</v>
      </c>
      <c r="I350" t="s">
        <v>26</v>
      </c>
      <c r="J350" t="s">
        <v>27</v>
      </c>
      <c r="N350" t="s">
        <v>29</v>
      </c>
      <c r="O350" t="s">
        <v>30</v>
      </c>
      <c r="P350" t="s">
        <v>31</v>
      </c>
      <c r="Q350">
        <v>23507</v>
      </c>
      <c r="R350">
        <v>2</v>
      </c>
      <c r="T350">
        <v>23507</v>
      </c>
      <c r="U350" s="5"/>
      <c r="X350" s="5">
        <v>76636.149999999994</v>
      </c>
      <c r="Y350">
        <v>0</v>
      </c>
    </row>
    <row r="351" spans="2:25" x14ac:dyDescent="0.25">
      <c r="B351" t="s">
        <v>177</v>
      </c>
      <c r="C351" t="s">
        <v>28</v>
      </c>
      <c r="D351" t="s">
        <v>28</v>
      </c>
      <c r="E351" t="s">
        <v>28</v>
      </c>
      <c r="F351" t="s">
        <v>28</v>
      </c>
      <c r="G351" t="s">
        <v>471</v>
      </c>
      <c r="H351" s="5">
        <v>368.67</v>
      </c>
      <c r="I351" t="s">
        <v>26</v>
      </c>
      <c r="J351" t="s">
        <v>27</v>
      </c>
      <c r="N351" t="s">
        <v>29</v>
      </c>
      <c r="O351" t="s">
        <v>30</v>
      </c>
      <c r="P351" t="s">
        <v>31</v>
      </c>
      <c r="Q351">
        <v>23642</v>
      </c>
      <c r="R351">
        <v>2</v>
      </c>
      <c r="T351">
        <v>23642</v>
      </c>
      <c r="U351" s="5"/>
      <c r="X351" s="5">
        <v>368.67</v>
      </c>
      <c r="Y351">
        <v>0</v>
      </c>
    </row>
    <row r="352" spans="2:25" x14ac:dyDescent="0.25">
      <c r="B352" t="s">
        <v>177</v>
      </c>
      <c r="C352" t="s">
        <v>28</v>
      </c>
      <c r="D352" t="s">
        <v>28</v>
      </c>
      <c r="E352" t="s">
        <v>28</v>
      </c>
      <c r="F352" t="s">
        <v>28</v>
      </c>
      <c r="G352" t="s">
        <v>332</v>
      </c>
      <c r="H352" s="5">
        <v>1859.47</v>
      </c>
      <c r="I352" t="s">
        <v>26</v>
      </c>
      <c r="J352" t="s">
        <v>27</v>
      </c>
      <c r="N352" t="s">
        <v>29</v>
      </c>
      <c r="O352" t="s">
        <v>30</v>
      </c>
      <c r="P352" t="s">
        <v>31</v>
      </c>
      <c r="Q352">
        <v>23588</v>
      </c>
      <c r="R352">
        <v>2</v>
      </c>
      <c r="T352">
        <v>23588</v>
      </c>
      <c r="U352" s="5"/>
      <c r="X352" s="5">
        <v>1859.47</v>
      </c>
      <c r="Y352">
        <v>0</v>
      </c>
    </row>
    <row r="353" spans="2:25" x14ac:dyDescent="0.25">
      <c r="B353" t="s">
        <v>177</v>
      </c>
      <c r="C353" t="s">
        <v>28</v>
      </c>
      <c r="D353" t="s">
        <v>28</v>
      </c>
      <c r="E353" t="s">
        <v>28</v>
      </c>
      <c r="F353" t="s">
        <v>28</v>
      </c>
      <c r="G353" t="s">
        <v>441</v>
      </c>
      <c r="H353" s="5">
        <v>1892.79</v>
      </c>
      <c r="I353" t="s">
        <v>26</v>
      </c>
      <c r="J353" t="s">
        <v>27</v>
      </c>
      <c r="N353" t="s">
        <v>29</v>
      </c>
      <c r="O353" t="s">
        <v>30</v>
      </c>
      <c r="P353" t="s">
        <v>31</v>
      </c>
      <c r="Q353">
        <v>23612</v>
      </c>
      <c r="R353">
        <v>2</v>
      </c>
      <c r="T353" s="6">
        <v>23612</v>
      </c>
      <c r="U353" s="5"/>
      <c r="X353" s="5">
        <v>1892.79</v>
      </c>
      <c r="Y353">
        <v>0</v>
      </c>
    </row>
    <row r="354" spans="2:25" x14ac:dyDescent="0.25">
      <c r="B354" t="s">
        <v>177</v>
      </c>
      <c r="C354" t="s">
        <v>28</v>
      </c>
      <c r="D354" t="s">
        <v>28</v>
      </c>
      <c r="E354" t="s">
        <v>28</v>
      </c>
      <c r="F354" t="s">
        <v>28</v>
      </c>
      <c r="G354" t="s">
        <v>569</v>
      </c>
      <c r="H354" s="5">
        <v>112516.79</v>
      </c>
      <c r="I354" t="s">
        <v>26</v>
      </c>
      <c r="J354" t="s">
        <v>27</v>
      </c>
      <c r="N354" t="s">
        <v>29</v>
      </c>
      <c r="O354" t="s">
        <v>30</v>
      </c>
      <c r="P354" t="s">
        <v>31</v>
      </c>
      <c r="Q354">
        <v>23516</v>
      </c>
      <c r="R354">
        <v>2</v>
      </c>
      <c r="T354">
        <v>23516</v>
      </c>
      <c r="U354" s="5"/>
      <c r="X354" s="5">
        <v>112516.79</v>
      </c>
      <c r="Y354">
        <v>0</v>
      </c>
    </row>
    <row r="355" spans="2:25" x14ac:dyDescent="0.25">
      <c r="B355" t="s">
        <v>177</v>
      </c>
      <c r="C355" t="s">
        <v>28</v>
      </c>
      <c r="D355" t="s">
        <v>28</v>
      </c>
      <c r="E355" t="s">
        <v>28</v>
      </c>
      <c r="F355" t="s">
        <v>28</v>
      </c>
      <c r="G355" t="s">
        <v>573</v>
      </c>
      <c r="H355" s="5">
        <v>4605.12</v>
      </c>
      <c r="I355" t="s">
        <v>26</v>
      </c>
      <c r="J355" t="s">
        <v>27</v>
      </c>
      <c r="N355" t="s">
        <v>29</v>
      </c>
      <c r="O355" t="s">
        <v>30</v>
      </c>
      <c r="P355" t="s">
        <v>31</v>
      </c>
      <c r="Q355">
        <v>19371</v>
      </c>
      <c r="R355">
        <v>2</v>
      </c>
      <c r="T355">
        <v>19371</v>
      </c>
      <c r="U355" s="5"/>
      <c r="X355" s="5">
        <v>4605.12</v>
      </c>
      <c r="Y355">
        <v>0</v>
      </c>
    </row>
    <row r="356" spans="2:25" x14ac:dyDescent="0.25">
      <c r="B356" t="s">
        <v>177</v>
      </c>
      <c r="C356" t="s">
        <v>28</v>
      </c>
      <c r="D356" t="s">
        <v>28</v>
      </c>
      <c r="E356" t="s">
        <v>28</v>
      </c>
      <c r="F356" t="s">
        <v>28</v>
      </c>
      <c r="G356" t="s">
        <v>424</v>
      </c>
      <c r="H356" s="5">
        <v>26563.62</v>
      </c>
      <c r="I356" t="s">
        <v>26</v>
      </c>
      <c r="J356" t="s">
        <v>27</v>
      </c>
      <c r="N356" t="s">
        <v>29</v>
      </c>
      <c r="O356" t="s">
        <v>30</v>
      </c>
      <c r="P356" t="s">
        <v>31</v>
      </c>
      <c r="Q356">
        <v>23496</v>
      </c>
      <c r="R356">
        <v>2</v>
      </c>
      <c r="T356">
        <v>23496</v>
      </c>
      <c r="U356" s="5"/>
      <c r="X356" s="5">
        <v>26563.62</v>
      </c>
      <c r="Y356">
        <v>0</v>
      </c>
    </row>
    <row r="357" spans="2:25" x14ac:dyDescent="0.25">
      <c r="B357" t="s">
        <v>177</v>
      </c>
      <c r="C357" t="s">
        <v>28</v>
      </c>
      <c r="D357" t="s">
        <v>28</v>
      </c>
      <c r="E357" t="s">
        <v>28</v>
      </c>
      <c r="F357" t="s">
        <v>28</v>
      </c>
      <c r="G357" t="s">
        <v>182</v>
      </c>
      <c r="H357" s="5">
        <v>266.56</v>
      </c>
      <c r="I357" t="s">
        <v>26</v>
      </c>
      <c r="J357" t="s">
        <v>27</v>
      </c>
      <c r="N357" t="s">
        <v>29</v>
      </c>
      <c r="O357" t="s">
        <v>30</v>
      </c>
      <c r="P357" t="s">
        <v>31</v>
      </c>
      <c r="Q357">
        <v>23645</v>
      </c>
      <c r="R357">
        <v>2</v>
      </c>
      <c r="T357">
        <v>23645</v>
      </c>
      <c r="U357" s="5"/>
      <c r="X357" s="5">
        <v>266.56</v>
      </c>
      <c r="Y357">
        <v>0</v>
      </c>
    </row>
    <row r="358" spans="2:25" x14ac:dyDescent="0.25">
      <c r="B358" t="s">
        <v>177</v>
      </c>
      <c r="C358" t="s">
        <v>28</v>
      </c>
      <c r="D358" t="s">
        <v>28</v>
      </c>
      <c r="E358" t="s">
        <v>28</v>
      </c>
      <c r="F358" t="s">
        <v>28</v>
      </c>
      <c r="G358" t="s">
        <v>554</v>
      </c>
      <c r="H358" s="5">
        <v>29022.67</v>
      </c>
      <c r="I358" t="s">
        <v>26</v>
      </c>
      <c r="J358" t="s">
        <v>27</v>
      </c>
      <c r="N358" t="s">
        <v>29</v>
      </c>
      <c r="O358" t="s">
        <v>30</v>
      </c>
      <c r="P358" t="s">
        <v>31</v>
      </c>
      <c r="Q358">
        <v>7400469164</v>
      </c>
      <c r="R358">
        <v>2</v>
      </c>
      <c r="T358">
        <v>7400469164</v>
      </c>
      <c r="U358" s="5"/>
      <c r="X358" s="5">
        <v>29022.67</v>
      </c>
      <c r="Y358">
        <v>0</v>
      </c>
    </row>
    <row r="359" spans="2:25" x14ac:dyDescent="0.25">
      <c r="B359" t="s">
        <v>177</v>
      </c>
      <c r="C359" t="s">
        <v>28</v>
      </c>
      <c r="D359" t="s">
        <v>28</v>
      </c>
      <c r="E359" t="s">
        <v>28</v>
      </c>
      <c r="F359" t="s">
        <v>28</v>
      </c>
      <c r="G359" t="s">
        <v>574</v>
      </c>
      <c r="H359" s="5">
        <v>10722.57</v>
      </c>
      <c r="I359" t="s">
        <v>26</v>
      </c>
      <c r="J359" t="s">
        <v>27</v>
      </c>
      <c r="N359" t="s">
        <v>29</v>
      </c>
      <c r="O359" t="s">
        <v>30</v>
      </c>
      <c r="P359" t="s">
        <v>31</v>
      </c>
      <c r="Q359">
        <v>23536</v>
      </c>
      <c r="R359">
        <v>2</v>
      </c>
      <c r="T359">
        <v>23536</v>
      </c>
      <c r="U359" s="5"/>
      <c r="X359" s="5">
        <v>10722.57</v>
      </c>
      <c r="Y359">
        <v>0</v>
      </c>
    </row>
    <row r="360" spans="2:25" x14ac:dyDescent="0.25">
      <c r="B360" t="s">
        <v>177</v>
      </c>
      <c r="C360" t="s">
        <v>28</v>
      </c>
      <c r="D360" t="s">
        <v>28</v>
      </c>
      <c r="E360" t="s">
        <v>28</v>
      </c>
      <c r="F360" t="s">
        <v>28</v>
      </c>
      <c r="G360" t="s">
        <v>526</v>
      </c>
      <c r="H360" s="5">
        <v>141372.85999999999</v>
      </c>
      <c r="I360" t="s">
        <v>26</v>
      </c>
      <c r="J360" t="s">
        <v>27</v>
      </c>
      <c r="N360" t="s">
        <v>29</v>
      </c>
      <c r="O360" t="s">
        <v>30</v>
      </c>
      <c r="P360" t="s">
        <v>31</v>
      </c>
      <c r="Q360">
        <v>26510</v>
      </c>
      <c r="R360">
        <v>2</v>
      </c>
      <c r="T360">
        <v>26510</v>
      </c>
      <c r="U360" s="5"/>
      <c r="X360" s="5">
        <v>141372.85999999999</v>
      </c>
      <c r="Y360">
        <v>0</v>
      </c>
    </row>
    <row r="361" spans="2:25" x14ac:dyDescent="0.25">
      <c r="B361" t="s">
        <v>177</v>
      </c>
      <c r="C361" t="s">
        <v>28</v>
      </c>
      <c r="D361" t="s">
        <v>28</v>
      </c>
      <c r="E361" t="s">
        <v>28</v>
      </c>
      <c r="F361" t="s">
        <v>28</v>
      </c>
      <c r="G361" t="s">
        <v>539</v>
      </c>
      <c r="H361" s="5">
        <v>4276.79</v>
      </c>
      <c r="I361" t="s">
        <v>26</v>
      </c>
      <c r="J361" t="s">
        <v>27</v>
      </c>
      <c r="N361" t="s">
        <v>29</v>
      </c>
      <c r="O361" t="s">
        <v>30</v>
      </c>
      <c r="P361" t="s">
        <v>31</v>
      </c>
      <c r="Q361">
        <v>23579</v>
      </c>
      <c r="R361">
        <v>2</v>
      </c>
      <c r="T361">
        <v>23579</v>
      </c>
      <c r="U361" s="5"/>
      <c r="X361" s="5">
        <v>4276.79</v>
      </c>
      <c r="Y361">
        <v>0</v>
      </c>
    </row>
    <row r="362" spans="2:25" x14ac:dyDescent="0.25">
      <c r="B362" t="s">
        <v>177</v>
      </c>
      <c r="C362" t="s">
        <v>28</v>
      </c>
      <c r="D362" t="s">
        <v>28</v>
      </c>
      <c r="E362" t="s">
        <v>28</v>
      </c>
      <c r="F362" t="s">
        <v>28</v>
      </c>
      <c r="G362" t="s">
        <v>572</v>
      </c>
      <c r="H362" s="5">
        <v>119.31</v>
      </c>
      <c r="I362" t="s">
        <v>26</v>
      </c>
      <c r="J362" t="s">
        <v>27</v>
      </c>
      <c r="N362" t="s">
        <v>29</v>
      </c>
      <c r="O362" t="s">
        <v>30</v>
      </c>
      <c r="P362" t="s">
        <v>31</v>
      </c>
      <c r="Q362">
        <v>23629</v>
      </c>
      <c r="R362">
        <v>2</v>
      </c>
      <c r="T362" s="6">
        <v>23629</v>
      </c>
      <c r="U362" s="5"/>
      <c r="X362" s="5">
        <v>119.31</v>
      </c>
      <c r="Y362">
        <v>0</v>
      </c>
    </row>
    <row r="363" spans="2:25" x14ac:dyDescent="0.25">
      <c r="B363" t="s">
        <v>177</v>
      </c>
      <c r="C363" t="s">
        <v>28</v>
      </c>
      <c r="D363" t="s">
        <v>28</v>
      </c>
      <c r="E363" t="s">
        <v>28</v>
      </c>
      <c r="F363" t="s">
        <v>28</v>
      </c>
      <c r="G363" t="s">
        <v>423</v>
      </c>
      <c r="H363" s="5">
        <v>117420.65</v>
      </c>
      <c r="I363" t="s">
        <v>26</v>
      </c>
      <c r="J363" t="s">
        <v>27</v>
      </c>
      <c r="N363" t="s">
        <v>29</v>
      </c>
      <c r="O363" t="s">
        <v>30</v>
      </c>
      <c r="P363" t="s">
        <v>31</v>
      </c>
      <c r="Q363">
        <v>16976</v>
      </c>
      <c r="R363">
        <v>2</v>
      </c>
      <c r="T363">
        <v>16976</v>
      </c>
      <c r="U363" s="5"/>
      <c r="X363" s="5">
        <v>117420.65</v>
      </c>
      <c r="Y363">
        <v>0</v>
      </c>
    </row>
    <row r="364" spans="2:25" x14ac:dyDescent="0.25">
      <c r="B364" t="s">
        <v>177</v>
      </c>
      <c r="C364" t="s">
        <v>28</v>
      </c>
      <c r="D364" t="s">
        <v>28</v>
      </c>
      <c r="E364" t="s">
        <v>28</v>
      </c>
      <c r="F364" t="s">
        <v>28</v>
      </c>
      <c r="G364" t="s">
        <v>486</v>
      </c>
      <c r="H364" s="5">
        <v>3081439.91</v>
      </c>
      <c r="I364" t="s">
        <v>26</v>
      </c>
      <c r="J364" t="s">
        <v>27</v>
      </c>
      <c r="N364" t="s">
        <v>29</v>
      </c>
      <c r="O364" t="s">
        <v>30</v>
      </c>
      <c r="P364" t="s">
        <v>31</v>
      </c>
      <c r="Q364">
        <v>23348</v>
      </c>
      <c r="R364">
        <v>2</v>
      </c>
      <c r="T364">
        <v>23348</v>
      </c>
      <c r="U364" s="5"/>
      <c r="X364" s="5">
        <v>3081439.91</v>
      </c>
      <c r="Y364">
        <v>0</v>
      </c>
    </row>
    <row r="365" spans="2:25" x14ac:dyDescent="0.25">
      <c r="B365" t="s">
        <v>177</v>
      </c>
      <c r="C365" t="s">
        <v>28</v>
      </c>
      <c r="D365" t="s">
        <v>28</v>
      </c>
      <c r="E365" t="s">
        <v>28</v>
      </c>
      <c r="F365" t="s">
        <v>28</v>
      </c>
      <c r="G365" t="s">
        <v>501</v>
      </c>
      <c r="H365" s="5">
        <v>13435.51</v>
      </c>
      <c r="I365" t="s">
        <v>26</v>
      </c>
      <c r="J365" t="s">
        <v>27</v>
      </c>
      <c r="N365" t="s">
        <v>29</v>
      </c>
      <c r="O365" t="s">
        <v>30</v>
      </c>
      <c r="P365" t="s">
        <v>31</v>
      </c>
      <c r="Q365">
        <v>23605</v>
      </c>
      <c r="R365">
        <v>2</v>
      </c>
      <c r="T365">
        <v>23605</v>
      </c>
      <c r="U365" s="5"/>
      <c r="X365" s="5">
        <v>13435.51</v>
      </c>
      <c r="Y365">
        <v>0</v>
      </c>
    </row>
    <row r="366" spans="2:25" x14ac:dyDescent="0.25">
      <c r="B366" t="s">
        <v>177</v>
      </c>
      <c r="C366" t="s">
        <v>28</v>
      </c>
      <c r="D366" t="s">
        <v>28</v>
      </c>
      <c r="E366" t="s">
        <v>28</v>
      </c>
      <c r="F366" t="s">
        <v>28</v>
      </c>
      <c r="G366" t="s">
        <v>571</v>
      </c>
      <c r="H366" s="5">
        <v>2172.25</v>
      </c>
      <c r="I366" t="s">
        <v>26</v>
      </c>
      <c r="J366" t="s">
        <v>27</v>
      </c>
      <c r="N366" t="s">
        <v>29</v>
      </c>
      <c r="O366" t="s">
        <v>30</v>
      </c>
      <c r="P366" t="s">
        <v>31</v>
      </c>
      <c r="Q366">
        <v>23597</v>
      </c>
      <c r="R366">
        <v>2</v>
      </c>
      <c r="T366">
        <v>23597</v>
      </c>
      <c r="U366" s="5"/>
      <c r="X366" s="5">
        <v>2172.25</v>
      </c>
      <c r="Y366">
        <v>0</v>
      </c>
    </row>
    <row r="367" spans="2:25" x14ac:dyDescent="0.25">
      <c r="B367" t="s">
        <v>177</v>
      </c>
      <c r="C367" t="s">
        <v>28</v>
      </c>
      <c r="D367" t="s">
        <v>28</v>
      </c>
      <c r="E367" t="s">
        <v>28</v>
      </c>
      <c r="F367" t="s">
        <v>28</v>
      </c>
      <c r="G367" t="s">
        <v>575</v>
      </c>
      <c r="H367" s="5">
        <v>123821.27</v>
      </c>
      <c r="I367" t="s">
        <v>26</v>
      </c>
      <c r="J367" t="s">
        <v>27</v>
      </c>
      <c r="N367" t="s">
        <v>29</v>
      </c>
      <c r="O367" t="s">
        <v>30</v>
      </c>
      <c r="P367" t="s">
        <v>31</v>
      </c>
      <c r="Q367">
        <v>23702</v>
      </c>
      <c r="R367">
        <v>2</v>
      </c>
      <c r="T367">
        <v>23702</v>
      </c>
      <c r="U367" s="5"/>
      <c r="X367" s="5">
        <v>123821.27</v>
      </c>
      <c r="Y367">
        <v>0</v>
      </c>
    </row>
    <row r="368" spans="2:25" x14ac:dyDescent="0.25">
      <c r="B368" t="s">
        <v>177</v>
      </c>
      <c r="C368" t="s">
        <v>28</v>
      </c>
      <c r="D368" t="s">
        <v>28</v>
      </c>
      <c r="E368" t="s">
        <v>28</v>
      </c>
      <c r="F368" t="s">
        <v>28</v>
      </c>
      <c r="G368" t="s">
        <v>350</v>
      </c>
      <c r="H368" s="5">
        <v>79884.41</v>
      </c>
      <c r="I368" t="s">
        <v>26</v>
      </c>
      <c r="J368" t="s">
        <v>27</v>
      </c>
      <c r="N368" t="s">
        <v>29</v>
      </c>
      <c r="O368" t="s">
        <v>30</v>
      </c>
      <c r="P368" t="s">
        <v>31</v>
      </c>
      <c r="Q368">
        <v>27096</v>
      </c>
      <c r="R368">
        <v>2</v>
      </c>
      <c r="T368" t="s">
        <v>88</v>
      </c>
      <c r="U368" s="5" t="s">
        <v>191</v>
      </c>
      <c r="X368" s="5" t="s">
        <v>88</v>
      </c>
      <c r="Y368" t="s">
        <v>88</v>
      </c>
    </row>
    <row r="369" spans="2:25" x14ac:dyDescent="0.25">
      <c r="B369" t="s">
        <v>177</v>
      </c>
      <c r="C369" t="s">
        <v>28</v>
      </c>
      <c r="D369" t="s">
        <v>28</v>
      </c>
      <c r="E369" t="s">
        <v>28</v>
      </c>
      <c r="F369" t="s">
        <v>28</v>
      </c>
      <c r="G369" t="s">
        <v>268</v>
      </c>
      <c r="H369" s="5">
        <v>87385.9</v>
      </c>
      <c r="I369" t="s">
        <v>26</v>
      </c>
      <c r="J369" t="s">
        <v>27</v>
      </c>
      <c r="N369" t="s">
        <v>29</v>
      </c>
      <c r="O369" t="s">
        <v>30</v>
      </c>
      <c r="P369" t="s">
        <v>31</v>
      </c>
      <c r="Q369">
        <v>23485</v>
      </c>
      <c r="R369">
        <v>2</v>
      </c>
      <c r="T369">
        <v>23485</v>
      </c>
      <c r="U369" s="5"/>
      <c r="X369" s="5">
        <v>87385.9</v>
      </c>
      <c r="Y369">
        <v>0</v>
      </c>
    </row>
    <row r="370" spans="2:25" x14ac:dyDescent="0.25">
      <c r="B370" t="s">
        <v>177</v>
      </c>
      <c r="C370" t="s">
        <v>28</v>
      </c>
      <c r="D370" t="s">
        <v>28</v>
      </c>
      <c r="E370" t="s">
        <v>28</v>
      </c>
      <c r="F370" t="s">
        <v>28</v>
      </c>
      <c r="G370" t="s">
        <v>535</v>
      </c>
      <c r="H370" s="5">
        <v>345610.4</v>
      </c>
      <c r="I370" t="s">
        <v>26</v>
      </c>
      <c r="J370" t="s">
        <v>27</v>
      </c>
      <c r="N370" t="s">
        <v>29</v>
      </c>
      <c r="O370" t="s">
        <v>30</v>
      </c>
      <c r="P370" t="s">
        <v>31</v>
      </c>
      <c r="Q370">
        <v>23535</v>
      </c>
      <c r="R370">
        <v>2</v>
      </c>
      <c r="T370">
        <v>23535</v>
      </c>
      <c r="U370" s="5"/>
      <c r="X370" s="5">
        <v>345610.4</v>
      </c>
      <c r="Y370">
        <v>0</v>
      </c>
    </row>
    <row r="371" spans="2:25" x14ac:dyDescent="0.25">
      <c r="B371" t="s">
        <v>177</v>
      </c>
      <c r="C371" t="s">
        <v>28</v>
      </c>
      <c r="D371" t="s">
        <v>28</v>
      </c>
      <c r="E371" t="s">
        <v>28</v>
      </c>
      <c r="F371" t="s">
        <v>28</v>
      </c>
      <c r="G371" t="s">
        <v>556</v>
      </c>
      <c r="H371" s="5">
        <v>166340.79</v>
      </c>
      <c r="I371" t="s">
        <v>26</v>
      </c>
      <c r="J371" t="s">
        <v>27</v>
      </c>
      <c r="N371" t="s">
        <v>29</v>
      </c>
      <c r="O371" t="s">
        <v>30</v>
      </c>
      <c r="P371" t="s">
        <v>31</v>
      </c>
      <c r="Q371">
        <v>23358</v>
      </c>
      <c r="R371">
        <v>2</v>
      </c>
      <c r="T371">
        <v>23358</v>
      </c>
      <c r="U371" s="5"/>
      <c r="X371" s="5">
        <v>166340.79</v>
      </c>
      <c r="Y371">
        <v>0</v>
      </c>
    </row>
    <row r="372" spans="2:25" x14ac:dyDescent="0.25">
      <c r="B372" t="s">
        <v>177</v>
      </c>
      <c r="C372" t="s">
        <v>28</v>
      </c>
      <c r="D372" t="s">
        <v>28</v>
      </c>
      <c r="E372" t="s">
        <v>28</v>
      </c>
      <c r="F372" t="s">
        <v>28</v>
      </c>
      <c r="G372" t="s">
        <v>578</v>
      </c>
      <c r="H372" s="5">
        <v>2145.2399999999998</v>
      </c>
      <c r="I372" t="s">
        <v>26</v>
      </c>
      <c r="J372" t="s">
        <v>27</v>
      </c>
      <c r="N372" t="s">
        <v>29</v>
      </c>
      <c r="O372" t="s">
        <v>30</v>
      </c>
      <c r="P372" t="s">
        <v>31</v>
      </c>
      <c r="Q372">
        <v>69025102</v>
      </c>
      <c r="R372">
        <v>2</v>
      </c>
      <c r="T372">
        <v>69025102</v>
      </c>
      <c r="U372" s="5"/>
      <c r="X372" s="5">
        <v>2145.2399999999998</v>
      </c>
      <c r="Y372">
        <v>0</v>
      </c>
    </row>
    <row r="373" spans="2:25" x14ac:dyDescent="0.25">
      <c r="B373" t="s">
        <v>177</v>
      </c>
      <c r="C373" t="s">
        <v>28</v>
      </c>
      <c r="D373" t="s">
        <v>28</v>
      </c>
      <c r="E373" t="s">
        <v>28</v>
      </c>
      <c r="F373" t="s">
        <v>28</v>
      </c>
      <c r="G373" t="s">
        <v>337</v>
      </c>
      <c r="H373" s="5">
        <v>88552.35</v>
      </c>
      <c r="I373" t="s">
        <v>26</v>
      </c>
      <c r="J373" t="s">
        <v>27</v>
      </c>
      <c r="N373" t="s">
        <v>29</v>
      </c>
      <c r="O373" t="s">
        <v>30</v>
      </c>
      <c r="P373" t="s">
        <v>31</v>
      </c>
      <c r="Q373">
        <v>2100789953</v>
      </c>
      <c r="R373">
        <v>2</v>
      </c>
      <c r="T373">
        <v>2100789953</v>
      </c>
      <c r="U373" s="5"/>
      <c r="X373" s="5">
        <v>88552.35</v>
      </c>
      <c r="Y373">
        <v>0</v>
      </c>
    </row>
    <row r="374" spans="2:25" x14ac:dyDescent="0.25">
      <c r="B374" t="s">
        <v>177</v>
      </c>
      <c r="C374" t="s">
        <v>28</v>
      </c>
      <c r="D374" t="s">
        <v>28</v>
      </c>
      <c r="E374" t="s">
        <v>28</v>
      </c>
      <c r="F374" t="s">
        <v>28</v>
      </c>
      <c r="G374" t="s">
        <v>326</v>
      </c>
      <c r="H374" s="5">
        <v>20448.849999999999</v>
      </c>
      <c r="I374" t="s">
        <v>26</v>
      </c>
      <c r="J374" t="s">
        <v>27</v>
      </c>
      <c r="N374" t="s">
        <v>29</v>
      </c>
      <c r="O374" t="s">
        <v>30</v>
      </c>
      <c r="P374" t="s">
        <v>31</v>
      </c>
      <c r="Q374">
        <v>23534</v>
      </c>
      <c r="R374">
        <v>2</v>
      </c>
      <c r="T374">
        <v>23534</v>
      </c>
      <c r="U374" s="5"/>
      <c r="X374" s="5">
        <v>20448.849999999999</v>
      </c>
      <c r="Y374">
        <v>0</v>
      </c>
    </row>
    <row r="375" spans="2:25" x14ac:dyDescent="0.25">
      <c r="B375" t="s">
        <v>177</v>
      </c>
      <c r="C375" t="s">
        <v>28</v>
      </c>
      <c r="D375" t="s">
        <v>28</v>
      </c>
      <c r="E375" t="s">
        <v>28</v>
      </c>
      <c r="F375" t="s">
        <v>28</v>
      </c>
      <c r="G375" t="s">
        <v>579</v>
      </c>
      <c r="H375" s="5">
        <v>52622.67</v>
      </c>
      <c r="I375" t="s">
        <v>26</v>
      </c>
      <c r="J375" t="s">
        <v>27</v>
      </c>
      <c r="N375" t="s">
        <v>29</v>
      </c>
      <c r="O375" t="s">
        <v>30</v>
      </c>
      <c r="P375" t="s">
        <v>31</v>
      </c>
      <c r="Q375">
        <v>23659</v>
      </c>
      <c r="R375">
        <v>2</v>
      </c>
      <c r="T375">
        <v>23659</v>
      </c>
      <c r="U375" s="5"/>
      <c r="X375" s="5">
        <v>52622.67</v>
      </c>
      <c r="Y375">
        <v>0</v>
      </c>
    </row>
    <row r="376" spans="2:25" x14ac:dyDescent="0.25">
      <c r="B376" t="s">
        <v>177</v>
      </c>
      <c r="C376" t="s">
        <v>28</v>
      </c>
      <c r="D376" t="s">
        <v>28</v>
      </c>
      <c r="E376" t="s">
        <v>28</v>
      </c>
      <c r="F376" t="s">
        <v>28</v>
      </c>
      <c r="G376" t="s">
        <v>420</v>
      </c>
      <c r="H376" s="5">
        <v>129819.38</v>
      </c>
      <c r="I376" t="s">
        <v>26</v>
      </c>
      <c r="J376" t="s">
        <v>27</v>
      </c>
      <c r="N376" t="s">
        <v>29</v>
      </c>
      <c r="O376" t="s">
        <v>30</v>
      </c>
      <c r="P376" t="s">
        <v>31</v>
      </c>
      <c r="Q376">
        <v>16870</v>
      </c>
      <c r="R376">
        <v>2</v>
      </c>
      <c r="T376">
        <v>16870</v>
      </c>
      <c r="U376" s="5"/>
      <c r="X376" s="5">
        <v>129819.38</v>
      </c>
      <c r="Y376">
        <v>0</v>
      </c>
    </row>
    <row r="377" spans="2:25" x14ac:dyDescent="0.25">
      <c r="B377" t="s">
        <v>177</v>
      </c>
      <c r="C377" t="s">
        <v>28</v>
      </c>
      <c r="D377" t="s">
        <v>28</v>
      </c>
      <c r="E377" t="s">
        <v>28</v>
      </c>
      <c r="F377" t="s">
        <v>28</v>
      </c>
      <c r="G377" t="s">
        <v>576</v>
      </c>
      <c r="H377" s="5">
        <v>740.57</v>
      </c>
      <c r="I377" t="s">
        <v>26</v>
      </c>
      <c r="J377" t="s">
        <v>27</v>
      </c>
      <c r="N377" t="s">
        <v>29</v>
      </c>
      <c r="O377" t="s">
        <v>30</v>
      </c>
      <c r="P377" t="s">
        <v>31</v>
      </c>
      <c r="Q377">
        <v>23624</v>
      </c>
      <c r="R377">
        <v>2</v>
      </c>
      <c r="T377">
        <v>23624</v>
      </c>
      <c r="U377" s="5"/>
      <c r="X377" s="5">
        <v>740.57</v>
      </c>
      <c r="Y377">
        <v>0</v>
      </c>
    </row>
    <row r="378" spans="2:25" x14ac:dyDescent="0.25">
      <c r="B378" t="s">
        <v>177</v>
      </c>
      <c r="C378" t="s">
        <v>28</v>
      </c>
      <c r="D378" t="s">
        <v>28</v>
      </c>
      <c r="E378" t="s">
        <v>28</v>
      </c>
      <c r="F378" t="s">
        <v>28</v>
      </c>
      <c r="G378" t="s">
        <v>533</v>
      </c>
      <c r="H378" s="5">
        <v>410029.89</v>
      </c>
      <c r="I378" t="s">
        <v>26</v>
      </c>
      <c r="J378" t="s">
        <v>27</v>
      </c>
      <c r="N378" t="s">
        <v>29</v>
      </c>
      <c r="O378" t="s">
        <v>30</v>
      </c>
      <c r="P378" t="s">
        <v>31</v>
      </c>
      <c r="Q378">
        <v>25687</v>
      </c>
      <c r="R378">
        <v>2</v>
      </c>
      <c r="T378">
        <v>25687</v>
      </c>
      <c r="U378" s="5"/>
      <c r="X378" s="5">
        <v>410029.89</v>
      </c>
      <c r="Y378">
        <v>0</v>
      </c>
    </row>
    <row r="379" spans="2:25" x14ac:dyDescent="0.25">
      <c r="B379" t="s">
        <v>177</v>
      </c>
      <c r="C379" t="s">
        <v>28</v>
      </c>
      <c r="D379" t="s">
        <v>28</v>
      </c>
      <c r="E379" t="s">
        <v>28</v>
      </c>
      <c r="F379" t="s">
        <v>28</v>
      </c>
      <c r="G379" t="s">
        <v>557</v>
      </c>
      <c r="H379" s="5">
        <v>81905.600000000006</v>
      </c>
      <c r="I379" t="s">
        <v>26</v>
      </c>
      <c r="J379" t="s">
        <v>27</v>
      </c>
      <c r="N379" t="s">
        <v>29</v>
      </c>
      <c r="O379" t="s">
        <v>30</v>
      </c>
      <c r="P379" t="s">
        <v>31</v>
      </c>
      <c r="Q379">
        <v>27081</v>
      </c>
      <c r="R379">
        <v>2</v>
      </c>
      <c r="T379" s="6">
        <v>27081</v>
      </c>
      <c r="U379" s="5"/>
      <c r="X379" s="5">
        <v>81905.600000000006</v>
      </c>
      <c r="Y379">
        <v>0</v>
      </c>
    </row>
    <row r="380" spans="2:25" x14ac:dyDescent="0.25">
      <c r="B380" t="s">
        <v>177</v>
      </c>
      <c r="C380" t="s">
        <v>28</v>
      </c>
      <c r="D380" t="s">
        <v>28</v>
      </c>
      <c r="E380" t="s">
        <v>28</v>
      </c>
      <c r="F380" t="s">
        <v>28</v>
      </c>
      <c r="G380" t="s">
        <v>577</v>
      </c>
      <c r="H380" s="5">
        <v>321.38</v>
      </c>
      <c r="I380" t="s">
        <v>26</v>
      </c>
      <c r="J380" t="s">
        <v>27</v>
      </c>
      <c r="N380" t="s">
        <v>29</v>
      </c>
      <c r="O380" t="s">
        <v>30</v>
      </c>
      <c r="P380" t="s">
        <v>31</v>
      </c>
      <c r="Q380">
        <v>23640</v>
      </c>
      <c r="R380">
        <v>2</v>
      </c>
      <c r="T380">
        <v>23640</v>
      </c>
      <c r="U380" s="5"/>
      <c r="X380" s="5">
        <v>321.38</v>
      </c>
      <c r="Y380">
        <v>0</v>
      </c>
    </row>
    <row r="381" spans="2:25" x14ac:dyDescent="0.25">
      <c r="B381" t="s">
        <v>177</v>
      </c>
      <c r="C381" t="s">
        <v>28</v>
      </c>
      <c r="D381" t="s">
        <v>28</v>
      </c>
      <c r="E381" t="s">
        <v>28</v>
      </c>
      <c r="F381" t="s">
        <v>28</v>
      </c>
      <c r="G381" t="s">
        <v>323</v>
      </c>
      <c r="H381" s="5">
        <v>620743.29</v>
      </c>
      <c r="I381" t="s">
        <v>26</v>
      </c>
      <c r="J381" t="s">
        <v>27</v>
      </c>
      <c r="N381" t="s">
        <v>29</v>
      </c>
      <c r="O381" t="s">
        <v>30</v>
      </c>
      <c r="P381" t="s">
        <v>31</v>
      </c>
      <c r="Q381">
        <v>24738</v>
      </c>
      <c r="R381">
        <v>2</v>
      </c>
      <c r="T381">
        <v>24738</v>
      </c>
      <c r="U381" s="5"/>
      <c r="X381" s="5">
        <v>620743.29</v>
      </c>
      <c r="Y381">
        <v>0</v>
      </c>
    </row>
    <row r="382" spans="2:25" x14ac:dyDescent="0.25">
      <c r="B382" t="s">
        <v>177</v>
      </c>
      <c r="C382" t="s">
        <v>28</v>
      </c>
      <c r="D382" t="s">
        <v>28</v>
      </c>
      <c r="E382" t="s">
        <v>28</v>
      </c>
      <c r="F382" t="s">
        <v>28</v>
      </c>
      <c r="G382" t="s">
        <v>580</v>
      </c>
      <c r="H382" s="5">
        <v>36200</v>
      </c>
      <c r="I382" t="s">
        <v>26</v>
      </c>
      <c r="J382" t="s">
        <v>27</v>
      </c>
      <c r="N382" t="s">
        <v>29</v>
      </c>
      <c r="O382" t="s">
        <v>30</v>
      </c>
      <c r="P382" t="s">
        <v>31</v>
      </c>
      <c r="Q382">
        <v>2101349503</v>
      </c>
      <c r="R382">
        <v>2</v>
      </c>
      <c r="T382">
        <v>2101349503</v>
      </c>
      <c r="U382" s="5"/>
      <c r="X382" s="5">
        <v>36200</v>
      </c>
      <c r="Y382">
        <v>0</v>
      </c>
    </row>
    <row r="383" spans="2:25" x14ac:dyDescent="0.25">
      <c r="B383" t="s">
        <v>177</v>
      </c>
      <c r="C383" t="s">
        <v>28</v>
      </c>
      <c r="D383" t="s">
        <v>28</v>
      </c>
      <c r="E383" t="s">
        <v>28</v>
      </c>
      <c r="F383" t="s">
        <v>28</v>
      </c>
      <c r="G383" t="s">
        <v>566</v>
      </c>
      <c r="H383" s="5">
        <v>112274.95</v>
      </c>
      <c r="I383" t="s">
        <v>26</v>
      </c>
      <c r="J383" t="s">
        <v>27</v>
      </c>
      <c r="N383" t="s">
        <v>29</v>
      </c>
      <c r="O383" t="s">
        <v>30</v>
      </c>
      <c r="P383" t="s">
        <v>31</v>
      </c>
      <c r="Q383">
        <v>7400</v>
      </c>
      <c r="R383">
        <v>2</v>
      </c>
      <c r="T383" s="6">
        <v>7400</v>
      </c>
      <c r="U383" s="5"/>
      <c r="X383" s="5">
        <v>112274.95</v>
      </c>
      <c r="Y383">
        <v>0</v>
      </c>
    </row>
    <row r="384" spans="2:25" x14ac:dyDescent="0.25">
      <c r="B384" t="s">
        <v>177</v>
      </c>
      <c r="C384" t="s">
        <v>28</v>
      </c>
      <c r="D384" t="s">
        <v>28</v>
      </c>
      <c r="E384" t="s">
        <v>28</v>
      </c>
      <c r="F384" t="s">
        <v>28</v>
      </c>
      <c r="G384" t="s">
        <v>252</v>
      </c>
      <c r="H384" s="5">
        <v>139353.57</v>
      </c>
      <c r="I384" t="s">
        <v>26</v>
      </c>
      <c r="J384" t="s">
        <v>27</v>
      </c>
      <c r="N384" t="s">
        <v>29</v>
      </c>
      <c r="O384" t="s">
        <v>30</v>
      </c>
      <c r="P384" t="s">
        <v>31</v>
      </c>
      <c r="Q384">
        <v>18760</v>
      </c>
      <c r="R384">
        <v>2</v>
      </c>
      <c r="T384">
        <v>18760</v>
      </c>
      <c r="U384" s="5"/>
      <c r="X384" s="5">
        <v>139353.57</v>
      </c>
      <c r="Y384">
        <v>0</v>
      </c>
    </row>
    <row r="385" spans="2:25" x14ac:dyDescent="0.25">
      <c r="B385" t="s">
        <v>177</v>
      </c>
      <c r="C385" t="s">
        <v>28</v>
      </c>
      <c r="D385" t="s">
        <v>28</v>
      </c>
      <c r="E385" t="s">
        <v>28</v>
      </c>
      <c r="F385" t="s">
        <v>28</v>
      </c>
      <c r="G385" t="s">
        <v>560</v>
      </c>
      <c r="H385" s="5">
        <v>114041.29</v>
      </c>
      <c r="I385" t="s">
        <v>26</v>
      </c>
      <c r="J385" t="s">
        <v>27</v>
      </c>
      <c r="N385" t="s">
        <v>29</v>
      </c>
      <c r="O385" t="s">
        <v>30</v>
      </c>
      <c r="P385" t="s">
        <v>31</v>
      </c>
      <c r="Q385">
        <v>27132</v>
      </c>
      <c r="R385">
        <v>2</v>
      </c>
      <c r="T385">
        <v>27132</v>
      </c>
      <c r="U385" s="5"/>
      <c r="X385" s="5">
        <v>113790.64</v>
      </c>
      <c r="Y385">
        <v>250.64999999999418</v>
      </c>
    </row>
    <row r="386" spans="2:25" x14ac:dyDescent="0.25">
      <c r="B386" t="s">
        <v>177</v>
      </c>
      <c r="C386" t="s">
        <v>28</v>
      </c>
      <c r="D386" t="s">
        <v>28</v>
      </c>
      <c r="E386" t="s">
        <v>28</v>
      </c>
      <c r="F386" t="s">
        <v>28</v>
      </c>
      <c r="G386" t="s">
        <v>564</v>
      </c>
      <c r="H386" s="5">
        <v>117028.65</v>
      </c>
      <c r="I386" t="s">
        <v>26</v>
      </c>
      <c r="J386" t="s">
        <v>27</v>
      </c>
      <c r="N386" t="s">
        <v>29</v>
      </c>
      <c r="O386" t="s">
        <v>30</v>
      </c>
      <c r="P386" t="s">
        <v>31</v>
      </c>
      <c r="Q386">
        <v>23671</v>
      </c>
      <c r="R386">
        <v>2</v>
      </c>
      <c r="T386">
        <v>23671</v>
      </c>
      <c r="U386" s="5"/>
      <c r="X386" s="5">
        <v>117028.65</v>
      </c>
      <c r="Y386">
        <v>0</v>
      </c>
    </row>
    <row r="387" spans="2:25" x14ac:dyDescent="0.25">
      <c r="B387" t="s">
        <v>177</v>
      </c>
      <c r="C387" t="s">
        <v>28</v>
      </c>
      <c r="D387" t="s">
        <v>28</v>
      </c>
      <c r="E387" t="s">
        <v>28</v>
      </c>
      <c r="F387" t="s">
        <v>28</v>
      </c>
      <c r="G387" t="s">
        <v>511</v>
      </c>
      <c r="H387" s="5">
        <v>2172.25</v>
      </c>
      <c r="I387" t="s">
        <v>26</v>
      </c>
      <c r="J387" t="s">
        <v>27</v>
      </c>
      <c r="N387" t="s">
        <v>29</v>
      </c>
      <c r="O387" t="s">
        <v>30</v>
      </c>
      <c r="P387" t="s">
        <v>31</v>
      </c>
      <c r="Q387">
        <v>23596</v>
      </c>
      <c r="R387">
        <v>2</v>
      </c>
      <c r="T387">
        <v>23596</v>
      </c>
      <c r="U387" s="5"/>
      <c r="X387" s="5">
        <v>2172.25</v>
      </c>
      <c r="Y387">
        <v>0</v>
      </c>
    </row>
    <row r="388" spans="2:25" x14ac:dyDescent="0.25">
      <c r="B388" t="s">
        <v>177</v>
      </c>
      <c r="C388" t="s">
        <v>28</v>
      </c>
      <c r="D388" t="s">
        <v>28</v>
      </c>
      <c r="E388" t="s">
        <v>28</v>
      </c>
      <c r="F388" t="s">
        <v>28</v>
      </c>
      <c r="G388" t="s">
        <v>534</v>
      </c>
      <c r="H388" s="5">
        <v>130000</v>
      </c>
      <c r="I388" t="s">
        <v>26</v>
      </c>
      <c r="J388" t="s">
        <v>27</v>
      </c>
      <c r="N388" t="s">
        <v>29</v>
      </c>
      <c r="O388" t="s">
        <v>30</v>
      </c>
      <c r="P388" t="s">
        <v>31</v>
      </c>
      <c r="Q388">
        <v>27116</v>
      </c>
      <c r="R388">
        <v>2</v>
      </c>
      <c r="T388" t="s">
        <v>88</v>
      </c>
      <c r="U388" s="5" t="s">
        <v>191</v>
      </c>
      <c r="X388" s="5" t="s">
        <v>88</v>
      </c>
      <c r="Y388" t="s">
        <v>88</v>
      </c>
    </row>
    <row r="389" spans="2:25" x14ac:dyDescent="0.25">
      <c r="B389" t="s">
        <v>177</v>
      </c>
      <c r="C389" t="s">
        <v>28</v>
      </c>
      <c r="D389" t="s">
        <v>28</v>
      </c>
      <c r="E389" t="s">
        <v>28</v>
      </c>
      <c r="F389" t="s">
        <v>28</v>
      </c>
      <c r="G389" t="s">
        <v>489</v>
      </c>
      <c r="H389" s="5">
        <v>7175.57</v>
      </c>
      <c r="I389" t="s">
        <v>26</v>
      </c>
      <c r="J389" t="s">
        <v>27</v>
      </c>
      <c r="N389" t="s">
        <v>29</v>
      </c>
      <c r="O389" t="s">
        <v>30</v>
      </c>
      <c r="P389" t="s">
        <v>31</v>
      </c>
      <c r="Q389" t="s">
        <v>490</v>
      </c>
      <c r="R389">
        <v>2</v>
      </c>
      <c r="T389" t="s">
        <v>88</v>
      </c>
      <c r="U389" s="5" t="s">
        <v>191</v>
      </c>
      <c r="X389" s="5" t="s">
        <v>88</v>
      </c>
      <c r="Y389" t="s">
        <v>88</v>
      </c>
    </row>
    <row r="390" spans="2:25" x14ac:dyDescent="0.25">
      <c r="B390" t="s">
        <v>177</v>
      </c>
      <c r="C390" t="s">
        <v>28</v>
      </c>
      <c r="D390" t="s">
        <v>28</v>
      </c>
      <c r="E390" t="s">
        <v>28</v>
      </c>
      <c r="F390" t="s">
        <v>28</v>
      </c>
      <c r="G390" t="s">
        <v>389</v>
      </c>
      <c r="H390" s="5">
        <v>90375.27</v>
      </c>
      <c r="I390" t="s">
        <v>26</v>
      </c>
      <c r="J390" t="s">
        <v>27</v>
      </c>
      <c r="N390" t="s">
        <v>29</v>
      </c>
      <c r="O390" t="s">
        <v>30</v>
      </c>
      <c r="P390" t="s">
        <v>31</v>
      </c>
      <c r="Q390">
        <v>25705</v>
      </c>
      <c r="R390">
        <v>2</v>
      </c>
      <c r="T390">
        <v>25705</v>
      </c>
      <c r="U390" s="5"/>
      <c r="X390" s="5">
        <v>90375.27</v>
      </c>
      <c r="Y390">
        <v>0</v>
      </c>
    </row>
    <row r="391" spans="2:25" x14ac:dyDescent="0.25">
      <c r="B391" t="s">
        <v>177</v>
      </c>
      <c r="C391" t="s">
        <v>28</v>
      </c>
      <c r="D391" t="s">
        <v>28</v>
      </c>
      <c r="E391" t="s">
        <v>28</v>
      </c>
      <c r="F391" t="s">
        <v>28</v>
      </c>
      <c r="G391" t="s">
        <v>381</v>
      </c>
      <c r="H391" s="5">
        <v>23325.06</v>
      </c>
      <c r="I391" t="s">
        <v>26</v>
      </c>
      <c r="J391" t="s">
        <v>27</v>
      </c>
      <c r="N391" t="s">
        <v>29</v>
      </c>
      <c r="O391" t="s">
        <v>30</v>
      </c>
      <c r="P391" t="s">
        <v>31</v>
      </c>
      <c r="Q391">
        <v>23658</v>
      </c>
      <c r="R391">
        <v>2</v>
      </c>
      <c r="T391">
        <v>23658</v>
      </c>
      <c r="U391" s="5"/>
      <c r="X391" s="5">
        <v>23325.06</v>
      </c>
      <c r="Y391">
        <v>0</v>
      </c>
    </row>
    <row r="392" spans="2:25" x14ac:dyDescent="0.25">
      <c r="B392" t="s">
        <v>177</v>
      </c>
      <c r="C392" t="s">
        <v>28</v>
      </c>
      <c r="D392" t="s">
        <v>28</v>
      </c>
      <c r="E392" t="s">
        <v>28</v>
      </c>
      <c r="F392" t="s">
        <v>28</v>
      </c>
      <c r="G392" t="s">
        <v>304</v>
      </c>
      <c r="H392" s="5">
        <v>1860.55</v>
      </c>
      <c r="I392" t="s">
        <v>26</v>
      </c>
      <c r="J392" t="s">
        <v>27</v>
      </c>
      <c r="N392" t="s">
        <v>29</v>
      </c>
      <c r="O392" t="s">
        <v>30</v>
      </c>
      <c r="P392" t="s">
        <v>31</v>
      </c>
      <c r="Q392">
        <v>23610</v>
      </c>
      <c r="R392">
        <v>2</v>
      </c>
      <c r="T392">
        <v>23610</v>
      </c>
      <c r="U392" s="5"/>
      <c r="X392" s="5">
        <v>1860.55</v>
      </c>
      <c r="Y392">
        <v>0</v>
      </c>
    </row>
    <row r="393" spans="2:25" x14ac:dyDescent="0.25">
      <c r="B393" t="s">
        <v>177</v>
      </c>
      <c r="C393" t="s">
        <v>28</v>
      </c>
      <c r="D393" t="s">
        <v>28</v>
      </c>
      <c r="E393" t="s">
        <v>28</v>
      </c>
      <c r="F393" t="s">
        <v>28</v>
      </c>
      <c r="G393" t="s">
        <v>500</v>
      </c>
      <c r="H393" s="5">
        <v>30091.39</v>
      </c>
      <c r="I393" t="s">
        <v>26</v>
      </c>
      <c r="J393" t="s">
        <v>27</v>
      </c>
      <c r="N393" t="s">
        <v>29</v>
      </c>
      <c r="O393" t="s">
        <v>30</v>
      </c>
      <c r="P393" t="s">
        <v>31</v>
      </c>
      <c r="Q393">
        <v>2665</v>
      </c>
      <c r="R393">
        <v>2</v>
      </c>
      <c r="T393">
        <v>2665</v>
      </c>
      <c r="U393" s="5"/>
      <c r="X393" s="5">
        <v>30091.39</v>
      </c>
      <c r="Y393">
        <v>0</v>
      </c>
    </row>
    <row r="394" spans="2:25" x14ac:dyDescent="0.25">
      <c r="B394" t="s">
        <v>177</v>
      </c>
      <c r="C394" t="s">
        <v>28</v>
      </c>
      <c r="D394" t="s">
        <v>28</v>
      </c>
      <c r="E394" t="s">
        <v>28</v>
      </c>
      <c r="F394" t="s">
        <v>28</v>
      </c>
      <c r="G394" t="s">
        <v>194</v>
      </c>
      <c r="H394" s="5">
        <v>107935.79</v>
      </c>
      <c r="I394" t="s">
        <v>26</v>
      </c>
      <c r="J394" t="s">
        <v>27</v>
      </c>
      <c r="N394" t="s">
        <v>29</v>
      </c>
      <c r="O394" t="s">
        <v>30</v>
      </c>
      <c r="P394" t="s">
        <v>31</v>
      </c>
      <c r="Q394">
        <v>27152</v>
      </c>
      <c r="R394">
        <v>2</v>
      </c>
      <c r="T394" t="s">
        <v>88</v>
      </c>
      <c r="U394" s="5" t="s">
        <v>191</v>
      </c>
      <c r="X394" s="5" t="s">
        <v>88</v>
      </c>
      <c r="Y394" t="s">
        <v>88</v>
      </c>
    </row>
    <row r="395" spans="2:25" x14ac:dyDescent="0.25">
      <c r="B395" t="s">
        <v>177</v>
      </c>
      <c r="C395" t="s">
        <v>28</v>
      </c>
      <c r="D395" t="s">
        <v>28</v>
      </c>
      <c r="E395" t="s">
        <v>28</v>
      </c>
      <c r="F395" t="s">
        <v>28</v>
      </c>
      <c r="G395" t="s">
        <v>543</v>
      </c>
      <c r="H395" s="5">
        <v>454200.9</v>
      </c>
      <c r="I395" t="s">
        <v>26</v>
      </c>
      <c r="J395" t="s">
        <v>27</v>
      </c>
      <c r="N395" t="s">
        <v>29</v>
      </c>
      <c r="O395" t="s">
        <v>30</v>
      </c>
      <c r="P395" t="s">
        <v>31</v>
      </c>
      <c r="Q395">
        <v>23992</v>
      </c>
      <c r="R395">
        <v>2</v>
      </c>
      <c r="T395">
        <v>23992</v>
      </c>
      <c r="U395" s="5"/>
      <c r="X395" s="5">
        <v>454200.9</v>
      </c>
      <c r="Y395">
        <v>0</v>
      </c>
    </row>
    <row r="396" spans="2:25" x14ac:dyDescent="0.25">
      <c r="B396" t="s">
        <v>177</v>
      </c>
      <c r="C396" t="s">
        <v>28</v>
      </c>
      <c r="D396" t="s">
        <v>28</v>
      </c>
      <c r="E396" t="s">
        <v>28</v>
      </c>
      <c r="F396" t="s">
        <v>28</v>
      </c>
      <c r="G396" t="s">
        <v>565</v>
      </c>
      <c r="H396" s="5">
        <v>63168.38</v>
      </c>
      <c r="I396" t="s">
        <v>26</v>
      </c>
      <c r="J396" t="s">
        <v>27</v>
      </c>
      <c r="N396" t="s">
        <v>29</v>
      </c>
      <c r="O396" t="s">
        <v>30</v>
      </c>
      <c r="P396" t="s">
        <v>31</v>
      </c>
      <c r="Q396">
        <v>27060</v>
      </c>
      <c r="R396">
        <v>2</v>
      </c>
      <c r="T396">
        <v>27060</v>
      </c>
      <c r="U396" s="5"/>
      <c r="X396" s="5">
        <v>63168.38</v>
      </c>
      <c r="Y396">
        <v>0</v>
      </c>
    </row>
    <row r="397" spans="2:25" x14ac:dyDescent="0.25">
      <c r="B397" t="s">
        <v>177</v>
      </c>
      <c r="C397" t="s">
        <v>28</v>
      </c>
      <c r="D397" t="s">
        <v>28</v>
      </c>
      <c r="E397" t="s">
        <v>28</v>
      </c>
      <c r="F397" t="s">
        <v>28</v>
      </c>
      <c r="G397" t="s">
        <v>307</v>
      </c>
      <c r="H397" s="5">
        <v>130292.66</v>
      </c>
      <c r="I397" t="s">
        <v>26</v>
      </c>
      <c r="J397" t="s">
        <v>27</v>
      </c>
      <c r="N397" t="s">
        <v>29</v>
      </c>
      <c r="O397" t="s">
        <v>30</v>
      </c>
      <c r="P397" t="s">
        <v>31</v>
      </c>
      <c r="Q397">
        <v>23484</v>
      </c>
      <c r="R397">
        <v>2</v>
      </c>
      <c r="T397">
        <v>23484</v>
      </c>
      <c r="U397" s="5"/>
      <c r="X397" s="5">
        <v>130292.66</v>
      </c>
      <c r="Y397">
        <v>0</v>
      </c>
    </row>
    <row r="398" spans="2:25" x14ac:dyDescent="0.25">
      <c r="B398" t="s">
        <v>177</v>
      </c>
      <c r="C398" t="s">
        <v>28</v>
      </c>
      <c r="D398" t="s">
        <v>28</v>
      </c>
      <c r="E398" t="s">
        <v>28</v>
      </c>
      <c r="F398" t="s">
        <v>28</v>
      </c>
      <c r="G398" t="s">
        <v>518</v>
      </c>
      <c r="H398" s="5">
        <v>136.5</v>
      </c>
      <c r="I398" t="s">
        <v>26</v>
      </c>
      <c r="J398" t="s">
        <v>27</v>
      </c>
      <c r="N398" t="s">
        <v>29</v>
      </c>
      <c r="O398" t="s">
        <v>30</v>
      </c>
      <c r="P398" t="s">
        <v>31</v>
      </c>
      <c r="Q398">
        <v>23633</v>
      </c>
      <c r="R398">
        <v>2</v>
      </c>
      <c r="T398">
        <v>23633</v>
      </c>
      <c r="U398" s="5"/>
      <c r="X398" s="5">
        <v>136.5</v>
      </c>
      <c r="Y398">
        <v>0</v>
      </c>
    </row>
    <row r="399" spans="2:25" x14ac:dyDescent="0.25">
      <c r="B399" t="s">
        <v>177</v>
      </c>
      <c r="C399" t="s">
        <v>28</v>
      </c>
      <c r="D399" t="s">
        <v>28</v>
      </c>
      <c r="E399" t="s">
        <v>28</v>
      </c>
      <c r="F399" t="s">
        <v>28</v>
      </c>
      <c r="G399" t="s">
        <v>379</v>
      </c>
      <c r="H399" s="5">
        <v>381890.11</v>
      </c>
      <c r="I399" t="s">
        <v>26</v>
      </c>
      <c r="J399" t="s">
        <v>27</v>
      </c>
      <c r="N399" t="s">
        <v>29</v>
      </c>
      <c r="O399" t="s">
        <v>30</v>
      </c>
      <c r="P399" t="s">
        <v>31</v>
      </c>
      <c r="Q399">
        <v>24279</v>
      </c>
      <c r="R399">
        <v>2</v>
      </c>
      <c r="T399">
        <v>24279</v>
      </c>
      <c r="U399" s="5"/>
      <c r="X399" s="5">
        <v>381890.11</v>
      </c>
      <c r="Y399">
        <v>0</v>
      </c>
    </row>
    <row r="400" spans="2:25" x14ac:dyDescent="0.25">
      <c r="B400" t="s">
        <v>177</v>
      </c>
      <c r="C400" t="s">
        <v>28</v>
      </c>
      <c r="D400" t="s">
        <v>28</v>
      </c>
      <c r="E400" t="s">
        <v>28</v>
      </c>
      <c r="F400" t="s">
        <v>28</v>
      </c>
      <c r="G400" t="s">
        <v>388</v>
      </c>
      <c r="H400" s="5">
        <v>44795.76</v>
      </c>
      <c r="I400" t="s">
        <v>26</v>
      </c>
      <c r="J400" t="s">
        <v>27</v>
      </c>
      <c r="N400" t="s">
        <v>29</v>
      </c>
      <c r="O400" t="s">
        <v>30</v>
      </c>
      <c r="P400" t="s">
        <v>31</v>
      </c>
      <c r="Q400">
        <v>27045</v>
      </c>
      <c r="R400">
        <v>2</v>
      </c>
      <c r="T400" s="6">
        <v>27045</v>
      </c>
      <c r="U400" s="5"/>
      <c r="X400" s="5">
        <v>44795.76</v>
      </c>
      <c r="Y400">
        <v>0</v>
      </c>
    </row>
    <row r="401" spans="2:25" x14ac:dyDescent="0.25">
      <c r="B401" t="s">
        <v>177</v>
      </c>
      <c r="C401" t="s">
        <v>28</v>
      </c>
      <c r="D401" t="s">
        <v>28</v>
      </c>
      <c r="E401" t="s">
        <v>28</v>
      </c>
      <c r="F401" t="s">
        <v>28</v>
      </c>
      <c r="G401" t="s">
        <v>282</v>
      </c>
      <c r="H401" s="5">
        <v>68269.14</v>
      </c>
      <c r="I401" t="s">
        <v>26</v>
      </c>
      <c r="J401" t="s">
        <v>27</v>
      </c>
      <c r="N401" t="s">
        <v>29</v>
      </c>
      <c r="O401" t="s">
        <v>30</v>
      </c>
      <c r="P401" t="s">
        <v>31</v>
      </c>
      <c r="Q401">
        <v>17261</v>
      </c>
      <c r="R401">
        <v>2</v>
      </c>
      <c r="T401">
        <v>17261</v>
      </c>
      <c r="U401" s="5"/>
      <c r="X401" s="5">
        <v>68269.14</v>
      </c>
      <c r="Y401">
        <v>0</v>
      </c>
    </row>
    <row r="402" spans="2:25" x14ac:dyDescent="0.25">
      <c r="B402" t="s">
        <v>177</v>
      </c>
      <c r="C402" t="s">
        <v>28</v>
      </c>
      <c r="D402" t="s">
        <v>28</v>
      </c>
      <c r="E402" t="s">
        <v>28</v>
      </c>
      <c r="F402" t="s">
        <v>28</v>
      </c>
      <c r="G402" t="s">
        <v>313</v>
      </c>
      <c r="H402" s="5">
        <v>13435.51</v>
      </c>
      <c r="I402" t="s">
        <v>26</v>
      </c>
      <c r="J402" t="s">
        <v>27</v>
      </c>
      <c r="N402" t="s">
        <v>29</v>
      </c>
      <c r="O402" t="s">
        <v>30</v>
      </c>
      <c r="P402" t="s">
        <v>31</v>
      </c>
      <c r="Q402">
        <v>23544</v>
      </c>
      <c r="R402">
        <v>2</v>
      </c>
      <c r="T402">
        <v>23544</v>
      </c>
      <c r="U402" s="5"/>
      <c r="X402" s="5">
        <v>13435.51</v>
      </c>
      <c r="Y402">
        <v>0</v>
      </c>
    </row>
    <row r="403" spans="2:25" x14ac:dyDescent="0.25">
      <c r="B403" t="s">
        <v>177</v>
      </c>
      <c r="C403" t="s">
        <v>28</v>
      </c>
      <c r="D403" t="s">
        <v>28</v>
      </c>
      <c r="E403" t="s">
        <v>28</v>
      </c>
      <c r="F403" t="s">
        <v>28</v>
      </c>
      <c r="G403" t="s">
        <v>241</v>
      </c>
      <c r="H403" s="5">
        <v>13435.51</v>
      </c>
      <c r="I403" t="s">
        <v>26</v>
      </c>
      <c r="J403" t="s">
        <v>27</v>
      </c>
      <c r="N403" t="s">
        <v>29</v>
      </c>
      <c r="O403" t="s">
        <v>30</v>
      </c>
      <c r="P403" t="s">
        <v>31</v>
      </c>
      <c r="Q403">
        <v>23568</v>
      </c>
      <c r="R403">
        <v>2</v>
      </c>
      <c r="T403">
        <v>23568</v>
      </c>
      <c r="U403" s="5"/>
      <c r="X403" s="5">
        <v>13435.51</v>
      </c>
      <c r="Y403">
        <v>0</v>
      </c>
    </row>
    <row r="404" spans="2:25" x14ac:dyDescent="0.25">
      <c r="B404" t="s">
        <v>177</v>
      </c>
      <c r="C404" t="s">
        <v>28</v>
      </c>
      <c r="D404" t="s">
        <v>28</v>
      </c>
      <c r="E404" t="s">
        <v>28</v>
      </c>
      <c r="F404" t="s">
        <v>28</v>
      </c>
      <c r="G404" t="s">
        <v>570</v>
      </c>
      <c r="H404" s="5">
        <v>211423.79</v>
      </c>
      <c r="I404" t="s">
        <v>26</v>
      </c>
      <c r="J404" t="s">
        <v>27</v>
      </c>
      <c r="N404" t="s">
        <v>29</v>
      </c>
      <c r="O404" t="s">
        <v>30</v>
      </c>
      <c r="P404" t="s">
        <v>31</v>
      </c>
      <c r="Q404">
        <v>25691</v>
      </c>
      <c r="R404">
        <v>2</v>
      </c>
      <c r="T404">
        <v>25691</v>
      </c>
      <c r="U404" s="5"/>
      <c r="X404" s="5">
        <v>211423.79</v>
      </c>
      <c r="Y404">
        <v>0</v>
      </c>
    </row>
    <row r="405" spans="2:25" x14ac:dyDescent="0.25">
      <c r="B405" t="s">
        <v>177</v>
      </c>
      <c r="C405" t="s">
        <v>28</v>
      </c>
      <c r="D405" t="s">
        <v>28</v>
      </c>
      <c r="E405" t="s">
        <v>28</v>
      </c>
      <c r="F405" t="s">
        <v>28</v>
      </c>
      <c r="G405" t="s">
        <v>542</v>
      </c>
      <c r="H405" s="5">
        <v>2713.97</v>
      </c>
      <c r="I405" t="s">
        <v>26</v>
      </c>
      <c r="J405" t="s">
        <v>27</v>
      </c>
      <c r="N405" t="s">
        <v>29</v>
      </c>
      <c r="O405" t="s">
        <v>30</v>
      </c>
      <c r="P405" t="s">
        <v>31</v>
      </c>
      <c r="Q405">
        <v>23585</v>
      </c>
      <c r="R405">
        <v>2</v>
      </c>
      <c r="T405">
        <v>23585</v>
      </c>
      <c r="U405" s="5"/>
      <c r="X405" s="5">
        <v>2713.97</v>
      </c>
      <c r="Y405">
        <v>0</v>
      </c>
    </row>
    <row r="406" spans="2:25" x14ac:dyDescent="0.25">
      <c r="B406" t="s">
        <v>177</v>
      </c>
      <c r="C406" t="s">
        <v>28</v>
      </c>
      <c r="D406" t="s">
        <v>28</v>
      </c>
      <c r="E406" t="s">
        <v>28</v>
      </c>
      <c r="F406" t="s">
        <v>28</v>
      </c>
      <c r="G406" t="s">
        <v>531</v>
      </c>
      <c r="H406" s="5">
        <v>10511.91</v>
      </c>
      <c r="I406" t="s">
        <v>26</v>
      </c>
      <c r="J406" t="s">
        <v>27</v>
      </c>
      <c r="N406" t="s">
        <v>29</v>
      </c>
      <c r="O406" t="s">
        <v>30</v>
      </c>
      <c r="P406" t="s">
        <v>31</v>
      </c>
      <c r="Q406">
        <v>27144</v>
      </c>
      <c r="R406">
        <v>2</v>
      </c>
      <c r="T406">
        <v>27144</v>
      </c>
      <c r="U406" s="5"/>
      <c r="X406" s="5">
        <v>10080.68</v>
      </c>
      <c r="Y406">
        <v>431.22999999999956</v>
      </c>
    </row>
    <row r="407" spans="2:25" x14ac:dyDescent="0.25">
      <c r="B407" t="s">
        <v>177</v>
      </c>
      <c r="C407" t="s">
        <v>28</v>
      </c>
      <c r="D407" t="s">
        <v>28</v>
      </c>
      <c r="E407" t="s">
        <v>28</v>
      </c>
      <c r="F407" t="s">
        <v>28</v>
      </c>
      <c r="G407" t="s">
        <v>422</v>
      </c>
      <c r="H407" s="5">
        <v>9028.2999999999993</v>
      </c>
      <c r="I407" t="s">
        <v>26</v>
      </c>
      <c r="J407" t="s">
        <v>27</v>
      </c>
      <c r="N407" t="s">
        <v>29</v>
      </c>
      <c r="O407" t="s">
        <v>30</v>
      </c>
      <c r="P407" t="s">
        <v>31</v>
      </c>
      <c r="Q407">
        <v>27043</v>
      </c>
      <c r="R407">
        <v>2</v>
      </c>
      <c r="T407">
        <v>27043</v>
      </c>
      <c r="U407" s="5"/>
      <c r="X407" s="5">
        <v>9028.2999999999993</v>
      </c>
      <c r="Y407">
        <v>0</v>
      </c>
    </row>
    <row r="408" spans="2:25" x14ac:dyDescent="0.25">
      <c r="B408" t="s">
        <v>177</v>
      </c>
      <c r="C408" t="s">
        <v>28</v>
      </c>
      <c r="D408" t="s">
        <v>28</v>
      </c>
      <c r="E408" t="s">
        <v>28</v>
      </c>
      <c r="F408" t="s">
        <v>28</v>
      </c>
      <c r="G408" t="s">
        <v>397</v>
      </c>
      <c r="H408" s="5">
        <v>111404.84</v>
      </c>
      <c r="I408" t="s">
        <v>26</v>
      </c>
      <c r="J408" t="s">
        <v>27</v>
      </c>
      <c r="N408" t="s">
        <v>29</v>
      </c>
      <c r="O408" t="s">
        <v>30</v>
      </c>
      <c r="P408" t="s">
        <v>31</v>
      </c>
      <c r="Q408">
        <v>23518</v>
      </c>
      <c r="R408">
        <v>2</v>
      </c>
      <c r="T408">
        <v>23518</v>
      </c>
      <c r="U408" s="5"/>
      <c r="X408" s="5">
        <v>111404.84</v>
      </c>
      <c r="Y408">
        <v>0</v>
      </c>
    </row>
    <row r="409" spans="2:25" x14ac:dyDescent="0.25">
      <c r="B409" t="s">
        <v>177</v>
      </c>
      <c r="C409" t="s">
        <v>28</v>
      </c>
      <c r="D409" t="s">
        <v>28</v>
      </c>
      <c r="E409" t="s">
        <v>28</v>
      </c>
      <c r="F409" t="s">
        <v>28</v>
      </c>
      <c r="G409" t="s">
        <v>442</v>
      </c>
      <c r="H409" s="5">
        <v>279975.7</v>
      </c>
      <c r="I409" t="s">
        <v>26</v>
      </c>
      <c r="J409" t="s">
        <v>27</v>
      </c>
      <c r="N409" t="s">
        <v>29</v>
      </c>
      <c r="O409" t="s">
        <v>30</v>
      </c>
      <c r="P409" t="s">
        <v>31</v>
      </c>
      <c r="Q409">
        <v>19283</v>
      </c>
      <c r="R409">
        <v>2</v>
      </c>
      <c r="T409">
        <v>19283</v>
      </c>
      <c r="U409" s="5"/>
      <c r="X409" s="5">
        <v>279975.7</v>
      </c>
      <c r="Y409">
        <v>0</v>
      </c>
    </row>
    <row r="410" spans="2:25" x14ac:dyDescent="0.25">
      <c r="B410" t="s">
        <v>177</v>
      </c>
      <c r="C410" t="s">
        <v>28</v>
      </c>
      <c r="D410" t="s">
        <v>28</v>
      </c>
      <c r="E410" t="s">
        <v>28</v>
      </c>
      <c r="F410" t="s">
        <v>28</v>
      </c>
      <c r="G410" t="s">
        <v>513</v>
      </c>
      <c r="H410" s="5">
        <v>6415.73</v>
      </c>
      <c r="I410" t="s">
        <v>26</v>
      </c>
      <c r="J410" t="s">
        <v>27</v>
      </c>
      <c r="N410" t="s">
        <v>29</v>
      </c>
      <c r="O410" t="s">
        <v>30</v>
      </c>
      <c r="P410" t="s">
        <v>31</v>
      </c>
      <c r="Q410">
        <v>23578</v>
      </c>
      <c r="R410">
        <v>2</v>
      </c>
      <c r="T410" s="6">
        <v>23578</v>
      </c>
      <c r="U410" s="5"/>
      <c r="X410" s="5">
        <v>6415.73</v>
      </c>
      <c r="Y410">
        <v>0</v>
      </c>
    </row>
    <row r="411" spans="2:25" x14ac:dyDescent="0.25">
      <c r="B411" t="s">
        <v>177</v>
      </c>
      <c r="C411" t="s">
        <v>28</v>
      </c>
      <c r="D411" t="s">
        <v>28</v>
      </c>
      <c r="E411" t="s">
        <v>28</v>
      </c>
      <c r="F411" t="s">
        <v>28</v>
      </c>
      <c r="G411" t="s">
        <v>528</v>
      </c>
      <c r="H411" s="5">
        <v>0</v>
      </c>
      <c r="I411" t="s">
        <v>26</v>
      </c>
      <c r="J411" t="s">
        <v>27</v>
      </c>
      <c r="N411" t="s">
        <v>29</v>
      </c>
      <c r="O411" t="s">
        <v>30</v>
      </c>
      <c r="P411" t="s">
        <v>31</v>
      </c>
      <c r="Q411">
        <v>12024</v>
      </c>
      <c r="R411">
        <v>2</v>
      </c>
      <c r="T411">
        <v>12024</v>
      </c>
      <c r="U411" s="5"/>
      <c r="X411" s="5">
        <v>0</v>
      </c>
      <c r="Y411">
        <v>0</v>
      </c>
    </row>
    <row r="412" spans="2:25" x14ac:dyDescent="0.25">
      <c r="B412" t="s">
        <v>177</v>
      </c>
      <c r="C412" t="s">
        <v>28</v>
      </c>
      <c r="D412" t="s">
        <v>28</v>
      </c>
      <c r="E412" t="s">
        <v>28</v>
      </c>
      <c r="F412" t="s">
        <v>28</v>
      </c>
      <c r="G412" t="s">
        <v>559</v>
      </c>
      <c r="H412" s="5">
        <v>2323.81</v>
      </c>
      <c r="I412" t="s">
        <v>26</v>
      </c>
      <c r="J412" t="s">
        <v>27</v>
      </c>
      <c r="N412" t="s">
        <v>29</v>
      </c>
      <c r="O412" t="s">
        <v>30</v>
      </c>
      <c r="P412" t="s">
        <v>31</v>
      </c>
      <c r="Q412">
        <v>23590</v>
      </c>
      <c r="R412">
        <v>2</v>
      </c>
      <c r="T412">
        <v>23590</v>
      </c>
      <c r="U412" s="5"/>
      <c r="X412" s="5">
        <v>2323.81</v>
      </c>
      <c r="Y412">
        <v>0</v>
      </c>
    </row>
    <row r="413" spans="2:25" x14ac:dyDescent="0.25">
      <c r="B413" t="s">
        <v>177</v>
      </c>
      <c r="C413" t="s">
        <v>28</v>
      </c>
      <c r="D413" t="s">
        <v>28</v>
      </c>
      <c r="E413" t="s">
        <v>28</v>
      </c>
      <c r="F413" t="s">
        <v>28</v>
      </c>
      <c r="G413" t="s">
        <v>438</v>
      </c>
      <c r="H413" s="5">
        <v>19453.12</v>
      </c>
      <c r="I413" t="s">
        <v>26</v>
      </c>
      <c r="J413" t="s">
        <v>27</v>
      </c>
      <c r="N413" t="s">
        <v>29</v>
      </c>
      <c r="O413" t="s">
        <v>30</v>
      </c>
      <c r="P413" t="s">
        <v>31</v>
      </c>
      <c r="Q413">
        <v>2435</v>
      </c>
      <c r="R413">
        <v>2</v>
      </c>
      <c r="T413">
        <v>2435</v>
      </c>
      <c r="U413" s="5"/>
      <c r="X413" s="5">
        <v>19453.12</v>
      </c>
      <c r="Y413">
        <v>0</v>
      </c>
    </row>
    <row r="414" spans="2:25" x14ac:dyDescent="0.25">
      <c r="B414" t="s">
        <v>177</v>
      </c>
      <c r="C414" t="s">
        <v>28</v>
      </c>
      <c r="D414" t="s">
        <v>28</v>
      </c>
      <c r="E414" t="s">
        <v>28</v>
      </c>
      <c r="F414" t="s">
        <v>28</v>
      </c>
      <c r="G414" t="s">
        <v>414</v>
      </c>
      <c r="H414" s="5">
        <v>25134.080000000002</v>
      </c>
      <c r="I414" t="s">
        <v>26</v>
      </c>
      <c r="J414" t="s">
        <v>27</v>
      </c>
      <c r="N414" t="s">
        <v>29</v>
      </c>
      <c r="O414" t="s">
        <v>30</v>
      </c>
      <c r="P414" t="s">
        <v>31</v>
      </c>
      <c r="Q414">
        <v>23526</v>
      </c>
      <c r="R414">
        <v>2</v>
      </c>
      <c r="T414">
        <v>23526</v>
      </c>
      <c r="U414" s="5"/>
      <c r="X414" s="5">
        <v>25134.080000000002</v>
      </c>
      <c r="Y414">
        <v>0</v>
      </c>
    </row>
    <row r="415" spans="2:25" x14ac:dyDescent="0.25">
      <c r="B415" t="s">
        <v>177</v>
      </c>
      <c r="C415" t="s">
        <v>28</v>
      </c>
      <c r="D415" t="s">
        <v>28</v>
      </c>
      <c r="E415" t="s">
        <v>28</v>
      </c>
      <c r="F415" t="s">
        <v>28</v>
      </c>
      <c r="G415" t="s">
        <v>555</v>
      </c>
      <c r="H415" s="5">
        <v>92399.98</v>
      </c>
      <c r="I415" t="s">
        <v>26</v>
      </c>
      <c r="J415" t="s">
        <v>27</v>
      </c>
      <c r="N415" t="s">
        <v>29</v>
      </c>
      <c r="O415" t="s">
        <v>30</v>
      </c>
      <c r="P415" t="s">
        <v>31</v>
      </c>
      <c r="Q415">
        <v>25703</v>
      </c>
      <c r="R415">
        <v>2</v>
      </c>
      <c r="T415">
        <v>25703</v>
      </c>
      <c r="U415" s="5"/>
      <c r="X415" s="5">
        <v>92399.98</v>
      </c>
      <c r="Y415">
        <v>0</v>
      </c>
    </row>
    <row r="416" spans="2:25" x14ac:dyDescent="0.25">
      <c r="B416" t="s">
        <v>177</v>
      </c>
      <c r="C416" t="s">
        <v>28</v>
      </c>
      <c r="D416" t="s">
        <v>28</v>
      </c>
      <c r="E416" t="s">
        <v>28</v>
      </c>
      <c r="F416" t="s">
        <v>28</v>
      </c>
      <c r="G416" t="s">
        <v>483</v>
      </c>
      <c r="H416" s="5">
        <v>77909.8</v>
      </c>
      <c r="I416" t="s">
        <v>26</v>
      </c>
      <c r="J416" t="s">
        <v>27</v>
      </c>
      <c r="N416" t="s">
        <v>29</v>
      </c>
      <c r="O416" t="s">
        <v>30</v>
      </c>
      <c r="P416" t="s">
        <v>31</v>
      </c>
      <c r="Q416">
        <v>23668</v>
      </c>
      <c r="R416">
        <v>2</v>
      </c>
      <c r="T416">
        <v>23668</v>
      </c>
      <c r="U416" s="5"/>
      <c r="X416" s="5">
        <v>77909.8</v>
      </c>
      <c r="Y416">
        <v>0</v>
      </c>
    </row>
    <row r="417" spans="2:25" x14ac:dyDescent="0.25">
      <c r="B417" t="s">
        <v>177</v>
      </c>
      <c r="C417" t="s">
        <v>28</v>
      </c>
      <c r="D417" t="s">
        <v>28</v>
      </c>
      <c r="E417" t="s">
        <v>28</v>
      </c>
      <c r="F417" t="s">
        <v>28</v>
      </c>
      <c r="G417" t="s">
        <v>316</v>
      </c>
      <c r="H417" s="5">
        <v>93094</v>
      </c>
      <c r="I417" t="s">
        <v>26</v>
      </c>
      <c r="J417" t="s">
        <v>27</v>
      </c>
      <c r="N417" t="s">
        <v>29</v>
      </c>
      <c r="O417" t="s">
        <v>30</v>
      </c>
      <c r="P417" t="s">
        <v>31</v>
      </c>
      <c r="Q417">
        <v>25680</v>
      </c>
      <c r="R417">
        <v>2</v>
      </c>
      <c r="T417">
        <v>25680</v>
      </c>
      <c r="U417" s="5"/>
      <c r="X417" s="5">
        <v>93094</v>
      </c>
      <c r="Y417">
        <v>0</v>
      </c>
    </row>
    <row r="418" spans="2:25" x14ac:dyDescent="0.25">
      <c r="B418" t="s">
        <v>177</v>
      </c>
      <c r="C418" t="s">
        <v>28</v>
      </c>
      <c r="D418" t="s">
        <v>28</v>
      </c>
      <c r="E418" t="s">
        <v>28</v>
      </c>
      <c r="F418" t="s">
        <v>28</v>
      </c>
      <c r="G418" t="s">
        <v>485</v>
      </c>
      <c r="H418" s="5">
        <v>64531.29</v>
      </c>
      <c r="I418" t="s">
        <v>26</v>
      </c>
      <c r="J418" t="s">
        <v>27</v>
      </c>
      <c r="N418" t="s">
        <v>29</v>
      </c>
      <c r="O418" t="s">
        <v>30</v>
      </c>
      <c r="P418" t="s">
        <v>31</v>
      </c>
      <c r="Q418">
        <v>27106</v>
      </c>
      <c r="R418">
        <v>2</v>
      </c>
      <c r="T418">
        <v>27106</v>
      </c>
      <c r="U418" s="5"/>
      <c r="X418" s="5">
        <v>64295.5</v>
      </c>
      <c r="Y418">
        <v>235.79000000000087</v>
      </c>
    </row>
    <row r="419" spans="2:25" x14ac:dyDescent="0.25">
      <c r="B419" t="s">
        <v>177</v>
      </c>
      <c r="C419" t="s">
        <v>28</v>
      </c>
      <c r="D419" t="s">
        <v>28</v>
      </c>
      <c r="E419" t="s">
        <v>28</v>
      </c>
      <c r="F419" t="s">
        <v>28</v>
      </c>
      <c r="G419" t="s">
        <v>462</v>
      </c>
      <c r="H419" s="5">
        <v>2802889.59</v>
      </c>
      <c r="I419" t="s">
        <v>26</v>
      </c>
      <c r="J419" t="s">
        <v>27</v>
      </c>
      <c r="N419" t="s">
        <v>29</v>
      </c>
      <c r="O419" t="s">
        <v>30</v>
      </c>
      <c r="P419" t="s">
        <v>31</v>
      </c>
      <c r="Q419">
        <v>27118</v>
      </c>
      <c r="R419">
        <v>2</v>
      </c>
      <c r="T419">
        <v>27118</v>
      </c>
      <c r="U419" s="5"/>
      <c r="X419" s="5">
        <v>2802889.59</v>
      </c>
      <c r="Y419">
        <v>0</v>
      </c>
    </row>
    <row r="420" spans="2:25" x14ac:dyDescent="0.25">
      <c r="B420" t="s">
        <v>177</v>
      </c>
      <c r="C420" t="s">
        <v>28</v>
      </c>
      <c r="D420" t="s">
        <v>28</v>
      </c>
      <c r="E420" t="s">
        <v>28</v>
      </c>
      <c r="F420" t="s">
        <v>28</v>
      </c>
      <c r="G420" t="s">
        <v>581</v>
      </c>
      <c r="H420" s="5">
        <v>17027.63</v>
      </c>
      <c r="I420" t="s">
        <v>26</v>
      </c>
      <c r="J420" t="s">
        <v>27</v>
      </c>
      <c r="N420" t="s">
        <v>29</v>
      </c>
      <c r="O420" t="s">
        <v>30</v>
      </c>
      <c r="P420" t="s">
        <v>31</v>
      </c>
      <c r="Q420">
        <v>23500</v>
      </c>
      <c r="R420">
        <v>2</v>
      </c>
      <c r="T420">
        <v>23500</v>
      </c>
      <c r="U420" s="5"/>
      <c r="X420" s="5">
        <v>17027.63</v>
      </c>
      <c r="Y420">
        <v>0</v>
      </c>
    </row>
    <row r="421" spans="2:25" x14ac:dyDescent="0.25">
      <c r="B421" t="s">
        <v>177</v>
      </c>
      <c r="C421" t="s">
        <v>28</v>
      </c>
      <c r="D421" t="s">
        <v>28</v>
      </c>
      <c r="E421" t="s">
        <v>28</v>
      </c>
      <c r="F421" t="s">
        <v>28</v>
      </c>
      <c r="G421" t="s">
        <v>550</v>
      </c>
      <c r="H421" s="5">
        <v>4276.79</v>
      </c>
      <c r="I421" t="s">
        <v>26</v>
      </c>
      <c r="J421" t="s">
        <v>27</v>
      </c>
      <c r="N421" t="s">
        <v>29</v>
      </c>
      <c r="O421" t="s">
        <v>30</v>
      </c>
      <c r="P421" t="s">
        <v>31</v>
      </c>
      <c r="Q421">
        <v>23600</v>
      </c>
      <c r="R421">
        <v>2</v>
      </c>
      <c r="T421">
        <v>23600</v>
      </c>
      <c r="U421" s="5"/>
      <c r="X421" s="5">
        <v>4276.79</v>
      </c>
      <c r="Y421">
        <v>0</v>
      </c>
    </row>
    <row r="422" spans="2:25" x14ac:dyDescent="0.25">
      <c r="H422" s="5"/>
      <c r="W422" s="5"/>
      <c r="X422" s="5"/>
    </row>
    <row r="423" spans="2:25" x14ac:dyDescent="0.25">
      <c r="H423" s="5"/>
      <c r="W423" s="5"/>
      <c r="X423" s="5"/>
    </row>
    <row r="424" spans="2:25" x14ac:dyDescent="0.25">
      <c r="H424" s="5"/>
      <c r="W424" s="5"/>
      <c r="X424" s="5"/>
    </row>
    <row r="425" spans="2:25" x14ac:dyDescent="0.25">
      <c r="H425" s="5"/>
      <c r="V425" s="6"/>
      <c r="W425" s="5"/>
      <c r="X425" s="5"/>
    </row>
    <row r="426" spans="2:25" x14ac:dyDescent="0.25">
      <c r="H426" s="5"/>
      <c r="W426" s="5"/>
      <c r="X426" s="5"/>
    </row>
    <row r="427" spans="2:25" x14ac:dyDescent="0.25">
      <c r="H427" s="5"/>
      <c r="W427" s="5"/>
      <c r="X427" s="5"/>
    </row>
    <row r="428" spans="2:25" x14ac:dyDescent="0.25">
      <c r="H428" s="5"/>
      <c r="W428" s="5"/>
      <c r="X428" s="5"/>
    </row>
    <row r="429" spans="2:25" x14ac:dyDescent="0.25">
      <c r="H429" s="5"/>
      <c r="W429" s="5"/>
      <c r="X429" s="5"/>
    </row>
    <row r="430" spans="2:25" x14ac:dyDescent="0.25">
      <c r="B430" s="13">
        <v>45627</v>
      </c>
      <c r="H430" s="5"/>
      <c r="W430" s="5"/>
      <c r="X430" s="5"/>
    </row>
    <row r="431" spans="2:25" x14ac:dyDescent="0.25">
      <c r="B431" s="2" t="s">
        <v>0</v>
      </c>
      <c r="C431" s="2" t="s">
        <v>164</v>
      </c>
      <c r="D431" s="2" t="s">
        <v>6</v>
      </c>
      <c r="E431" s="2" t="s">
        <v>7</v>
      </c>
      <c r="F431" s="2" t="s">
        <v>587</v>
      </c>
      <c r="G431" s="2" t="s">
        <v>10</v>
      </c>
      <c r="H431" s="2" t="s">
        <v>11</v>
      </c>
      <c r="I431" s="2" t="s">
        <v>588</v>
      </c>
      <c r="J431" s="2" t="s">
        <v>14</v>
      </c>
      <c r="K431" s="2" t="s">
        <v>15</v>
      </c>
      <c r="L431" s="2" t="s">
        <v>16</v>
      </c>
      <c r="O431" s="12" t="s">
        <v>172</v>
      </c>
      <c r="W431" s="5"/>
      <c r="X431" s="5"/>
    </row>
    <row r="432" spans="2:25" hidden="1" x14ac:dyDescent="0.25">
      <c r="B432" t="s">
        <v>177</v>
      </c>
      <c r="C432">
        <v>27036</v>
      </c>
      <c r="D432">
        <v>16929.830000000002</v>
      </c>
      <c r="E432" t="s">
        <v>26</v>
      </c>
      <c r="F432" t="s">
        <v>27</v>
      </c>
      <c r="G432" t="s">
        <v>130</v>
      </c>
      <c r="H432" s="5"/>
      <c r="J432" t="s">
        <v>29</v>
      </c>
      <c r="K432" t="s">
        <v>30</v>
      </c>
      <c r="L432" t="s">
        <v>31</v>
      </c>
      <c r="N432" t="s">
        <v>88</v>
      </c>
      <c r="O432">
        <f>VLOOKUP(C432,$Q$18:$Q$421,1,FALSE)</f>
        <v>27036</v>
      </c>
      <c r="W432" s="5"/>
      <c r="X432" s="5"/>
    </row>
    <row r="433" spans="2:24" hidden="1" x14ac:dyDescent="0.25">
      <c r="B433" t="s">
        <v>177</v>
      </c>
      <c r="C433">
        <v>26381</v>
      </c>
      <c r="D433">
        <v>136285.5</v>
      </c>
      <c r="E433" t="s">
        <v>26</v>
      </c>
      <c r="F433" t="s">
        <v>27</v>
      </c>
      <c r="G433" t="s">
        <v>130</v>
      </c>
      <c r="H433" s="5"/>
      <c r="J433" t="s">
        <v>29</v>
      </c>
      <c r="K433" t="s">
        <v>30</v>
      </c>
      <c r="L433" t="s">
        <v>31</v>
      </c>
      <c r="O433">
        <f t="shared" ref="O433:O496" si="0">VLOOKUP(C433,$Q$18:$Q$421,1,FALSE)</f>
        <v>26381</v>
      </c>
      <c r="V433" s="6"/>
      <c r="W433" s="5"/>
      <c r="X433" s="5"/>
    </row>
    <row r="434" spans="2:24" hidden="1" x14ac:dyDescent="0.25">
      <c r="B434" t="s">
        <v>177</v>
      </c>
      <c r="C434">
        <v>23511</v>
      </c>
      <c r="D434">
        <v>58363.86</v>
      </c>
      <c r="E434" t="s">
        <v>26</v>
      </c>
      <c r="F434" t="s">
        <v>27</v>
      </c>
      <c r="G434" t="s">
        <v>130</v>
      </c>
      <c r="H434" s="5"/>
      <c r="J434" t="s">
        <v>29</v>
      </c>
      <c r="K434" t="s">
        <v>30</v>
      </c>
      <c r="L434" t="s">
        <v>31</v>
      </c>
      <c r="O434">
        <f t="shared" si="0"/>
        <v>23511</v>
      </c>
      <c r="W434" s="5"/>
      <c r="X434" s="5"/>
    </row>
    <row r="435" spans="2:24" hidden="1" x14ac:dyDescent="0.25">
      <c r="B435" t="s">
        <v>177</v>
      </c>
      <c r="C435">
        <v>23508</v>
      </c>
      <c r="D435">
        <v>76636.149999999994</v>
      </c>
      <c r="E435" t="s">
        <v>26</v>
      </c>
      <c r="F435" t="s">
        <v>27</v>
      </c>
      <c r="G435" t="s">
        <v>130</v>
      </c>
      <c r="H435" s="5"/>
      <c r="J435" t="s">
        <v>29</v>
      </c>
      <c r="K435" t="s">
        <v>30</v>
      </c>
      <c r="L435" t="s">
        <v>31</v>
      </c>
      <c r="O435">
        <f t="shared" si="0"/>
        <v>23508</v>
      </c>
      <c r="W435" s="5"/>
      <c r="X435" s="5"/>
    </row>
    <row r="436" spans="2:24" hidden="1" x14ac:dyDescent="0.25">
      <c r="B436" t="s">
        <v>177</v>
      </c>
      <c r="C436">
        <v>23506</v>
      </c>
      <c r="D436">
        <v>22523.29</v>
      </c>
      <c r="E436" t="s">
        <v>26</v>
      </c>
      <c r="F436" t="s">
        <v>27</v>
      </c>
      <c r="G436" t="s">
        <v>130</v>
      </c>
      <c r="H436" s="5"/>
      <c r="J436" t="s">
        <v>29</v>
      </c>
      <c r="K436" t="s">
        <v>30</v>
      </c>
      <c r="L436" t="s">
        <v>31</v>
      </c>
      <c r="O436">
        <f t="shared" si="0"/>
        <v>23506</v>
      </c>
      <c r="V436" s="6"/>
      <c r="W436" s="5"/>
      <c r="X436" s="5"/>
    </row>
    <row r="437" spans="2:24" hidden="1" x14ac:dyDescent="0.25">
      <c r="B437" t="s">
        <v>177</v>
      </c>
      <c r="C437">
        <v>25698</v>
      </c>
      <c r="D437">
        <v>312134.84999999998</v>
      </c>
      <c r="E437" t="s">
        <v>26</v>
      </c>
      <c r="F437" t="s">
        <v>27</v>
      </c>
      <c r="G437" t="s">
        <v>130</v>
      </c>
      <c r="H437" s="5"/>
      <c r="J437" t="s">
        <v>29</v>
      </c>
      <c r="K437" t="s">
        <v>30</v>
      </c>
      <c r="L437" t="s">
        <v>31</v>
      </c>
      <c r="O437">
        <f t="shared" si="0"/>
        <v>25698</v>
      </c>
      <c r="W437" s="5"/>
      <c r="X437" s="5"/>
    </row>
    <row r="438" spans="2:24" hidden="1" x14ac:dyDescent="0.25">
      <c r="B438" t="s">
        <v>177</v>
      </c>
      <c r="C438">
        <v>7351</v>
      </c>
      <c r="D438">
        <v>156026.29999999999</v>
      </c>
      <c r="E438" t="s">
        <v>26</v>
      </c>
      <c r="F438" t="s">
        <v>27</v>
      </c>
      <c r="G438" t="s">
        <v>130</v>
      </c>
      <c r="H438" s="5"/>
      <c r="J438" t="s">
        <v>29</v>
      </c>
      <c r="K438" t="s">
        <v>30</v>
      </c>
      <c r="L438" t="s">
        <v>31</v>
      </c>
      <c r="O438">
        <f t="shared" si="0"/>
        <v>7351</v>
      </c>
      <c r="W438" s="5"/>
      <c r="X438" s="5"/>
    </row>
    <row r="439" spans="2:24" hidden="1" x14ac:dyDescent="0.25">
      <c r="B439" t="s">
        <v>177</v>
      </c>
      <c r="C439">
        <v>27103</v>
      </c>
      <c r="D439">
        <v>26761.919999999998</v>
      </c>
      <c r="E439" t="s">
        <v>26</v>
      </c>
      <c r="F439" t="s">
        <v>27</v>
      </c>
      <c r="G439" t="s">
        <v>130</v>
      </c>
      <c r="H439" s="5"/>
      <c r="J439" t="s">
        <v>29</v>
      </c>
      <c r="K439" t="s">
        <v>30</v>
      </c>
      <c r="L439" t="s">
        <v>31</v>
      </c>
      <c r="O439">
        <f t="shared" si="0"/>
        <v>27103</v>
      </c>
      <c r="W439" s="5"/>
      <c r="X439" s="5"/>
    </row>
    <row r="440" spans="2:24" hidden="1" x14ac:dyDescent="0.25">
      <c r="B440" t="s">
        <v>177</v>
      </c>
      <c r="C440">
        <v>23522</v>
      </c>
      <c r="D440">
        <v>25385.59</v>
      </c>
      <c r="E440" t="s">
        <v>26</v>
      </c>
      <c r="F440" t="s">
        <v>27</v>
      </c>
      <c r="G440" t="s">
        <v>130</v>
      </c>
      <c r="H440" s="5"/>
      <c r="J440" t="s">
        <v>29</v>
      </c>
      <c r="K440" t="s">
        <v>30</v>
      </c>
      <c r="L440" t="s">
        <v>31</v>
      </c>
      <c r="O440">
        <f t="shared" si="0"/>
        <v>23522</v>
      </c>
      <c r="W440" s="5"/>
      <c r="X440" s="5"/>
    </row>
    <row r="441" spans="2:24" hidden="1" x14ac:dyDescent="0.25">
      <c r="B441" t="s">
        <v>177</v>
      </c>
      <c r="C441">
        <v>3221</v>
      </c>
      <c r="D441">
        <v>10970.09</v>
      </c>
      <c r="E441" t="s">
        <v>26</v>
      </c>
      <c r="F441" t="s">
        <v>27</v>
      </c>
      <c r="G441" t="s">
        <v>130</v>
      </c>
      <c r="H441" s="5"/>
      <c r="J441" t="s">
        <v>29</v>
      </c>
      <c r="K441" t="s">
        <v>30</v>
      </c>
      <c r="L441" t="s">
        <v>31</v>
      </c>
      <c r="O441">
        <f t="shared" si="0"/>
        <v>3221</v>
      </c>
      <c r="V441" s="6"/>
      <c r="W441" s="5"/>
      <c r="X441" s="5"/>
    </row>
    <row r="442" spans="2:24" hidden="1" x14ac:dyDescent="0.25">
      <c r="B442" t="s">
        <v>177</v>
      </c>
      <c r="C442">
        <v>2090</v>
      </c>
      <c r="D442">
        <v>72558.429999999993</v>
      </c>
      <c r="E442" t="s">
        <v>26</v>
      </c>
      <c r="F442" t="s">
        <v>27</v>
      </c>
      <c r="G442" t="s">
        <v>130</v>
      </c>
      <c r="H442" s="5"/>
      <c r="J442" t="s">
        <v>29</v>
      </c>
      <c r="K442" t="s">
        <v>30</v>
      </c>
      <c r="L442" t="s">
        <v>31</v>
      </c>
      <c r="O442">
        <f t="shared" si="0"/>
        <v>2090</v>
      </c>
      <c r="W442" s="5"/>
      <c r="X442" s="5"/>
    </row>
    <row r="443" spans="2:24" hidden="1" x14ac:dyDescent="0.25">
      <c r="B443" t="s">
        <v>177</v>
      </c>
      <c r="C443">
        <v>23643</v>
      </c>
      <c r="D443">
        <v>334.28</v>
      </c>
      <c r="E443" t="s">
        <v>26</v>
      </c>
      <c r="F443" t="s">
        <v>27</v>
      </c>
      <c r="G443" t="s">
        <v>130</v>
      </c>
      <c r="H443" s="5"/>
      <c r="J443" t="s">
        <v>29</v>
      </c>
      <c r="K443" t="s">
        <v>30</v>
      </c>
      <c r="L443" t="s">
        <v>31</v>
      </c>
      <c r="O443">
        <f t="shared" si="0"/>
        <v>23643</v>
      </c>
      <c r="W443" s="5"/>
      <c r="X443" s="5"/>
    </row>
    <row r="444" spans="2:24" hidden="1" x14ac:dyDescent="0.25">
      <c r="B444" t="s">
        <v>177</v>
      </c>
      <c r="C444">
        <v>23565</v>
      </c>
      <c r="D444">
        <v>13718.19</v>
      </c>
      <c r="E444" t="s">
        <v>26</v>
      </c>
      <c r="F444" t="s">
        <v>27</v>
      </c>
      <c r="G444" t="s">
        <v>130</v>
      </c>
      <c r="H444" s="5"/>
      <c r="J444" t="s">
        <v>29</v>
      </c>
      <c r="K444" t="s">
        <v>30</v>
      </c>
      <c r="L444" t="s">
        <v>31</v>
      </c>
      <c r="O444">
        <f t="shared" si="0"/>
        <v>23565</v>
      </c>
      <c r="W444" s="5"/>
      <c r="X444" s="5"/>
    </row>
    <row r="445" spans="2:24" x14ac:dyDescent="0.25">
      <c r="B445" t="s">
        <v>177</v>
      </c>
      <c r="C445">
        <v>24308</v>
      </c>
      <c r="D445">
        <v>7564.67</v>
      </c>
      <c r="E445" t="s">
        <v>26</v>
      </c>
      <c r="F445" t="s">
        <v>27</v>
      </c>
      <c r="G445" t="s">
        <v>130</v>
      </c>
      <c r="H445" s="5"/>
      <c r="J445" t="s">
        <v>29</v>
      </c>
      <c r="K445" t="s">
        <v>30</v>
      </c>
      <c r="L445" t="s">
        <v>31</v>
      </c>
      <c r="O445" t="e">
        <f t="shared" si="0"/>
        <v>#N/A</v>
      </c>
      <c r="W445" s="5"/>
      <c r="X445" s="5"/>
    </row>
    <row r="446" spans="2:24" hidden="1" x14ac:dyDescent="0.25">
      <c r="B446" t="s">
        <v>177</v>
      </c>
      <c r="C446">
        <v>23613</v>
      </c>
      <c r="D446">
        <v>1860.55</v>
      </c>
      <c r="E446" t="s">
        <v>26</v>
      </c>
      <c r="F446" t="s">
        <v>27</v>
      </c>
      <c r="G446" t="s">
        <v>130</v>
      </c>
      <c r="H446" s="5"/>
      <c r="J446" t="s">
        <v>29</v>
      </c>
      <c r="K446" t="s">
        <v>30</v>
      </c>
      <c r="L446" t="s">
        <v>31</v>
      </c>
      <c r="O446">
        <f t="shared" si="0"/>
        <v>23613</v>
      </c>
      <c r="W446" s="5"/>
      <c r="X446" s="5"/>
    </row>
    <row r="447" spans="2:24" hidden="1" x14ac:dyDescent="0.25">
      <c r="B447" t="s">
        <v>177</v>
      </c>
      <c r="C447">
        <v>19370</v>
      </c>
      <c r="D447">
        <v>2818.7</v>
      </c>
      <c r="E447" t="s">
        <v>26</v>
      </c>
      <c r="F447" t="s">
        <v>27</v>
      </c>
      <c r="G447" t="s">
        <v>130</v>
      </c>
      <c r="H447" s="5"/>
      <c r="J447" t="s">
        <v>29</v>
      </c>
      <c r="K447" t="s">
        <v>30</v>
      </c>
      <c r="L447" t="s">
        <v>31</v>
      </c>
      <c r="O447">
        <f t="shared" si="0"/>
        <v>19370</v>
      </c>
      <c r="W447" s="5"/>
      <c r="X447" s="5"/>
    </row>
    <row r="448" spans="2:24" hidden="1" x14ac:dyDescent="0.25">
      <c r="B448" t="s">
        <v>177</v>
      </c>
      <c r="C448">
        <v>23562</v>
      </c>
      <c r="D448">
        <v>3111.66</v>
      </c>
      <c r="E448" t="s">
        <v>26</v>
      </c>
      <c r="F448" t="s">
        <v>27</v>
      </c>
      <c r="G448" t="s">
        <v>130</v>
      </c>
      <c r="H448" s="5"/>
      <c r="J448" t="s">
        <v>29</v>
      </c>
      <c r="K448" t="s">
        <v>30</v>
      </c>
      <c r="L448" t="s">
        <v>31</v>
      </c>
      <c r="O448">
        <f t="shared" si="0"/>
        <v>23562</v>
      </c>
      <c r="W448" s="5"/>
      <c r="X448" s="5"/>
    </row>
    <row r="449" spans="2:24" hidden="1" x14ac:dyDescent="0.25">
      <c r="B449" t="s">
        <v>177</v>
      </c>
      <c r="C449">
        <v>25688</v>
      </c>
      <c r="D449">
        <v>99248.05</v>
      </c>
      <c r="E449" t="s">
        <v>26</v>
      </c>
      <c r="F449" t="s">
        <v>27</v>
      </c>
      <c r="G449" t="s">
        <v>130</v>
      </c>
      <c r="H449" s="5"/>
      <c r="J449" t="s">
        <v>29</v>
      </c>
      <c r="K449" t="s">
        <v>30</v>
      </c>
      <c r="L449" t="s">
        <v>31</v>
      </c>
      <c r="O449">
        <f t="shared" si="0"/>
        <v>25688</v>
      </c>
      <c r="W449" s="5"/>
      <c r="X449" s="5"/>
    </row>
    <row r="450" spans="2:24" hidden="1" x14ac:dyDescent="0.25">
      <c r="B450" t="s">
        <v>177</v>
      </c>
      <c r="C450">
        <v>23490</v>
      </c>
      <c r="D450">
        <v>22229.86</v>
      </c>
      <c r="E450" t="s">
        <v>26</v>
      </c>
      <c r="F450" t="s">
        <v>27</v>
      </c>
      <c r="G450" t="s">
        <v>130</v>
      </c>
      <c r="H450" s="5"/>
      <c r="J450" t="s">
        <v>29</v>
      </c>
      <c r="K450" t="s">
        <v>30</v>
      </c>
      <c r="L450" t="s">
        <v>31</v>
      </c>
      <c r="O450">
        <f t="shared" si="0"/>
        <v>23490</v>
      </c>
      <c r="W450" s="5"/>
      <c r="X450" s="5"/>
    </row>
    <row r="451" spans="2:24" x14ac:dyDescent="0.25">
      <c r="B451" t="s">
        <v>177</v>
      </c>
      <c r="C451">
        <v>27113</v>
      </c>
      <c r="D451">
        <v>52815.41</v>
      </c>
      <c r="E451" t="s">
        <v>26</v>
      </c>
      <c r="F451" t="s">
        <v>27</v>
      </c>
      <c r="G451" t="s">
        <v>130</v>
      </c>
      <c r="H451" s="5"/>
      <c r="J451" t="s">
        <v>29</v>
      </c>
      <c r="K451" t="s">
        <v>30</v>
      </c>
      <c r="L451" t="s">
        <v>31</v>
      </c>
      <c r="O451" t="e">
        <f t="shared" si="0"/>
        <v>#N/A</v>
      </c>
      <c r="W451" s="5"/>
      <c r="X451" s="5"/>
    </row>
    <row r="452" spans="2:24" hidden="1" x14ac:dyDescent="0.25">
      <c r="B452" t="s">
        <v>177</v>
      </c>
      <c r="C452">
        <v>23575</v>
      </c>
      <c r="D452">
        <v>13435.51</v>
      </c>
      <c r="E452" t="s">
        <v>26</v>
      </c>
      <c r="F452" t="s">
        <v>27</v>
      </c>
      <c r="G452" t="s">
        <v>130</v>
      </c>
      <c r="H452" s="5"/>
      <c r="J452" t="s">
        <v>29</v>
      </c>
      <c r="K452" t="s">
        <v>30</v>
      </c>
      <c r="L452" t="s">
        <v>31</v>
      </c>
      <c r="O452">
        <f t="shared" si="0"/>
        <v>23575</v>
      </c>
      <c r="W452" s="5"/>
      <c r="X452" s="5"/>
    </row>
    <row r="453" spans="2:24" hidden="1" x14ac:dyDescent="0.25">
      <c r="B453" t="s">
        <v>177</v>
      </c>
      <c r="C453">
        <v>23653</v>
      </c>
      <c r="D453">
        <v>346.1</v>
      </c>
      <c r="E453" t="s">
        <v>26</v>
      </c>
      <c r="F453" t="s">
        <v>27</v>
      </c>
      <c r="G453" t="s">
        <v>130</v>
      </c>
      <c r="H453" s="5"/>
      <c r="J453" t="s">
        <v>29</v>
      </c>
      <c r="K453" t="s">
        <v>30</v>
      </c>
      <c r="L453" t="s">
        <v>31</v>
      </c>
      <c r="O453">
        <f t="shared" si="0"/>
        <v>23653</v>
      </c>
      <c r="W453" s="5"/>
      <c r="X453" s="5"/>
    </row>
    <row r="454" spans="2:24" hidden="1" x14ac:dyDescent="0.25">
      <c r="B454" t="s">
        <v>177</v>
      </c>
      <c r="C454">
        <v>23487</v>
      </c>
      <c r="D454">
        <v>26578.67</v>
      </c>
      <c r="E454" t="s">
        <v>26</v>
      </c>
      <c r="F454" t="s">
        <v>27</v>
      </c>
      <c r="G454" t="s">
        <v>130</v>
      </c>
      <c r="H454" s="5"/>
      <c r="J454" t="s">
        <v>29</v>
      </c>
      <c r="K454" t="s">
        <v>30</v>
      </c>
      <c r="L454" t="s">
        <v>31</v>
      </c>
      <c r="O454">
        <f t="shared" si="0"/>
        <v>23487</v>
      </c>
      <c r="W454" s="5"/>
      <c r="X454" s="5"/>
    </row>
    <row r="455" spans="2:24" hidden="1" x14ac:dyDescent="0.25">
      <c r="B455" t="s">
        <v>177</v>
      </c>
      <c r="C455">
        <v>23581</v>
      </c>
      <c r="D455">
        <v>3257.84</v>
      </c>
      <c r="E455" t="s">
        <v>26</v>
      </c>
      <c r="F455" t="s">
        <v>27</v>
      </c>
      <c r="G455" t="s">
        <v>130</v>
      </c>
      <c r="H455" s="5"/>
      <c r="J455" t="s">
        <v>29</v>
      </c>
      <c r="K455" t="s">
        <v>30</v>
      </c>
      <c r="L455" t="s">
        <v>31</v>
      </c>
      <c r="O455">
        <f t="shared" si="0"/>
        <v>23581</v>
      </c>
      <c r="W455" s="5"/>
      <c r="X455" s="5"/>
    </row>
    <row r="456" spans="2:24" hidden="1" x14ac:dyDescent="0.25">
      <c r="B456" t="s">
        <v>177</v>
      </c>
      <c r="C456">
        <v>23489</v>
      </c>
      <c r="D456">
        <v>26578.67</v>
      </c>
      <c r="E456" t="s">
        <v>26</v>
      </c>
      <c r="F456" t="s">
        <v>27</v>
      </c>
      <c r="G456" t="s">
        <v>130</v>
      </c>
      <c r="H456" s="5"/>
      <c r="J456" t="s">
        <v>29</v>
      </c>
      <c r="K456" t="s">
        <v>30</v>
      </c>
      <c r="L456" t="s">
        <v>31</v>
      </c>
      <c r="O456">
        <f t="shared" si="0"/>
        <v>23489</v>
      </c>
      <c r="W456" s="5"/>
      <c r="X456" s="5"/>
    </row>
    <row r="457" spans="2:24" hidden="1" x14ac:dyDescent="0.25">
      <c r="B457" t="s">
        <v>177</v>
      </c>
      <c r="C457">
        <v>25691</v>
      </c>
      <c r="D457">
        <v>211423.79</v>
      </c>
      <c r="E457" t="s">
        <v>26</v>
      </c>
      <c r="F457" t="s">
        <v>27</v>
      </c>
      <c r="G457" t="s">
        <v>130</v>
      </c>
      <c r="H457" s="5"/>
      <c r="J457" t="s">
        <v>29</v>
      </c>
      <c r="K457" t="s">
        <v>30</v>
      </c>
      <c r="L457" t="s">
        <v>31</v>
      </c>
      <c r="O457">
        <f t="shared" si="0"/>
        <v>25691</v>
      </c>
      <c r="W457" s="5"/>
      <c r="X457" s="5"/>
    </row>
    <row r="458" spans="2:24" hidden="1" x14ac:dyDescent="0.25">
      <c r="B458" t="s">
        <v>177</v>
      </c>
      <c r="C458">
        <v>23603</v>
      </c>
      <c r="D458">
        <v>10748.41</v>
      </c>
      <c r="E458" t="s">
        <v>26</v>
      </c>
      <c r="F458" t="s">
        <v>27</v>
      </c>
      <c r="G458" t="s">
        <v>130</v>
      </c>
      <c r="H458" s="5"/>
      <c r="J458" t="s">
        <v>29</v>
      </c>
      <c r="K458" t="s">
        <v>30</v>
      </c>
      <c r="L458" t="s">
        <v>31</v>
      </c>
      <c r="O458">
        <f t="shared" si="0"/>
        <v>23603</v>
      </c>
      <c r="W458" s="5"/>
      <c r="X458" s="5"/>
    </row>
    <row r="459" spans="2:24" hidden="1" x14ac:dyDescent="0.25">
      <c r="B459" t="s">
        <v>177</v>
      </c>
      <c r="C459">
        <v>23949</v>
      </c>
      <c r="D459">
        <v>38092.01</v>
      </c>
      <c r="E459" t="s">
        <v>26</v>
      </c>
      <c r="F459" t="s">
        <v>27</v>
      </c>
      <c r="G459" t="s">
        <v>130</v>
      </c>
      <c r="H459" s="5"/>
      <c r="J459" t="s">
        <v>29</v>
      </c>
      <c r="K459" t="s">
        <v>30</v>
      </c>
      <c r="L459" t="s">
        <v>31</v>
      </c>
      <c r="O459">
        <f t="shared" si="0"/>
        <v>23949</v>
      </c>
      <c r="V459" s="6"/>
      <c r="W459" s="5"/>
      <c r="X459" s="5"/>
    </row>
    <row r="460" spans="2:24" hidden="1" x14ac:dyDescent="0.25">
      <c r="B460" t="s">
        <v>177</v>
      </c>
      <c r="C460">
        <v>23997</v>
      </c>
      <c r="D460">
        <v>107786.11</v>
      </c>
      <c r="E460" t="s">
        <v>26</v>
      </c>
      <c r="F460" t="s">
        <v>27</v>
      </c>
      <c r="G460" t="s">
        <v>130</v>
      </c>
      <c r="H460" s="5"/>
      <c r="J460" t="s">
        <v>29</v>
      </c>
      <c r="K460" t="s">
        <v>30</v>
      </c>
      <c r="L460" t="s">
        <v>31</v>
      </c>
      <c r="O460">
        <f t="shared" si="0"/>
        <v>23997</v>
      </c>
      <c r="W460" s="5"/>
      <c r="X460" s="5"/>
    </row>
    <row r="461" spans="2:24" x14ac:dyDescent="0.25">
      <c r="B461" t="s">
        <v>177</v>
      </c>
      <c r="C461">
        <v>18558</v>
      </c>
      <c r="D461">
        <v>77552.13</v>
      </c>
      <c r="E461" t="s">
        <v>26</v>
      </c>
      <c r="F461" t="s">
        <v>27</v>
      </c>
      <c r="G461" t="s">
        <v>130</v>
      </c>
      <c r="H461" s="5"/>
      <c r="J461" t="s">
        <v>29</v>
      </c>
      <c r="K461" t="s">
        <v>30</v>
      </c>
      <c r="L461" t="s">
        <v>31</v>
      </c>
      <c r="O461" t="e">
        <f t="shared" si="0"/>
        <v>#N/A</v>
      </c>
      <c r="W461" s="5"/>
      <c r="X461" s="5"/>
    </row>
    <row r="462" spans="2:24" hidden="1" x14ac:dyDescent="0.25">
      <c r="B462" t="s">
        <v>177</v>
      </c>
      <c r="C462">
        <v>26984</v>
      </c>
      <c r="D462">
        <v>23163.43</v>
      </c>
      <c r="E462" t="s">
        <v>26</v>
      </c>
      <c r="F462" t="s">
        <v>27</v>
      </c>
      <c r="G462" t="s">
        <v>130</v>
      </c>
      <c r="H462" s="5"/>
      <c r="J462" t="s">
        <v>29</v>
      </c>
      <c r="K462" t="s">
        <v>30</v>
      </c>
      <c r="L462" t="s">
        <v>31</v>
      </c>
      <c r="O462">
        <f t="shared" si="0"/>
        <v>26984</v>
      </c>
      <c r="W462" s="5"/>
      <c r="X462" s="5"/>
    </row>
    <row r="463" spans="2:24" hidden="1" x14ac:dyDescent="0.25">
      <c r="B463" t="s">
        <v>177</v>
      </c>
      <c r="C463">
        <v>8264</v>
      </c>
      <c r="D463">
        <v>42107.6</v>
      </c>
      <c r="E463" t="s">
        <v>26</v>
      </c>
      <c r="F463" t="s">
        <v>27</v>
      </c>
      <c r="G463" t="s">
        <v>130</v>
      </c>
      <c r="H463" s="5"/>
      <c r="J463" t="s">
        <v>29</v>
      </c>
      <c r="K463" t="s">
        <v>30</v>
      </c>
      <c r="L463" t="s">
        <v>31</v>
      </c>
      <c r="O463">
        <f t="shared" si="0"/>
        <v>8264</v>
      </c>
      <c r="W463" s="5"/>
      <c r="X463" s="5"/>
    </row>
    <row r="464" spans="2:24" hidden="1" x14ac:dyDescent="0.25">
      <c r="B464" t="s">
        <v>177</v>
      </c>
      <c r="C464">
        <v>27132</v>
      </c>
      <c r="D464">
        <v>113790.64</v>
      </c>
      <c r="E464" t="s">
        <v>26</v>
      </c>
      <c r="F464" t="s">
        <v>27</v>
      </c>
      <c r="G464" t="s">
        <v>130</v>
      </c>
      <c r="H464" s="5"/>
      <c r="J464" t="s">
        <v>29</v>
      </c>
      <c r="K464" t="s">
        <v>30</v>
      </c>
      <c r="L464" t="s">
        <v>31</v>
      </c>
      <c r="O464">
        <f t="shared" si="0"/>
        <v>27132</v>
      </c>
      <c r="W464" s="5"/>
      <c r="X464" s="5"/>
    </row>
    <row r="465" spans="2:24" hidden="1" x14ac:dyDescent="0.25">
      <c r="B465" t="s">
        <v>177</v>
      </c>
      <c r="C465">
        <v>26051</v>
      </c>
      <c r="D465">
        <v>67539.990000000005</v>
      </c>
      <c r="E465" t="s">
        <v>26</v>
      </c>
      <c r="F465" t="s">
        <v>27</v>
      </c>
      <c r="G465" t="s">
        <v>130</v>
      </c>
      <c r="H465" s="5"/>
      <c r="J465" t="s">
        <v>29</v>
      </c>
      <c r="K465" t="s">
        <v>30</v>
      </c>
      <c r="L465" t="s">
        <v>31</v>
      </c>
      <c r="O465">
        <f t="shared" si="0"/>
        <v>26051</v>
      </c>
      <c r="W465" s="5"/>
      <c r="X465" s="5"/>
    </row>
    <row r="466" spans="2:24" hidden="1" x14ac:dyDescent="0.25">
      <c r="B466" t="s">
        <v>177</v>
      </c>
      <c r="C466">
        <v>23665</v>
      </c>
      <c r="D466">
        <v>11085.91</v>
      </c>
      <c r="E466" t="s">
        <v>26</v>
      </c>
      <c r="F466" t="s">
        <v>27</v>
      </c>
      <c r="G466" t="s">
        <v>130</v>
      </c>
      <c r="H466" s="5"/>
      <c r="J466" t="s">
        <v>29</v>
      </c>
      <c r="K466" t="s">
        <v>30</v>
      </c>
      <c r="L466" t="s">
        <v>31</v>
      </c>
      <c r="O466">
        <f t="shared" si="0"/>
        <v>23665</v>
      </c>
      <c r="W466" s="5"/>
      <c r="X466" s="5"/>
    </row>
    <row r="467" spans="2:24" hidden="1" x14ac:dyDescent="0.25">
      <c r="B467" t="s">
        <v>177</v>
      </c>
      <c r="C467">
        <v>8009161420</v>
      </c>
      <c r="D467">
        <v>80000</v>
      </c>
      <c r="E467" t="s">
        <v>26</v>
      </c>
      <c r="F467" t="s">
        <v>27</v>
      </c>
      <c r="G467" t="s">
        <v>130</v>
      </c>
      <c r="H467" s="5"/>
      <c r="J467" t="s">
        <v>29</v>
      </c>
      <c r="K467" t="s">
        <v>30</v>
      </c>
      <c r="L467" t="s">
        <v>31</v>
      </c>
      <c r="O467">
        <f t="shared" si="0"/>
        <v>8009161420</v>
      </c>
      <c r="V467" s="6"/>
      <c r="W467" s="5"/>
      <c r="X467" s="5"/>
    </row>
    <row r="468" spans="2:24" hidden="1" x14ac:dyDescent="0.25">
      <c r="B468" t="s">
        <v>177</v>
      </c>
      <c r="C468">
        <v>18272</v>
      </c>
      <c r="D468">
        <v>20702.96</v>
      </c>
      <c r="E468" t="s">
        <v>26</v>
      </c>
      <c r="F468" t="s">
        <v>27</v>
      </c>
      <c r="G468" t="s">
        <v>130</v>
      </c>
      <c r="H468" s="5"/>
      <c r="J468" t="s">
        <v>29</v>
      </c>
      <c r="K468" t="s">
        <v>30</v>
      </c>
      <c r="L468" t="s">
        <v>31</v>
      </c>
      <c r="O468">
        <f t="shared" si="0"/>
        <v>18272</v>
      </c>
      <c r="W468" s="5"/>
      <c r="X468" s="5"/>
    </row>
    <row r="469" spans="2:24" hidden="1" x14ac:dyDescent="0.25">
      <c r="B469" t="s">
        <v>177</v>
      </c>
      <c r="C469">
        <v>23938</v>
      </c>
      <c r="D469">
        <v>149171.75</v>
      </c>
      <c r="E469" t="s">
        <v>26</v>
      </c>
      <c r="F469" t="s">
        <v>27</v>
      </c>
      <c r="G469" t="s">
        <v>130</v>
      </c>
      <c r="H469" s="5"/>
      <c r="J469" t="s">
        <v>29</v>
      </c>
      <c r="K469" t="s">
        <v>30</v>
      </c>
      <c r="L469" t="s">
        <v>31</v>
      </c>
      <c r="O469">
        <f t="shared" si="0"/>
        <v>23938</v>
      </c>
      <c r="W469" s="5"/>
      <c r="X469" s="5"/>
    </row>
    <row r="470" spans="2:24" hidden="1" x14ac:dyDescent="0.25">
      <c r="B470" t="s">
        <v>177</v>
      </c>
      <c r="C470">
        <v>25516</v>
      </c>
      <c r="D470">
        <v>77909.8</v>
      </c>
      <c r="E470" t="s">
        <v>26</v>
      </c>
      <c r="F470" t="s">
        <v>27</v>
      </c>
      <c r="G470" t="s">
        <v>130</v>
      </c>
      <c r="H470" s="5"/>
      <c r="J470" t="s">
        <v>29</v>
      </c>
      <c r="K470" t="s">
        <v>30</v>
      </c>
      <c r="L470" t="s">
        <v>31</v>
      </c>
      <c r="O470">
        <f t="shared" si="0"/>
        <v>25516</v>
      </c>
      <c r="W470" s="5"/>
      <c r="X470" s="5"/>
    </row>
    <row r="471" spans="2:24" x14ac:dyDescent="0.25">
      <c r="B471" t="s">
        <v>177</v>
      </c>
      <c r="C471">
        <v>24313</v>
      </c>
      <c r="D471">
        <v>7564.67</v>
      </c>
      <c r="E471" t="s">
        <v>26</v>
      </c>
      <c r="F471" t="s">
        <v>27</v>
      </c>
      <c r="G471" t="s">
        <v>130</v>
      </c>
      <c r="H471" s="5"/>
      <c r="J471" t="s">
        <v>29</v>
      </c>
      <c r="K471" t="s">
        <v>30</v>
      </c>
      <c r="L471" t="s">
        <v>31</v>
      </c>
      <c r="O471" t="e">
        <f t="shared" si="0"/>
        <v>#N/A</v>
      </c>
      <c r="W471" s="5"/>
      <c r="X471" s="5"/>
    </row>
    <row r="472" spans="2:24" hidden="1" x14ac:dyDescent="0.25">
      <c r="B472" t="s">
        <v>177</v>
      </c>
      <c r="C472">
        <v>23608</v>
      </c>
      <c r="D472">
        <v>825.48</v>
      </c>
      <c r="E472" t="s">
        <v>26</v>
      </c>
      <c r="F472" t="s">
        <v>27</v>
      </c>
      <c r="G472" t="s">
        <v>130</v>
      </c>
      <c r="H472" s="5"/>
      <c r="J472" t="s">
        <v>29</v>
      </c>
      <c r="K472" t="s">
        <v>30</v>
      </c>
      <c r="L472" t="s">
        <v>31</v>
      </c>
      <c r="O472">
        <f t="shared" si="0"/>
        <v>23608</v>
      </c>
      <c r="V472" s="6"/>
      <c r="W472" s="5"/>
      <c r="X472" s="5"/>
    </row>
    <row r="473" spans="2:24" hidden="1" x14ac:dyDescent="0.25">
      <c r="B473" t="s">
        <v>177</v>
      </c>
      <c r="C473">
        <v>23584</v>
      </c>
      <c r="D473">
        <v>2713.97</v>
      </c>
      <c r="E473" t="s">
        <v>26</v>
      </c>
      <c r="F473" t="s">
        <v>27</v>
      </c>
      <c r="G473" t="s">
        <v>130</v>
      </c>
      <c r="H473" s="5"/>
      <c r="J473" t="s">
        <v>29</v>
      </c>
      <c r="K473" t="s">
        <v>30</v>
      </c>
      <c r="L473" t="s">
        <v>31</v>
      </c>
      <c r="O473">
        <f t="shared" si="0"/>
        <v>23584</v>
      </c>
      <c r="W473" s="5"/>
      <c r="X473" s="5"/>
    </row>
    <row r="474" spans="2:24" hidden="1" x14ac:dyDescent="0.25">
      <c r="B474" t="s">
        <v>177</v>
      </c>
      <c r="C474">
        <v>7400325342</v>
      </c>
      <c r="D474">
        <v>77638.94</v>
      </c>
      <c r="E474" t="s">
        <v>26</v>
      </c>
      <c r="F474" t="s">
        <v>27</v>
      </c>
      <c r="G474" t="s">
        <v>130</v>
      </c>
      <c r="H474" s="5"/>
      <c r="J474" t="s">
        <v>29</v>
      </c>
      <c r="K474" t="s">
        <v>30</v>
      </c>
      <c r="L474" t="s">
        <v>31</v>
      </c>
      <c r="O474">
        <f t="shared" si="0"/>
        <v>7400325342</v>
      </c>
      <c r="V474" s="6"/>
      <c r="W474" s="5"/>
      <c r="X474" s="5"/>
    </row>
    <row r="475" spans="2:24" hidden="1" x14ac:dyDescent="0.25">
      <c r="B475" t="s">
        <v>177</v>
      </c>
      <c r="C475">
        <v>23658</v>
      </c>
      <c r="D475">
        <v>23325.06</v>
      </c>
      <c r="E475" t="s">
        <v>26</v>
      </c>
      <c r="F475" t="s">
        <v>27</v>
      </c>
      <c r="G475" t="s">
        <v>130</v>
      </c>
      <c r="H475" s="5"/>
      <c r="J475" t="s">
        <v>29</v>
      </c>
      <c r="K475" t="s">
        <v>30</v>
      </c>
      <c r="L475" t="s">
        <v>31</v>
      </c>
      <c r="O475">
        <f t="shared" si="0"/>
        <v>23658</v>
      </c>
      <c r="W475" s="5"/>
      <c r="X475" s="5"/>
    </row>
    <row r="476" spans="2:24" hidden="1" x14ac:dyDescent="0.25">
      <c r="B476" t="s">
        <v>177</v>
      </c>
      <c r="C476">
        <v>23537</v>
      </c>
      <c r="D476">
        <v>13435.51</v>
      </c>
      <c r="E476" t="s">
        <v>26</v>
      </c>
      <c r="F476" t="s">
        <v>27</v>
      </c>
      <c r="G476" t="s">
        <v>130</v>
      </c>
      <c r="H476" s="5"/>
      <c r="J476" t="s">
        <v>29</v>
      </c>
      <c r="K476" t="s">
        <v>30</v>
      </c>
      <c r="L476" t="s">
        <v>31</v>
      </c>
      <c r="O476">
        <f t="shared" si="0"/>
        <v>23537</v>
      </c>
      <c r="W476" s="5"/>
      <c r="X476" s="5"/>
    </row>
    <row r="477" spans="2:24" hidden="1" x14ac:dyDescent="0.25">
      <c r="B477" t="s">
        <v>177</v>
      </c>
      <c r="C477">
        <v>23611</v>
      </c>
      <c r="D477">
        <v>1892.79</v>
      </c>
      <c r="E477" t="s">
        <v>26</v>
      </c>
      <c r="F477" t="s">
        <v>27</v>
      </c>
      <c r="G477" t="s">
        <v>130</v>
      </c>
      <c r="H477" s="5"/>
      <c r="J477" t="s">
        <v>29</v>
      </c>
      <c r="K477" t="s">
        <v>30</v>
      </c>
      <c r="L477" t="s">
        <v>31</v>
      </c>
      <c r="O477">
        <f t="shared" si="0"/>
        <v>23611</v>
      </c>
      <c r="W477" s="5"/>
      <c r="X477" s="5"/>
    </row>
    <row r="478" spans="2:24" hidden="1" x14ac:dyDescent="0.25">
      <c r="B478" t="s">
        <v>177</v>
      </c>
      <c r="C478">
        <v>7400258484</v>
      </c>
      <c r="D478">
        <v>53685.7</v>
      </c>
      <c r="E478" t="s">
        <v>26</v>
      </c>
      <c r="F478" t="s">
        <v>27</v>
      </c>
      <c r="G478" t="s">
        <v>130</v>
      </c>
      <c r="H478" s="5"/>
      <c r="J478" t="s">
        <v>29</v>
      </c>
      <c r="K478" t="s">
        <v>30</v>
      </c>
      <c r="L478" t="s">
        <v>31</v>
      </c>
      <c r="O478">
        <f t="shared" si="0"/>
        <v>7400258484</v>
      </c>
      <c r="W478" s="5"/>
      <c r="X478" s="5"/>
    </row>
    <row r="479" spans="2:24" hidden="1" x14ac:dyDescent="0.25">
      <c r="B479" t="s">
        <v>177</v>
      </c>
      <c r="C479">
        <v>25683</v>
      </c>
      <c r="D479">
        <v>171686.94</v>
      </c>
      <c r="E479" t="s">
        <v>26</v>
      </c>
      <c r="F479" t="s">
        <v>27</v>
      </c>
      <c r="G479" t="s">
        <v>130</v>
      </c>
      <c r="H479" s="5"/>
      <c r="J479" t="s">
        <v>29</v>
      </c>
      <c r="K479" t="s">
        <v>30</v>
      </c>
      <c r="L479" t="s">
        <v>31</v>
      </c>
      <c r="O479">
        <f t="shared" si="0"/>
        <v>25683</v>
      </c>
      <c r="W479" s="5"/>
      <c r="X479" s="5"/>
    </row>
    <row r="480" spans="2:24" hidden="1" x14ac:dyDescent="0.25">
      <c r="B480" t="s">
        <v>177</v>
      </c>
      <c r="C480">
        <v>23530</v>
      </c>
      <c r="D480">
        <v>20653.07</v>
      </c>
      <c r="E480" t="s">
        <v>26</v>
      </c>
      <c r="F480" t="s">
        <v>27</v>
      </c>
      <c r="G480" t="s">
        <v>130</v>
      </c>
      <c r="H480" s="5"/>
      <c r="J480" t="s">
        <v>29</v>
      </c>
      <c r="K480" t="s">
        <v>30</v>
      </c>
      <c r="L480" t="s">
        <v>31</v>
      </c>
      <c r="O480">
        <f t="shared" si="0"/>
        <v>23530</v>
      </c>
      <c r="W480" s="5"/>
      <c r="X480" s="5"/>
    </row>
    <row r="481" spans="2:24" hidden="1" x14ac:dyDescent="0.25">
      <c r="B481" t="s">
        <v>177</v>
      </c>
      <c r="C481">
        <v>23560</v>
      </c>
      <c r="D481">
        <v>1687.5</v>
      </c>
      <c r="E481" t="s">
        <v>26</v>
      </c>
      <c r="F481" t="s">
        <v>27</v>
      </c>
      <c r="G481" t="s">
        <v>130</v>
      </c>
      <c r="H481" s="5"/>
      <c r="J481" t="s">
        <v>29</v>
      </c>
      <c r="K481" t="s">
        <v>30</v>
      </c>
      <c r="L481" t="s">
        <v>31</v>
      </c>
      <c r="O481">
        <f t="shared" si="0"/>
        <v>23560</v>
      </c>
      <c r="W481" s="5"/>
      <c r="X481" s="5"/>
    </row>
    <row r="482" spans="2:24" hidden="1" x14ac:dyDescent="0.25">
      <c r="B482" t="s">
        <v>177</v>
      </c>
      <c r="C482">
        <v>23594</v>
      </c>
      <c r="D482">
        <v>2171.1799999999998</v>
      </c>
      <c r="E482" t="s">
        <v>26</v>
      </c>
      <c r="F482" t="s">
        <v>27</v>
      </c>
      <c r="G482" t="s">
        <v>130</v>
      </c>
      <c r="H482" s="5"/>
      <c r="J482" t="s">
        <v>29</v>
      </c>
      <c r="K482" t="s">
        <v>30</v>
      </c>
      <c r="L482" t="s">
        <v>31</v>
      </c>
      <c r="O482">
        <f t="shared" si="0"/>
        <v>23594</v>
      </c>
      <c r="V482" s="6"/>
      <c r="W482" s="5"/>
      <c r="X482" s="5"/>
    </row>
    <row r="483" spans="2:24" hidden="1" x14ac:dyDescent="0.25">
      <c r="B483" t="s">
        <v>177</v>
      </c>
      <c r="C483">
        <v>27047</v>
      </c>
      <c r="D483">
        <v>35200</v>
      </c>
      <c r="E483" t="s">
        <v>26</v>
      </c>
      <c r="F483" t="s">
        <v>27</v>
      </c>
      <c r="G483" t="s">
        <v>130</v>
      </c>
      <c r="H483" s="5"/>
      <c r="J483" t="s">
        <v>29</v>
      </c>
      <c r="K483" t="s">
        <v>30</v>
      </c>
      <c r="L483" t="s">
        <v>31</v>
      </c>
      <c r="O483">
        <f t="shared" si="0"/>
        <v>27047</v>
      </c>
      <c r="W483" s="5"/>
      <c r="X483" s="5"/>
    </row>
    <row r="484" spans="2:24" hidden="1" x14ac:dyDescent="0.25">
      <c r="B484" t="s">
        <v>177</v>
      </c>
      <c r="C484">
        <v>27106</v>
      </c>
      <c r="D484">
        <v>64295.5</v>
      </c>
      <c r="E484" t="s">
        <v>26</v>
      </c>
      <c r="F484" t="s">
        <v>27</v>
      </c>
      <c r="G484" t="s">
        <v>130</v>
      </c>
      <c r="H484" s="5"/>
      <c r="J484" t="s">
        <v>29</v>
      </c>
      <c r="K484" t="s">
        <v>30</v>
      </c>
      <c r="L484" t="s">
        <v>31</v>
      </c>
      <c r="O484">
        <f t="shared" si="0"/>
        <v>27106</v>
      </c>
      <c r="V484" s="6"/>
      <c r="W484" s="5"/>
      <c r="X484" s="5"/>
    </row>
    <row r="485" spans="2:24" hidden="1" x14ac:dyDescent="0.25">
      <c r="B485" t="s">
        <v>177</v>
      </c>
      <c r="C485">
        <v>23601</v>
      </c>
      <c r="D485">
        <v>4276.79</v>
      </c>
      <c r="E485" t="s">
        <v>26</v>
      </c>
      <c r="F485" t="s">
        <v>27</v>
      </c>
      <c r="G485" t="s">
        <v>130</v>
      </c>
      <c r="H485" s="5"/>
      <c r="J485" t="s">
        <v>29</v>
      </c>
      <c r="K485" t="s">
        <v>30</v>
      </c>
      <c r="L485" t="s">
        <v>31</v>
      </c>
      <c r="O485">
        <f t="shared" si="0"/>
        <v>23601</v>
      </c>
      <c r="W485" s="5"/>
      <c r="X485" s="5"/>
    </row>
    <row r="486" spans="2:24" hidden="1" x14ac:dyDescent="0.25">
      <c r="B486" t="s">
        <v>177</v>
      </c>
      <c r="C486">
        <v>23485</v>
      </c>
      <c r="D486">
        <v>87385.9</v>
      </c>
      <c r="E486" t="s">
        <v>26</v>
      </c>
      <c r="F486" t="s">
        <v>27</v>
      </c>
      <c r="G486" t="s">
        <v>130</v>
      </c>
      <c r="H486" s="5"/>
      <c r="J486" t="s">
        <v>29</v>
      </c>
      <c r="K486" t="s">
        <v>30</v>
      </c>
      <c r="L486" t="s">
        <v>31</v>
      </c>
      <c r="O486">
        <f t="shared" si="0"/>
        <v>23485</v>
      </c>
      <c r="W486" s="5"/>
      <c r="X486" s="5"/>
    </row>
    <row r="487" spans="2:24" x14ac:dyDescent="0.25">
      <c r="B487" t="s">
        <v>177</v>
      </c>
      <c r="C487">
        <v>27122</v>
      </c>
      <c r="D487">
        <v>34235.79</v>
      </c>
      <c r="E487" t="s">
        <v>26</v>
      </c>
      <c r="F487" t="s">
        <v>27</v>
      </c>
      <c r="G487" t="s">
        <v>130</v>
      </c>
      <c r="H487" s="5"/>
      <c r="J487" t="s">
        <v>29</v>
      </c>
      <c r="K487" t="s">
        <v>30</v>
      </c>
      <c r="L487" t="s">
        <v>31</v>
      </c>
      <c r="O487" t="e">
        <f t="shared" si="0"/>
        <v>#N/A</v>
      </c>
      <c r="W487" s="5"/>
      <c r="X487" s="5"/>
    </row>
    <row r="488" spans="2:24" hidden="1" x14ac:dyDescent="0.25">
      <c r="B488" t="s">
        <v>177</v>
      </c>
      <c r="C488">
        <v>23553</v>
      </c>
      <c r="D488">
        <v>2593.59</v>
      </c>
      <c r="E488" t="s">
        <v>26</v>
      </c>
      <c r="F488" t="s">
        <v>27</v>
      </c>
      <c r="G488" t="s">
        <v>130</v>
      </c>
      <c r="H488" s="5"/>
      <c r="J488" t="s">
        <v>29</v>
      </c>
      <c r="K488" t="s">
        <v>30</v>
      </c>
      <c r="L488" t="s">
        <v>31</v>
      </c>
      <c r="O488">
        <f t="shared" si="0"/>
        <v>23553</v>
      </c>
      <c r="W488" s="5"/>
      <c r="X488" s="5"/>
    </row>
    <row r="489" spans="2:24" hidden="1" x14ac:dyDescent="0.25">
      <c r="B489" t="s">
        <v>177</v>
      </c>
      <c r="C489">
        <v>27074</v>
      </c>
      <c r="D489">
        <v>31058</v>
      </c>
      <c r="E489" t="s">
        <v>26</v>
      </c>
      <c r="F489" t="s">
        <v>27</v>
      </c>
      <c r="G489" t="s">
        <v>130</v>
      </c>
      <c r="H489" s="5"/>
      <c r="J489" t="s">
        <v>29</v>
      </c>
      <c r="K489" t="s">
        <v>30</v>
      </c>
      <c r="L489" t="s">
        <v>31</v>
      </c>
      <c r="O489">
        <f t="shared" si="0"/>
        <v>27074</v>
      </c>
      <c r="W489" s="5"/>
      <c r="X489" s="5"/>
    </row>
    <row r="490" spans="2:24" hidden="1" x14ac:dyDescent="0.25">
      <c r="B490" t="s">
        <v>177</v>
      </c>
      <c r="C490">
        <v>23632</v>
      </c>
      <c r="D490">
        <v>280.52999999999997</v>
      </c>
      <c r="E490" t="s">
        <v>26</v>
      </c>
      <c r="F490" t="s">
        <v>27</v>
      </c>
      <c r="G490" t="s">
        <v>130</v>
      </c>
      <c r="H490" s="5"/>
      <c r="J490" t="s">
        <v>29</v>
      </c>
      <c r="K490" t="s">
        <v>30</v>
      </c>
      <c r="L490" t="s">
        <v>31</v>
      </c>
      <c r="O490">
        <f t="shared" si="0"/>
        <v>23632</v>
      </c>
      <c r="W490" s="5"/>
      <c r="X490" s="5"/>
    </row>
    <row r="491" spans="2:24" hidden="1" x14ac:dyDescent="0.25">
      <c r="B491" t="s">
        <v>177</v>
      </c>
      <c r="C491" t="s">
        <v>165</v>
      </c>
      <c r="D491">
        <v>39497.14</v>
      </c>
      <c r="E491" t="s">
        <v>26</v>
      </c>
      <c r="F491" t="s">
        <v>27</v>
      </c>
      <c r="G491" t="s">
        <v>130</v>
      </c>
      <c r="H491" s="5"/>
      <c r="J491" t="s">
        <v>29</v>
      </c>
      <c r="K491" t="s">
        <v>30</v>
      </c>
      <c r="L491" t="s">
        <v>31</v>
      </c>
      <c r="O491" t="str">
        <f t="shared" si="0"/>
        <v>9001054885a</v>
      </c>
      <c r="W491" s="5"/>
      <c r="X491" s="5"/>
    </row>
    <row r="492" spans="2:24" hidden="1" x14ac:dyDescent="0.25">
      <c r="B492" t="s">
        <v>177</v>
      </c>
      <c r="C492">
        <v>23595</v>
      </c>
      <c r="D492">
        <v>2171.1799999999998</v>
      </c>
      <c r="E492" t="s">
        <v>26</v>
      </c>
      <c r="F492" t="s">
        <v>27</v>
      </c>
      <c r="G492" t="s">
        <v>130</v>
      </c>
      <c r="H492" s="5"/>
      <c r="J492" t="s">
        <v>29</v>
      </c>
      <c r="K492" t="s">
        <v>30</v>
      </c>
      <c r="L492" t="s">
        <v>31</v>
      </c>
      <c r="O492">
        <f t="shared" si="0"/>
        <v>23595</v>
      </c>
      <c r="W492" s="5"/>
      <c r="X492" s="5"/>
    </row>
    <row r="493" spans="2:24" hidden="1" x14ac:dyDescent="0.25">
      <c r="B493" t="s">
        <v>177</v>
      </c>
      <c r="C493">
        <v>23647</v>
      </c>
      <c r="D493">
        <v>176.27</v>
      </c>
      <c r="E493" t="s">
        <v>26</v>
      </c>
      <c r="F493" t="s">
        <v>27</v>
      </c>
      <c r="G493" t="s">
        <v>130</v>
      </c>
      <c r="H493" s="5"/>
      <c r="J493" t="s">
        <v>29</v>
      </c>
      <c r="K493" t="s">
        <v>30</v>
      </c>
      <c r="L493" t="s">
        <v>31</v>
      </c>
      <c r="O493">
        <f t="shared" si="0"/>
        <v>23647</v>
      </c>
      <c r="W493" s="5"/>
      <c r="X493" s="5"/>
    </row>
    <row r="494" spans="2:24" hidden="1" x14ac:dyDescent="0.25">
      <c r="B494" t="s">
        <v>177</v>
      </c>
      <c r="C494">
        <v>23649</v>
      </c>
      <c r="D494">
        <v>124.68</v>
      </c>
      <c r="E494" t="s">
        <v>26</v>
      </c>
      <c r="F494" t="s">
        <v>27</v>
      </c>
      <c r="G494" t="s">
        <v>130</v>
      </c>
      <c r="H494" s="5"/>
      <c r="J494" t="s">
        <v>29</v>
      </c>
      <c r="K494" t="s">
        <v>30</v>
      </c>
      <c r="L494" t="s">
        <v>31</v>
      </c>
      <c r="O494">
        <f t="shared" si="0"/>
        <v>23649</v>
      </c>
      <c r="V494" s="6"/>
      <c r="W494" s="5"/>
      <c r="X494" s="5"/>
    </row>
    <row r="495" spans="2:24" hidden="1" x14ac:dyDescent="0.25">
      <c r="B495" t="s">
        <v>177</v>
      </c>
      <c r="C495">
        <v>23348</v>
      </c>
      <c r="D495">
        <v>3081439.91</v>
      </c>
      <c r="E495" t="s">
        <v>26</v>
      </c>
      <c r="F495" t="s">
        <v>27</v>
      </c>
      <c r="G495" t="s">
        <v>130</v>
      </c>
      <c r="H495" s="5"/>
      <c r="J495" t="s">
        <v>29</v>
      </c>
      <c r="K495" t="s">
        <v>30</v>
      </c>
      <c r="L495" t="s">
        <v>31</v>
      </c>
      <c r="O495">
        <f t="shared" si="0"/>
        <v>23348</v>
      </c>
      <c r="W495" s="5"/>
      <c r="X495" s="5"/>
    </row>
    <row r="496" spans="2:24" hidden="1" x14ac:dyDescent="0.25">
      <c r="B496" t="s">
        <v>177</v>
      </c>
      <c r="C496">
        <v>23526</v>
      </c>
      <c r="D496">
        <v>25134.080000000002</v>
      </c>
      <c r="E496" t="s">
        <v>26</v>
      </c>
      <c r="F496" t="s">
        <v>27</v>
      </c>
      <c r="G496" t="s">
        <v>130</v>
      </c>
      <c r="H496" s="5"/>
      <c r="J496" t="s">
        <v>29</v>
      </c>
      <c r="K496" t="s">
        <v>30</v>
      </c>
      <c r="L496" t="s">
        <v>31</v>
      </c>
      <c r="O496">
        <f t="shared" si="0"/>
        <v>23526</v>
      </c>
      <c r="W496" s="5"/>
      <c r="X496" s="5"/>
    </row>
    <row r="497" spans="2:24" hidden="1" x14ac:dyDescent="0.25">
      <c r="B497" t="s">
        <v>177</v>
      </c>
      <c r="C497">
        <v>19503</v>
      </c>
      <c r="D497">
        <v>2097.34</v>
      </c>
      <c r="E497" t="s">
        <v>26</v>
      </c>
      <c r="F497" t="s">
        <v>27</v>
      </c>
      <c r="G497" t="s">
        <v>130</v>
      </c>
      <c r="H497" s="5"/>
      <c r="J497" t="s">
        <v>29</v>
      </c>
      <c r="K497" t="s">
        <v>30</v>
      </c>
      <c r="L497" t="s">
        <v>31</v>
      </c>
      <c r="O497">
        <f t="shared" ref="O497:O560" si="1">VLOOKUP(C497,$Q$18:$Q$421,1,FALSE)</f>
        <v>19503</v>
      </c>
      <c r="W497" s="5"/>
      <c r="X497" s="5"/>
    </row>
    <row r="498" spans="2:24" hidden="1" x14ac:dyDescent="0.25">
      <c r="B498" t="s">
        <v>177</v>
      </c>
      <c r="C498">
        <v>23582</v>
      </c>
      <c r="D498">
        <v>2172.25</v>
      </c>
      <c r="E498" t="s">
        <v>26</v>
      </c>
      <c r="F498" t="s">
        <v>27</v>
      </c>
      <c r="G498" t="s">
        <v>130</v>
      </c>
      <c r="H498" s="5"/>
      <c r="J498" t="s">
        <v>29</v>
      </c>
      <c r="K498" t="s">
        <v>30</v>
      </c>
      <c r="L498" t="s">
        <v>31</v>
      </c>
      <c r="O498">
        <f t="shared" si="1"/>
        <v>23582</v>
      </c>
      <c r="W498" s="5"/>
      <c r="X498" s="5"/>
    </row>
    <row r="499" spans="2:24" hidden="1" x14ac:dyDescent="0.25">
      <c r="B499" t="s">
        <v>177</v>
      </c>
      <c r="C499">
        <v>25692</v>
      </c>
      <c r="D499">
        <v>111417.18</v>
      </c>
      <c r="E499" t="s">
        <v>26</v>
      </c>
      <c r="F499" t="s">
        <v>27</v>
      </c>
      <c r="G499" t="s">
        <v>130</v>
      </c>
      <c r="H499" s="5"/>
      <c r="J499" t="s">
        <v>29</v>
      </c>
      <c r="K499" t="s">
        <v>30</v>
      </c>
      <c r="L499" t="s">
        <v>31</v>
      </c>
      <c r="O499">
        <f t="shared" si="1"/>
        <v>25692</v>
      </c>
      <c r="V499" s="6"/>
      <c r="W499" s="5"/>
      <c r="X499" s="5"/>
    </row>
    <row r="500" spans="2:24" hidden="1" x14ac:dyDescent="0.25">
      <c r="B500" t="s">
        <v>177</v>
      </c>
      <c r="C500">
        <v>7400403925</v>
      </c>
      <c r="D500">
        <v>23699.82</v>
      </c>
      <c r="E500" t="s">
        <v>26</v>
      </c>
      <c r="F500" t="s">
        <v>27</v>
      </c>
      <c r="G500" t="s">
        <v>130</v>
      </c>
      <c r="H500" s="5"/>
      <c r="J500" t="s">
        <v>29</v>
      </c>
      <c r="K500" t="s">
        <v>30</v>
      </c>
      <c r="L500" t="s">
        <v>31</v>
      </c>
      <c r="O500">
        <f t="shared" si="1"/>
        <v>7400403925</v>
      </c>
      <c r="W500" s="5"/>
      <c r="X500" s="5"/>
    </row>
    <row r="501" spans="2:24" hidden="1" x14ac:dyDescent="0.25">
      <c r="B501" t="s">
        <v>177</v>
      </c>
      <c r="C501">
        <v>19061</v>
      </c>
      <c r="D501">
        <v>82013.759999999995</v>
      </c>
      <c r="E501" t="s">
        <v>26</v>
      </c>
      <c r="F501" t="s">
        <v>27</v>
      </c>
      <c r="G501" t="s">
        <v>130</v>
      </c>
      <c r="H501" s="5"/>
      <c r="J501" t="s">
        <v>29</v>
      </c>
      <c r="K501" t="s">
        <v>30</v>
      </c>
      <c r="L501" t="s">
        <v>31</v>
      </c>
      <c r="O501">
        <f t="shared" si="1"/>
        <v>19061</v>
      </c>
      <c r="W501" s="5"/>
      <c r="X501" s="5"/>
    </row>
    <row r="502" spans="2:24" hidden="1" x14ac:dyDescent="0.25">
      <c r="B502" t="s">
        <v>177</v>
      </c>
      <c r="C502">
        <v>24019</v>
      </c>
      <c r="D502">
        <v>55379.199999999997</v>
      </c>
      <c r="E502" t="s">
        <v>26</v>
      </c>
      <c r="F502" t="s">
        <v>27</v>
      </c>
      <c r="G502" t="s">
        <v>130</v>
      </c>
      <c r="H502" s="5"/>
      <c r="J502" t="s">
        <v>29</v>
      </c>
      <c r="K502" t="s">
        <v>30</v>
      </c>
      <c r="L502" t="s">
        <v>31</v>
      </c>
      <c r="O502">
        <f t="shared" si="1"/>
        <v>24019</v>
      </c>
      <c r="V502" s="6"/>
      <c r="W502" s="5"/>
      <c r="X502" s="5"/>
    </row>
    <row r="503" spans="2:24" hidden="1" x14ac:dyDescent="0.25">
      <c r="B503" t="s">
        <v>177</v>
      </c>
      <c r="C503">
        <v>23502</v>
      </c>
      <c r="D503">
        <v>22749.01</v>
      </c>
      <c r="E503" t="s">
        <v>26</v>
      </c>
      <c r="F503" t="s">
        <v>27</v>
      </c>
      <c r="G503" t="s">
        <v>130</v>
      </c>
      <c r="H503" s="5"/>
      <c r="J503" t="s">
        <v>29</v>
      </c>
      <c r="K503" t="s">
        <v>30</v>
      </c>
      <c r="L503" t="s">
        <v>31</v>
      </c>
      <c r="O503">
        <f t="shared" si="1"/>
        <v>23502</v>
      </c>
      <c r="V503" s="6"/>
      <c r="W503" s="5"/>
      <c r="X503" s="5"/>
    </row>
    <row r="504" spans="2:24" x14ac:dyDescent="0.25">
      <c r="B504" t="s">
        <v>177</v>
      </c>
      <c r="C504">
        <v>26989</v>
      </c>
      <c r="D504">
        <v>77072.94</v>
      </c>
      <c r="E504" t="s">
        <v>26</v>
      </c>
      <c r="F504" t="s">
        <v>27</v>
      </c>
      <c r="G504" t="s">
        <v>130</v>
      </c>
      <c r="H504" s="5"/>
      <c r="J504" t="s">
        <v>29</v>
      </c>
      <c r="K504" t="s">
        <v>30</v>
      </c>
      <c r="L504" t="s">
        <v>31</v>
      </c>
      <c r="O504" t="e">
        <f t="shared" si="1"/>
        <v>#N/A</v>
      </c>
      <c r="W504" s="5"/>
      <c r="X504" s="5"/>
    </row>
    <row r="505" spans="2:24" hidden="1" x14ac:dyDescent="0.25">
      <c r="B505" t="s">
        <v>177</v>
      </c>
      <c r="C505">
        <v>19594</v>
      </c>
      <c r="D505">
        <v>77248.66</v>
      </c>
      <c r="E505" t="s">
        <v>26</v>
      </c>
      <c r="F505" t="s">
        <v>27</v>
      </c>
      <c r="G505" t="s">
        <v>130</v>
      </c>
      <c r="H505" s="5"/>
      <c r="J505" t="s">
        <v>29</v>
      </c>
      <c r="K505" t="s">
        <v>30</v>
      </c>
      <c r="L505" t="s">
        <v>31</v>
      </c>
      <c r="O505">
        <f t="shared" si="1"/>
        <v>19594</v>
      </c>
      <c r="W505" s="5"/>
      <c r="X505" s="5"/>
    </row>
    <row r="506" spans="2:24" hidden="1" x14ac:dyDescent="0.25">
      <c r="B506" t="s">
        <v>177</v>
      </c>
      <c r="C506">
        <v>23791</v>
      </c>
      <c r="D506">
        <v>84441.23</v>
      </c>
      <c r="E506" t="s">
        <v>26</v>
      </c>
      <c r="F506" t="s">
        <v>27</v>
      </c>
      <c r="G506" t="s">
        <v>130</v>
      </c>
      <c r="H506" s="5"/>
      <c r="J506" t="s">
        <v>29</v>
      </c>
      <c r="K506" t="s">
        <v>30</v>
      </c>
      <c r="L506" t="s">
        <v>31</v>
      </c>
      <c r="O506">
        <f t="shared" si="1"/>
        <v>23791</v>
      </c>
      <c r="V506" s="6"/>
      <c r="W506" s="5"/>
      <c r="X506" s="5"/>
    </row>
    <row r="507" spans="2:24" x14ac:dyDescent="0.25">
      <c r="B507" t="s">
        <v>177</v>
      </c>
      <c r="C507">
        <v>24376</v>
      </c>
      <c r="D507">
        <v>9118</v>
      </c>
      <c r="E507" t="s">
        <v>26</v>
      </c>
      <c r="F507" t="s">
        <v>27</v>
      </c>
      <c r="G507" t="s">
        <v>130</v>
      </c>
      <c r="H507" s="5"/>
      <c r="J507" t="s">
        <v>29</v>
      </c>
      <c r="K507" t="s">
        <v>30</v>
      </c>
      <c r="L507" t="s">
        <v>31</v>
      </c>
      <c r="O507" t="e">
        <f t="shared" si="1"/>
        <v>#N/A</v>
      </c>
      <c r="W507" s="5"/>
      <c r="X507" s="5"/>
    </row>
    <row r="508" spans="2:24" x14ac:dyDescent="0.25">
      <c r="B508" t="s">
        <v>177</v>
      </c>
      <c r="C508">
        <v>27035</v>
      </c>
      <c r="D508">
        <v>96877.63</v>
      </c>
      <c r="E508" t="s">
        <v>26</v>
      </c>
      <c r="F508" t="s">
        <v>27</v>
      </c>
      <c r="G508" t="s">
        <v>130</v>
      </c>
      <c r="H508" s="5"/>
      <c r="J508" t="s">
        <v>29</v>
      </c>
      <c r="K508" t="s">
        <v>30</v>
      </c>
      <c r="L508" t="s">
        <v>31</v>
      </c>
      <c r="O508" t="e">
        <f t="shared" si="1"/>
        <v>#N/A</v>
      </c>
      <c r="W508" s="5"/>
      <c r="X508" s="5"/>
    </row>
    <row r="509" spans="2:24" hidden="1" x14ac:dyDescent="0.25">
      <c r="B509" t="s">
        <v>177</v>
      </c>
      <c r="C509">
        <v>7400469164</v>
      </c>
      <c r="D509">
        <v>29022.67</v>
      </c>
      <c r="E509" t="s">
        <v>26</v>
      </c>
      <c r="F509" t="s">
        <v>27</v>
      </c>
      <c r="G509" t="s">
        <v>130</v>
      </c>
      <c r="H509" s="5"/>
      <c r="J509" t="s">
        <v>29</v>
      </c>
      <c r="K509" t="s">
        <v>30</v>
      </c>
      <c r="L509" t="s">
        <v>31</v>
      </c>
      <c r="O509">
        <f t="shared" si="1"/>
        <v>7400469164</v>
      </c>
      <c r="V509" s="6"/>
      <c r="W509" s="5"/>
      <c r="X509" s="5"/>
    </row>
    <row r="510" spans="2:24" hidden="1" x14ac:dyDescent="0.25">
      <c r="B510" t="s">
        <v>177</v>
      </c>
      <c r="C510">
        <v>23505</v>
      </c>
      <c r="D510">
        <v>19026.830000000002</v>
      </c>
      <c r="E510" t="s">
        <v>26</v>
      </c>
      <c r="F510" t="s">
        <v>27</v>
      </c>
      <c r="G510" t="s">
        <v>130</v>
      </c>
      <c r="H510" s="5"/>
      <c r="J510" t="s">
        <v>29</v>
      </c>
      <c r="K510" t="s">
        <v>30</v>
      </c>
      <c r="L510" t="s">
        <v>31</v>
      </c>
      <c r="O510">
        <f t="shared" si="1"/>
        <v>23505</v>
      </c>
      <c r="V510" s="6"/>
      <c r="W510" s="5"/>
      <c r="X510" s="5"/>
    </row>
    <row r="511" spans="2:24" hidden="1" x14ac:dyDescent="0.25">
      <c r="B511" t="s">
        <v>177</v>
      </c>
      <c r="C511">
        <v>23555</v>
      </c>
      <c r="D511">
        <v>2296.14</v>
      </c>
      <c r="E511" t="s">
        <v>26</v>
      </c>
      <c r="F511" t="s">
        <v>27</v>
      </c>
      <c r="G511" t="s">
        <v>130</v>
      </c>
      <c r="H511" s="5"/>
      <c r="J511" t="s">
        <v>29</v>
      </c>
      <c r="K511" t="s">
        <v>30</v>
      </c>
      <c r="L511" t="s">
        <v>31</v>
      </c>
      <c r="O511">
        <f t="shared" si="1"/>
        <v>23555</v>
      </c>
      <c r="W511" s="5"/>
      <c r="X511" s="5"/>
    </row>
    <row r="512" spans="2:24" x14ac:dyDescent="0.25">
      <c r="B512" t="s">
        <v>177</v>
      </c>
      <c r="C512">
        <v>24366</v>
      </c>
      <c r="D512">
        <v>9117.99</v>
      </c>
      <c r="E512" t="s">
        <v>26</v>
      </c>
      <c r="F512" t="s">
        <v>27</v>
      </c>
      <c r="G512" t="s">
        <v>130</v>
      </c>
      <c r="H512" s="5"/>
      <c r="J512" t="s">
        <v>29</v>
      </c>
      <c r="K512" t="s">
        <v>30</v>
      </c>
      <c r="L512" t="s">
        <v>31</v>
      </c>
      <c r="O512" t="e">
        <f t="shared" si="1"/>
        <v>#N/A</v>
      </c>
      <c r="W512" s="5"/>
      <c r="X512" s="5"/>
    </row>
    <row r="513" spans="2:24" hidden="1" x14ac:dyDescent="0.25">
      <c r="B513" t="s">
        <v>177</v>
      </c>
      <c r="C513">
        <v>2611001226</v>
      </c>
      <c r="D513">
        <v>138191.62</v>
      </c>
      <c r="E513" t="s">
        <v>26</v>
      </c>
      <c r="F513" t="s">
        <v>27</v>
      </c>
      <c r="G513" t="s">
        <v>130</v>
      </c>
      <c r="H513" s="5"/>
      <c r="J513" t="s">
        <v>29</v>
      </c>
      <c r="K513" t="s">
        <v>30</v>
      </c>
      <c r="L513" t="s">
        <v>31</v>
      </c>
      <c r="O513">
        <f t="shared" si="1"/>
        <v>2611001226</v>
      </c>
      <c r="W513" s="5"/>
      <c r="X513" s="5"/>
    </row>
    <row r="514" spans="2:24" hidden="1" x14ac:dyDescent="0.25">
      <c r="B514" t="s">
        <v>177</v>
      </c>
      <c r="C514">
        <v>23607</v>
      </c>
      <c r="D514">
        <v>1934.71</v>
      </c>
      <c r="E514" t="s">
        <v>26</v>
      </c>
      <c r="F514" t="s">
        <v>27</v>
      </c>
      <c r="G514" t="s">
        <v>130</v>
      </c>
      <c r="H514" s="5"/>
      <c r="J514" t="s">
        <v>29</v>
      </c>
      <c r="K514" t="s">
        <v>30</v>
      </c>
      <c r="L514" t="s">
        <v>31</v>
      </c>
      <c r="O514">
        <f t="shared" si="1"/>
        <v>23607</v>
      </c>
      <c r="W514" s="5"/>
      <c r="X514" s="5"/>
    </row>
    <row r="515" spans="2:24" hidden="1" x14ac:dyDescent="0.25">
      <c r="B515" t="s">
        <v>177</v>
      </c>
      <c r="C515">
        <v>23358</v>
      </c>
      <c r="D515">
        <v>166340.79</v>
      </c>
      <c r="E515" t="s">
        <v>26</v>
      </c>
      <c r="F515" t="s">
        <v>27</v>
      </c>
      <c r="G515" t="s">
        <v>130</v>
      </c>
      <c r="H515" s="5"/>
      <c r="J515" t="s">
        <v>29</v>
      </c>
      <c r="K515" t="s">
        <v>30</v>
      </c>
      <c r="L515" t="s">
        <v>31</v>
      </c>
      <c r="O515">
        <f t="shared" si="1"/>
        <v>23358</v>
      </c>
      <c r="V515" s="6"/>
      <c r="W515" s="5"/>
      <c r="X515" s="5"/>
    </row>
    <row r="516" spans="2:24" x14ac:dyDescent="0.25">
      <c r="B516" t="s">
        <v>177</v>
      </c>
      <c r="C516">
        <v>24305</v>
      </c>
      <c r="D516">
        <v>8089.41</v>
      </c>
      <c r="E516" t="s">
        <v>26</v>
      </c>
      <c r="F516" t="s">
        <v>27</v>
      </c>
      <c r="G516" t="s">
        <v>130</v>
      </c>
      <c r="H516" s="5"/>
      <c r="J516" t="s">
        <v>29</v>
      </c>
      <c r="K516" t="s">
        <v>30</v>
      </c>
      <c r="L516" t="s">
        <v>31</v>
      </c>
      <c r="O516" t="e">
        <f t="shared" si="1"/>
        <v>#N/A</v>
      </c>
      <c r="W516" s="5"/>
      <c r="X516" s="5"/>
    </row>
    <row r="517" spans="2:24" hidden="1" x14ac:dyDescent="0.25">
      <c r="B517" t="s">
        <v>177</v>
      </c>
      <c r="C517">
        <v>23538</v>
      </c>
      <c r="D517">
        <v>10748.41</v>
      </c>
      <c r="E517" t="s">
        <v>26</v>
      </c>
      <c r="F517" t="s">
        <v>27</v>
      </c>
      <c r="G517" t="s">
        <v>130</v>
      </c>
      <c r="H517" s="5"/>
      <c r="J517" t="s">
        <v>29</v>
      </c>
      <c r="K517" t="s">
        <v>30</v>
      </c>
      <c r="L517" t="s">
        <v>31</v>
      </c>
      <c r="O517">
        <f t="shared" si="1"/>
        <v>23538</v>
      </c>
      <c r="W517" s="5"/>
      <c r="X517" s="5"/>
    </row>
    <row r="518" spans="2:24" hidden="1" x14ac:dyDescent="0.25">
      <c r="B518" t="s">
        <v>177</v>
      </c>
      <c r="C518">
        <v>9002212320</v>
      </c>
      <c r="D518">
        <v>29543.32</v>
      </c>
      <c r="E518" t="s">
        <v>26</v>
      </c>
      <c r="F518" t="s">
        <v>27</v>
      </c>
      <c r="G518" t="s">
        <v>130</v>
      </c>
      <c r="H518" s="5"/>
      <c r="J518" t="s">
        <v>29</v>
      </c>
      <c r="K518" t="s">
        <v>30</v>
      </c>
      <c r="L518" t="s">
        <v>31</v>
      </c>
      <c r="O518">
        <f t="shared" si="1"/>
        <v>9002212320</v>
      </c>
      <c r="W518" s="5"/>
      <c r="X518" s="5"/>
    </row>
    <row r="519" spans="2:24" hidden="1" x14ac:dyDescent="0.25">
      <c r="B519" t="s">
        <v>177</v>
      </c>
      <c r="C519">
        <v>23566</v>
      </c>
      <c r="D519">
        <v>9145.82</v>
      </c>
      <c r="E519" t="s">
        <v>26</v>
      </c>
      <c r="F519" t="s">
        <v>27</v>
      </c>
      <c r="G519" t="s">
        <v>130</v>
      </c>
      <c r="H519" s="5"/>
      <c r="J519" t="s">
        <v>29</v>
      </c>
      <c r="K519" t="s">
        <v>30</v>
      </c>
      <c r="L519" t="s">
        <v>31</v>
      </c>
      <c r="O519">
        <f t="shared" si="1"/>
        <v>23566</v>
      </c>
      <c r="W519" s="5"/>
      <c r="X519" s="5"/>
    </row>
    <row r="520" spans="2:24" hidden="1" x14ac:dyDescent="0.25">
      <c r="B520" t="s">
        <v>177</v>
      </c>
      <c r="C520">
        <v>16870</v>
      </c>
      <c r="D520">
        <v>129819.38</v>
      </c>
      <c r="E520" t="s">
        <v>26</v>
      </c>
      <c r="F520" t="s">
        <v>27</v>
      </c>
      <c r="G520" t="s">
        <v>130</v>
      </c>
      <c r="H520" s="5"/>
      <c r="J520" t="s">
        <v>29</v>
      </c>
      <c r="K520" t="s">
        <v>30</v>
      </c>
      <c r="L520" t="s">
        <v>31</v>
      </c>
      <c r="O520">
        <f t="shared" si="1"/>
        <v>16870</v>
      </c>
      <c r="W520" s="5"/>
      <c r="X520" s="5"/>
    </row>
    <row r="521" spans="2:24" hidden="1" x14ac:dyDescent="0.25">
      <c r="B521" t="s">
        <v>177</v>
      </c>
      <c r="C521">
        <v>25682</v>
      </c>
      <c r="D521">
        <v>237182.22</v>
      </c>
      <c r="E521" t="s">
        <v>26</v>
      </c>
      <c r="F521" t="s">
        <v>27</v>
      </c>
      <c r="G521" t="s">
        <v>130</v>
      </c>
      <c r="H521" s="5"/>
      <c r="J521" t="s">
        <v>29</v>
      </c>
      <c r="K521" t="s">
        <v>30</v>
      </c>
      <c r="L521" t="s">
        <v>31</v>
      </c>
      <c r="O521">
        <f t="shared" si="1"/>
        <v>25682</v>
      </c>
      <c r="W521" s="5"/>
      <c r="X521" s="5"/>
    </row>
    <row r="522" spans="2:24" hidden="1" x14ac:dyDescent="0.25">
      <c r="B522" t="s">
        <v>177</v>
      </c>
      <c r="C522">
        <v>23563</v>
      </c>
      <c r="D522">
        <v>2074.44</v>
      </c>
      <c r="E522" t="s">
        <v>26</v>
      </c>
      <c r="F522" t="s">
        <v>27</v>
      </c>
      <c r="G522" t="s">
        <v>130</v>
      </c>
      <c r="H522" s="5"/>
      <c r="J522" t="s">
        <v>29</v>
      </c>
      <c r="K522" t="s">
        <v>30</v>
      </c>
      <c r="L522" t="s">
        <v>31</v>
      </c>
      <c r="O522">
        <f t="shared" si="1"/>
        <v>23563</v>
      </c>
      <c r="W522" s="5"/>
      <c r="X522" s="5"/>
    </row>
    <row r="523" spans="2:24" hidden="1" x14ac:dyDescent="0.25">
      <c r="B523" t="s">
        <v>177</v>
      </c>
      <c r="C523">
        <v>25687</v>
      </c>
      <c r="D523">
        <v>410029.89</v>
      </c>
      <c r="E523" t="s">
        <v>26</v>
      </c>
      <c r="F523" t="s">
        <v>27</v>
      </c>
      <c r="G523" t="s">
        <v>130</v>
      </c>
      <c r="H523" s="5"/>
      <c r="J523" t="s">
        <v>29</v>
      </c>
      <c r="K523" t="s">
        <v>30</v>
      </c>
      <c r="L523" t="s">
        <v>31</v>
      </c>
      <c r="O523">
        <f t="shared" si="1"/>
        <v>25687</v>
      </c>
      <c r="W523" s="5"/>
      <c r="X523" s="5"/>
    </row>
    <row r="524" spans="2:24" x14ac:dyDescent="0.25">
      <c r="B524" t="s">
        <v>177</v>
      </c>
      <c r="C524">
        <v>10158242</v>
      </c>
      <c r="D524">
        <v>13053.84</v>
      </c>
      <c r="E524" t="s">
        <v>26</v>
      </c>
      <c r="F524" t="s">
        <v>27</v>
      </c>
      <c r="G524" t="s">
        <v>130</v>
      </c>
      <c r="H524" s="5"/>
      <c r="J524" t="s">
        <v>29</v>
      </c>
      <c r="K524" t="s">
        <v>30</v>
      </c>
      <c r="L524" t="s">
        <v>31</v>
      </c>
      <c r="O524" t="e">
        <f t="shared" si="1"/>
        <v>#N/A</v>
      </c>
      <c r="W524" s="5"/>
      <c r="X524" s="5"/>
    </row>
    <row r="525" spans="2:24" hidden="1" x14ac:dyDescent="0.25">
      <c r="B525" t="s">
        <v>177</v>
      </c>
      <c r="C525">
        <v>23580</v>
      </c>
      <c r="D525">
        <v>2172.25</v>
      </c>
      <c r="E525" t="s">
        <v>26</v>
      </c>
      <c r="F525" t="s">
        <v>27</v>
      </c>
      <c r="G525" t="s">
        <v>130</v>
      </c>
      <c r="H525" s="5"/>
      <c r="J525" t="s">
        <v>29</v>
      </c>
      <c r="K525" t="s">
        <v>30</v>
      </c>
      <c r="L525" t="s">
        <v>31</v>
      </c>
      <c r="O525">
        <f t="shared" si="1"/>
        <v>23580</v>
      </c>
      <c r="W525" s="5"/>
      <c r="X525" s="5"/>
    </row>
    <row r="526" spans="2:24" hidden="1" x14ac:dyDescent="0.25">
      <c r="B526" t="s">
        <v>177</v>
      </c>
      <c r="C526">
        <v>23652</v>
      </c>
      <c r="D526">
        <v>293.43</v>
      </c>
      <c r="E526" t="s">
        <v>26</v>
      </c>
      <c r="F526" t="s">
        <v>27</v>
      </c>
      <c r="G526" t="s">
        <v>130</v>
      </c>
      <c r="H526" s="5"/>
      <c r="J526" t="s">
        <v>29</v>
      </c>
      <c r="K526" t="s">
        <v>30</v>
      </c>
      <c r="L526" t="s">
        <v>31</v>
      </c>
      <c r="O526">
        <f t="shared" si="1"/>
        <v>23652</v>
      </c>
      <c r="W526" s="5"/>
      <c r="X526" s="5"/>
    </row>
    <row r="527" spans="2:24" hidden="1" x14ac:dyDescent="0.25">
      <c r="B527" t="s">
        <v>177</v>
      </c>
      <c r="C527">
        <v>8038196907</v>
      </c>
      <c r="D527">
        <v>91399.360000000001</v>
      </c>
      <c r="E527" t="s">
        <v>26</v>
      </c>
      <c r="F527" t="s">
        <v>27</v>
      </c>
      <c r="G527" t="s">
        <v>130</v>
      </c>
      <c r="H527" s="5"/>
      <c r="J527" t="s">
        <v>29</v>
      </c>
      <c r="K527" t="s">
        <v>30</v>
      </c>
      <c r="L527" t="s">
        <v>31</v>
      </c>
      <c r="O527">
        <f t="shared" si="1"/>
        <v>8038196907</v>
      </c>
      <c r="W527" s="5"/>
      <c r="X527" s="5"/>
    </row>
    <row r="528" spans="2:24" hidden="1" x14ac:dyDescent="0.25">
      <c r="B528" t="s">
        <v>177</v>
      </c>
      <c r="C528">
        <v>8030275314</v>
      </c>
      <c r="D528">
        <v>46361.68</v>
      </c>
      <c r="E528" t="s">
        <v>26</v>
      </c>
      <c r="F528" t="s">
        <v>27</v>
      </c>
      <c r="G528" t="s">
        <v>130</v>
      </c>
      <c r="H528" s="5"/>
      <c r="J528" t="s">
        <v>29</v>
      </c>
      <c r="K528" t="s">
        <v>30</v>
      </c>
      <c r="L528" t="s">
        <v>31</v>
      </c>
      <c r="O528">
        <f t="shared" si="1"/>
        <v>8030275314</v>
      </c>
      <c r="W528" s="5"/>
      <c r="X528" s="5"/>
    </row>
    <row r="529" spans="2:24" hidden="1" x14ac:dyDescent="0.25">
      <c r="B529" t="s">
        <v>177</v>
      </c>
      <c r="C529">
        <v>24113</v>
      </c>
      <c r="D529">
        <v>386525.1</v>
      </c>
      <c r="E529" t="s">
        <v>26</v>
      </c>
      <c r="F529" t="s">
        <v>27</v>
      </c>
      <c r="G529" t="s">
        <v>130</v>
      </c>
      <c r="H529" s="5"/>
      <c r="J529" t="s">
        <v>29</v>
      </c>
      <c r="K529" t="s">
        <v>30</v>
      </c>
      <c r="L529" t="s">
        <v>31</v>
      </c>
      <c r="O529">
        <f t="shared" si="1"/>
        <v>24113</v>
      </c>
      <c r="W529" s="5"/>
      <c r="X529" s="5"/>
    </row>
    <row r="530" spans="2:24" hidden="1" x14ac:dyDescent="0.25">
      <c r="B530" t="s">
        <v>177</v>
      </c>
      <c r="C530">
        <v>23500</v>
      </c>
      <c r="D530">
        <v>17027.63</v>
      </c>
      <c r="E530" t="s">
        <v>26</v>
      </c>
      <c r="F530" t="s">
        <v>27</v>
      </c>
      <c r="G530" t="s">
        <v>130</v>
      </c>
      <c r="H530" s="5"/>
      <c r="J530" t="s">
        <v>29</v>
      </c>
      <c r="K530" t="s">
        <v>30</v>
      </c>
      <c r="L530" t="s">
        <v>31</v>
      </c>
      <c r="O530">
        <f t="shared" si="1"/>
        <v>23500</v>
      </c>
      <c r="W530" s="5"/>
      <c r="X530" s="5"/>
    </row>
    <row r="531" spans="2:24" x14ac:dyDescent="0.25">
      <c r="B531" t="s">
        <v>177</v>
      </c>
      <c r="C531">
        <v>24374</v>
      </c>
      <c r="D531">
        <v>9117.99</v>
      </c>
      <c r="E531" t="s">
        <v>26</v>
      </c>
      <c r="F531" t="s">
        <v>27</v>
      </c>
      <c r="G531" t="s">
        <v>130</v>
      </c>
      <c r="H531" s="5"/>
      <c r="J531" t="s">
        <v>29</v>
      </c>
      <c r="K531" t="s">
        <v>30</v>
      </c>
      <c r="L531" t="s">
        <v>31</v>
      </c>
      <c r="O531" t="e">
        <f t="shared" si="1"/>
        <v>#N/A</v>
      </c>
      <c r="V531" s="6"/>
      <c r="W531" s="5"/>
      <c r="X531" s="5"/>
    </row>
    <row r="532" spans="2:24" x14ac:dyDescent="0.25">
      <c r="B532" t="s">
        <v>177</v>
      </c>
      <c r="C532">
        <v>1000597</v>
      </c>
      <c r="D532">
        <v>75219.31</v>
      </c>
      <c r="E532" t="s">
        <v>26</v>
      </c>
      <c r="F532" t="s">
        <v>27</v>
      </c>
      <c r="G532" t="s">
        <v>130</v>
      </c>
      <c r="H532" s="5"/>
      <c r="J532" t="s">
        <v>29</v>
      </c>
      <c r="K532" t="s">
        <v>30</v>
      </c>
      <c r="L532" t="s">
        <v>31</v>
      </c>
      <c r="O532" t="e">
        <f t="shared" si="1"/>
        <v>#N/A</v>
      </c>
      <c r="W532" s="5"/>
      <c r="X532" s="5"/>
    </row>
    <row r="533" spans="2:24" hidden="1" x14ac:dyDescent="0.25">
      <c r="B533" t="s">
        <v>177</v>
      </c>
      <c r="C533">
        <v>25701</v>
      </c>
      <c r="D533">
        <v>97846.99</v>
      </c>
      <c r="E533" t="s">
        <v>26</v>
      </c>
      <c r="F533" t="s">
        <v>27</v>
      </c>
      <c r="G533" t="s">
        <v>130</v>
      </c>
      <c r="H533" s="5"/>
      <c r="J533" t="s">
        <v>29</v>
      </c>
      <c r="K533" t="s">
        <v>30</v>
      </c>
      <c r="L533" t="s">
        <v>31</v>
      </c>
      <c r="O533">
        <f t="shared" si="1"/>
        <v>25701</v>
      </c>
      <c r="W533" s="5"/>
      <c r="X533" s="5"/>
    </row>
    <row r="534" spans="2:24" hidden="1" x14ac:dyDescent="0.25">
      <c r="B534" t="s">
        <v>177</v>
      </c>
      <c r="C534">
        <v>23631</v>
      </c>
      <c r="D534">
        <v>111.78</v>
      </c>
      <c r="E534" t="s">
        <v>26</v>
      </c>
      <c r="F534" t="s">
        <v>27</v>
      </c>
      <c r="G534" t="s">
        <v>130</v>
      </c>
      <c r="H534" s="5"/>
      <c r="J534" t="s">
        <v>29</v>
      </c>
      <c r="K534" t="s">
        <v>30</v>
      </c>
      <c r="L534" t="s">
        <v>31</v>
      </c>
      <c r="O534">
        <f t="shared" si="1"/>
        <v>23631</v>
      </c>
      <c r="W534" s="5"/>
      <c r="X534" s="5"/>
    </row>
    <row r="535" spans="2:24" hidden="1" x14ac:dyDescent="0.25">
      <c r="B535" t="s">
        <v>177</v>
      </c>
      <c r="C535">
        <v>23666</v>
      </c>
      <c r="D535">
        <v>11780.26</v>
      </c>
      <c r="E535" t="s">
        <v>26</v>
      </c>
      <c r="F535" t="s">
        <v>27</v>
      </c>
      <c r="G535" t="s">
        <v>130</v>
      </c>
      <c r="H535" s="5"/>
      <c r="J535" t="s">
        <v>29</v>
      </c>
      <c r="K535" t="s">
        <v>30</v>
      </c>
      <c r="L535" t="s">
        <v>31</v>
      </c>
      <c r="O535">
        <f t="shared" si="1"/>
        <v>23666</v>
      </c>
      <c r="W535" s="5"/>
      <c r="X535" s="5"/>
    </row>
    <row r="536" spans="2:24" hidden="1" x14ac:dyDescent="0.25">
      <c r="B536" t="s">
        <v>177</v>
      </c>
      <c r="C536">
        <v>23636</v>
      </c>
      <c r="D536">
        <v>91.36</v>
      </c>
      <c r="E536" t="s">
        <v>26</v>
      </c>
      <c r="F536" t="s">
        <v>27</v>
      </c>
      <c r="G536" t="s">
        <v>130</v>
      </c>
      <c r="H536" s="5"/>
      <c r="J536" t="s">
        <v>29</v>
      </c>
      <c r="K536" t="s">
        <v>30</v>
      </c>
      <c r="L536" t="s">
        <v>31</v>
      </c>
      <c r="O536">
        <f t="shared" si="1"/>
        <v>23636</v>
      </c>
      <c r="V536" s="6"/>
      <c r="W536" s="5"/>
      <c r="X536" s="5"/>
    </row>
    <row r="537" spans="2:24" hidden="1" x14ac:dyDescent="0.25">
      <c r="B537" t="s">
        <v>177</v>
      </c>
      <c r="C537">
        <v>2101349503</v>
      </c>
      <c r="D537">
        <v>36200</v>
      </c>
      <c r="E537" t="s">
        <v>26</v>
      </c>
      <c r="F537" t="s">
        <v>27</v>
      </c>
      <c r="G537" t="s">
        <v>130</v>
      </c>
      <c r="H537" s="5"/>
      <c r="J537" t="s">
        <v>29</v>
      </c>
      <c r="K537" t="s">
        <v>30</v>
      </c>
      <c r="L537" t="s">
        <v>31</v>
      </c>
      <c r="O537">
        <f t="shared" si="1"/>
        <v>2101349503</v>
      </c>
      <c r="W537" s="5"/>
      <c r="X537" s="5"/>
    </row>
    <row r="538" spans="2:24" hidden="1" x14ac:dyDescent="0.25">
      <c r="B538" t="s">
        <v>177</v>
      </c>
      <c r="C538">
        <v>23509</v>
      </c>
      <c r="D538">
        <v>84160.04</v>
      </c>
      <c r="E538" t="s">
        <v>26</v>
      </c>
      <c r="F538" t="s">
        <v>27</v>
      </c>
      <c r="G538" t="s">
        <v>130</v>
      </c>
      <c r="H538" s="5"/>
      <c r="J538" t="s">
        <v>29</v>
      </c>
      <c r="K538" t="s">
        <v>30</v>
      </c>
      <c r="L538" t="s">
        <v>31</v>
      </c>
      <c r="O538">
        <f t="shared" si="1"/>
        <v>23509</v>
      </c>
      <c r="W538" s="5"/>
      <c r="X538" s="5"/>
    </row>
    <row r="539" spans="2:24" hidden="1" x14ac:dyDescent="0.25">
      <c r="B539" t="s">
        <v>177</v>
      </c>
      <c r="C539">
        <v>69025101</v>
      </c>
      <c r="D539">
        <v>30846.26</v>
      </c>
      <c r="E539" t="s">
        <v>26</v>
      </c>
      <c r="F539" t="s">
        <v>27</v>
      </c>
      <c r="G539" t="s">
        <v>130</v>
      </c>
      <c r="H539" s="5"/>
      <c r="J539" t="s">
        <v>29</v>
      </c>
      <c r="K539" t="s">
        <v>30</v>
      </c>
      <c r="L539" t="s">
        <v>31</v>
      </c>
      <c r="O539">
        <f t="shared" si="1"/>
        <v>69025101</v>
      </c>
      <c r="W539" s="5"/>
      <c r="X539" s="5"/>
    </row>
    <row r="540" spans="2:24" hidden="1" x14ac:dyDescent="0.25">
      <c r="B540" t="s">
        <v>177</v>
      </c>
      <c r="C540">
        <v>23573</v>
      </c>
      <c r="D540">
        <v>10748.41</v>
      </c>
      <c r="E540" t="s">
        <v>26</v>
      </c>
      <c r="F540" t="s">
        <v>27</v>
      </c>
      <c r="G540" t="s">
        <v>130</v>
      </c>
      <c r="H540" s="5"/>
      <c r="J540" t="s">
        <v>29</v>
      </c>
      <c r="K540" t="s">
        <v>30</v>
      </c>
      <c r="L540" t="s">
        <v>31</v>
      </c>
      <c r="O540">
        <f t="shared" si="1"/>
        <v>23573</v>
      </c>
      <c r="W540" s="5"/>
      <c r="X540" s="5"/>
    </row>
    <row r="541" spans="2:24" hidden="1" x14ac:dyDescent="0.25">
      <c r="B541" t="s">
        <v>177</v>
      </c>
      <c r="C541">
        <v>23589</v>
      </c>
      <c r="D541">
        <v>1859.47</v>
      </c>
      <c r="E541" t="s">
        <v>26</v>
      </c>
      <c r="F541" t="s">
        <v>27</v>
      </c>
      <c r="G541" t="s">
        <v>130</v>
      </c>
      <c r="H541" s="5"/>
      <c r="J541" t="s">
        <v>29</v>
      </c>
      <c r="K541" t="s">
        <v>30</v>
      </c>
      <c r="L541" t="s">
        <v>31</v>
      </c>
      <c r="O541">
        <f t="shared" si="1"/>
        <v>23589</v>
      </c>
      <c r="W541" s="5"/>
      <c r="X541" s="5"/>
    </row>
    <row r="542" spans="2:24" hidden="1" x14ac:dyDescent="0.25">
      <c r="B542" t="s">
        <v>177</v>
      </c>
      <c r="C542">
        <v>23590</v>
      </c>
      <c r="D542">
        <v>2323.81</v>
      </c>
      <c r="E542" t="s">
        <v>26</v>
      </c>
      <c r="F542" t="s">
        <v>27</v>
      </c>
      <c r="G542" t="s">
        <v>130</v>
      </c>
      <c r="H542" s="5"/>
      <c r="J542" t="s">
        <v>29</v>
      </c>
      <c r="K542" t="s">
        <v>30</v>
      </c>
      <c r="L542" t="s">
        <v>31</v>
      </c>
      <c r="O542">
        <f t="shared" si="1"/>
        <v>23590</v>
      </c>
      <c r="W542" s="5"/>
      <c r="X542" s="5"/>
    </row>
    <row r="543" spans="2:24" hidden="1" x14ac:dyDescent="0.25">
      <c r="B543" t="s">
        <v>177</v>
      </c>
      <c r="C543">
        <v>23498</v>
      </c>
      <c r="D543">
        <v>26301.360000000001</v>
      </c>
      <c r="E543" t="s">
        <v>26</v>
      </c>
      <c r="F543" t="s">
        <v>27</v>
      </c>
      <c r="G543" t="s">
        <v>130</v>
      </c>
      <c r="H543" s="5"/>
      <c r="J543" t="s">
        <v>29</v>
      </c>
      <c r="K543" t="s">
        <v>30</v>
      </c>
      <c r="L543" t="s">
        <v>31</v>
      </c>
      <c r="O543">
        <f t="shared" si="1"/>
        <v>23498</v>
      </c>
      <c r="W543" s="5"/>
      <c r="X543" s="5"/>
    </row>
    <row r="544" spans="2:24" hidden="1" x14ac:dyDescent="0.25">
      <c r="B544" t="s">
        <v>177</v>
      </c>
      <c r="C544">
        <v>25680</v>
      </c>
      <c r="D544">
        <v>93094</v>
      </c>
      <c r="E544" t="s">
        <v>26</v>
      </c>
      <c r="F544" t="s">
        <v>27</v>
      </c>
      <c r="G544" t="s">
        <v>130</v>
      </c>
      <c r="H544" s="5"/>
      <c r="J544" t="s">
        <v>29</v>
      </c>
      <c r="K544" t="s">
        <v>30</v>
      </c>
      <c r="L544" t="s">
        <v>31</v>
      </c>
      <c r="O544">
        <f t="shared" si="1"/>
        <v>25680</v>
      </c>
      <c r="W544" s="5"/>
      <c r="X544" s="5"/>
    </row>
    <row r="545" spans="2:24" hidden="1" x14ac:dyDescent="0.25">
      <c r="B545" t="s">
        <v>177</v>
      </c>
      <c r="C545">
        <v>9002370446</v>
      </c>
      <c r="D545">
        <v>51057.279999999999</v>
      </c>
      <c r="E545" t="s">
        <v>26</v>
      </c>
      <c r="F545" t="s">
        <v>27</v>
      </c>
      <c r="G545" t="s">
        <v>130</v>
      </c>
      <c r="H545" s="5"/>
      <c r="J545" t="s">
        <v>29</v>
      </c>
      <c r="K545" t="s">
        <v>30</v>
      </c>
      <c r="L545" t="s">
        <v>31</v>
      </c>
      <c r="O545">
        <f t="shared" si="1"/>
        <v>9002370446</v>
      </c>
      <c r="W545" s="5"/>
      <c r="X545" s="5"/>
    </row>
    <row r="546" spans="2:24" x14ac:dyDescent="0.25">
      <c r="B546" t="s">
        <v>177</v>
      </c>
      <c r="C546">
        <v>24307</v>
      </c>
      <c r="D546">
        <v>7559.41</v>
      </c>
      <c r="E546" t="s">
        <v>26</v>
      </c>
      <c r="F546" t="s">
        <v>27</v>
      </c>
      <c r="G546" t="s">
        <v>130</v>
      </c>
      <c r="H546" s="5"/>
      <c r="J546" t="s">
        <v>29</v>
      </c>
      <c r="K546" t="s">
        <v>30</v>
      </c>
      <c r="L546" t="s">
        <v>31</v>
      </c>
      <c r="O546" t="e">
        <f t="shared" si="1"/>
        <v>#N/A</v>
      </c>
      <c r="W546" s="5"/>
      <c r="X546" s="5"/>
    </row>
    <row r="547" spans="2:24" hidden="1" x14ac:dyDescent="0.25">
      <c r="B547" t="s">
        <v>177</v>
      </c>
      <c r="C547">
        <v>23541</v>
      </c>
      <c r="D547">
        <v>10748.41</v>
      </c>
      <c r="E547" t="s">
        <v>26</v>
      </c>
      <c r="F547" t="s">
        <v>27</v>
      </c>
      <c r="G547" t="s">
        <v>130</v>
      </c>
      <c r="H547" s="5"/>
      <c r="J547" t="s">
        <v>29</v>
      </c>
      <c r="K547" t="s">
        <v>30</v>
      </c>
      <c r="L547" t="s">
        <v>31</v>
      </c>
      <c r="O547">
        <f t="shared" si="1"/>
        <v>23541</v>
      </c>
      <c r="W547" s="5"/>
      <c r="X547" s="5"/>
    </row>
    <row r="548" spans="2:24" hidden="1" x14ac:dyDescent="0.25">
      <c r="B548" t="s">
        <v>177</v>
      </c>
      <c r="C548">
        <v>23667</v>
      </c>
      <c r="D548">
        <v>64390</v>
      </c>
      <c r="E548" t="s">
        <v>26</v>
      </c>
      <c r="F548" t="s">
        <v>27</v>
      </c>
      <c r="G548" t="s">
        <v>130</v>
      </c>
      <c r="H548" s="5"/>
      <c r="J548" t="s">
        <v>29</v>
      </c>
      <c r="K548" t="s">
        <v>30</v>
      </c>
      <c r="L548" t="s">
        <v>31</v>
      </c>
      <c r="O548">
        <f t="shared" si="1"/>
        <v>23667</v>
      </c>
      <c r="W548" s="5"/>
      <c r="X548" s="5"/>
    </row>
    <row r="549" spans="2:24" hidden="1" x14ac:dyDescent="0.25">
      <c r="B549" t="s">
        <v>177</v>
      </c>
      <c r="C549">
        <v>24280</v>
      </c>
      <c r="D549">
        <v>381743.16</v>
      </c>
      <c r="E549" t="s">
        <v>26</v>
      </c>
      <c r="F549" t="s">
        <v>27</v>
      </c>
      <c r="G549" t="s">
        <v>130</v>
      </c>
      <c r="H549" s="5"/>
      <c r="J549" t="s">
        <v>29</v>
      </c>
      <c r="K549" t="s">
        <v>30</v>
      </c>
      <c r="L549" t="s">
        <v>31</v>
      </c>
      <c r="O549">
        <f t="shared" si="1"/>
        <v>24280</v>
      </c>
      <c r="W549" s="5"/>
      <c r="X549" s="5"/>
    </row>
    <row r="550" spans="2:24" hidden="1" x14ac:dyDescent="0.25">
      <c r="B550" t="s">
        <v>177</v>
      </c>
      <c r="C550">
        <v>25707</v>
      </c>
      <c r="D550">
        <v>93614.29</v>
      </c>
      <c r="E550" t="s">
        <v>26</v>
      </c>
      <c r="F550" t="s">
        <v>27</v>
      </c>
      <c r="G550" t="s">
        <v>130</v>
      </c>
      <c r="H550" s="5"/>
      <c r="J550" t="s">
        <v>29</v>
      </c>
      <c r="K550" t="s">
        <v>30</v>
      </c>
      <c r="L550" t="s">
        <v>31</v>
      </c>
      <c r="O550">
        <f t="shared" si="1"/>
        <v>25707</v>
      </c>
      <c r="W550" s="5"/>
      <c r="X550" s="5"/>
    </row>
    <row r="551" spans="2:24" hidden="1" x14ac:dyDescent="0.25">
      <c r="B551" t="s">
        <v>177</v>
      </c>
      <c r="C551">
        <v>23778</v>
      </c>
      <c r="D551">
        <v>187286.39999999999</v>
      </c>
      <c r="E551" t="s">
        <v>26</v>
      </c>
      <c r="F551" t="s">
        <v>27</v>
      </c>
      <c r="G551" t="s">
        <v>130</v>
      </c>
      <c r="H551" s="5"/>
      <c r="J551" t="s">
        <v>29</v>
      </c>
      <c r="K551" t="s">
        <v>30</v>
      </c>
      <c r="L551" t="s">
        <v>31</v>
      </c>
      <c r="O551">
        <f t="shared" si="1"/>
        <v>23778</v>
      </c>
      <c r="W551" s="5"/>
      <c r="X551" s="5"/>
    </row>
    <row r="552" spans="2:24" hidden="1" x14ac:dyDescent="0.25">
      <c r="B552" t="s">
        <v>177</v>
      </c>
      <c r="C552">
        <v>23558</v>
      </c>
      <c r="D552">
        <v>2109.91</v>
      </c>
      <c r="E552" t="s">
        <v>26</v>
      </c>
      <c r="F552" t="s">
        <v>27</v>
      </c>
      <c r="G552" t="s">
        <v>130</v>
      </c>
      <c r="H552" s="5"/>
      <c r="J552" t="s">
        <v>29</v>
      </c>
      <c r="K552" t="s">
        <v>30</v>
      </c>
      <c r="L552" t="s">
        <v>31</v>
      </c>
      <c r="O552">
        <f t="shared" si="1"/>
        <v>23558</v>
      </c>
      <c r="W552" s="5"/>
      <c r="X552" s="5"/>
    </row>
    <row r="553" spans="2:24" hidden="1" x14ac:dyDescent="0.25">
      <c r="B553" t="s">
        <v>177</v>
      </c>
      <c r="C553">
        <v>26994</v>
      </c>
      <c r="D553">
        <v>543487.18000000005</v>
      </c>
      <c r="E553" t="s">
        <v>26</v>
      </c>
      <c r="F553" t="s">
        <v>27</v>
      </c>
      <c r="G553" t="s">
        <v>130</v>
      </c>
      <c r="H553" s="5"/>
      <c r="J553" t="s">
        <v>29</v>
      </c>
      <c r="K553" t="s">
        <v>30</v>
      </c>
      <c r="L553" t="s">
        <v>31</v>
      </c>
      <c r="O553">
        <f t="shared" si="1"/>
        <v>26994</v>
      </c>
      <c r="W553" s="5"/>
      <c r="X553" s="5"/>
    </row>
    <row r="554" spans="2:24" hidden="1" x14ac:dyDescent="0.25">
      <c r="B554" t="s">
        <v>177</v>
      </c>
      <c r="C554">
        <v>27115</v>
      </c>
      <c r="D554">
        <v>95874.62</v>
      </c>
      <c r="E554" t="s">
        <v>26</v>
      </c>
      <c r="F554" t="s">
        <v>27</v>
      </c>
      <c r="G554" t="s">
        <v>130</v>
      </c>
      <c r="H554" s="5"/>
      <c r="J554" t="s">
        <v>589</v>
      </c>
      <c r="K554" t="s">
        <v>30</v>
      </c>
      <c r="L554" t="s">
        <v>31</v>
      </c>
      <c r="O554">
        <f t="shared" si="1"/>
        <v>27115</v>
      </c>
      <c r="W554" s="5"/>
      <c r="X554" s="5"/>
    </row>
    <row r="555" spans="2:24" hidden="1" x14ac:dyDescent="0.25">
      <c r="B555" t="s">
        <v>177</v>
      </c>
      <c r="C555">
        <v>25696</v>
      </c>
      <c r="D555">
        <v>161631.99</v>
      </c>
      <c r="E555" t="s">
        <v>26</v>
      </c>
      <c r="F555" t="s">
        <v>27</v>
      </c>
      <c r="G555" t="s">
        <v>130</v>
      </c>
      <c r="H555" s="5"/>
      <c r="J555" t="s">
        <v>29</v>
      </c>
      <c r="K555" t="s">
        <v>30</v>
      </c>
      <c r="L555" t="s">
        <v>31</v>
      </c>
      <c r="O555">
        <f t="shared" si="1"/>
        <v>25696</v>
      </c>
      <c r="W555" s="5"/>
      <c r="X555" s="5"/>
    </row>
    <row r="556" spans="2:24" hidden="1" x14ac:dyDescent="0.25">
      <c r="B556" t="s">
        <v>177</v>
      </c>
      <c r="C556">
        <v>7346</v>
      </c>
      <c r="D556">
        <v>124344.2</v>
      </c>
      <c r="E556" t="s">
        <v>26</v>
      </c>
      <c r="F556" t="s">
        <v>27</v>
      </c>
      <c r="G556" t="s">
        <v>130</v>
      </c>
      <c r="H556" s="5"/>
      <c r="J556" t="s">
        <v>29</v>
      </c>
      <c r="K556" t="s">
        <v>30</v>
      </c>
      <c r="L556" t="s">
        <v>31</v>
      </c>
      <c r="O556">
        <f t="shared" si="1"/>
        <v>7346</v>
      </c>
      <c r="W556" s="5"/>
      <c r="X556" s="5"/>
    </row>
    <row r="557" spans="2:24" hidden="1" x14ac:dyDescent="0.25">
      <c r="B557" t="s">
        <v>177</v>
      </c>
      <c r="C557">
        <v>23644</v>
      </c>
      <c r="D557">
        <v>316</v>
      </c>
      <c r="E557" t="s">
        <v>26</v>
      </c>
      <c r="F557" t="s">
        <v>27</v>
      </c>
      <c r="G557" t="s">
        <v>130</v>
      </c>
      <c r="H557" s="5"/>
      <c r="J557" t="s">
        <v>29</v>
      </c>
      <c r="K557" t="s">
        <v>30</v>
      </c>
      <c r="L557" t="s">
        <v>31</v>
      </c>
      <c r="O557">
        <f t="shared" si="1"/>
        <v>23644</v>
      </c>
      <c r="W557" s="5"/>
      <c r="X557" s="5"/>
    </row>
    <row r="558" spans="2:24" hidden="1" x14ac:dyDescent="0.25">
      <c r="B558" t="s">
        <v>177</v>
      </c>
      <c r="C558">
        <v>23532</v>
      </c>
      <c r="D558">
        <v>20653.07</v>
      </c>
      <c r="E558" t="s">
        <v>26</v>
      </c>
      <c r="F558" t="s">
        <v>27</v>
      </c>
      <c r="G558" t="s">
        <v>130</v>
      </c>
      <c r="H558" s="5"/>
      <c r="J558" t="s">
        <v>29</v>
      </c>
      <c r="K558" t="s">
        <v>30</v>
      </c>
      <c r="L558" t="s">
        <v>31</v>
      </c>
      <c r="O558">
        <f t="shared" si="1"/>
        <v>23532</v>
      </c>
      <c r="W558" s="5"/>
      <c r="X558" s="5"/>
    </row>
    <row r="559" spans="2:24" hidden="1" x14ac:dyDescent="0.25">
      <c r="B559" t="s">
        <v>177</v>
      </c>
      <c r="C559">
        <v>7400356304</v>
      </c>
      <c r="D559">
        <v>26120.79</v>
      </c>
      <c r="E559" t="s">
        <v>26</v>
      </c>
      <c r="F559" t="s">
        <v>27</v>
      </c>
      <c r="G559" t="s">
        <v>130</v>
      </c>
      <c r="H559" s="5"/>
      <c r="J559" t="s">
        <v>29</v>
      </c>
      <c r="K559" t="s">
        <v>30</v>
      </c>
      <c r="L559" t="s">
        <v>31</v>
      </c>
      <c r="O559">
        <f t="shared" si="1"/>
        <v>7400356304</v>
      </c>
      <c r="W559" s="5"/>
      <c r="X559" s="5"/>
    </row>
    <row r="560" spans="2:24" hidden="1" x14ac:dyDescent="0.25">
      <c r="B560" t="s">
        <v>177</v>
      </c>
      <c r="C560">
        <v>27078</v>
      </c>
      <c r="D560">
        <v>21250</v>
      </c>
      <c r="E560" t="s">
        <v>26</v>
      </c>
      <c r="F560" t="s">
        <v>27</v>
      </c>
      <c r="G560" t="s">
        <v>130</v>
      </c>
      <c r="H560" s="5"/>
      <c r="J560" t="s">
        <v>29</v>
      </c>
      <c r="K560" t="s">
        <v>30</v>
      </c>
      <c r="L560" t="s">
        <v>31</v>
      </c>
      <c r="O560">
        <f t="shared" si="1"/>
        <v>27078</v>
      </c>
      <c r="W560" s="5"/>
      <c r="X560" s="5"/>
    </row>
    <row r="561" spans="2:24" x14ac:dyDescent="0.25">
      <c r="B561" t="s">
        <v>177</v>
      </c>
      <c r="C561">
        <v>24362</v>
      </c>
      <c r="D561">
        <v>9117.99</v>
      </c>
      <c r="E561" t="s">
        <v>26</v>
      </c>
      <c r="F561" t="s">
        <v>27</v>
      </c>
      <c r="G561" t="s">
        <v>130</v>
      </c>
      <c r="H561" s="5"/>
      <c r="J561" t="s">
        <v>29</v>
      </c>
      <c r="K561" t="s">
        <v>30</v>
      </c>
      <c r="L561" t="s">
        <v>31</v>
      </c>
      <c r="O561" t="e">
        <f t="shared" ref="O561:O624" si="2">VLOOKUP(C561,$Q$18:$Q$421,1,FALSE)</f>
        <v>#N/A</v>
      </c>
      <c r="W561" s="5"/>
      <c r="X561" s="5"/>
    </row>
    <row r="562" spans="2:24" hidden="1" x14ac:dyDescent="0.25">
      <c r="B562" t="s">
        <v>177</v>
      </c>
      <c r="C562">
        <v>23501</v>
      </c>
      <c r="D562">
        <v>19026.830000000002</v>
      </c>
      <c r="E562" t="s">
        <v>26</v>
      </c>
      <c r="F562" t="s">
        <v>27</v>
      </c>
      <c r="G562" t="s">
        <v>130</v>
      </c>
      <c r="H562" s="5"/>
      <c r="J562" t="s">
        <v>29</v>
      </c>
      <c r="K562" t="s">
        <v>30</v>
      </c>
      <c r="L562" t="s">
        <v>31</v>
      </c>
      <c r="O562">
        <f t="shared" si="2"/>
        <v>23501</v>
      </c>
      <c r="W562" s="5"/>
      <c r="X562" s="5"/>
    </row>
    <row r="563" spans="2:24" hidden="1" x14ac:dyDescent="0.25">
      <c r="B563" t="s">
        <v>177</v>
      </c>
      <c r="C563">
        <v>23627</v>
      </c>
      <c r="D563">
        <v>167.68</v>
      </c>
      <c r="E563" t="s">
        <v>26</v>
      </c>
      <c r="F563" t="s">
        <v>27</v>
      </c>
      <c r="G563" t="s">
        <v>130</v>
      </c>
      <c r="H563" s="5"/>
      <c r="J563" t="s">
        <v>29</v>
      </c>
      <c r="K563" t="s">
        <v>30</v>
      </c>
      <c r="L563" t="s">
        <v>31</v>
      </c>
      <c r="O563">
        <f t="shared" si="2"/>
        <v>23627</v>
      </c>
      <c r="W563" s="5"/>
      <c r="X563" s="5"/>
    </row>
    <row r="564" spans="2:24" hidden="1" x14ac:dyDescent="0.25">
      <c r="B564" t="s">
        <v>177</v>
      </c>
      <c r="C564">
        <v>23546</v>
      </c>
      <c r="D564">
        <v>10748.41</v>
      </c>
      <c r="E564" t="s">
        <v>26</v>
      </c>
      <c r="F564" t="s">
        <v>27</v>
      </c>
      <c r="G564" t="s">
        <v>130</v>
      </c>
      <c r="H564" s="5"/>
      <c r="J564" t="s">
        <v>29</v>
      </c>
      <c r="K564" t="s">
        <v>30</v>
      </c>
      <c r="L564" t="s">
        <v>31</v>
      </c>
      <c r="O564">
        <f t="shared" si="2"/>
        <v>23546</v>
      </c>
      <c r="W564" s="5"/>
      <c r="X564" s="5"/>
    </row>
    <row r="565" spans="2:24" hidden="1" x14ac:dyDescent="0.25">
      <c r="B565" t="s">
        <v>177</v>
      </c>
      <c r="C565">
        <v>23660</v>
      </c>
      <c r="D565">
        <v>44013.41</v>
      </c>
      <c r="E565" t="s">
        <v>26</v>
      </c>
      <c r="F565" t="s">
        <v>27</v>
      </c>
      <c r="G565" t="s">
        <v>130</v>
      </c>
      <c r="H565" s="5"/>
      <c r="J565" t="s">
        <v>29</v>
      </c>
      <c r="K565" t="s">
        <v>30</v>
      </c>
      <c r="L565" t="s">
        <v>31</v>
      </c>
      <c r="O565">
        <f t="shared" si="2"/>
        <v>23660</v>
      </c>
      <c r="W565" s="5"/>
      <c r="X565" s="5"/>
    </row>
    <row r="566" spans="2:24" hidden="1" x14ac:dyDescent="0.25">
      <c r="B566" t="s">
        <v>177</v>
      </c>
      <c r="C566">
        <v>27061</v>
      </c>
      <c r="D566">
        <v>62914.92</v>
      </c>
      <c r="E566" t="s">
        <v>26</v>
      </c>
      <c r="F566" t="s">
        <v>27</v>
      </c>
      <c r="G566" t="s">
        <v>130</v>
      </c>
      <c r="H566" s="5"/>
      <c r="J566" t="s">
        <v>29</v>
      </c>
      <c r="K566" t="s">
        <v>30</v>
      </c>
      <c r="L566" t="s">
        <v>31</v>
      </c>
      <c r="O566">
        <f t="shared" si="2"/>
        <v>27061</v>
      </c>
      <c r="W566" s="5"/>
      <c r="X566" s="5"/>
    </row>
    <row r="567" spans="2:24" hidden="1" x14ac:dyDescent="0.25">
      <c r="B567" t="s">
        <v>177</v>
      </c>
      <c r="C567">
        <v>25700</v>
      </c>
      <c r="D567">
        <v>615569.17000000004</v>
      </c>
      <c r="E567" t="s">
        <v>26</v>
      </c>
      <c r="F567" t="s">
        <v>27</v>
      </c>
      <c r="G567" t="s">
        <v>130</v>
      </c>
      <c r="H567" s="5"/>
      <c r="J567" t="s">
        <v>29</v>
      </c>
      <c r="K567" t="s">
        <v>30</v>
      </c>
      <c r="L567" t="s">
        <v>31</v>
      </c>
      <c r="O567">
        <f t="shared" si="2"/>
        <v>25700</v>
      </c>
      <c r="W567" s="5"/>
      <c r="X567" s="5"/>
    </row>
    <row r="568" spans="2:24" hidden="1" x14ac:dyDescent="0.25">
      <c r="B568" t="s">
        <v>177</v>
      </c>
      <c r="C568">
        <v>23872</v>
      </c>
      <c r="D568">
        <v>166611.76</v>
      </c>
      <c r="E568" t="s">
        <v>26</v>
      </c>
      <c r="F568" t="s">
        <v>27</v>
      </c>
      <c r="G568" t="s">
        <v>130</v>
      </c>
      <c r="H568" s="5"/>
      <c r="J568" t="s">
        <v>29</v>
      </c>
      <c r="K568" t="s">
        <v>30</v>
      </c>
      <c r="L568" t="s">
        <v>31</v>
      </c>
      <c r="O568">
        <f t="shared" si="2"/>
        <v>23872</v>
      </c>
      <c r="W568" s="5"/>
      <c r="X568" s="5"/>
    </row>
    <row r="569" spans="2:24" hidden="1" x14ac:dyDescent="0.25">
      <c r="B569" t="s">
        <v>177</v>
      </c>
      <c r="C569">
        <v>9001811986</v>
      </c>
      <c r="D569">
        <v>75495.63</v>
      </c>
      <c r="E569" t="s">
        <v>26</v>
      </c>
      <c r="F569" t="s">
        <v>27</v>
      </c>
      <c r="G569" t="s">
        <v>130</v>
      </c>
      <c r="H569" s="5"/>
      <c r="J569" t="s">
        <v>29</v>
      </c>
      <c r="K569" t="s">
        <v>30</v>
      </c>
      <c r="L569" t="s">
        <v>31</v>
      </c>
      <c r="O569">
        <f t="shared" si="2"/>
        <v>9001811986</v>
      </c>
      <c r="W569" s="5"/>
      <c r="X569" s="5"/>
    </row>
    <row r="570" spans="2:24" hidden="1" x14ac:dyDescent="0.25">
      <c r="B570" t="s">
        <v>177</v>
      </c>
      <c r="C570">
        <v>26679</v>
      </c>
      <c r="D570">
        <v>40789.5</v>
      </c>
      <c r="E570" t="s">
        <v>26</v>
      </c>
      <c r="F570" t="s">
        <v>27</v>
      </c>
      <c r="G570" t="s">
        <v>130</v>
      </c>
      <c r="H570" s="5"/>
      <c r="J570" t="s">
        <v>589</v>
      </c>
      <c r="K570" t="s">
        <v>30</v>
      </c>
      <c r="L570" t="s">
        <v>31</v>
      </c>
      <c r="O570">
        <f t="shared" si="2"/>
        <v>26679</v>
      </c>
      <c r="W570" s="5"/>
      <c r="X570" s="5"/>
    </row>
    <row r="571" spans="2:24" hidden="1" x14ac:dyDescent="0.25">
      <c r="B571" t="s">
        <v>177</v>
      </c>
      <c r="C571">
        <v>27125</v>
      </c>
      <c r="D571">
        <v>72500</v>
      </c>
      <c r="E571" t="s">
        <v>26</v>
      </c>
      <c r="F571" t="s">
        <v>27</v>
      </c>
      <c r="G571" t="s">
        <v>130</v>
      </c>
      <c r="H571" s="5"/>
      <c r="J571" t="s">
        <v>29</v>
      </c>
      <c r="K571" t="s">
        <v>30</v>
      </c>
      <c r="L571" t="s">
        <v>31</v>
      </c>
      <c r="O571">
        <f t="shared" si="2"/>
        <v>27125</v>
      </c>
      <c r="W571" s="5"/>
      <c r="X571" s="5"/>
    </row>
    <row r="572" spans="2:24" hidden="1" x14ac:dyDescent="0.25">
      <c r="B572" t="s">
        <v>177</v>
      </c>
      <c r="C572">
        <v>9000817157</v>
      </c>
      <c r="D572">
        <v>70937</v>
      </c>
      <c r="E572" t="s">
        <v>26</v>
      </c>
      <c r="F572" t="s">
        <v>27</v>
      </c>
      <c r="G572" t="s">
        <v>130</v>
      </c>
      <c r="H572" s="5"/>
      <c r="J572" t="s">
        <v>29</v>
      </c>
      <c r="K572" t="s">
        <v>30</v>
      </c>
      <c r="L572" t="s">
        <v>31</v>
      </c>
      <c r="O572">
        <f t="shared" si="2"/>
        <v>9000817157</v>
      </c>
      <c r="V572" s="6"/>
      <c r="W572" s="5"/>
      <c r="X572" s="5"/>
    </row>
    <row r="573" spans="2:24" hidden="1" x14ac:dyDescent="0.25">
      <c r="B573" t="s">
        <v>177</v>
      </c>
      <c r="C573" t="s">
        <v>28</v>
      </c>
      <c r="D573">
        <v>2.63</v>
      </c>
      <c r="E573" t="s">
        <v>26</v>
      </c>
      <c r="F573" t="s">
        <v>27</v>
      </c>
      <c r="G573" t="s">
        <v>130</v>
      </c>
      <c r="H573" s="5"/>
      <c r="J573" t="s">
        <v>29</v>
      </c>
      <c r="K573" t="s">
        <v>30</v>
      </c>
      <c r="L573" t="s">
        <v>31</v>
      </c>
      <c r="O573" t="str">
        <f t="shared" si="2"/>
        <v>NULL</v>
      </c>
      <c r="W573" s="5"/>
      <c r="X573" s="5"/>
    </row>
    <row r="574" spans="2:24" x14ac:dyDescent="0.25">
      <c r="B574" t="s">
        <v>177</v>
      </c>
      <c r="C574">
        <v>24367</v>
      </c>
      <c r="D574">
        <v>9117.99</v>
      </c>
      <c r="E574" t="s">
        <v>26</v>
      </c>
      <c r="F574" t="s">
        <v>27</v>
      </c>
      <c r="G574" t="s">
        <v>130</v>
      </c>
      <c r="H574" s="5"/>
      <c r="J574" t="s">
        <v>29</v>
      </c>
      <c r="K574" t="s">
        <v>30</v>
      </c>
      <c r="L574" t="s">
        <v>31</v>
      </c>
      <c r="O574" t="e">
        <f t="shared" si="2"/>
        <v>#N/A</v>
      </c>
      <c r="W574" s="5"/>
      <c r="X574" s="5"/>
    </row>
    <row r="575" spans="2:24" hidden="1" x14ac:dyDescent="0.25">
      <c r="B575" t="s">
        <v>177</v>
      </c>
      <c r="C575">
        <v>26784</v>
      </c>
      <c r="D575">
        <v>312516.42</v>
      </c>
      <c r="E575" t="s">
        <v>26</v>
      </c>
      <c r="F575" t="s">
        <v>27</v>
      </c>
      <c r="G575" t="s">
        <v>130</v>
      </c>
      <c r="H575" s="5"/>
      <c r="J575" t="s">
        <v>29</v>
      </c>
      <c r="K575" t="s">
        <v>30</v>
      </c>
      <c r="L575" t="s">
        <v>31</v>
      </c>
      <c r="O575">
        <f t="shared" si="2"/>
        <v>26784</v>
      </c>
      <c r="W575" s="5"/>
      <c r="X575" s="5"/>
    </row>
    <row r="576" spans="2:24" hidden="1" x14ac:dyDescent="0.25">
      <c r="B576" t="s">
        <v>177</v>
      </c>
      <c r="C576">
        <v>25694</v>
      </c>
      <c r="D576">
        <v>632967.29</v>
      </c>
      <c r="E576" t="s">
        <v>26</v>
      </c>
      <c r="F576" t="s">
        <v>27</v>
      </c>
      <c r="G576" t="s">
        <v>130</v>
      </c>
      <c r="H576" s="5"/>
      <c r="J576" t="s">
        <v>29</v>
      </c>
      <c r="K576" t="s">
        <v>30</v>
      </c>
      <c r="L576" t="s">
        <v>31</v>
      </c>
      <c r="O576">
        <f t="shared" si="2"/>
        <v>25694</v>
      </c>
      <c r="W576" s="5"/>
      <c r="X576" s="5"/>
    </row>
    <row r="577" spans="2:24" hidden="1" x14ac:dyDescent="0.25">
      <c r="B577" t="s">
        <v>177</v>
      </c>
      <c r="C577">
        <v>7353</v>
      </c>
      <c r="D577">
        <v>115786.62</v>
      </c>
      <c r="E577" t="s">
        <v>26</v>
      </c>
      <c r="F577" t="s">
        <v>27</v>
      </c>
      <c r="G577" t="s">
        <v>130</v>
      </c>
      <c r="H577" s="5"/>
      <c r="J577" t="s">
        <v>29</v>
      </c>
      <c r="K577" t="s">
        <v>30</v>
      </c>
      <c r="L577" t="s">
        <v>31</v>
      </c>
      <c r="O577">
        <f t="shared" si="2"/>
        <v>7353</v>
      </c>
      <c r="W577" s="5"/>
      <c r="X577" s="5"/>
    </row>
    <row r="578" spans="2:24" hidden="1" x14ac:dyDescent="0.25">
      <c r="B578" t="s">
        <v>177</v>
      </c>
      <c r="C578">
        <v>23593</v>
      </c>
      <c r="D578">
        <v>2176.5500000000002</v>
      </c>
      <c r="E578" t="s">
        <v>26</v>
      </c>
      <c r="F578" t="s">
        <v>27</v>
      </c>
      <c r="G578" t="s">
        <v>130</v>
      </c>
      <c r="H578" s="5"/>
      <c r="J578" t="s">
        <v>29</v>
      </c>
      <c r="K578" t="s">
        <v>30</v>
      </c>
      <c r="L578" t="s">
        <v>31</v>
      </c>
      <c r="O578">
        <f t="shared" si="2"/>
        <v>23593</v>
      </c>
      <c r="W578" s="5"/>
      <c r="X578" s="5"/>
    </row>
    <row r="579" spans="2:24" hidden="1" x14ac:dyDescent="0.25">
      <c r="B579" t="s">
        <v>177</v>
      </c>
      <c r="C579">
        <v>25679</v>
      </c>
      <c r="D579">
        <v>564943.51</v>
      </c>
      <c r="E579" t="s">
        <v>26</v>
      </c>
      <c r="F579" t="s">
        <v>27</v>
      </c>
      <c r="G579" t="s">
        <v>130</v>
      </c>
      <c r="H579" s="5"/>
      <c r="J579" t="s">
        <v>29</v>
      </c>
      <c r="K579" t="s">
        <v>30</v>
      </c>
      <c r="L579" t="s">
        <v>31</v>
      </c>
      <c r="O579">
        <f t="shared" si="2"/>
        <v>25679</v>
      </c>
      <c r="W579" s="5"/>
      <c r="X579" s="5"/>
    </row>
    <row r="580" spans="2:24" hidden="1" x14ac:dyDescent="0.25">
      <c r="B580" t="s">
        <v>177</v>
      </c>
      <c r="C580">
        <v>23495</v>
      </c>
      <c r="D580">
        <v>22218.04</v>
      </c>
      <c r="E580" t="s">
        <v>26</v>
      </c>
      <c r="F580" t="s">
        <v>27</v>
      </c>
      <c r="G580" t="s">
        <v>130</v>
      </c>
      <c r="H580" s="5"/>
      <c r="J580" t="s">
        <v>29</v>
      </c>
      <c r="K580" t="s">
        <v>30</v>
      </c>
      <c r="L580" t="s">
        <v>31</v>
      </c>
      <c r="O580">
        <f t="shared" si="2"/>
        <v>23495</v>
      </c>
      <c r="W580" s="5"/>
      <c r="X580" s="5"/>
    </row>
    <row r="581" spans="2:24" x14ac:dyDescent="0.25">
      <c r="B581" t="s">
        <v>177</v>
      </c>
      <c r="C581">
        <v>8004061653</v>
      </c>
      <c r="D581">
        <v>25923.75</v>
      </c>
      <c r="E581" t="s">
        <v>26</v>
      </c>
      <c r="F581" t="s">
        <v>27</v>
      </c>
      <c r="G581" t="s">
        <v>130</v>
      </c>
      <c r="H581" s="5"/>
      <c r="J581" t="s">
        <v>29</v>
      </c>
      <c r="K581" t="s">
        <v>30</v>
      </c>
      <c r="L581" t="s">
        <v>31</v>
      </c>
      <c r="O581" t="e">
        <f t="shared" si="2"/>
        <v>#N/A</v>
      </c>
      <c r="W581" s="5"/>
      <c r="X581" s="5"/>
    </row>
    <row r="582" spans="2:24" hidden="1" x14ac:dyDescent="0.25">
      <c r="B582" t="s">
        <v>177</v>
      </c>
      <c r="C582">
        <v>23569</v>
      </c>
      <c r="D582">
        <v>13435.51</v>
      </c>
      <c r="E582" t="s">
        <v>26</v>
      </c>
      <c r="F582" t="s">
        <v>27</v>
      </c>
      <c r="G582" t="s">
        <v>130</v>
      </c>
      <c r="H582" s="5"/>
      <c r="J582" t="s">
        <v>29</v>
      </c>
      <c r="K582" t="s">
        <v>30</v>
      </c>
      <c r="L582" t="s">
        <v>31</v>
      </c>
      <c r="O582">
        <f t="shared" si="2"/>
        <v>23569</v>
      </c>
      <c r="W582" s="5"/>
      <c r="X582" s="5"/>
    </row>
    <row r="583" spans="2:24" x14ac:dyDescent="0.25">
      <c r="B583" t="s">
        <v>177</v>
      </c>
      <c r="C583">
        <v>27111</v>
      </c>
      <c r="D583">
        <v>264140.65999999997</v>
      </c>
      <c r="E583" t="s">
        <v>26</v>
      </c>
      <c r="F583" t="s">
        <v>27</v>
      </c>
      <c r="G583" t="s">
        <v>130</v>
      </c>
      <c r="H583" s="5"/>
      <c r="J583" t="s">
        <v>29</v>
      </c>
      <c r="K583" t="s">
        <v>30</v>
      </c>
      <c r="L583" t="s">
        <v>31</v>
      </c>
      <c r="O583" t="e">
        <f t="shared" si="2"/>
        <v>#N/A</v>
      </c>
      <c r="W583" s="5"/>
      <c r="X583" s="5"/>
    </row>
    <row r="584" spans="2:24" hidden="1" x14ac:dyDescent="0.25">
      <c r="B584" t="s">
        <v>177</v>
      </c>
      <c r="C584">
        <v>23646</v>
      </c>
      <c r="D584">
        <v>338.57</v>
      </c>
      <c r="E584" t="s">
        <v>26</v>
      </c>
      <c r="F584" t="s">
        <v>27</v>
      </c>
      <c r="G584" t="s">
        <v>130</v>
      </c>
      <c r="H584" s="5"/>
      <c r="J584" t="s">
        <v>29</v>
      </c>
      <c r="K584" t="s">
        <v>30</v>
      </c>
      <c r="L584" t="s">
        <v>31</v>
      </c>
      <c r="O584">
        <f t="shared" si="2"/>
        <v>23646</v>
      </c>
      <c r="W584" s="5"/>
      <c r="X584" s="5"/>
    </row>
    <row r="585" spans="2:24" hidden="1" x14ac:dyDescent="0.25">
      <c r="B585" t="s">
        <v>177</v>
      </c>
      <c r="C585">
        <v>23529</v>
      </c>
      <c r="D585">
        <v>17273.77</v>
      </c>
      <c r="E585" t="s">
        <v>26</v>
      </c>
      <c r="F585" t="s">
        <v>27</v>
      </c>
      <c r="G585" t="s">
        <v>130</v>
      </c>
      <c r="H585" s="5"/>
      <c r="J585" t="s">
        <v>29</v>
      </c>
      <c r="K585" t="s">
        <v>30</v>
      </c>
      <c r="L585" t="s">
        <v>31</v>
      </c>
      <c r="O585">
        <f t="shared" si="2"/>
        <v>23529</v>
      </c>
      <c r="W585" s="5"/>
      <c r="X585" s="5"/>
    </row>
    <row r="586" spans="2:24" hidden="1" x14ac:dyDescent="0.25">
      <c r="B586" t="s">
        <v>177</v>
      </c>
      <c r="C586">
        <v>2100789953</v>
      </c>
      <c r="D586">
        <v>88552.35</v>
      </c>
      <c r="E586" t="s">
        <v>26</v>
      </c>
      <c r="F586" t="s">
        <v>27</v>
      </c>
      <c r="G586" t="s">
        <v>130</v>
      </c>
      <c r="H586" s="5"/>
      <c r="J586" t="s">
        <v>29</v>
      </c>
      <c r="K586" t="s">
        <v>30</v>
      </c>
      <c r="L586" t="s">
        <v>31</v>
      </c>
      <c r="O586">
        <f t="shared" si="2"/>
        <v>2100789953</v>
      </c>
      <c r="W586" s="5"/>
      <c r="X586" s="5"/>
    </row>
    <row r="587" spans="2:24" hidden="1" x14ac:dyDescent="0.25">
      <c r="B587" t="s">
        <v>177</v>
      </c>
      <c r="C587">
        <v>23527</v>
      </c>
      <c r="D587">
        <v>10290.530000000001</v>
      </c>
      <c r="E587" t="s">
        <v>26</v>
      </c>
      <c r="F587" t="s">
        <v>27</v>
      </c>
      <c r="G587" t="s">
        <v>130</v>
      </c>
      <c r="H587" s="5"/>
      <c r="J587" t="s">
        <v>29</v>
      </c>
      <c r="K587" t="s">
        <v>30</v>
      </c>
      <c r="L587" t="s">
        <v>31</v>
      </c>
      <c r="O587">
        <f t="shared" si="2"/>
        <v>23527</v>
      </c>
      <c r="W587" s="5"/>
      <c r="X587" s="5"/>
    </row>
    <row r="588" spans="2:24" hidden="1" x14ac:dyDescent="0.25">
      <c r="B588" t="s">
        <v>177</v>
      </c>
      <c r="C588">
        <v>23577</v>
      </c>
      <c r="D588">
        <v>4276.79</v>
      </c>
      <c r="E588" t="s">
        <v>26</v>
      </c>
      <c r="F588" t="s">
        <v>27</v>
      </c>
      <c r="G588" t="s">
        <v>130</v>
      </c>
      <c r="H588" s="5"/>
      <c r="J588" t="s">
        <v>29</v>
      </c>
      <c r="K588" t="s">
        <v>30</v>
      </c>
      <c r="L588" t="s">
        <v>31</v>
      </c>
      <c r="O588">
        <f t="shared" si="2"/>
        <v>23577</v>
      </c>
      <c r="V588" s="6"/>
      <c r="W588" s="5"/>
      <c r="X588" s="5"/>
    </row>
    <row r="589" spans="2:24" hidden="1" x14ac:dyDescent="0.25">
      <c r="B589" t="s">
        <v>177</v>
      </c>
      <c r="C589">
        <v>27080</v>
      </c>
      <c r="D589">
        <v>75548.61</v>
      </c>
      <c r="E589" t="s">
        <v>26</v>
      </c>
      <c r="F589" t="s">
        <v>27</v>
      </c>
      <c r="G589" t="s">
        <v>130</v>
      </c>
      <c r="H589" s="5"/>
      <c r="J589" t="s">
        <v>29</v>
      </c>
      <c r="K589" t="s">
        <v>30</v>
      </c>
      <c r="L589" t="s">
        <v>31</v>
      </c>
      <c r="O589">
        <f t="shared" si="2"/>
        <v>27080</v>
      </c>
      <c r="W589" s="5"/>
      <c r="X589" s="5"/>
    </row>
    <row r="590" spans="2:24" hidden="1" x14ac:dyDescent="0.25">
      <c r="B590" t="s">
        <v>177</v>
      </c>
      <c r="C590">
        <v>26777</v>
      </c>
      <c r="D590">
        <v>131200</v>
      </c>
      <c r="E590" t="s">
        <v>26</v>
      </c>
      <c r="F590" t="s">
        <v>27</v>
      </c>
      <c r="G590" t="s">
        <v>130</v>
      </c>
      <c r="H590" s="5"/>
      <c r="J590" t="s">
        <v>29</v>
      </c>
      <c r="K590" t="s">
        <v>30</v>
      </c>
      <c r="L590" t="s">
        <v>31</v>
      </c>
      <c r="O590">
        <f t="shared" si="2"/>
        <v>26777</v>
      </c>
      <c r="W590" s="5"/>
      <c r="X590" s="5"/>
    </row>
    <row r="591" spans="2:24" hidden="1" x14ac:dyDescent="0.25">
      <c r="B591" t="s">
        <v>177</v>
      </c>
      <c r="C591">
        <v>26510</v>
      </c>
      <c r="D591">
        <v>141372.85999999999</v>
      </c>
      <c r="E591" t="s">
        <v>26</v>
      </c>
      <c r="F591" t="s">
        <v>27</v>
      </c>
      <c r="G591" t="s">
        <v>130</v>
      </c>
      <c r="H591" s="5"/>
      <c r="J591" t="s">
        <v>29</v>
      </c>
      <c r="K591" t="s">
        <v>30</v>
      </c>
      <c r="L591" t="s">
        <v>31</v>
      </c>
      <c r="O591">
        <f t="shared" si="2"/>
        <v>26510</v>
      </c>
      <c r="W591" s="5"/>
      <c r="X591" s="5"/>
    </row>
    <row r="592" spans="2:24" hidden="1" x14ac:dyDescent="0.25">
      <c r="B592" t="s">
        <v>177</v>
      </c>
      <c r="C592">
        <v>23976</v>
      </c>
      <c r="D592">
        <v>635122.44999999995</v>
      </c>
      <c r="E592" t="s">
        <v>26</v>
      </c>
      <c r="F592" t="s">
        <v>27</v>
      </c>
      <c r="G592" t="s">
        <v>130</v>
      </c>
      <c r="H592" s="5"/>
      <c r="J592" t="s">
        <v>29</v>
      </c>
      <c r="K592" t="s">
        <v>30</v>
      </c>
      <c r="L592" t="s">
        <v>31</v>
      </c>
      <c r="O592">
        <f t="shared" si="2"/>
        <v>23976</v>
      </c>
      <c r="W592" s="5"/>
      <c r="X592" s="5"/>
    </row>
    <row r="593" spans="2:24" hidden="1" x14ac:dyDescent="0.25">
      <c r="B593" t="s">
        <v>177</v>
      </c>
      <c r="C593">
        <v>23514</v>
      </c>
      <c r="D593">
        <v>112516.79</v>
      </c>
      <c r="E593" t="s">
        <v>26</v>
      </c>
      <c r="F593" t="s">
        <v>27</v>
      </c>
      <c r="G593" t="s">
        <v>130</v>
      </c>
      <c r="H593" s="5"/>
      <c r="J593" t="s">
        <v>29</v>
      </c>
      <c r="K593" t="s">
        <v>30</v>
      </c>
      <c r="L593" t="s">
        <v>31</v>
      </c>
      <c r="O593">
        <f t="shared" si="2"/>
        <v>23514</v>
      </c>
      <c r="W593" s="5"/>
      <c r="X593" s="5"/>
    </row>
    <row r="594" spans="2:24" hidden="1" x14ac:dyDescent="0.25">
      <c r="B594" t="s">
        <v>177</v>
      </c>
      <c r="C594">
        <v>23544</v>
      </c>
      <c r="D594">
        <v>13435.51</v>
      </c>
      <c r="E594" t="s">
        <v>26</v>
      </c>
      <c r="F594" t="s">
        <v>27</v>
      </c>
      <c r="G594" t="s">
        <v>130</v>
      </c>
      <c r="H594" s="5"/>
      <c r="J594" t="s">
        <v>29</v>
      </c>
      <c r="K594" t="s">
        <v>30</v>
      </c>
      <c r="L594" t="s">
        <v>31</v>
      </c>
      <c r="O594">
        <f t="shared" si="2"/>
        <v>23544</v>
      </c>
      <c r="W594" s="5"/>
      <c r="X594" s="5"/>
    </row>
    <row r="595" spans="2:24" hidden="1" x14ac:dyDescent="0.25">
      <c r="B595" t="s">
        <v>177</v>
      </c>
      <c r="C595">
        <v>23662</v>
      </c>
      <c r="D595">
        <v>44013.41</v>
      </c>
      <c r="E595" t="s">
        <v>26</v>
      </c>
      <c r="F595" t="s">
        <v>27</v>
      </c>
      <c r="G595" t="s">
        <v>130</v>
      </c>
      <c r="H595" s="5"/>
      <c r="J595" t="s">
        <v>29</v>
      </c>
      <c r="K595" t="s">
        <v>30</v>
      </c>
      <c r="L595" t="s">
        <v>31</v>
      </c>
      <c r="O595">
        <f t="shared" si="2"/>
        <v>23662</v>
      </c>
      <c r="W595" s="5"/>
      <c r="X595" s="5"/>
    </row>
    <row r="596" spans="2:24" hidden="1" x14ac:dyDescent="0.25">
      <c r="B596" t="s">
        <v>177</v>
      </c>
      <c r="C596">
        <v>23617</v>
      </c>
      <c r="D596">
        <v>831.93</v>
      </c>
      <c r="E596" t="s">
        <v>26</v>
      </c>
      <c r="F596" t="s">
        <v>27</v>
      </c>
      <c r="G596" t="s">
        <v>130</v>
      </c>
      <c r="H596" s="5"/>
      <c r="J596" t="s">
        <v>29</v>
      </c>
      <c r="K596" t="s">
        <v>30</v>
      </c>
      <c r="L596" t="s">
        <v>31</v>
      </c>
      <c r="O596">
        <f t="shared" si="2"/>
        <v>23617</v>
      </c>
      <c r="W596" s="5"/>
      <c r="X596" s="5"/>
    </row>
    <row r="597" spans="2:24" hidden="1" x14ac:dyDescent="0.25">
      <c r="B597" t="s">
        <v>177</v>
      </c>
      <c r="C597">
        <v>23561</v>
      </c>
      <c r="D597">
        <v>2074.44</v>
      </c>
      <c r="E597" t="s">
        <v>26</v>
      </c>
      <c r="F597" t="s">
        <v>27</v>
      </c>
      <c r="G597" t="s">
        <v>130</v>
      </c>
      <c r="H597" s="5"/>
      <c r="J597" t="s">
        <v>29</v>
      </c>
      <c r="K597" t="s">
        <v>30</v>
      </c>
      <c r="L597" t="s">
        <v>31</v>
      </c>
      <c r="O597">
        <f t="shared" si="2"/>
        <v>23561</v>
      </c>
      <c r="W597" s="5"/>
      <c r="X597" s="5"/>
    </row>
    <row r="598" spans="2:24" hidden="1" x14ac:dyDescent="0.25">
      <c r="B598" t="s">
        <v>177</v>
      </c>
      <c r="C598">
        <v>27109</v>
      </c>
      <c r="D598">
        <v>11931.23</v>
      </c>
      <c r="E598" t="s">
        <v>26</v>
      </c>
      <c r="F598" t="s">
        <v>27</v>
      </c>
      <c r="G598" t="s">
        <v>130</v>
      </c>
      <c r="H598" s="5"/>
      <c r="J598" t="s">
        <v>29</v>
      </c>
      <c r="K598" t="s">
        <v>30</v>
      </c>
      <c r="L598" t="s">
        <v>31</v>
      </c>
      <c r="O598">
        <f t="shared" si="2"/>
        <v>27109</v>
      </c>
      <c r="W598" s="5"/>
      <c r="X598" s="5"/>
    </row>
    <row r="599" spans="2:24" hidden="1" x14ac:dyDescent="0.25">
      <c r="B599" t="s">
        <v>177</v>
      </c>
      <c r="C599">
        <v>23650</v>
      </c>
      <c r="D599">
        <v>117.16</v>
      </c>
      <c r="E599" t="s">
        <v>26</v>
      </c>
      <c r="F599" t="s">
        <v>27</v>
      </c>
      <c r="G599" t="s">
        <v>130</v>
      </c>
      <c r="H599" s="5"/>
      <c r="J599" t="s">
        <v>29</v>
      </c>
      <c r="K599" t="s">
        <v>30</v>
      </c>
      <c r="L599" t="s">
        <v>31</v>
      </c>
      <c r="O599">
        <f t="shared" si="2"/>
        <v>23650</v>
      </c>
      <c r="W599" s="5"/>
      <c r="X599" s="5"/>
    </row>
    <row r="600" spans="2:24" x14ac:dyDescent="0.25">
      <c r="B600" t="s">
        <v>177</v>
      </c>
      <c r="C600">
        <v>27123</v>
      </c>
      <c r="D600">
        <v>122000</v>
      </c>
      <c r="E600" t="s">
        <v>26</v>
      </c>
      <c r="F600" t="s">
        <v>27</v>
      </c>
      <c r="G600" t="s">
        <v>130</v>
      </c>
      <c r="H600" s="5"/>
      <c r="J600" t="s">
        <v>29</v>
      </c>
      <c r="K600" t="s">
        <v>30</v>
      </c>
      <c r="L600" t="s">
        <v>31</v>
      </c>
      <c r="O600" t="e">
        <f t="shared" si="2"/>
        <v>#N/A</v>
      </c>
      <c r="W600" s="5"/>
      <c r="X600" s="5"/>
    </row>
    <row r="601" spans="2:24" hidden="1" x14ac:dyDescent="0.25">
      <c r="B601" t="s">
        <v>177</v>
      </c>
      <c r="C601">
        <v>23624</v>
      </c>
      <c r="D601">
        <v>740.57</v>
      </c>
      <c r="E601" t="s">
        <v>26</v>
      </c>
      <c r="F601" t="s">
        <v>27</v>
      </c>
      <c r="G601" t="s">
        <v>130</v>
      </c>
      <c r="H601" s="5"/>
      <c r="J601" t="s">
        <v>29</v>
      </c>
      <c r="K601" t="s">
        <v>30</v>
      </c>
      <c r="L601" t="s">
        <v>31</v>
      </c>
      <c r="O601">
        <f t="shared" si="2"/>
        <v>23624</v>
      </c>
      <c r="W601" s="5"/>
      <c r="X601" s="5"/>
    </row>
    <row r="602" spans="2:24" hidden="1" x14ac:dyDescent="0.25">
      <c r="B602" t="s">
        <v>177</v>
      </c>
      <c r="C602">
        <v>18102</v>
      </c>
      <c r="D602">
        <v>36700.5</v>
      </c>
      <c r="E602" t="s">
        <v>26</v>
      </c>
      <c r="F602" t="s">
        <v>27</v>
      </c>
      <c r="G602" t="s">
        <v>130</v>
      </c>
      <c r="H602" s="5"/>
      <c r="J602" t="s">
        <v>29</v>
      </c>
      <c r="K602" t="s">
        <v>30</v>
      </c>
      <c r="L602" t="s">
        <v>31</v>
      </c>
      <c r="O602">
        <f t="shared" si="2"/>
        <v>18102</v>
      </c>
      <c r="W602" s="5"/>
      <c r="X602" s="5"/>
    </row>
    <row r="603" spans="2:24" hidden="1" x14ac:dyDescent="0.25">
      <c r="B603" t="s">
        <v>177</v>
      </c>
      <c r="C603">
        <v>23674</v>
      </c>
      <c r="D603">
        <v>38503.94</v>
      </c>
      <c r="E603" t="s">
        <v>26</v>
      </c>
      <c r="F603" t="s">
        <v>27</v>
      </c>
      <c r="G603" t="s">
        <v>130</v>
      </c>
      <c r="H603" s="5"/>
      <c r="J603" t="s">
        <v>29</v>
      </c>
      <c r="K603" t="s">
        <v>30</v>
      </c>
      <c r="L603" t="s">
        <v>31</v>
      </c>
      <c r="O603">
        <f t="shared" si="2"/>
        <v>23674</v>
      </c>
      <c r="W603" s="5"/>
      <c r="X603" s="5"/>
    </row>
    <row r="604" spans="2:24" x14ac:dyDescent="0.25">
      <c r="B604" t="s">
        <v>177</v>
      </c>
      <c r="C604">
        <v>23680</v>
      </c>
      <c r="D604">
        <v>79592.3</v>
      </c>
      <c r="E604" t="s">
        <v>26</v>
      </c>
      <c r="F604" t="s">
        <v>27</v>
      </c>
      <c r="G604" t="s">
        <v>130</v>
      </c>
      <c r="H604" s="5"/>
      <c r="J604" t="s">
        <v>29</v>
      </c>
      <c r="K604" t="s">
        <v>30</v>
      </c>
      <c r="L604" t="s">
        <v>31</v>
      </c>
      <c r="O604" t="e">
        <f t="shared" si="2"/>
        <v>#N/A</v>
      </c>
      <c r="W604" s="5"/>
      <c r="X604" s="5"/>
    </row>
    <row r="605" spans="2:24" hidden="1" x14ac:dyDescent="0.25">
      <c r="B605" t="s">
        <v>177</v>
      </c>
      <c r="C605">
        <v>23788</v>
      </c>
      <c r="D605">
        <v>63196.58</v>
      </c>
      <c r="E605" t="s">
        <v>26</v>
      </c>
      <c r="F605" t="s">
        <v>27</v>
      </c>
      <c r="G605" t="s">
        <v>130</v>
      </c>
      <c r="H605" s="5"/>
      <c r="J605" t="s">
        <v>29</v>
      </c>
      <c r="K605" t="s">
        <v>30</v>
      </c>
      <c r="L605" t="s">
        <v>31</v>
      </c>
      <c r="O605">
        <f t="shared" si="2"/>
        <v>23788</v>
      </c>
      <c r="W605" s="5"/>
      <c r="X605" s="5"/>
    </row>
    <row r="606" spans="2:24" x14ac:dyDescent="0.25">
      <c r="B606" t="s">
        <v>177</v>
      </c>
      <c r="C606">
        <v>24267</v>
      </c>
      <c r="D606">
        <v>101317.95</v>
      </c>
      <c r="E606" t="s">
        <v>26</v>
      </c>
      <c r="F606" t="s">
        <v>27</v>
      </c>
      <c r="G606" t="s">
        <v>130</v>
      </c>
      <c r="H606" s="5"/>
      <c r="J606" t="s">
        <v>29</v>
      </c>
      <c r="K606" t="s">
        <v>30</v>
      </c>
      <c r="L606" t="s">
        <v>31</v>
      </c>
      <c r="O606" t="e">
        <f t="shared" si="2"/>
        <v>#N/A</v>
      </c>
      <c r="W606" s="5"/>
      <c r="X606" s="5"/>
    </row>
    <row r="607" spans="2:24" hidden="1" x14ac:dyDescent="0.25">
      <c r="B607" t="s">
        <v>177</v>
      </c>
      <c r="C607">
        <v>24738</v>
      </c>
      <c r="D607">
        <v>620743.29</v>
      </c>
      <c r="E607" t="s">
        <v>26</v>
      </c>
      <c r="F607" t="s">
        <v>27</v>
      </c>
      <c r="G607" t="s">
        <v>130</v>
      </c>
      <c r="H607" s="5"/>
      <c r="J607" t="s">
        <v>29</v>
      </c>
      <c r="K607" t="s">
        <v>30</v>
      </c>
      <c r="L607" t="s">
        <v>31</v>
      </c>
      <c r="O607">
        <f t="shared" si="2"/>
        <v>24738</v>
      </c>
      <c r="V607" s="6"/>
      <c r="W607" s="5"/>
      <c r="X607" s="5"/>
    </row>
    <row r="608" spans="2:24" hidden="1" x14ac:dyDescent="0.25">
      <c r="B608" t="s">
        <v>177</v>
      </c>
      <c r="C608">
        <v>25704</v>
      </c>
      <c r="D608">
        <v>90114.69</v>
      </c>
      <c r="E608" t="s">
        <v>26</v>
      </c>
      <c r="F608" t="s">
        <v>27</v>
      </c>
      <c r="G608" t="s">
        <v>130</v>
      </c>
      <c r="H608" s="5"/>
      <c r="J608" t="s">
        <v>29</v>
      </c>
      <c r="K608" t="s">
        <v>30</v>
      </c>
      <c r="L608" t="s">
        <v>31</v>
      </c>
      <c r="O608">
        <f t="shared" si="2"/>
        <v>25704</v>
      </c>
      <c r="W608" s="5"/>
      <c r="X608" s="5"/>
    </row>
    <row r="609" spans="2:24" x14ac:dyDescent="0.25">
      <c r="B609" t="s">
        <v>177</v>
      </c>
      <c r="C609">
        <v>7400317171</v>
      </c>
      <c r="D609">
        <v>54887.46</v>
      </c>
      <c r="E609" t="s">
        <v>26</v>
      </c>
      <c r="F609" t="s">
        <v>27</v>
      </c>
      <c r="G609" t="s">
        <v>130</v>
      </c>
      <c r="H609" s="5"/>
      <c r="J609" t="s">
        <v>29</v>
      </c>
      <c r="K609" t="s">
        <v>30</v>
      </c>
      <c r="L609" t="s">
        <v>31</v>
      </c>
      <c r="O609" t="e">
        <f t="shared" si="2"/>
        <v>#N/A</v>
      </c>
      <c r="W609" s="5"/>
      <c r="X609" s="5"/>
    </row>
    <row r="610" spans="2:24" hidden="1" x14ac:dyDescent="0.25">
      <c r="B610" t="s">
        <v>177</v>
      </c>
      <c r="C610">
        <v>23664</v>
      </c>
      <c r="D610">
        <v>44013.41</v>
      </c>
      <c r="E610" t="s">
        <v>26</v>
      </c>
      <c r="F610" t="s">
        <v>27</v>
      </c>
      <c r="G610" t="s">
        <v>130</v>
      </c>
      <c r="H610" s="5"/>
      <c r="J610" t="s">
        <v>29</v>
      </c>
      <c r="K610" t="s">
        <v>30</v>
      </c>
      <c r="L610" t="s">
        <v>31</v>
      </c>
      <c r="O610">
        <f t="shared" si="2"/>
        <v>23664</v>
      </c>
      <c r="W610" s="5"/>
      <c r="X610" s="5"/>
    </row>
    <row r="611" spans="2:24" hidden="1" x14ac:dyDescent="0.25">
      <c r="B611" t="s">
        <v>177</v>
      </c>
      <c r="C611">
        <v>26501</v>
      </c>
      <c r="D611">
        <v>43081.95</v>
      </c>
      <c r="E611" t="s">
        <v>26</v>
      </c>
      <c r="F611" t="s">
        <v>27</v>
      </c>
      <c r="G611" t="s">
        <v>130</v>
      </c>
      <c r="H611" s="5"/>
      <c r="J611" t="s">
        <v>29</v>
      </c>
      <c r="K611" t="s">
        <v>30</v>
      </c>
      <c r="L611" t="s">
        <v>31</v>
      </c>
      <c r="O611">
        <f t="shared" si="2"/>
        <v>26501</v>
      </c>
      <c r="W611" s="5"/>
      <c r="X611" s="5"/>
    </row>
    <row r="612" spans="2:24" hidden="1" x14ac:dyDescent="0.25">
      <c r="B612" t="s">
        <v>177</v>
      </c>
      <c r="C612">
        <v>18545</v>
      </c>
      <c r="D612">
        <v>55000</v>
      </c>
      <c r="E612" t="s">
        <v>26</v>
      </c>
      <c r="F612" t="s">
        <v>27</v>
      </c>
      <c r="G612" t="s">
        <v>130</v>
      </c>
      <c r="H612" s="5"/>
      <c r="J612" t="s">
        <v>29</v>
      </c>
      <c r="K612" t="s">
        <v>30</v>
      </c>
      <c r="L612" t="s">
        <v>31</v>
      </c>
      <c r="O612">
        <f t="shared" si="2"/>
        <v>18545</v>
      </c>
      <c r="W612" s="5"/>
      <c r="X612" s="5"/>
    </row>
    <row r="613" spans="2:24" hidden="1" x14ac:dyDescent="0.25">
      <c r="B613" t="s">
        <v>177</v>
      </c>
      <c r="C613">
        <v>7378</v>
      </c>
      <c r="D613">
        <v>118189.87</v>
      </c>
      <c r="E613" t="s">
        <v>26</v>
      </c>
      <c r="F613" t="s">
        <v>27</v>
      </c>
      <c r="G613" t="s">
        <v>130</v>
      </c>
      <c r="H613" s="5"/>
      <c r="J613" t="s">
        <v>29</v>
      </c>
      <c r="K613" t="s">
        <v>30</v>
      </c>
      <c r="L613" t="s">
        <v>31</v>
      </c>
      <c r="O613">
        <f t="shared" si="2"/>
        <v>7378</v>
      </c>
      <c r="W613" s="5"/>
      <c r="X613" s="5"/>
    </row>
    <row r="614" spans="2:24" hidden="1" x14ac:dyDescent="0.25">
      <c r="B614" t="s">
        <v>177</v>
      </c>
      <c r="C614">
        <v>23609</v>
      </c>
      <c r="D614">
        <v>2144.5100000000002</v>
      </c>
      <c r="E614" t="s">
        <v>26</v>
      </c>
      <c r="F614" t="s">
        <v>27</v>
      </c>
      <c r="G614" t="s">
        <v>130</v>
      </c>
      <c r="H614" s="5"/>
      <c r="J614" t="s">
        <v>29</v>
      </c>
      <c r="K614" t="s">
        <v>30</v>
      </c>
      <c r="L614" t="s">
        <v>31</v>
      </c>
      <c r="O614">
        <f t="shared" si="2"/>
        <v>23609</v>
      </c>
      <c r="W614" s="5"/>
      <c r="X614" s="5"/>
    </row>
    <row r="615" spans="2:24" hidden="1" x14ac:dyDescent="0.25">
      <c r="B615" t="s">
        <v>177</v>
      </c>
      <c r="C615">
        <v>23521</v>
      </c>
      <c r="D615">
        <v>21232.41</v>
      </c>
      <c r="E615" t="s">
        <v>26</v>
      </c>
      <c r="F615" t="s">
        <v>27</v>
      </c>
      <c r="G615" t="s">
        <v>130</v>
      </c>
      <c r="H615" s="5"/>
      <c r="J615" t="s">
        <v>29</v>
      </c>
      <c r="K615" t="s">
        <v>30</v>
      </c>
      <c r="L615" t="s">
        <v>31</v>
      </c>
      <c r="O615">
        <f t="shared" si="2"/>
        <v>23521</v>
      </c>
      <c r="W615" s="5"/>
      <c r="X615" s="5"/>
    </row>
    <row r="616" spans="2:24" hidden="1" x14ac:dyDescent="0.25">
      <c r="B616" t="s">
        <v>177</v>
      </c>
      <c r="C616">
        <v>12024</v>
      </c>
      <c r="D616">
        <v>0</v>
      </c>
      <c r="E616" t="s">
        <v>26</v>
      </c>
      <c r="F616" t="s">
        <v>27</v>
      </c>
      <c r="G616" t="s">
        <v>130</v>
      </c>
      <c r="H616" s="5"/>
      <c r="J616" t="s">
        <v>29</v>
      </c>
      <c r="K616" t="s">
        <v>30</v>
      </c>
      <c r="L616" t="s">
        <v>31</v>
      </c>
      <c r="O616">
        <f t="shared" si="2"/>
        <v>12024</v>
      </c>
      <c r="W616" s="5"/>
      <c r="X616" s="5"/>
    </row>
    <row r="617" spans="2:24" hidden="1" x14ac:dyDescent="0.25">
      <c r="B617" t="s">
        <v>177</v>
      </c>
      <c r="C617">
        <v>23536</v>
      </c>
      <c r="D617">
        <v>10722.57</v>
      </c>
      <c r="E617" t="s">
        <v>26</v>
      </c>
      <c r="F617" t="s">
        <v>27</v>
      </c>
      <c r="G617" t="s">
        <v>130</v>
      </c>
      <c r="H617" s="5"/>
      <c r="J617" t="s">
        <v>29</v>
      </c>
      <c r="K617" t="s">
        <v>30</v>
      </c>
      <c r="L617" t="s">
        <v>31</v>
      </c>
      <c r="O617">
        <f t="shared" si="2"/>
        <v>23536</v>
      </c>
      <c r="W617" s="5"/>
      <c r="X617" s="5"/>
    </row>
    <row r="618" spans="2:24" hidden="1" x14ac:dyDescent="0.25">
      <c r="B618" t="s">
        <v>177</v>
      </c>
      <c r="C618">
        <v>16976</v>
      </c>
      <c r="D618">
        <v>117420.65</v>
      </c>
      <c r="E618" t="s">
        <v>26</v>
      </c>
      <c r="F618" t="s">
        <v>27</v>
      </c>
      <c r="G618" t="s">
        <v>130</v>
      </c>
      <c r="H618" s="5"/>
      <c r="J618" t="s">
        <v>29</v>
      </c>
      <c r="K618" t="s">
        <v>30</v>
      </c>
      <c r="L618" t="s">
        <v>31</v>
      </c>
      <c r="O618">
        <f t="shared" si="2"/>
        <v>16976</v>
      </c>
      <c r="W618" s="5"/>
      <c r="X618" s="5"/>
    </row>
    <row r="619" spans="2:24" x14ac:dyDescent="0.25">
      <c r="B619" t="s">
        <v>177</v>
      </c>
      <c r="C619">
        <v>24355</v>
      </c>
      <c r="D619">
        <v>9112.74</v>
      </c>
      <c r="E619" t="s">
        <v>26</v>
      </c>
      <c r="F619" t="s">
        <v>27</v>
      </c>
      <c r="G619" t="s">
        <v>130</v>
      </c>
      <c r="H619" s="5"/>
      <c r="J619" t="s">
        <v>29</v>
      </c>
      <c r="K619" t="s">
        <v>30</v>
      </c>
      <c r="L619" t="s">
        <v>31</v>
      </c>
      <c r="O619" t="e">
        <f t="shared" si="2"/>
        <v>#N/A</v>
      </c>
      <c r="W619" s="5"/>
      <c r="X619" s="5"/>
    </row>
    <row r="620" spans="2:24" hidden="1" x14ac:dyDescent="0.25">
      <c r="B620" t="s">
        <v>177</v>
      </c>
      <c r="C620">
        <v>23615</v>
      </c>
      <c r="D620">
        <v>2131.41</v>
      </c>
      <c r="E620" t="s">
        <v>26</v>
      </c>
      <c r="F620" t="s">
        <v>27</v>
      </c>
      <c r="G620" t="s">
        <v>130</v>
      </c>
      <c r="H620" s="5"/>
      <c r="J620" t="s">
        <v>29</v>
      </c>
      <c r="K620" t="s">
        <v>30</v>
      </c>
      <c r="L620" t="s">
        <v>31</v>
      </c>
      <c r="O620">
        <f t="shared" si="2"/>
        <v>23615</v>
      </c>
      <c r="W620" s="5"/>
      <c r="X620" s="5"/>
    </row>
    <row r="621" spans="2:24" hidden="1" x14ac:dyDescent="0.25">
      <c r="B621" t="s">
        <v>177</v>
      </c>
      <c r="C621">
        <v>23533</v>
      </c>
      <c r="D621">
        <v>17273.77</v>
      </c>
      <c r="E621" t="s">
        <v>26</v>
      </c>
      <c r="F621" t="s">
        <v>27</v>
      </c>
      <c r="G621" t="s">
        <v>130</v>
      </c>
      <c r="H621" s="5"/>
      <c r="J621" t="s">
        <v>29</v>
      </c>
      <c r="K621" t="s">
        <v>30</v>
      </c>
      <c r="L621" t="s">
        <v>31</v>
      </c>
      <c r="O621">
        <f t="shared" si="2"/>
        <v>23533</v>
      </c>
      <c r="W621" s="5"/>
      <c r="X621" s="5"/>
    </row>
    <row r="622" spans="2:24" hidden="1" x14ac:dyDescent="0.25">
      <c r="B622" t="s">
        <v>177</v>
      </c>
      <c r="C622">
        <v>2435</v>
      </c>
      <c r="D622">
        <v>19453.12</v>
      </c>
      <c r="E622" t="s">
        <v>26</v>
      </c>
      <c r="F622" t="s">
        <v>27</v>
      </c>
      <c r="G622" t="s">
        <v>130</v>
      </c>
      <c r="H622" s="5"/>
      <c r="J622" t="s">
        <v>29</v>
      </c>
      <c r="K622" t="s">
        <v>30</v>
      </c>
      <c r="L622" t="s">
        <v>31</v>
      </c>
      <c r="O622">
        <f t="shared" si="2"/>
        <v>2435</v>
      </c>
      <c r="W622" s="5"/>
      <c r="X622" s="5"/>
    </row>
    <row r="623" spans="2:24" x14ac:dyDescent="0.25">
      <c r="B623" t="s">
        <v>177</v>
      </c>
      <c r="C623" t="s">
        <v>168</v>
      </c>
      <c r="D623">
        <v>4355.2299999999996</v>
      </c>
      <c r="E623" t="s">
        <v>26</v>
      </c>
      <c r="F623" t="s">
        <v>27</v>
      </c>
      <c r="G623" t="s">
        <v>130</v>
      </c>
      <c r="H623" s="5"/>
      <c r="J623" t="s">
        <v>29</v>
      </c>
      <c r="K623" t="s">
        <v>30</v>
      </c>
      <c r="L623" t="s">
        <v>31</v>
      </c>
      <c r="O623" t="e">
        <f t="shared" si="2"/>
        <v>#N/A</v>
      </c>
      <c r="W623" s="5"/>
      <c r="X623" s="5"/>
    </row>
    <row r="624" spans="2:24" hidden="1" x14ac:dyDescent="0.25">
      <c r="B624" t="s">
        <v>177</v>
      </c>
      <c r="C624">
        <v>25690</v>
      </c>
      <c r="D624">
        <v>96922.8</v>
      </c>
      <c r="E624" t="s">
        <v>26</v>
      </c>
      <c r="F624" t="s">
        <v>27</v>
      </c>
      <c r="G624" t="s">
        <v>130</v>
      </c>
      <c r="H624" s="5"/>
      <c r="J624" t="s">
        <v>29</v>
      </c>
      <c r="K624" t="s">
        <v>30</v>
      </c>
      <c r="L624" t="s">
        <v>31</v>
      </c>
      <c r="O624">
        <f t="shared" si="2"/>
        <v>25690</v>
      </c>
      <c r="W624" s="5"/>
      <c r="X624" s="5"/>
    </row>
    <row r="625" spans="2:24" hidden="1" x14ac:dyDescent="0.25">
      <c r="B625" t="s">
        <v>177</v>
      </c>
      <c r="C625">
        <v>23524</v>
      </c>
      <c r="D625">
        <v>25385.59</v>
      </c>
      <c r="E625" t="s">
        <v>26</v>
      </c>
      <c r="F625" t="s">
        <v>27</v>
      </c>
      <c r="G625" t="s">
        <v>130</v>
      </c>
      <c r="H625" s="5"/>
      <c r="J625" t="s">
        <v>29</v>
      </c>
      <c r="K625" t="s">
        <v>30</v>
      </c>
      <c r="L625" t="s">
        <v>31</v>
      </c>
      <c r="O625">
        <f t="shared" ref="O625:O688" si="3">VLOOKUP(C625,$Q$18:$Q$421,1,FALSE)</f>
        <v>23524</v>
      </c>
      <c r="W625" s="5"/>
      <c r="X625" s="5"/>
    </row>
    <row r="626" spans="2:24" hidden="1" x14ac:dyDescent="0.25">
      <c r="B626" t="s">
        <v>177</v>
      </c>
      <c r="C626">
        <v>27045</v>
      </c>
      <c r="D626">
        <v>44795.76</v>
      </c>
      <c r="E626" t="s">
        <v>26</v>
      </c>
      <c r="F626" t="s">
        <v>27</v>
      </c>
      <c r="G626" t="s">
        <v>130</v>
      </c>
      <c r="H626" s="5"/>
      <c r="J626" t="s">
        <v>589</v>
      </c>
      <c r="K626" t="s">
        <v>30</v>
      </c>
      <c r="L626" t="s">
        <v>31</v>
      </c>
      <c r="O626">
        <f t="shared" si="3"/>
        <v>27045</v>
      </c>
      <c r="W626" s="5"/>
      <c r="X626" s="5"/>
    </row>
    <row r="627" spans="2:24" hidden="1" x14ac:dyDescent="0.25">
      <c r="B627" t="s">
        <v>177</v>
      </c>
      <c r="C627">
        <v>23628</v>
      </c>
      <c r="D627">
        <v>119.31</v>
      </c>
      <c r="E627" t="s">
        <v>26</v>
      </c>
      <c r="F627" t="s">
        <v>27</v>
      </c>
      <c r="G627" t="s">
        <v>130</v>
      </c>
      <c r="H627" s="5"/>
      <c r="J627" t="s">
        <v>29</v>
      </c>
      <c r="K627" t="s">
        <v>30</v>
      </c>
      <c r="L627" t="s">
        <v>31</v>
      </c>
      <c r="O627">
        <f t="shared" si="3"/>
        <v>23628</v>
      </c>
      <c r="W627" s="5"/>
      <c r="X627" s="5"/>
    </row>
    <row r="628" spans="2:24" hidden="1" x14ac:dyDescent="0.25">
      <c r="B628" t="s">
        <v>177</v>
      </c>
      <c r="C628">
        <v>23626</v>
      </c>
      <c r="D628">
        <v>524.52</v>
      </c>
      <c r="E628" t="s">
        <v>26</v>
      </c>
      <c r="F628" t="s">
        <v>27</v>
      </c>
      <c r="G628" t="s">
        <v>130</v>
      </c>
      <c r="H628" s="5"/>
      <c r="J628" t="s">
        <v>29</v>
      </c>
      <c r="K628" t="s">
        <v>30</v>
      </c>
      <c r="L628" t="s">
        <v>31</v>
      </c>
      <c r="O628">
        <f t="shared" si="3"/>
        <v>23626</v>
      </c>
      <c r="W628" s="5"/>
      <c r="X628" s="5"/>
    </row>
    <row r="629" spans="2:24" hidden="1" x14ac:dyDescent="0.25">
      <c r="B629" t="s">
        <v>177</v>
      </c>
      <c r="C629">
        <v>23547</v>
      </c>
      <c r="D629">
        <v>10748.41</v>
      </c>
      <c r="E629" t="s">
        <v>26</v>
      </c>
      <c r="F629" t="s">
        <v>27</v>
      </c>
      <c r="G629" t="s">
        <v>130</v>
      </c>
      <c r="H629" s="5"/>
      <c r="J629" t="s">
        <v>29</v>
      </c>
      <c r="K629" t="s">
        <v>30</v>
      </c>
      <c r="L629" t="s">
        <v>31</v>
      </c>
      <c r="O629">
        <f t="shared" si="3"/>
        <v>23547</v>
      </c>
      <c r="W629" s="5"/>
      <c r="X629" s="5"/>
    </row>
    <row r="630" spans="2:24" x14ac:dyDescent="0.25">
      <c r="B630" t="s">
        <v>177</v>
      </c>
      <c r="C630">
        <v>24324</v>
      </c>
      <c r="D630">
        <v>7564.67</v>
      </c>
      <c r="E630" t="s">
        <v>26</v>
      </c>
      <c r="F630" t="s">
        <v>27</v>
      </c>
      <c r="G630" t="s">
        <v>130</v>
      </c>
      <c r="H630" s="5"/>
      <c r="J630" t="s">
        <v>29</v>
      </c>
      <c r="K630" t="s">
        <v>30</v>
      </c>
      <c r="L630" t="s">
        <v>31</v>
      </c>
      <c r="O630" t="e">
        <f t="shared" si="3"/>
        <v>#N/A</v>
      </c>
      <c r="V630" s="6"/>
      <c r="W630" s="5"/>
      <c r="X630" s="5"/>
    </row>
    <row r="631" spans="2:24" hidden="1" x14ac:dyDescent="0.25">
      <c r="B631" t="s">
        <v>177</v>
      </c>
      <c r="C631">
        <v>23519</v>
      </c>
      <c r="D631">
        <v>12026.39</v>
      </c>
      <c r="E631" t="s">
        <v>26</v>
      </c>
      <c r="F631" t="s">
        <v>27</v>
      </c>
      <c r="G631" t="s">
        <v>130</v>
      </c>
      <c r="H631" s="5"/>
      <c r="J631" t="s">
        <v>29</v>
      </c>
      <c r="K631" t="s">
        <v>30</v>
      </c>
      <c r="L631" t="s">
        <v>31</v>
      </c>
      <c r="O631">
        <f t="shared" si="3"/>
        <v>23519</v>
      </c>
      <c r="W631" s="5"/>
      <c r="X631" s="5"/>
    </row>
    <row r="632" spans="2:24" hidden="1" x14ac:dyDescent="0.25">
      <c r="B632" t="s">
        <v>177</v>
      </c>
      <c r="C632">
        <v>26926</v>
      </c>
      <c r="D632">
        <v>10616.28</v>
      </c>
      <c r="E632" t="s">
        <v>26</v>
      </c>
      <c r="F632" t="s">
        <v>27</v>
      </c>
      <c r="G632" t="s">
        <v>130</v>
      </c>
      <c r="H632" s="5"/>
      <c r="J632" t="s">
        <v>29</v>
      </c>
      <c r="K632" t="s">
        <v>30</v>
      </c>
      <c r="L632" t="s">
        <v>31</v>
      </c>
      <c r="O632">
        <f t="shared" si="3"/>
        <v>26926</v>
      </c>
      <c r="W632" s="5"/>
      <c r="X632" s="5"/>
    </row>
    <row r="633" spans="2:24" x14ac:dyDescent="0.25">
      <c r="B633" t="s">
        <v>177</v>
      </c>
      <c r="C633">
        <v>24373</v>
      </c>
      <c r="D633">
        <v>9117.99</v>
      </c>
      <c r="E633" t="s">
        <v>26</v>
      </c>
      <c r="F633" t="s">
        <v>27</v>
      </c>
      <c r="G633" t="s">
        <v>130</v>
      </c>
      <c r="H633" s="5"/>
      <c r="J633" t="s">
        <v>29</v>
      </c>
      <c r="K633" t="s">
        <v>30</v>
      </c>
      <c r="L633" t="s">
        <v>31</v>
      </c>
      <c r="O633" t="e">
        <f t="shared" si="3"/>
        <v>#N/A</v>
      </c>
      <c r="W633" s="5"/>
      <c r="X633" s="5"/>
    </row>
    <row r="634" spans="2:24" hidden="1" x14ac:dyDescent="0.25">
      <c r="B634" t="s">
        <v>177</v>
      </c>
      <c r="C634">
        <v>25706</v>
      </c>
      <c r="D634">
        <v>92396.51</v>
      </c>
      <c r="E634" t="s">
        <v>26</v>
      </c>
      <c r="F634" t="s">
        <v>27</v>
      </c>
      <c r="G634" t="s">
        <v>130</v>
      </c>
      <c r="H634" s="5"/>
      <c r="J634" t="s">
        <v>29</v>
      </c>
      <c r="K634" t="s">
        <v>30</v>
      </c>
      <c r="L634" t="s">
        <v>31</v>
      </c>
      <c r="O634">
        <f t="shared" si="3"/>
        <v>25706</v>
      </c>
      <c r="V634" s="6"/>
      <c r="W634" s="5"/>
      <c r="X634" s="5"/>
    </row>
    <row r="635" spans="2:24" hidden="1" x14ac:dyDescent="0.25">
      <c r="B635" t="s">
        <v>177</v>
      </c>
      <c r="C635">
        <v>26978</v>
      </c>
      <c r="D635">
        <v>55370.83</v>
      </c>
      <c r="E635" t="s">
        <v>26</v>
      </c>
      <c r="F635" t="s">
        <v>27</v>
      </c>
      <c r="G635" t="s">
        <v>130</v>
      </c>
      <c r="H635" s="5"/>
      <c r="J635" t="s">
        <v>29</v>
      </c>
      <c r="K635" t="s">
        <v>30</v>
      </c>
      <c r="L635" t="s">
        <v>31</v>
      </c>
      <c r="O635">
        <f t="shared" si="3"/>
        <v>26978</v>
      </c>
      <c r="W635" s="5"/>
      <c r="X635" s="5"/>
    </row>
    <row r="636" spans="2:24" x14ac:dyDescent="0.25">
      <c r="B636" t="s">
        <v>177</v>
      </c>
      <c r="C636">
        <v>24323</v>
      </c>
      <c r="D636">
        <v>7564.67</v>
      </c>
      <c r="E636" t="s">
        <v>26</v>
      </c>
      <c r="F636" t="s">
        <v>27</v>
      </c>
      <c r="G636" t="s">
        <v>130</v>
      </c>
      <c r="H636" s="5"/>
      <c r="J636" t="s">
        <v>29</v>
      </c>
      <c r="K636" t="s">
        <v>30</v>
      </c>
      <c r="L636" t="s">
        <v>31</v>
      </c>
      <c r="O636" t="e">
        <f t="shared" si="3"/>
        <v>#N/A</v>
      </c>
      <c r="W636" s="5"/>
      <c r="X636" s="5"/>
    </row>
    <row r="637" spans="2:24" hidden="1" x14ac:dyDescent="0.25">
      <c r="B637" t="s">
        <v>177</v>
      </c>
      <c r="C637">
        <v>23730</v>
      </c>
      <c r="D637">
        <v>89561.46</v>
      </c>
      <c r="E637" t="s">
        <v>26</v>
      </c>
      <c r="F637" t="s">
        <v>27</v>
      </c>
      <c r="G637" t="s">
        <v>130</v>
      </c>
      <c r="H637" s="5"/>
      <c r="J637" t="s">
        <v>29</v>
      </c>
      <c r="K637" t="s">
        <v>30</v>
      </c>
      <c r="L637" t="s">
        <v>31</v>
      </c>
      <c r="O637">
        <f t="shared" si="3"/>
        <v>23730</v>
      </c>
      <c r="W637" s="5"/>
      <c r="X637" s="5"/>
    </row>
    <row r="638" spans="2:24" hidden="1" x14ac:dyDescent="0.25">
      <c r="B638" t="s">
        <v>177</v>
      </c>
      <c r="C638">
        <v>15975</v>
      </c>
      <c r="D638">
        <v>71091.39</v>
      </c>
      <c r="E638" t="s">
        <v>26</v>
      </c>
      <c r="F638" t="s">
        <v>27</v>
      </c>
      <c r="G638" t="s">
        <v>130</v>
      </c>
      <c r="H638" s="5"/>
      <c r="J638" t="s">
        <v>29</v>
      </c>
      <c r="K638" t="s">
        <v>30</v>
      </c>
      <c r="L638" t="s">
        <v>31</v>
      </c>
      <c r="O638">
        <f t="shared" si="3"/>
        <v>15975</v>
      </c>
      <c r="W638" s="5"/>
      <c r="X638" s="5"/>
    </row>
    <row r="639" spans="2:24" hidden="1" x14ac:dyDescent="0.25">
      <c r="B639" t="s">
        <v>177</v>
      </c>
      <c r="C639">
        <v>23621</v>
      </c>
      <c r="D639">
        <v>870.62</v>
      </c>
      <c r="E639" t="s">
        <v>26</v>
      </c>
      <c r="F639" t="s">
        <v>27</v>
      </c>
      <c r="G639" t="s">
        <v>130</v>
      </c>
      <c r="H639" s="5"/>
      <c r="J639" t="s">
        <v>29</v>
      </c>
      <c r="K639" t="s">
        <v>30</v>
      </c>
      <c r="L639" t="s">
        <v>31</v>
      </c>
      <c r="O639">
        <f t="shared" si="3"/>
        <v>23621</v>
      </c>
      <c r="W639" s="5"/>
      <c r="X639" s="5"/>
    </row>
    <row r="640" spans="2:24" hidden="1" x14ac:dyDescent="0.25">
      <c r="B640" t="s">
        <v>177</v>
      </c>
      <c r="C640">
        <v>23587</v>
      </c>
      <c r="D640">
        <v>1859.47</v>
      </c>
      <c r="E640" t="s">
        <v>26</v>
      </c>
      <c r="F640" t="s">
        <v>27</v>
      </c>
      <c r="G640" t="s">
        <v>130</v>
      </c>
      <c r="H640" s="5"/>
      <c r="J640" t="s">
        <v>29</v>
      </c>
      <c r="K640" t="s">
        <v>30</v>
      </c>
      <c r="L640" t="s">
        <v>31</v>
      </c>
      <c r="O640">
        <f t="shared" si="3"/>
        <v>23587</v>
      </c>
      <c r="W640" s="5"/>
      <c r="X640" s="5"/>
    </row>
    <row r="641" spans="2:24" hidden="1" x14ac:dyDescent="0.25">
      <c r="B641" t="s">
        <v>177</v>
      </c>
      <c r="C641">
        <v>23605</v>
      </c>
      <c r="D641">
        <v>13435.51</v>
      </c>
      <c r="E641" t="s">
        <v>26</v>
      </c>
      <c r="F641" t="s">
        <v>27</v>
      </c>
      <c r="G641" t="s">
        <v>130</v>
      </c>
      <c r="H641" s="5"/>
      <c r="J641" t="s">
        <v>29</v>
      </c>
      <c r="K641" t="s">
        <v>30</v>
      </c>
      <c r="L641" t="s">
        <v>31</v>
      </c>
      <c r="O641">
        <f t="shared" si="3"/>
        <v>23605</v>
      </c>
      <c r="W641" s="5"/>
      <c r="X641" s="5"/>
    </row>
    <row r="642" spans="2:24" hidden="1" x14ac:dyDescent="0.25">
      <c r="B642" t="s">
        <v>175</v>
      </c>
      <c r="C642" t="s">
        <v>28</v>
      </c>
      <c r="D642">
        <v>-69183.23</v>
      </c>
      <c r="E642" t="s">
        <v>26</v>
      </c>
      <c r="F642" t="s">
        <v>27</v>
      </c>
      <c r="G642" t="s">
        <v>130</v>
      </c>
      <c r="H642" s="5"/>
      <c r="J642" t="s">
        <v>589</v>
      </c>
      <c r="K642" t="s">
        <v>30</v>
      </c>
      <c r="L642" t="s">
        <v>31</v>
      </c>
      <c r="O642" t="str">
        <f t="shared" si="3"/>
        <v>NULL</v>
      </c>
      <c r="V642" s="6"/>
      <c r="W642" s="5"/>
      <c r="X642" s="5"/>
    </row>
    <row r="643" spans="2:24" hidden="1" x14ac:dyDescent="0.25">
      <c r="B643" t="s">
        <v>177</v>
      </c>
      <c r="C643">
        <v>23564</v>
      </c>
      <c r="D643">
        <v>9145.82</v>
      </c>
      <c r="E643" t="s">
        <v>26</v>
      </c>
      <c r="F643" t="s">
        <v>27</v>
      </c>
      <c r="G643" t="s">
        <v>130</v>
      </c>
      <c r="H643" s="5"/>
      <c r="J643" t="s">
        <v>29</v>
      </c>
      <c r="K643" t="s">
        <v>30</v>
      </c>
      <c r="L643" t="s">
        <v>31</v>
      </c>
      <c r="O643">
        <f t="shared" si="3"/>
        <v>23564</v>
      </c>
      <c r="W643" s="5"/>
      <c r="X643" s="5"/>
    </row>
    <row r="644" spans="2:24" hidden="1" x14ac:dyDescent="0.25">
      <c r="B644" t="s">
        <v>177</v>
      </c>
      <c r="C644">
        <v>26902</v>
      </c>
      <c r="D644">
        <v>10464.879999999999</v>
      </c>
      <c r="E644" t="s">
        <v>26</v>
      </c>
      <c r="F644" t="s">
        <v>27</v>
      </c>
      <c r="G644" t="s">
        <v>130</v>
      </c>
      <c r="H644" s="5"/>
      <c r="J644" t="s">
        <v>29</v>
      </c>
      <c r="K644" t="s">
        <v>30</v>
      </c>
      <c r="L644" t="s">
        <v>31</v>
      </c>
      <c r="O644">
        <f t="shared" si="3"/>
        <v>26902</v>
      </c>
      <c r="W644" s="5"/>
      <c r="X644" s="5"/>
    </row>
    <row r="645" spans="2:24" x14ac:dyDescent="0.25">
      <c r="B645" t="s">
        <v>177</v>
      </c>
      <c r="C645">
        <v>24357</v>
      </c>
      <c r="D645">
        <v>9112.74</v>
      </c>
      <c r="E645" t="s">
        <v>26</v>
      </c>
      <c r="F645" t="s">
        <v>27</v>
      </c>
      <c r="G645" t="s">
        <v>130</v>
      </c>
      <c r="H645" s="5"/>
      <c r="J645" t="s">
        <v>29</v>
      </c>
      <c r="K645" t="s">
        <v>30</v>
      </c>
      <c r="L645" t="s">
        <v>31</v>
      </c>
      <c r="O645" t="e">
        <f t="shared" si="3"/>
        <v>#N/A</v>
      </c>
      <c r="W645" s="5"/>
      <c r="X645" s="5"/>
    </row>
    <row r="646" spans="2:24" hidden="1" x14ac:dyDescent="0.25">
      <c r="B646" t="s">
        <v>177</v>
      </c>
      <c r="C646">
        <v>27145</v>
      </c>
      <c r="D646">
        <v>15623.49</v>
      </c>
      <c r="E646" t="s">
        <v>26</v>
      </c>
      <c r="F646" t="s">
        <v>27</v>
      </c>
      <c r="G646" t="s">
        <v>130</v>
      </c>
      <c r="H646" s="5"/>
      <c r="J646" t="s">
        <v>29</v>
      </c>
      <c r="K646" t="s">
        <v>30</v>
      </c>
      <c r="L646" t="s">
        <v>31</v>
      </c>
      <c r="O646">
        <f t="shared" si="3"/>
        <v>27145</v>
      </c>
      <c r="W646" s="5"/>
      <c r="X646" s="5"/>
    </row>
    <row r="647" spans="2:24" hidden="1" x14ac:dyDescent="0.25">
      <c r="B647" t="s">
        <v>177</v>
      </c>
      <c r="C647">
        <v>27043</v>
      </c>
      <c r="D647">
        <v>9028.2999999999993</v>
      </c>
      <c r="E647" t="s">
        <v>26</v>
      </c>
      <c r="F647" t="s">
        <v>27</v>
      </c>
      <c r="G647" t="s">
        <v>130</v>
      </c>
      <c r="H647" s="5"/>
      <c r="J647" t="s">
        <v>29</v>
      </c>
      <c r="K647" t="s">
        <v>30</v>
      </c>
      <c r="L647" t="s">
        <v>31</v>
      </c>
      <c r="O647">
        <f t="shared" si="3"/>
        <v>27043</v>
      </c>
      <c r="V647" s="6"/>
      <c r="W647" s="5"/>
      <c r="X647" s="5"/>
    </row>
    <row r="648" spans="2:24" hidden="1" x14ac:dyDescent="0.25">
      <c r="B648" t="s">
        <v>177</v>
      </c>
      <c r="C648">
        <v>19283</v>
      </c>
      <c r="D648">
        <v>279975.7</v>
      </c>
      <c r="E648" t="s">
        <v>26</v>
      </c>
      <c r="F648" t="s">
        <v>27</v>
      </c>
      <c r="G648" t="s">
        <v>130</v>
      </c>
      <c r="H648" s="5"/>
      <c r="J648" t="s">
        <v>29</v>
      </c>
      <c r="K648" t="s">
        <v>30</v>
      </c>
      <c r="L648" t="s">
        <v>31</v>
      </c>
      <c r="O648">
        <f t="shared" si="3"/>
        <v>19283</v>
      </c>
      <c r="V648" s="6"/>
      <c r="W648" s="5"/>
      <c r="X648" s="5"/>
    </row>
    <row r="649" spans="2:24" x14ac:dyDescent="0.25">
      <c r="B649" t="s">
        <v>177</v>
      </c>
      <c r="C649">
        <v>24309</v>
      </c>
      <c r="D649">
        <v>11143.62</v>
      </c>
      <c r="E649" t="s">
        <v>26</v>
      </c>
      <c r="F649" t="s">
        <v>27</v>
      </c>
      <c r="G649" t="s">
        <v>130</v>
      </c>
      <c r="H649" s="5"/>
      <c r="J649" t="s">
        <v>29</v>
      </c>
      <c r="K649" t="s">
        <v>30</v>
      </c>
      <c r="L649" t="s">
        <v>31</v>
      </c>
      <c r="O649" t="e">
        <f t="shared" si="3"/>
        <v>#N/A</v>
      </c>
      <c r="W649" s="5"/>
      <c r="X649" s="5"/>
    </row>
    <row r="650" spans="2:24" hidden="1" x14ac:dyDescent="0.25">
      <c r="B650" t="s">
        <v>177</v>
      </c>
      <c r="C650">
        <v>15141</v>
      </c>
      <c r="D650">
        <v>40097</v>
      </c>
      <c r="E650" t="s">
        <v>26</v>
      </c>
      <c r="F650" t="s">
        <v>27</v>
      </c>
      <c r="G650" t="s">
        <v>130</v>
      </c>
      <c r="H650" s="5"/>
      <c r="J650" t="s">
        <v>29</v>
      </c>
      <c r="K650" t="s">
        <v>30</v>
      </c>
      <c r="L650" t="s">
        <v>31</v>
      </c>
      <c r="O650">
        <f t="shared" si="3"/>
        <v>15141</v>
      </c>
      <c r="W650" s="5"/>
      <c r="X650" s="5"/>
    </row>
    <row r="651" spans="2:24" x14ac:dyDescent="0.25">
      <c r="B651" t="s">
        <v>177</v>
      </c>
      <c r="C651">
        <v>27092</v>
      </c>
      <c r="D651">
        <v>48456.04</v>
      </c>
      <c r="E651" t="s">
        <v>26</v>
      </c>
      <c r="F651" t="s">
        <v>27</v>
      </c>
      <c r="G651" t="s">
        <v>130</v>
      </c>
      <c r="H651" s="5"/>
      <c r="J651" t="s">
        <v>29</v>
      </c>
      <c r="K651" t="s">
        <v>30</v>
      </c>
      <c r="L651" t="s">
        <v>31</v>
      </c>
      <c r="O651" t="e">
        <f t="shared" si="3"/>
        <v>#N/A</v>
      </c>
      <c r="W651" s="5"/>
      <c r="X651" s="5"/>
    </row>
    <row r="652" spans="2:24" hidden="1" x14ac:dyDescent="0.25">
      <c r="B652" t="s">
        <v>177</v>
      </c>
      <c r="C652">
        <v>23669</v>
      </c>
      <c r="D652">
        <v>180612.34</v>
      </c>
      <c r="E652" t="s">
        <v>26</v>
      </c>
      <c r="F652" t="s">
        <v>27</v>
      </c>
      <c r="G652" t="s">
        <v>130</v>
      </c>
      <c r="H652" s="5"/>
      <c r="J652" t="s">
        <v>29</v>
      </c>
      <c r="K652" t="s">
        <v>30</v>
      </c>
      <c r="L652" t="s">
        <v>31</v>
      </c>
      <c r="O652">
        <f t="shared" si="3"/>
        <v>23669</v>
      </c>
      <c r="V652" s="6"/>
      <c r="W652" s="5"/>
      <c r="X652" s="5"/>
    </row>
    <row r="653" spans="2:24" x14ac:dyDescent="0.25">
      <c r="B653" t="s">
        <v>177</v>
      </c>
      <c r="C653">
        <v>24372</v>
      </c>
      <c r="D653">
        <v>9117.99</v>
      </c>
      <c r="E653" t="s">
        <v>26</v>
      </c>
      <c r="F653" t="s">
        <v>27</v>
      </c>
      <c r="G653" t="s">
        <v>130</v>
      </c>
      <c r="H653" s="5"/>
      <c r="J653" t="s">
        <v>29</v>
      </c>
      <c r="K653" t="s">
        <v>30</v>
      </c>
      <c r="L653" t="s">
        <v>31</v>
      </c>
      <c r="O653" t="e">
        <f t="shared" si="3"/>
        <v>#N/A</v>
      </c>
      <c r="W653" s="5"/>
      <c r="X653" s="5"/>
    </row>
    <row r="654" spans="2:24" hidden="1" x14ac:dyDescent="0.25">
      <c r="B654" t="s">
        <v>177</v>
      </c>
      <c r="C654">
        <v>23556</v>
      </c>
      <c r="D654">
        <v>2109.91</v>
      </c>
      <c r="E654" t="s">
        <v>26</v>
      </c>
      <c r="F654" t="s">
        <v>27</v>
      </c>
      <c r="G654" t="s">
        <v>130</v>
      </c>
      <c r="H654" s="5"/>
      <c r="J654" t="s">
        <v>29</v>
      </c>
      <c r="K654" t="s">
        <v>30</v>
      </c>
      <c r="L654" t="s">
        <v>31</v>
      </c>
      <c r="O654">
        <f t="shared" si="3"/>
        <v>23556</v>
      </c>
      <c r="W654" s="5"/>
      <c r="X654" s="5"/>
    </row>
    <row r="655" spans="2:24" x14ac:dyDescent="0.25">
      <c r="B655" t="s">
        <v>177</v>
      </c>
      <c r="C655" t="s">
        <v>167</v>
      </c>
      <c r="D655">
        <v>41500</v>
      </c>
      <c r="E655" t="s">
        <v>26</v>
      </c>
      <c r="F655" t="s">
        <v>27</v>
      </c>
      <c r="G655" t="s">
        <v>130</v>
      </c>
      <c r="H655" s="5"/>
      <c r="J655" t="s">
        <v>29</v>
      </c>
      <c r="K655" t="s">
        <v>30</v>
      </c>
      <c r="L655" t="s">
        <v>31</v>
      </c>
      <c r="O655" t="e">
        <f t="shared" si="3"/>
        <v>#N/A</v>
      </c>
      <c r="W655" s="5"/>
      <c r="X655" s="5"/>
    </row>
    <row r="656" spans="2:24" hidden="1" x14ac:dyDescent="0.25">
      <c r="B656" t="s">
        <v>177</v>
      </c>
      <c r="C656">
        <v>23586</v>
      </c>
      <c r="D656">
        <v>2171.1799999999998</v>
      </c>
      <c r="E656" t="s">
        <v>26</v>
      </c>
      <c r="F656" t="s">
        <v>27</v>
      </c>
      <c r="G656" t="s">
        <v>130</v>
      </c>
      <c r="H656" s="5"/>
      <c r="J656" t="s">
        <v>29</v>
      </c>
      <c r="K656" t="s">
        <v>30</v>
      </c>
      <c r="L656" t="s">
        <v>31</v>
      </c>
      <c r="O656">
        <f t="shared" si="3"/>
        <v>23586</v>
      </c>
      <c r="W656" s="5"/>
      <c r="X656" s="5"/>
    </row>
    <row r="657" spans="2:24" hidden="1" x14ac:dyDescent="0.25">
      <c r="B657" t="s">
        <v>177</v>
      </c>
      <c r="C657">
        <v>23572</v>
      </c>
      <c r="D657">
        <v>10748.41</v>
      </c>
      <c r="E657" t="s">
        <v>26</v>
      </c>
      <c r="F657" t="s">
        <v>27</v>
      </c>
      <c r="G657" t="s">
        <v>130</v>
      </c>
      <c r="H657" s="5"/>
      <c r="J657" t="s">
        <v>29</v>
      </c>
      <c r="K657" t="s">
        <v>30</v>
      </c>
      <c r="L657" t="s">
        <v>31</v>
      </c>
      <c r="O657">
        <f t="shared" si="3"/>
        <v>23572</v>
      </c>
      <c r="W657" s="5"/>
      <c r="X657" s="5"/>
    </row>
    <row r="658" spans="2:24" hidden="1" x14ac:dyDescent="0.25">
      <c r="B658" t="s">
        <v>177</v>
      </c>
      <c r="C658">
        <v>23588</v>
      </c>
      <c r="D658">
        <v>1859.47</v>
      </c>
      <c r="E658" t="s">
        <v>26</v>
      </c>
      <c r="F658" t="s">
        <v>27</v>
      </c>
      <c r="G658" t="s">
        <v>130</v>
      </c>
      <c r="H658" s="5"/>
      <c r="J658" t="s">
        <v>29</v>
      </c>
      <c r="K658" t="s">
        <v>30</v>
      </c>
      <c r="L658" t="s">
        <v>31</v>
      </c>
      <c r="O658">
        <f t="shared" si="3"/>
        <v>23588</v>
      </c>
      <c r="W658" s="5"/>
      <c r="X658" s="5"/>
    </row>
    <row r="659" spans="2:24" hidden="1" x14ac:dyDescent="0.25">
      <c r="B659" t="s">
        <v>177</v>
      </c>
      <c r="C659">
        <v>23604</v>
      </c>
      <c r="D659">
        <v>16122.61</v>
      </c>
      <c r="E659" t="s">
        <v>26</v>
      </c>
      <c r="F659" t="s">
        <v>27</v>
      </c>
      <c r="G659" t="s">
        <v>130</v>
      </c>
      <c r="H659" s="5"/>
      <c r="J659" t="s">
        <v>29</v>
      </c>
      <c r="K659" t="s">
        <v>30</v>
      </c>
      <c r="L659" t="s">
        <v>31</v>
      </c>
      <c r="O659">
        <f t="shared" si="3"/>
        <v>23604</v>
      </c>
      <c r="W659" s="5"/>
      <c r="X659" s="5"/>
    </row>
    <row r="660" spans="2:24" x14ac:dyDescent="0.25">
      <c r="B660" t="s">
        <v>177</v>
      </c>
      <c r="C660">
        <v>24356</v>
      </c>
      <c r="D660">
        <v>9112.74</v>
      </c>
      <c r="E660" t="s">
        <v>26</v>
      </c>
      <c r="F660" t="s">
        <v>27</v>
      </c>
      <c r="G660" t="s">
        <v>130</v>
      </c>
      <c r="H660" s="5"/>
      <c r="J660" t="s">
        <v>29</v>
      </c>
      <c r="K660" t="s">
        <v>30</v>
      </c>
      <c r="L660" t="s">
        <v>31</v>
      </c>
      <c r="O660" t="e">
        <f t="shared" si="3"/>
        <v>#N/A</v>
      </c>
      <c r="W660" s="5"/>
      <c r="X660" s="5"/>
    </row>
    <row r="661" spans="2:24" hidden="1" x14ac:dyDescent="0.25">
      <c r="B661" t="s">
        <v>177</v>
      </c>
      <c r="C661">
        <v>27114</v>
      </c>
      <c r="D661">
        <v>58806.05</v>
      </c>
      <c r="E661" t="s">
        <v>26</v>
      </c>
      <c r="F661" t="s">
        <v>27</v>
      </c>
      <c r="G661" t="s">
        <v>130</v>
      </c>
      <c r="H661" s="5"/>
      <c r="J661" t="s">
        <v>29</v>
      </c>
      <c r="K661" t="s">
        <v>30</v>
      </c>
      <c r="L661" t="s">
        <v>31</v>
      </c>
      <c r="O661">
        <f t="shared" si="3"/>
        <v>27114</v>
      </c>
      <c r="W661" s="5"/>
      <c r="X661" s="5"/>
    </row>
    <row r="662" spans="2:24" x14ac:dyDescent="0.25">
      <c r="B662" t="s">
        <v>177</v>
      </c>
      <c r="C662">
        <v>24322</v>
      </c>
      <c r="D662">
        <v>7564.67</v>
      </c>
      <c r="E662" t="s">
        <v>26</v>
      </c>
      <c r="F662" t="s">
        <v>27</v>
      </c>
      <c r="G662" t="s">
        <v>130</v>
      </c>
      <c r="H662" s="5"/>
      <c r="J662" t="s">
        <v>29</v>
      </c>
      <c r="K662" t="s">
        <v>30</v>
      </c>
      <c r="L662" t="s">
        <v>31</v>
      </c>
      <c r="O662" t="e">
        <f t="shared" si="3"/>
        <v>#N/A</v>
      </c>
      <c r="W662" s="5"/>
      <c r="X662" s="5"/>
    </row>
    <row r="663" spans="2:24" hidden="1" x14ac:dyDescent="0.25">
      <c r="B663" t="s">
        <v>177</v>
      </c>
      <c r="C663">
        <v>23639</v>
      </c>
      <c r="D663">
        <v>327.83</v>
      </c>
      <c r="E663" t="s">
        <v>26</v>
      </c>
      <c r="F663" t="s">
        <v>27</v>
      </c>
      <c r="G663" t="s">
        <v>130</v>
      </c>
      <c r="H663" s="5"/>
      <c r="J663" t="s">
        <v>29</v>
      </c>
      <c r="K663" t="s">
        <v>30</v>
      </c>
      <c r="L663" t="s">
        <v>31</v>
      </c>
      <c r="O663">
        <f t="shared" si="3"/>
        <v>23639</v>
      </c>
      <c r="W663" s="5"/>
      <c r="X663" s="5"/>
    </row>
    <row r="664" spans="2:24" hidden="1" x14ac:dyDescent="0.25">
      <c r="B664" t="s">
        <v>177</v>
      </c>
      <c r="C664">
        <v>26977</v>
      </c>
      <c r="D664">
        <v>188172.93</v>
      </c>
      <c r="E664" t="s">
        <v>26</v>
      </c>
      <c r="F664" t="s">
        <v>27</v>
      </c>
      <c r="G664" t="s">
        <v>130</v>
      </c>
      <c r="H664" s="5"/>
      <c r="J664" t="s">
        <v>29</v>
      </c>
      <c r="K664" t="s">
        <v>30</v>
      </c>
      <c r="L664" t="s">
        <v>31</v>
      </c>
      <c r="O664">
        <f t="shared" si="3"/>
        <v>26977</v>
      </c>
      <c r="W664" s="5"/>
      <c r="X664" s="5"/>
    </row>
    <row r="665" spans="2:24" hidden="1" x14ac:dyDescent="0.25">
      <c r="B665" t="s">
        <v>177</v>
      </c>
      <c r="C665">
        <v>23637</v>
      </c>
      <c r="D665">
        <v>91.36</v>
      </c>
      <c r="E665" t="s">
        <v>26</v>
      </c>
      <c r="F665" t="s">
        <v>27</v>
      </c>
      <c r="G665" t="s">
        <v>130</v>
      </c>
      <c r="H665" s="5"/>
      <c r="J665" t="s">
        <v>29</v>
      </c>
      <c r="K665" t="s">
        <v>30</v>
      </c>
      <c r="L665" t="s">
        <v>31</v>
      </c>
      <c r="O665">
        <f t="shared" si="3"/>
        <v>23637</v>
      </c>
      <c r="W665" s="5"/>
      <c r="X665" s="5"/>
    </row>
    <row r="666" spans="2:24" hidden="1" x14ac:dyDescent="0.25">
      <c r="B666" t="s">
        <v>177</v>
      </c>
      <c r="C666">
        <v>23670</v>
      </c>
      <c r="D666">
        <v>67568.399999999994</v>
      </c>
      <c r="E666" t="s">
        <v>26</v>
      </c>
      <c r="F666" t="s">
        <v>27</v>
      </c>
      <c r="G666" t="s">
        <v>130</v>
      </c>
      <c r="H666" s="5"/>
      <c r="J666" t="s">
        <v>29</v>
      </c>
      <c r="K666" t="s">
        <v>30</v>
      </c>
      <c r="L666" t="s">
        <v>31</v>
      </c>
      <c r="O666">
        <f t="shared" si="3"/>
        <v>23670</v>
      </c>
      <c r="W666" s="5"/>
      <c r="X666" s="5"/>
    </row>
    <row r="667" spans="2:24" hidden="1" x14ac:dyDescent="0.25">
      <c r="B667" t="s">
        <v>177</v>
      </c>
      <c r="C667">
        <v>24233</v>
      </c>
      <c r="D667">
        <v>376277.61</v>
      </c>
      <c r="E667" t="s">
        <v>26</v>
      </c>
      <c r="F667" t="s">
        <v>27</v>
      </c>
      <c r="G667" t="s">
        <v>130</v>
      </c>
      <c r="H667" s="5"/>
      <c r="J667" t="s">
        <v>29</v>
      </c>
      <c r="K667" t="s">
        <v>30</v>
      </c>
      <c r="L667" t="s">
        <v>31</v>
      </c>
      <c r="O667">
        <f t="shared" si="3"/>
        <v>24233</v>
      </c>
      <c r="W667" s="5"/>
      <c r="X667" s="5"/>
    </row>
    <row r="668" spans="2:24" hidden="1" x14ac:dyDescent="0.25">
      <c r="B668" t="s">
        <v>177</v>
      </c>
      <c r="C668">
        <v>26044</v>
      </c>
      <c r="D668">
        <v>49333.65</v>
      </c>
      <c r="E668" t="s">
        <v>26</v>
      </c>
      <c r="F668" t="s">
        <v>27</v>
      </c>
      <c r="G668" t="s">
        <v>130</v>
      </c>
      <c r="H668" s="5"/>
      <c r="J668" t="s">
        <v>29</v>
      </c>
      <c r="K668" t="s">
        <v>30</v>
      </c>
      <c r="L668" t="s">
        <v>31</v>
      </c>
      <c r="O668">
        <f t="shared" si="3"/>
        <v>26044</v>
      </c>
      <c r="W668" s="5"/>
      <c r="X668" s="5"/>
    </row>
    <row r="669" spans="2:24" hidden="1" x14ac:dyDescent="0.25">
      <c r="B669" t="s">
        <v>177</v>
      </c>
      <c r="C669">
        <v>23620</v>
      </c>
      <c r="D669">
        <v>1451.04</v>
      </c>
      <c r="E669" t="s">
        <v>26</v>
      </c>
      <c r="F669" t="s">
        <v>27</v>
      </c>
      <c r="G669" t="s">
        <v>130</v>
      </c>
      <c r="H669" s="5"/>
      <c r="J669" t="s">
        <v>29</v>
      </c>
      <c r="K669" t="s">
        <v>30</v>
      </c>
      <c r="L669" t="s">
        <v>31</v>
      </c>
      <c r="O669">
        <f t="shared" si="3"/>
        <v>23620</v>
      </c>
      <c r="W669" s="5"/>
      <c r="X669" s="5"/>
    </row>
    <row r="670" spans="2:24" hidden="1" x14ac:dyDescent="0.25">
      <c r="B670" t="s">
        <v>177</v>
      </c>
      <c r="C670">
        <v>23654</v>
      </c>
      <c r="D670">
        <v>243.99</v>
      </c>
      <c r="E670" t="s">
        <v>26</v>
      </c>
      <c r="F670" t="s">
        <v>27</v>
      </c>
      <c r="G670" t="s">
        <v>130</v>
      </c>
      <c r="H670" s="5"/>
      <c r="J670" t="s">
        <v>29</v>
      </c>
      <c r="K670" t="s">
        <v>30</v>
      </c>
      <c r="L670" t="s">
        <v>31</v>
      </c>
      <c r="O670">
        <f t="shared" si="3"/>
        <v>23654</v>
      </c>
      <c r="W670" s="5"/>
      <c r="X670" s="5"/>
    </row>
    <row r="671" spans="2:24" hidden="1" x14ac:dyDescent="0.25">
      <c r="B671" t="s">
        <v>177</v>
      </c>
      <c r="C671">
        <v>19369</v>
      </c>
      <c r="D671">
        <v>2818.69</v>
      </c>
      <c r="E671" t="s">
        <v>26</v>
      </c>
      <c r="F671" t="s">
        <v>27</v>
      </c>
      <c r="G671" t="s">
        <v>130</v>
      </c>
      <c r="H671" s="5"/>
      <c r="J671" t="s">
        <v>29</v>
      </c>
      <c r="K671" t="s">
        <v>30</v>
      </c>
      <c r="L671" t="s">
        <v>31</v>
      </c>
      <c r="O671">
        <f t="shared" si="3"/>
        <v>19369</v>
      </c>
      <c r="W671" s="5"/>
      <c r="X671" s="5"/>
    </row>
    <row r="672" spans="2:24" hidden="1" x14ac:dyDescent="0.25">
      <c r="B672" t="s">
        <v>177</v>
      </c>
      <c r="C672">
        <v>23702</v>
      </c>
      <c r="D672">
        <v>123821.27</v>
      </c>
      <c r="E672" t="s">
        <v>26</v>
      </c>
      <c r="F672" t="s">
        <v>27</v>
      </c>
      <c r="G672" t="s">
        <v>130</v>
      </c>
      <c r="H672" s="5"/>
      <c r="J672" t="s">
        <v>29</v>
      </c>
      <c r="K672" t="s">
        <v>30</v>
      </c>
      <c r="L672" t="s">
        <v>31</v>
      </c>
      <c r="O672">
        <f t="shared" si="3"/>
        <v>23702</v>
      </c>
      <c r="W672" s="5"/>
      <c r="X672" s="5"/>
    </row>
    <row r="673" spans="2:24" hidden="1" x14ac:dyDescent="0.25">
      <c r="B673" t="s">
        <v>177</v>
      </c>
      <c r="C673">
        <v>23591</v>
      </c>
      <c r="D673">
        <v>1859.47</v>
      </c>
      <c r="E673" t="s">
        <v>26</v>
      </c>
      <c r="F673" t="s">
        <v>27</v>
      </c>
      <c r="G673" t="s">
        <v>130</v>
      </c>
      <c r="H673" s="5"/>
      <c r="J673" t="s">
        <v>29</v>
      </c>
      <c r="K673" t="s">
        <v>30</v>
      </c>
      <c r="L673" t="s">
        <v>31</v>
      </c>
      <c r="O673">
        <f t="shared" si="3"/>
        <v>23591</v>
      </c>
      <c r="W673" s="5"/>
      <c r="X673" s="5"/>
    </row>
    <row r="674" spans="2:24" hidden="1" x14ac:dyDescent="0.25">
      <c r="B674" t="s">
        <v>177</v>
      </c>
      <c r="C674">
        <v>23497</v>
      </c>
      <c r="D674">
        <v>22218.04</v>
      </c>
      <c r="E674" t="s">
        <v>26</v>
      </c>
      <c r="F674" t="s">
        <v>27</v>
      </c>
      <c r="G674" t="s">
        <v>130</v>
      </c>
      <c r="H674" s="5"/>
      <c r="J674" t="s">
        <v>29</v>
      </c>
      <c r="K674" t="s">
        <v>30</v>
      </c>
      <c r="L674" t="s">
        <v>31</v>
      </c>
      <c r="O674">
        <f t="shared" si="3"/>
        <v>23497</v>
      </c>
      <c r="V674" s="6"/>
      <c r="W674" s="5"/>
      <c r="X674" s="5"/>
    </row>
    <row r="675" spans="2:24" hidden="1" x14ac:dyDescent="0.25">
      <c r="B675" t="s">
        <v>177</v>
      </c>
      <c r="C675">
        <v>27144</v>
      </c>
      <c r="D675">
        <v>10080.68</v>
      </c>
      <c r="E675" t="s">
        <v>26</v>
      </c>
      <c r="F675" t="s">
        <v>27</v>
      </c>
      <c r="G675" t="s">
        <v>130</v>
      </c>
      <c r="H675" s="5"/>
      <c r="J675" t="s">
        <v>29</v>
      </c>
      <c r="K675" t="s">
        <v>30</v>
      </c>
      <c r="L675" t="s">
        <v>31</v>
      </c>
      <c r="O675">
        <f t="shared" si="3"/>
        <v>27144</v>
      </c>
      <c r="W675" s="5"/>
      <c r="X675" s="5"/>
    </row>
    <row r="676" spans="2:24" hidden="1" x14ac:dyDescent="0.25">
      <c r="B676" t="s">
        <v>177</v>
      </c>
      <c r="C676">
        <v>25681</v>
      </c>
      <c r="D676">
        <v>92666.64</v>
      </c>
      <c r="E676" t="s">
        <v>26</v>
      </c>
      <c r="F676" t="s">
        <v>27</v>
      </c>
      <c r="G676" t="s">
        <v>130</v>
      </c>
      <c r="H676" s="5"/>
      <c r="J676" t="s">
        <v>29</v>
      </c>
      <c r="K676" t="s">
        <v>30</v>
      </c>
      <c r="L676" t="s">
        <v>31</v>
      </c>
      <c r="O676">
        <f t="shared" si="3"/>
        <v>25681</v>
      </c>
      <c r="W676" s="5"/>
      <c r="X676" s="5"/>
    </row>
    <row r="677" spans="2:24" hidden="1" x14ac:dyDescent="0.25">
      <c r="B677" t="s">
        <v>175</v>
      </c>
      <c r="C677" t="s">
        <v>28</v>
      </c>
      <c r="D677">
        <v>-21085068.010000002</v>
      </c>
      <c r="E677" t="s">
        <v>26</v>
      </c>
      <c r="F677" t="s">
        <v>27</v>
      </c>
      <c r="G677" t="s">
        <v>130</v>
      </c>
      <c r="H677" s="5"/>
      <c r="J677" t="s">
        <v>29</v>
      </c>
      <c r="K677" t="s">
        <v>30</v>
      </c>
      <c r="L677" t="s">
        <v>31</v>
      </c>
      <c r="O677" t="str">
        <f t="shared" si="3"/>
        <v>NULL</v>
      </c>
      <c r="W677" s="5"/>
      <c r="X677" s="5"/>
    </row>
    <row r="678" spans="2:24" hidden="1" x14ac:dyDescent="0.25">
      <c r="B678" t="s">
        <v>177</v>
      </c>
      <c r="C678">
        <v>23499</v>
      </c>
      <c r="D678">
        <v>12628.31</v>
      </c>
      <c r="E678" t="s">
        <v>26</v>
      </c>
      <c r="F678" t="s">
        <v>27</v>
      </c>
      <c r="G678" t="s">
        <v>130</v>
      </c>
      <c r="H678" s="5"/>
      <c r="J678" t="s">
        <v>29</v>
      </c>
      <c r="K678" t="s">
        <v>30</v>
      </c>
      <c r="L678" t="s">
        <v>31</v>
      </c>
      <c r="O678">
        <f t="shared" si="3"/>
        <v>23499</v>
      </c>
      <c r="V678" s="6"/>
      <c r="W678" s="5"/>
      <c r="X678" s="5"/>
    </row>
    <row r="679" spans="2:24" hidden="1" x14ac:dyDescent="0.25">
      <c r="B679" t="s">
        <v>177</v>
      </c>
      <c r="C679">
        <v>23535</v>
      </c>
      <c r="D679">
        <v>345610.4</v>
      </c>
      <c r="E679" t="s">
        <v>26</v>
      </c>
      <c r="F679" t="s">
        <v>27</v>
      </c>
      <c r="G679" t="s">
        <v>130</v>
      </c>
      <c r="H679" s="5"/>
      <c r="J679" t="s">
        <v>29</v>
      </c>
      <c r="K679" t="s">
        <v>30</v>
      </c>
      <c r="L679" t="s">
        <v>31</v>
      </c>
      <c r="O679">
        <f t="shared" si="3"/>
        <v>23535</v>
      </c>
      <c r="W679" s="5"/>
      <c r="X679" s="5"/>
    </row>
    <row r="680" spans="2:24" x14ac:dyDescent="0.25">
      <c r="B680" t="s">
        <v>177</v>
      </c>
      <c r="C680">
        <v>26748</v>
      </c>
      <c r="D680">
        <v>51666.87</v>
      </c>
      <c r="E680" t="s">
        <v>26</v>
      </c>
      <c r="F680" t="s">
        <v>27</v>
      </c>
      <c r="G680" t="s">
        <v>130</v>
      </c>
      <c r="H680" s="5"/>
      <c r="J680" t="s">
        <v>29</v>
      </c>
      <c r="K680" t="s">
        <v>30</v>
      </c>
      <c r="L680" t="s">
        <v>31</v>
      </c>
      <c r="O680" t="e">
        <f t="shared" si="3"/>
        <v>#N/A</v>
      </c>
      <c r="W680" s="5"/>
      <c r="X680" s="5"/>
    </row>
    <row r="681" spans="2:24" hidden="1" x14ac:dyDescent="0.25">
      <c r="B681" t="s">
        <v>177</v>
      </c>
      <c r="C681">
        <v>23598</v>
      </c>
      <c r="D681">
        <v>2172.25</v>
      </c>
      <c r="E681" t="s">
        <v>26</v>
      </c>
      <c r="F681" t="s">
        <v>27</v>
      </c>
      <c r="G681" t="s">
        <v>130</v>
      </c>
      <c r="H681" s="5"/>
      <c r="J681" t="s">
        <v>29</v>
      </c>
      <c r="K681" t="s">
        <v>30</v>
      </c>
      <c r="L681" t="s">
        <v>31</v>
      </c>
      <c r="O681">
        <f t="shared" si="3"/>
        <v>23598</v>
      </c>
      <c r="W681" s="5"/>
      <c r="X681" s="5"/>
    </row>
    <row r="682" spans="2:24" hidden="1" x14ac:dyDescent="0.25">
      <c r="B682" t="s">
        <v>177</v>
      </c>
      <c r="C682">
        <v>26536</v>
      </c>
      <c r="D682">
        <v>102071.41</v>
      </c>
      <c r="E682" t="s">
        <v>26</v>
      </c>
      <c r="F682" t="s">
        <v>27</v>
      </c>
      <c r="G682" t="s">
        <v>130</v>
      </c>
      <c r="H682" s="5"/>
      <c r="J682" t="s">
        <v>29</v>
      </c>
      <c r="K682" t="s">
        <v>30</v>
      </c>
      <c r="L682" t="s">
        <v>31</v>
      </c>
      <c r="O682">
        <f t="shared" si="3"/>
        <v>26536</v>
      </c>
      <c r="W682" s="5"/>
      <c r="X682" s="5"/>
    </row>
    <row r="683" spans="2:24" hidden="1" x14ac:dyDescent="0.25">
      <c r="B683" t="s">
        <v>177</v>
      </c>
      <c r="C683">
        <v>23614</v>
      </c>
      <c r="D683">
        <v>2050.8000000000002</v>
      </c>
      <c r="E683" t="s">
        <v>26</v>
      </c>
      <c r="F683" t="s">
        <v>27</v>
      </c>
      <c r="G683" t="s">
        <v>130</v>
      </c>
      <c r="H683" s="5"/>
      <c r="J683" t="s">
        <v>29</v>
      </c>
      <c r="K683" t="s">
        <v>30</v>
      </c>
      <c r="L683" t="s">
        <v>31</v>
      </c>
      <c r="O683">
        <f t="shared" si="3"/>
        <v>23614</v>
      </c>
      <c r="W683" s="5"/>
      <c r="X683" s="5"/>
    </row>
    <row r="684" spans="2:24" hidden="1" x14ac:dyDescent="0.25">
      <c r="B684" t="s">
        <v>177</v>
      </c>
      <c r="C684">
        <v>23917</v>
      </c>
      <c r="D684">
        <v>262576.89</v>
      </c>
      <c r="E684" t="s">
        <v>26</v>
      </c>
      <c r="F684" t="s">
        <v>27</v>
      </c>
      <c r="G684" t="s">
        <v>130</v>
      </c>
      <c r="H684" s="5"/>
      <c r="J684" t="s">
        <v>29</v>
      </c>
      <c r="K684" t="s">
        <v>30</v>
      </c>
      <c r="L684" t="s">
        <v>31</v>
      </c>
      <c r="O684">
        <f t="shared" si="3"/>
        <v>23917</v>
      </c>
      <c r="W684" s="5"/>
      <c r="X684" s="5"/>
    </row>
    <row r="685" spans="2:24" hidden="1" x14ac:dyDescent="0.25">
      <c r="B685" t="s">
        <v>177</v>
      </c>
      <c r="C685">
        <v>23629</v>
      </c>
      <c r="D685">
        <v>119.31</v>
      </c>
      <c r="E685" t="s">
        <v>26</v>
      </c>
      <c r="F685" t="s">
        <v>27</v>
      </c>
      <c r="G685" t="s">
        <v>130</v>
      </c>
      <c r="H685" s="5"/>
      <c r="J685" t="s">
        <v>29</v>
      </c>
      <c r="K685" t="s">
        <v>30</v>
      </c>
      <c r="L685" t="s">
        <v>31</v>
      </c>
      <c r="O685">
        <f t="shared" si="3"/>
        <v>23629</v>
      </c>
      <c r="W685" s="5"/>
      <c r="X685" s="5"/>
    </row>
    <row r="686" spans="2:24" hidden="1" x14ac:dyDescent="0.25">
      <c r="B686" t="s">
        <v>177</v>
      </c>
      <c r="C686">
        <v>9002101516</v>
      </c>
      <c r="D686">
        <v>87884</v>
      </c>
      <c r="E686" t="s">
        <v>26</v>
      </c>
      <c r="F686" t="s">
        <v>27</v>
      </c>
      <c r="G686" t="s">
        <v>130</v>
      </c>
      <c r="H686" s="5"/>
      <c r="J686" t="s">
        <v>29</v>
      </c>
      <c r="K686" t="s">
        <v>30</v>
      </c>
      <c r="L686" t="s">
        <v>31</v>
      </c>
      <c r="O686">
        <f t="shared" si="3"/>
        <v>9002101516</v>
      </c>
      <c r="W686" s="5"/>
      <c r="X686" s="5"/>
    </row>
    <row r="687" spans="2:24" hidden="1" x14ac:dyDescent="0.25">
      <c r="B687" t="s">
        <v>177</v>
      </c>
      <c r="C687">
        <v>27026</v>
      </c>
      <c r="D687">
        <v>72118.84</v>
      </c>
      <c r="E687" t="s">
        <v>26</v>
      </c>
      <c r="F687" t="s">
        <v>27</v>
      </c>
      <c r="G687" t="s">
        <v>130</v>
      </c>
      <c r="H687" s="5"/>
      <c r="J687" t="s">
        <v>29</v>
      </c>
      <c r="K687" t="s">
        <v>30</v>
      </c>
      <c r="L687" t="s">
        <v>31</v>
      </c>
      <c r="O687">
        <f t="shared" si="3"/>
        <v>27026</v>
      </c>
      <c r="W687" s="5"/>
      <c r="X687" s="5"/>
    </row>
    <row r="688" spans="2:24" hidden="1" x14ac:dyDescent="0.25">
      <c r="B688" t="s">
        <v>177</v>
      </c>
      <c r="C688">
        <v>23548</v>
      </c>
      <c r="D688">
        <v>9145.82</v>
      </c>
      <c r="E688" t="s">
        <v>26</v>
      </c>
      <c r="F688" t="s">
        <v>27</v>
      </c>
      <c r="G688" t="s">
        <v>130</v>
      </c>
      <c r="H688" s="5"/>
      <c r="J688" t="s">
        <v>29</v>
      </c>
      <c r="K688" t="s">
        <v>30</v>
      </c>
      <c r="L688" t="s">
        <v>31</v>
      </c>
      <c r="O688">
        <f t="shared" si="3"/>
        <v>23548</v>
      </c>
      <c r="W688" s="5"/>
      <c r="X688" s="5"/>
    </row>
    <row r="689" spans="2:24" x14ac:dyDescent="0.25">
      <c r="B689" t="s">
        <v>177</v>
      </c>
      <c r="C689">
        <v>24375</v>
      </c>
      <c r="D689">
        <v>9118</v>
      </c>
      <c r="E689" t="s">
        <v>26</v>
      </c>
      <c r="F689" t="s">
        <v>27</v>
      </c>
      <c r="G689" t="s">
        <v>130</v>
      </c>
      <c r="H689" s="5"/>
      <c r="J689" t="s">
        <v>29</v>
      </c>
      <c r="K689" t="s">
        <v>30</v>
      </c>
      <c r="L689" t="s">
        <v>31</v>
      </c>
      <c r="O689" t="e">
        <f t="shared" ref="O689:O752" si="4">VLOOKUP(C689,$Q$18:$Q$421,1,FALSE)</f>
        <v>#N/A</v>
      </c>
      <c r="W689" s="5"/>
      <c r="X689" s="5"/>
    </row>
    <row r="690" spans="2:24" hidden="1" x14ac:dyDescent="0.25">
      <c r="B690" t="s">
        <v>177</v>
      </c>
      <c r="C690">
        <v>23518</v>
      </c>
      <c r="D690">
        <v>111404.84</v>
      </c>
      <c r="E690" t="s">
        <v>26</v>
      </c>
      <c r="F690" t="s">
        <v>27</v>
      </c>
      <c r="G690" t="s">
        <v>130</v>
      </c>
      <c r="H690" s="5"/>
      <c r="J690" t="s">
        <v>29</v>
      </c>
      <c r="K690" t="s">
        <v>30</v>
      </c>
      <c r="L690" t="s">
        <v>31</v>
      </c>
      <c r="O690">
        <f t="shared" si="4"/>
        <v>23518</v>
      </c>
      <c r="W690" s="5"/>
      <c r="X690" s="5"/>
    </row>
    <row r="691" spans="2:24" hidden="1" x14ac:dyDescent="0.25">
      <c r="B691" t="s">
        <v>177</v>
      </c>
      <c r="C691">
        <v>23516</v>
      </c>
      <c r="D691">
        <v>112516.79</v>
      </c>
      <c r="E691" t="s">
        <v>26</v>
      </c>
      <c r="F691" t="s">
        <v>27</v>
      </c>
      <c r="G691" t="s">
        <v>130</v>
      </c>
      <c r="H691" s="5"/>
      <c r="J691" t="s">
        <v>29</v>
      </c>
      <c r="K691" t="s">
        <v>30</v>
      </c>
      <c r="L691" t="s">
        <v>31</v>
      </c>
      <c r="O691">
        <f t="shared" si="4"/>
        <v>23516</v>
      </c>
      <c r="W691" s="5"/>
      <c r="X691" s="5"/>
    </row>
    <row r="692" spans="2:24" hidden="1" x14ac:dyDescent="0.25">
      <c r="B692" t="s">
        <v>177</v>
      </c>
      <c r="C692">
        <v>23513</v>
      </c>
      <c r="D692">
        <v>94109.61</v>
      </c>
      <c r="E692" t="s">
        <v>26</v>
      </c>
      <c r="F692" t="s">
        <v>27</v>
      </c>
      <c r="G692" t="s">
        <v>130</v>
      </c>
      <c r="H692" s="5"/>
      <c r="J692" t="s">
        <v>29</v>
      </c>
      <c r="K692" t="s">
        <v>30</v>
      </c>
      <c r="L692" t="s">
        <v>31</v>
      </c>
      <c r="O692">
        <f t="shared" si="4"/>
        <v>23513</v>
      </c>
      <c r="W692" s="5"/>
      <c r="X692" s="5"/>
    </row>
    <row r="693" spans="2:24" hidden="1" x14ac:dyDescent="0.25">
      <c r="B693" t="s">
        <v>177</v>
      </c>
      <c r="C693">
        <v>23504</v>
      </c>
      <c r="D693">
        <v>22749.01</v>
      </c>
      <c r="E693" t="s">
        <v>26</v>
      </c>
      <c r="F693" t="s">
        <v>27</v>
      </c>
      <c r="G693" t="s">
        <v>130</v>
      </c>
      <c r="H693" s="5"/>
      <c r="J693" t="s">
        <v>29</v>
      </c>
      <c r="K693" t="s">
        <v>30</v>
      </c>
      <c r="L693" t="s">
        <v>31</v>
      </c>
      <c r="O693">
        <f t="shared" si="4"/>
        <v>23504</v>
      </c>
      <c r="W693" s="5"/>
      <c r="X693" s="5"/>
    </row>
    <row r="694" spans="2:24" x14ac:dyDescent="0.25">
      <c r="B694" t="s">
        <v>177</v>
      </c>
      <c r="C694">
        <v>24339</v>
      </c>
      <c r="D694">
        <v>9112.74</v>
      </c>
      <c r="E694" t="s">
        <v>26</v>
      </c>
      <c r="F694" t="s">
        <v>27</v>
      </c>
      <c r="G694" t="s">
        <v>130</v>
      </c>
      <c r="H694" s="5"/>
      <c r="J694" t="s">
        <v>29</v>
      </c>
      <c r="K694" t="s">
        <v>30</v>
      </c>
      <c r="L694" t="s">
        <v>31</v>
      </c>
      <c r="O694" t="e">
        <f t="shared" si="4"/>
        <v>#N/A</v>
      </c>
      <c r="W694" s="5"/>
      <c r="X694" s="5"/>
    </row>
    <row r="695" spans="2:24" hidden="1" x14ac:dyDescent="0.25">
      <c r="B695" t="s">
        <v>177</v>
      </c>
      <c r="C695">
        <v>23596</v>
      </c>
      <c r="D695">
        <v>2172.25</v>
      </c>
      <c r="E695" t="s">
        <v>26</v>
      </c>
      <c r="F695" t="s">
        <v>27</v>
      </c>
      <c r="G695" t="s">
        <v>130</v>
      </c>
      <c r="H695" s="5"/>
      <c r="J695" t="s">
        <v>29</v>
      </c>
      <c r="K695" t="s">
        <v>30</v>
      </c>
      <c r="L695" t="s">
        <v>31</v>
      </c>
      <c r="O695">
        <f t="shared" si="4"/>
        <v>23596</v>
      </c>
      <c r="W695" s="5"/>
      <c r="X695" s="5"/>
    </row>
    <row r="696" spans="2:24" hidden="1" x14ac:dyDescent="0.25">
      <c r="B696" t="s">
        <v>177</v>
      </c>
      <c r="C696">
        <v>949</v>
      </c>
      <c r="D696">
        <v>1023.57</v>
      </c>
      <c r="E696" t="s">
        <v>26</v>
      </c>
      <c r="F696" t="s">
        <v>27</v>
      </c>
      <c r="G696" t="s">
        <v>130</v>
      </c>
      <c r="H696" s="5"/>
      <c r="J696" t="s">
        <v>29</v>
      </c>
      <c r="K696" t="s">
        <v>30</v>
      </c>
      <c r="L696" t="s">
        <v>31</v>
      </c>
      <c r="O696">
        <f t="shared" si="4"/>
        <v>949</v>
      </c>
      <c r="W696" s="5"/>
      <c r="X696" s="5"/>
    </row>
    <row r="697" spans="2:24" hidden="1" x14ac:dyDescent="0.25">
      <c r="B697" t="s">
        <v>177</v>
      </c>
      <c r="C697">
        <v>25686</v>
      </c>
      <c r="D697">
        <v>572503.82999999996</v>
      </c>
      <c r="E697" t="s">
        <v>26</v>
      </c>
      <c r="F697" t="s">
        <v>27</v>
      </c>
      <c r="G697" t="s">
        <v>130</v>
      </c>
      <c r="H697" s="5"/>
      <c r="J697" t="s">
        <v>29</v>
      </c>
      <c r="K697" t="s">
        <v>30</v>
      </c>
      <c r="L697" t="s">
        <v>31</v>
      </c>
      <c r="O697">
        <f t="shared" si="4"/>
        <v>25686</v>
      </c>
      <c r="W697" s="5"/>
      <c r="X697" s="5"/>
    </row>
    <row r="698" spans="2:24" x14ac:dyDescent="0.25">
      <c r="B698" t="s">
        <v>177</v>
      </c>
      <c r="C698">
        <v>69617171</v>
      </c>
      <c r="D698">
        <v>164774.94</v>
      </c>
      <c r="E698" t="s">
        <v>26</v>
      </c>
      <c r="F698" t="s">
        <v>27</v>
      </c>
      <c r="G698" t="s">
        <v>130</v>
      </c>
      <c r="H698" s="5"/>
      <c r="J698" t="s">
        <v>29</v>
      </c>
      <c r="K698" t="s">
        <v>30</v>
      </c>
      <c r="L698" t="s">
        <v>31</v>
      </c>
      <c r="O698" t="e">
        <f t="shared" si="4"/>
        <v>#N/A</v>
      </c>
      <c r="W698" s="5"/>
      <c r="X698" s="5"/>
    </row>
    <row r="699" spans="2:24" hidden="1" x14ac:dyDescent="0.25">
      <c r="B699" t="s">
        <v>177</v>
      </c>
      <c r="C699">
        <v>24166</v>
      </c>
      <c r="D699">
        <v>389003.7</v>
      </c>
      <c r="E699" t="s">
        <v>26</v>
      </c>
      <c r="F699" t="s">
        <v>27</v>
      </c>
      <c r="G699" t="s">
        <v>130</v>
      </c>
      <c r="H699" s="5"/>
      <c r="J699" t="s">
        <v>29</v>
      </c>
      <c r="K699" t="s">
        <v>30</v>
      </c>
      <c r="L699" t="s">
        <v>31</v>
      </c>
      <c r="O699">
        <f t="shared" si="4"/>
        <v>24166</v>
      </c>
      <c r="W699" s="5"/>
      <c r="X699" s="5"/>
    </row>
    <row r="700" spans="2:24" hidden="1" x14ac:dyDescent="0.25">
      <c r="B700" t="s">
        <v>177</v>
      </c>
      <c r="C700">
        <v>23525</v>
      </c>
      <c r="D700">
        <v>21232.41</v>
      </c>
      <c r="E700" t="s">
        <v>26</v>
      </c>
      <c r="F700" t="s">
        <v>27</v>
      </c>
      <c r="G700" t="s">
        <v>130</v>
      </c>
      <c r="H700" s="5"/>
      <c r="J700" t="s">
        <v>29</v>
      </c>
      <c r="K700" t="s">
        <v>30</v>
      </c>
      <c r="L700" t="s">
        <v>31</v>
      </c>
      <c r="O700">
        <f t="shared" si="4"/>
        <v>23525</v>
      </c>
      <c r="W700" s="5"/>
      <c r="X700" s="5"/>
    </row>
    <row r="701" spans="2:24" hidden="1" x14ac:dyDescent="0.25">
      <c r="B701" t="s">
        <v>177</v>
      </c>
      <c r="C701">
        <v>8000237888</v>
      </c>
      <c r="D701">
        <v>29640.62</v>
      </c>
      <c r="E701" t="s">
        <v>26</v>
      </c>
      <c r="F701" t="s">
        <v>27</v>
      </c>
      <c r="G701" t="s">
        <v>130</v>
      </c>
      <c r="H701" s="5"/>
      <c r="J701" t="s">
        <v>29</v>
      </c>
      <c r="K701" t="s">
        <v>30</v>
      </c>
      <c r="L701" t="s">
        <v>31</v>
      </c>
      <c r="O701">
        <f t="shared" si="4"/>
        <v>8000237888</v>
      </c>
      <c r="W701" s="5"/>
      <c r="X701" s="5"/>
    </row>
    <row r="702" spans="2:24" hidden="1" x14ac:dyDescent="0.25">
      <c r="B702" t="s">
        <v>177</v>
      </c>
      <c r="C702">
        <v>23606</v>
      </c>
      <c r="D702">
        <v>1828.3</v>
      </c>
      <c r="E702" t="s">
        <v>26</v>
      </c>
      <c r="F702" t="s">
        <v>27</v>
      </c>
      <c r="G702" t="s">
        <v>130</v>
      </c>
      <c r="H702" s="5"/>
      <c r="J702" t="s">
        <v>29</v>
      </c>
      <c r="K702" t="s">
        <v>30</v>
      </c>
      <c r="L702" t="s">
        <v>31</v>
      </c>
      <c r="O702">
        <f t="shared" si="4"/>
        <v>23606</v>
      </c>
      <c r="W702" s="5"/>
      <c r="X702" s="5"/>
    </row>
    <row r="703" spans="2:24" hidden="1" x14ac:dyDescent="0.25">
      <c r="B703" t="s">
        <v>177</v>
      </c>
      <c r="C703">
        <v>23656</v>
      </c>
      <c r="D703">
        <v>59761.15</v>
      </c>
      <c r="E703" t="s">
        <v>26</v>
      </c>
      <c r="F703" t="s">
        <v>27</v>
      </c>
      <c r="G703" t="s">
        <v>130</v>
      </c>
      <c r="H703" s="5"/>
      <c r="J703" t="s">
        <v>29</v>
      </c>
      <c r="K703" t="s">
        <v>30</v>
      </c>
      <c r="L703" t="s">
        <v>31</v>
      </c>
      <c r="O703">
        <f t="shared" si="4"/>
        <v>23656</v>
      </c>
      <c r="W703" s="5"/>
      <c r="X703" s="5"/>
    </row>
    <row r="704" spans="2:24" hidden="1" x14ac:dyDescent="0.25">
      <c r="B704" t="s">
        <v>177</v>
      </c>
      <c r="C704">
        <v>27146</v>
      </c>
      <c r="D704">
        <v>33150</v>
      </c>
      <c r="E704" t="s">
        <v>26</v>
      </c>
      <c r="F704" t="s">
        <v>27</v>
      </c>
      <c r="G704" t="s">
        <v>130</v>
      </c>
      <c r="H704" s="5"/>
      <c r="J704" t="s">
        <v>29</v>
      </c>
      <c r="K704" t="s">
        <v>30</v>
      </c>
      <c r="L704" t="s">
        <v>31</v>
      </c>
      <c r="O704">
        <f t="shared" si="4"/>
        <v>27146</v>
      </c>
      <c r="W704" s="5"/>
      <c r="X704" s="5"/>
    </row>
    <row r="705" spans="2:24" hidden="1" x14ac:dyDescent="0.25">
      <c r="B705" t="s">
        <v>177</v>
      </c>
      <c r="C705">
        <v>23618</v>
      </c>
      <c r="D705">
        <v>580.41</v>
      </c>
      <c r="E705" t="s">
        <v>26</v>
      </c>
      <c r="F705" t="s">
        <v>27</v>
      </c>
      <c r="G705" t="s">
        <v>130</v>
      </c>
      <c r="H705" s="5"/>
      <c r="J705" t="s">
        <v>29</v>
      </c>
      <c r="K705" t="s">
        <v>30</v>
      </c>
      <c r="L705" t="s">
        <v>31</v>
      </c>
      <c r="O705">
        <f t="shared" si="4"/>
        <v>23618</v>
      </c>
      <c r="W705" s="5"/>
      <c r="X705" s="5"/>
    </row>
    <row r="706" spans="2:24" hidden="1" x14ac:dyDescent="0.25">
      <c r="B706" t="s">
        <v>177</v>
      </c>
      <c r="C706">
        <v>26800</v>
      </c>
      <c r="D706">
        <v>76226.98</v>
      </c>
      <c r="E706" t="s">
        <v>26</v>
      </c>
      <c r="F706" t="s">
        <v>27</v>
      </c>
      <c r="G706" t="s">
        <v>130</v>
      </c>
      <c r="H706" s="5"/>
      <c r="J706" t="s">
        <v>29</v>
      </c>
      <c r="K706" t="s">
        <v>30</v>
      </c>
      <c r="L706" t="s">
        <v>31</v>
      </c>
      <c r="O706">
        <f t="shared" si="4"/>
        <v>26800</v>
      </c>
      <c r="W706" s="5"/>
      <c r="X706" s="5"/>
    </row>
    <row r="707" spans="2:24" hidden="1" x14ac:dyDescent="0.25">
      <c r="B707" t="s">
        <v>177</v>
      </c>
      <c r="C707">
        <v>23492</v>
      </c>
      <c r="D707">
        <v>13021.7</v>
      </c>
      <c r="E707" t="s">
        <v>26</v>
      </c>
      <c r="F707" t="s">
        <v>27</v>
      </c>
      <c r="G707" t="s">
        <v>130</v>
      </c>
      <c r="H707" s="5"/>
      <c r="J707" t="s">
        <v>29</v>
      </c>
      <c r="K707" t="s">
        <v>30</v>
      </c>
      <c r="L707" t="s">
        <v>31</v>
      </c>
      <c r="O707">
        <f t="shared" si="4"/>
        <v>23492</v>
      </c>
      <c r="W707" s="5"/>
      <c r="X707" s="5"/>
    </row>
    <row r="708" spans="2:24" hidden="1" x14ac:dyDescent="0.25">
      <c r="B708" t="s">
        <v>177</v>
      </c>
      <c r="C708">
        <v>27141</v>
      </c>
      <c r="D708">
        <v>71700</v>
      </c>
      <c r="E708" t="s">
        <v>26</v>
      </c>
      <c r="F708" t="s">
        <v>27</v>
      </c>
      <c r="G708" t="s">
        <v>130</v>
      </c>
      <c r="H708" s="5"/>
      <c r="J708" t="s">
        <v>29</v>
      </c>
      <c r="K708" t="s">
        <v>30</v>
      </c>
      <c r="L708" t="s">
        <v>31</v>
      </c>
      <c r="O708">
        <f t="shared" si="4"/>
        <v>27141</v>
      </c>
      <c r="W708" s="5"/>
      <c r="X708" s="5"/>
    </row>
    <row r="709" spans="2:24" hidden="1" x14ac:dyDescent="0.25">
      <c r="B709" t="s">
        <v>177</v>
      </c>
      <c r="C709">
        <v>19502</v>
      </c>
      <c r="D709">
        <v>16330.68</v>
      </c>
      <c r="E709" t="s">
        <v>26</v>
      </c>
      <c r="F709" t="s">
        <v>27</v>
      </c>
      <c r="G709" t="s">
        <v>130</v>
      </c>
      <c r="H709" s="5"/>
      <c r="J709" t="s">
        <v>29</v>
      </c>
      <c r="K709" t="s">
        <v>30</v>
      </c>
      <c r="L709" t="s">
        <v>31</v>
      </c>
      <c r="O709">
        <f t="shared" si="4"/>
        <v>19502</v>
      </c>
      <c r="W709" s="5"/>
      <c r="X709" s="5"/>
    </row>
    <row r="710" spans="2:24" x14ac:dyDescent="0.25">
      <c r="B710" t="s">
        <v>177</v>
      </c>
      <c r="C710">
        <v>27108</v>
      </c>
      <c r="D710">
        <v>428600</v>
      </c>
      <c r="E710" t="s">
        <v>26</v>
      </c>
      <c r="F710" t="s">
        <v>27</v>
      </c>
      <c r="G710" t="s">
        <v>130</v>
      </c>
      <c r="H710" s="5"/>
      <c r="J710" t="s">
        <v>29</v>
      </c>
      <c r="K710" t="s">
        <v>30</v>
      </c>
      <c r="L710" t="s">
        <v>31</v>
      </c>
      <c r="O710" t="e">
        <f t="shared" si="4"/>
        <v>#N/A</v>
      </c>
      <c r="W710" s="5"/>
      <c r="X710" s="5"/>
    </row>
    <row r="711" spans="2:24" hidden="1" x14ac:dyDescent="0.25">
      <c r="B711" t="s">
        <v>177</v>
      </c>
      <c r="C711">
        <v>23651</v>
      </c>
      <c r="D711">
        <v>117.16</v>
      </c>
      <c r="E711" t="s">
        <v>26</v>
      </c>
      <c r="F711" t="s">
        <v>27</v>
      </c>
      <c r="G711" t="s">
        <v>130</v>
      </c>
      <c r="H711" s="5"/>
      <c r="J711" t="s">
        <v>29</v>
      </c>
      <c r="K711" t="s">
        <v>30</v>
      </c>
      <c r="L711" t="s">
        <v>31</v>
      </c>
      <c r="O711">
        <f t="shared" si="4"/>
        <v>23651</v>
      </c>
      <c r="W711" s="5"/>
      <c r="X711" s="5"/>
    </row>
    <row r="712" spans="2:24" hidden="1" x14ac:dyDescent="0.25">
      <c r="B712" t="s">
        <v>177</v>
      </c>
      <c r="C712">
        <v>23583</v>
      </c>
      <c r="D712">
        <v>2171.1799999999998</v>
      </c>
      <c r="E712" t="s">
        <v>26</v>
      </c>
      <c r="F712" t="s">
        <v>27</v>
      </c>
      <c r="G712" t="s">
        <v>130</v>
      </c>
      <c r="H712" s="5"/>
      <c r="J712" t="s">
        <v>29</v>
      </c>
      <c r="K712" t="s">
        <v>30</v>
      </c>
      <c r="L712" t="s">
        <v>31</v>
      </c>
      <c r="O712">
        <f t="shared" si="4"/>
        <v>23583</v>
      </c>
      <c r="W712" s="5"/>
      <c r="X712" s="5"/>
    </row>
    <row r="713" spans="2:24" hidden="1" x14ac:dyDescent="0.25">
      <c r="B713" t="s">
        <v>177</v>
      </c>
      <c r="C713">
        <v>23579</v>
      </c>
      <c r="D713">
        <v>4276.79</v>
      </c>
      <c r="E713" t="s">
        <v>26</v>
      </c>
      <c r="F713" t="s">
        <v>27</v>
      </c>
      <c r="G713" t="s">
        <v>130</v>
      </c>
      <c r="H713" s="5"/>
      <c r="J713" t="s">
        <v>29</v>
      </c>
      <c r="K713" t="s">
        <v>30</v>
      </c>
      <c r="L713" t="s">
        <v>31</v>
      </c>
      <c r="O713">
        <f t="shared" si="4"/>
        <v>23579</v>
      </c>
      <c r="W713" s="5"/>
      <c r="X713" s="5"/>
    </row>
    <row r="714" spans="2:24" hidden="1" x14ac:dyDescent="0.25">
      <c r="B714" t="s">
        <v>177</v>
      </c>
      <c r="C714">
        <v>25693</v>
      </c>
      <c r="D714">
        <v>273442.05</v>
      </c>
      <c r="E714" t="s">
        <v>26</v>
      </c>
      <c r="F714" t="s">
        <v>27</v>
      </c>
      <c r="G714" t="s">
        <v>130</v>
      </c>
      <c r="H714" s="5"/>
      <c r="J714" t="s">
        <v>29</v>
      </c>
      <c r="K714" t="s">
        <v>30</v>
      </c>
      <c r="L714" t="s">
        <v>31</v>
      </c>
      <c r="O714">
        <f t="shared" si="4"/>
        <v>25693</v>
      </c>
      <c r="W714" s="5"/>
      <c r="X714" s="5"/>
    </row>
    <row r="715" spans="2:24" hidden="1" x14ac:dyDescent="0.25">
      <c r="B715" t="s">
        <v>177</v>
      </c>
      <c r="C715">
        <v>26401</v>
      </c>
      <c r="D715">
        <v>65515.5</v>
      </c>
      <c r="E715" t="s">
        <v>26</v>
      </c>
      <c r="F715" t="s">
        <v>27</v>
      </c>
      <c r="G715" t="s">
        <v>130</v>
      </c>
      <c r="H715" s="5"/>
      <c r="J715" t="s">
        <v>29</v>
      </c>
      <c r="K715" t="s">
        <v>30</v>
      </c>
      <c r="L715" t="s">
        <v>31</v>
      </c>
      <c r="O715">
        <f t="shared" si="4"/>
        <v>26401</v>
      </c>
      <c r="W715" s="5"/>
      <c r="X715" s="5"/>
    </row>
    <row r="716" spans="2:24" hidden="1" x14ac:dyDescent="0.25">
      <c r="B716" t="s">
        <v>177</v>
      </c>
      <c r="C716">
        <v>23625</v>
      </c>
      <c r="D716">
        <v>524.52</v>
      </c>
      <c r="E716" t="s">
        <v>26</v>
      </c>
      <c r="F716" t="s">
        <v>27</v>
      </c>
      <c r="G716" t="s">
        <v>130</v>
      </c>
      <c r="H716" s="5"/>
      <c r="J716" t="s">
        <v>29</v>
      </c>
      <c r="K716" t="s">
        <v>30</v>
      </c>
      <c r="L716" t="s">
        <v>31</v>
      </c>
      <c r="O716">
        <f t="shared" si="4"/>
        <v>23625</v>
      </c>
      <c r="W716" s="5"/>
      <c r="X716" s="5"/>
    </row>
    <row r="717" spans="2:24" hidden="1" x14ac:dyDescent="0.25">
      <c r="B717" t="s">
        <v>177</v>
      </c>
      <c r="C717">
        <v>2100094299</v>
      </c>
      <c r="D717">
        <v>57711.58</v>
      </c>
      <c r="E717" t="s">
        <v>26</v>
      </c>
      <c r="F717" t="s">
        <v>27</v>
      </c>
      <c r="G717" t="s">
        <v>130</v>
      </c>
      <c r="H717" s="5"/>
      <c r="J717" t="s">
        <v>29</v>
      </c>
      <c r="K717" t="s">
        <v>30</v>
      </c>
      <c r="L717" t="s">
        <v>31</v>
      </c>
      <c r="O717">
        <f t="shared" si="4"/>
        <v>2100094299</v>
      </c>
      <c r="V717" s="6"/>
      <c r="W717" s="5"/>
      <c r="X717" s="5"/>
    </row>
    <row r="718" spans="2:24" hidden="1" x14ac:dyDescent="0.25">
      <c r="B718" t="s">
        <v>177</v>
      </c>
      <c r="C718">
        <v>25588</v>
      </c>
      <c r="D718">
        <v>52572.639999999999</v>
      </c>
      <c r="E718" t="s">
        <v>26</v>
      </c>
      <c r="F718" t="s">
        <v>27</v>
      </c>
      <c r="G718" t="s">
        <v>130</v>
      </c>
      <c r="H718" s="5"/>
      <c r="J718" t="s">
        <v>29</v>
      </c>
      <c r="K718" t="s">
        <v>30</v>
      </c>
      <c r="L718" t="s">
        <v>31</v>
      </c>
      <c r="O718">
        <f t="shared" si="4"/>
        <v>25588</v>
      </c>
      <c r="W718" s="5"/>
      <c r="X718" s="5"/>
    </row>
    <row r="719" spans="2:24" hidden="1" x14ac:dyDescent="0.25">
      <c r="B719" t="s">
        <v>177</v>
      </c>
      <c r="C719">
        <v>9000507854</v>
      </c>
      <c r="D719">
        <v>45239.56</v>
      </c>
      <c r="E719" t="s">
        <v>26</v>
      </c>
      <c r="F719" t="s">
        <v>27</v>
      </c>
      <c r="G719" t="s">
        <v>130</v>
      </c>
      <c r="H719" s="5"/>
      <c r="J719" t="s">
        <v>29</v>
      </c>
      <c r="K719" t="s">
        <v>30</v>
      </c>
      <c r="L719" t="s">
        <v>31</v>
      </c>
      <c r="O719">
        <f t="shared" si="4"/>
        <v>9000507854</v>
      </c>
      <c r="W719" s="5"/>
      <c r="X719" s="5"/>
    </row>
    <row r="720" spans="2:24" hidden="1" x14ac:dyDescent="0.25">
      <c r="B720" t="s">
        <v>177</v>
      </c>
      <c r="C720">
        <v>23531</v>
      </c>
      <c r="D720">
        <v>17273.77</v>
      </c>
      <c r="E720" t="s">
        <v>26</v>
      </c>
      <c r="F720" t="s">
        <v>27</v>
      </c>
      <c r="G720" t="s">
        <v>130</v>
      </c>
      <c r="H720" s="5"/>
      <c r="J720" t="s">
        <v>29</v>
      </c>
      <c r="K720" t="s">
        <v>30</v>
      </c>
      <c r="L720" t="s">
        <v>31</v>
      </c>
      <c r="O720">
        <f t="shared" si="4"/>
        <v>23531</v>
      </c>
      <c r="W720" s="5"/>
      <c r="X720" s="5"/>
    </row>
    <row r="721" spans="2:24" hidden="1" x14ac:dyDescent="0.25">
      <c r="B721" t="s">
        <v>177</v>
      </c>
      <c r="C721">
        <v>18477</v>
      </c>
      <c r="D721">
        <v>59600</v>
      </c>
      <c r="E721" t="s">
        <v>26</v>
      </c>
      <c r="F721" t="s">
        <v>27</v>
      </c>
      <c r="G721" t="s">
        <v>130</v>
      </c>
      <c r="H721" s="5"/>
      <c r="J721" t="s">
        <v>29</v>
      </c>
      <c r="K721" t="s">
        <v>30</v>
      </c>
      <c r="L721" t="s">
        <v>31</v>
      </c>
      <c r="O721">
        <f t="shared" si="4"/>
        <v>18477</v>
      </c>
      <c r="W721" s="5"/>
      <c r="X721" s="5"/>
    </row>
    <row r="722" spans="2:24" hidden="1" x14ac:dyDescent="0.25">
      <c r="B722" t="s">
        <v>177</v>
      </c>
      <c r="C722">
        <v>23493</v>
      </c>
      <c r="D722">
        <v>22218.04</v>
      </c>
      <c r="E722" t="s">
        <v>26</v>
      </c>
      <c r="F722" t="s">
        <v>27</v>
      </c>
      <c r="G722" t="s">
        <v>130</v>
      </c>
      <c r="H722" s="5"/>
      <c r="J722" t="s">
        <v>29</v>
      </c>
      <c r="K722" t="s">
        <v>30</v>
      </c>
      <c r="L722" t="s">
        <v>31</v>
      </c>
      <c r="O722">
        <f t="shared" si="4"/>
        <v>23493</v>
      </c>
      <c r="W722" s="5"/>
      <c r="X722" s="5"/>
    </row>
    <row r="723" spans="2:24" hidden="1" x14ac:dyDescent="0.25">
      <c r="B723" t="s">
        <v>177</v>
      </c>
      <c r="C723">
        <v>1010675</v>
      </c>
      <c r="D723">
        <v>39594</v>
      </c>
      <c r="E723" t="s">
        <v>26</v>
      </c>
      <c r="F723" t="s">
        <v>27</v>
      </c>
      <c r="G723" t="s">
        <v>130</v>
      </c>
      <c r="H723" s="5"/>
      <c r="J723" t="s">
        <v>29</v>
      </c>
      <c r="K723" t="s">
        <v>30</v>
      </c>
      <c r="L723" t="s">
        <v>31</v>
      </c>
      <c r="O723">
        <f t="shared" si="4"/>
        <v>1010675</v>
      </c>
      <c r="W723" s="5"/>
      <c r="X723" s="5"/>
    </row>
    <row r="724" spans="2:24" hidden="1" x14ac:dyDescent="0.25">
      <c r="B724" t="s">
        <v>177</v>
      </c>
      <c r="C724">
        <v>23600</v>
      </c>
      <c r="D724">
        <v>4276.79</v>
      </c>
      <c r="E724" t="s">
        <v>26</v>
      </c>
      <c r="F724" t="s">
        <v>27</v>
      </c>
      <c r="G724" t="s">
        <v>130</v>
      </c>
      <c r="H724" s="5"/>
      <c r="J724" t="s">
        <v>29</v>
      </c>
      <c r="K724" t="s">
        <v>30</v>
      </c>
      <c r="L724" t="s">
        <v>31</v>
      </c>
      <c r="O724">
        <f t="shared" si="4"/>
        <v>23600</v>
      </c>
      <c r="W724" s="5"/>
      <c r="X724" s="5"/>
    </row>
    <row r="725" spans="2:24" hidden="1" x14ac:dyDescent="0.25">
      <c r="B725" t="s">
        <v>177</v>
      </c>
      <c r="C725">
        <v>23484</v>
      </c>
      <c r="D725">
        <v>130292.66</v>
      </c>
      <c r="E725" t="s">
        <v>26</v>
      </c>
      <c r="F725" t="s">
        <v>27</v>
      </c>
      <c r="G725" t="s">
        <v>130</v>
      </c>
      <c r="H725" s="5"/>
      <c r="J725" t="s">
        <v>29</v>
      </c>
      <c r="K725" t="s">
        <v>30</v>
      </c>
      <c r="L725" t="s">
        <v>31</v>
      </c>
      <c r="O725">
        <f t="shared" si="4"/>
        <v>23484</v>
      </c>
      <c r="W725" s="5"/>
      <c r="X725" s="5"/>
    </row>
    <row r="726" spans="2:24" hidden="1" x14ac:dyDescent="0.25">
      <c r="B726" t="s">
        <v>177</v>
      </c>
      <c r="C726">
        <v>23578</v>
      </c>
      <c r="D726">
        <v>6415.73</v>
      </c>
      <c r="E726" t="s">
        <v>26</v>
      </c>
      <c r="F726" t="s">
        <v>27</v>
      </c>
      <c r="G726" t="s">
        <v>130</v>
      </c>
      <c r="H726" s="5"/>
      <c r="J726" t="s">
        <v>29</v>
      </c>
      <c r="K726" t="s">
        <v>30</v>
      </c>
      <c r="L726" t="s">
        <v>31</v>
      </c>
      <c r="O726">
        <f t="shared" si="4"/>
        <v>23578</v>
      </c>
      <c r="W726" s="5"/>
      <c r="X726" s="5"/>
    </row>
    <row r="727" spans="2:24" hidden="1" x14ac:dyDescent="0.25">
      <c r="B727" t="s">
        <v>177</v>
      </c>
      <c r="C727">
        <v>23552</v>
      </c>
      <c r="D727">
        <v>2074.44</v>
      </c>
      <c r="E727" t="s">
        <v>26</v>
      </c>
      <c r="F727" t="s">
        <v>27</v>
      </c>
      <c r="G727" t="s">
        <v>130</v>
      </c>
      <c r="H727" s="5"/>
      <c r="J727" t="s">
        <v>29</v>
      </c>
      <c r="K727" t="s">
        <v>30</v>
      </c>
      <c r="L727" t="s">
        <v>31</v>
      </c>
      <c r="O727">
        <f t="shared" si="4"/>
        <v>23552</v>
      </c>
      <c r="W727" s="5"/>
      <c r="X727" s="5"/>
    </row>
    <row r="728" spans="2:24" hidden="1" x14ac:dyDescent="0.25">
      <c r="B728" t="s">
        <v>177</v>
      </c>
      <c r="C728">
        <v>25703</v>
      </c>
      <c r="D728">
        <v>92399.98</v>
      </c>
      <c r="E728" t="s">
        <v>26</v>
      </c>
      <c r="F728" t="s">
        <v>27</v>
      </c>
      <c r="G728" t="s">
        <v>130</v>
      </c>
      <c r="H728" s="5"/>
      <c r="J728" t="s">
        <v>29</v>
      </c>
      <c r="K728" t="s">
        <v>30</v>
      </c>
      <c r="L728" t="s">
        <v>31</v>
      </c>
      <c r="O728">
        <f t="shared" si="4"/>
        <v>25703</v>
      </c>
      <c r="W728" s="5"/>
      <c r="X728" s="5"/>
    </row>
    <row r="729" spans="2:24" x14ac:dyDescent="0.25">
      <c r="B729" t="s">
        <v>177</v>
      </c>
      <c r="C729">
        <v>5100299061</v>
      </c>
      <c r="D729">
        <v>526570.41</v>
      </c>
      <c r="E729" t="s">
        <v>26</v>
      </c>
      <c r="F729" t="s">
        <v>27</v>
      </c>
      <c r="G729" t="s">
        <v>130</v>
      </c>
      <c r="H729" s="5"/>
      <c r="J729" t="s">
        <v>29</v>
      </c>
      <c r="K729" t="s">
        <v>30</v>
      </c>
      <c r="L729" t="s">
        <v>31</v>
      </c>
      <c r="O729" t="e">
        <f t="shared" si="4"/>
        <v>#N/A</v>
      </c>
      <c r="W729" s="5"/>
      <c r="X729" s="5"/>
    </row>
    <row r="730" spans="2:24" hidden="1" x14ac:dyDescent="0.25">
      <c r="B730" t="s">
        <v>177</v>
      </c>
      <c r="C730">
        <v>23633</v>
      </c>
      <c r="D730">
        <v>136.5</v>
      </c>
      <c r="E730" t="s">
        <v>26</v>
      </c>
      <c r="F730" t="s">
        <v>27</v>
      </c>
      <c r="G730" t="s">
        <v>130</v>
      </c>
      <c r="H730" s="5"/>
      <c r="J730" t="s">
        <v>29</v>
      </c>
      <c r="K730" t="s">
        <v>30</v>
      </c>
      <c r="L730" t="s">
        <v>31</v>
      </c>
      <c r="O730">
        <f t="shared" si="4"/>
        <v>23633</v>
      </c>
      <c r="W730" s="5"/>
      <c r="X730" s="5"/>
    </row>
    <row r="731" spans="2:24" hidden="1" x14ac:dyDescent="0.25">
      <c r="B731" t="s">
        <v>177</v>
      </c>
      <c r="C731">
        <v>12230</v>
      </c>
      <c r="D731">
        <v>30109.25</v>
      </c>
      <c r="E731" t="s">
        <v>26</v>
      </c>
      <c r="F731" t="s">
        <v>27</v>
      </c>
      <c r="G731" t="s">
        <v>130</v>
      </c>
      <c r="H731" s="5"/>
      <c r="J731" t="s">
        <v>29</v>
      </c>
      <c r="K731" t="s">
        <v>30</v>
      </c>
      <c r="L731" t="s">
        <v>31</v>
      </c>
      <c r="O731">
        <f t="shared" si="4"/>
        <v>12230</v>
      </c>
      <c r="W731" s="5"/>
      <c r="X731" s="5"/>
    </row>
    <row r="732" spans="2:24" hidden="1" x14ac:dyDescent="0.25">
      <c r="B732" t="s">
        <v>177</v>
      </c>
      <c r="C732">
        <v>7400</v>
      </c>
      <c r="D732">
        <v>112274.95</v>
      </c>
      <c r="E732" t="s">
        <v>26</v>
      </c>
      <c r="F732" t="s">
        <v>27</v>
      </c>
      <c r="G732" t="s">
        <v>130</v>
      </c>
      <c r="H732" s="5"/>
      <c r="J732" t="s">
        <v>29</v>
      </c>
      <c r="K732" t="s">
        <v>30</v>
      </c>
      <c r="L732" t="s">
        <v>31</v>
      </c>
      <c r="O732">
        <f t="shared" si="4"/>
        <v>7400</v>
      </c>
      <c r="W732" s="5"/>
      <c r="X732" s="5"/>
    </row>
    <row r="733" spans="2:24" hidden="1" x14ac:dyDescent="0.25">
      <c r="B733" t="s">
        <v>177</v>
      </c>
      <c r="C733">
        <v>26050</v>
      </c>
      <c r="D733">
        <v>138083.78</v>
      </c>
      <c r="E733" t="s">
        <v>26</v>
      </c>
      <c r="F733" t="s">
        <v>27</v>
      </c>
      <c r="G733" t="s">
        <v>130</v>
      </c>
      <c r="H733" s="5"/>
      <c r="J733" t="s">
        <v>29</v>
      </c>
      <c r="K733" t="s">
        <v>30</v>
      </c>
      <c r="L733" t="s">
        <v>31</v>
      </c>
      <c r="O733">
        <f t="shared" si="4"/>
        <v>26050</v>
      </c>
      <c r="W733" s="5"/>
      <c r="X733" s="5"/>
    </row>
    <row r="734" spans="2:24" hidden="1" x14ac:dyDescent="0.25">
      <c r="B734" t="s">
        <v>177</v>
      </c>
      <c r="C734">
        <v>23634</v>
      </c>
      <c r="D734">
        <v>96.74</v>
      </c>
      <c r="E734" t="s">
        <v>26</v>
      </c>
      <c r="F734" t="s">
        <v>27</v>
      </c>
      <c r="G734" t="s">
        <v>130</v>
      </c>
      <c r="H734" s="5"/>
      <c r="J734" t="s">
        <v>29</v>
      </c>
      <c r="K734" t="s">
        <v>30</v>
      </c>
      <c r="L734" t="s">
        <v>31</v>
      </c>
      <c r="O734">
        <f t="shared" si="4"/>
        <v>23634</v>
      </c>
      <c r="W734" s="5"/>
      <c r="X734" s="5"/>
    </row>
    <row r="735" spans="2:24" hidden="1" x14ac:dyDescent="0.25">
      <c r="B735" t="s">
        <v>177</v>
      </c>
      <c r="C735">
        <v>26378</v>
      </c>
      <c r="D735">
        <v>63813.84</v>
      </c>
      <c r="E735" t="s">
        <v>26</v>
      </c>
      <c r="F735" t="s">
        <v>27</v>
      </c>
      <c r="G735" t="s">
        <v>130</v>
      </c>
      <c r="H735" s="5"/>
      <c r="J735" t="s">
        <v>29</v>
      </c>
      <c r="K735" t="s">
        <v>30</v>
      </c>
      <c r="L735" t="s">
        <v>31</v>
      </c>
      <c r="O735">
        <f t="shared" si="4"/>
        <v>26378</v>
      </c>
      <c r="W735" s="5"/>
      <c r="X735" s="5"/>
    </row>
    <row r="736" spans="2:24" x14ac:dyDescent="0.25">
      <c r="B736" t="s">
        <v>177</v>
      </c>
      <c r="C736">
        <v>1014151</v>
      </c>
      <c r="D736">
        <v>56979.39</v>
      </c>
      <c r="E736" t="s">
        <v>26</v>
      </c>
      <c r="F736" t="s">
        <v>27</v>
      </c>
      <c r="G736" t="s">
        <v>130</v>
      </c>
      <c r="H736" s="5"/>
      <c r="J736" t="s">
        <v>29</v>
      </c>
      <c r="K736" t="s">
        <v>30</v>
      </c>
      <c r="L736" t="s">
        <v>31</v>
      </c>
      <c r="O736" t="e">
        <f t="shared" si="4"/>
        <v>#N/A</v>
      </c>
      <c r="W736" s="5"/>
      <c r="X736" s="5"/>
    </row>
    <row r="737" spans="2:24" hidden="1" x14ac:dyDescent="0.25">
      <c r="B737" t="s">
        <v>177</v>
      </c>
      <c r="C737">
        <v>1539</v>
      </c>
      <c r="D737">
        <v>54867.77</v>
      </c>
      <c r="E737" t="s">
        <v>26</v>
      </c>
      <c r="F737" t="s">
        <v>27</v>
      </c>
      <c r="G737" t="s">
        <v>130</v>
      </c>
      <c r="H737" s="5"/>
      <c r="J737" t="s">
        <v>29</v>
      </c>
      <c r="K737" t="s">
        <v>30</v>
      </c>
      <c r="L737" t="s">
        <v>31</v>
      </c>
      <c r="O737">
        <f t="shared" si="4"/>
        <v>1539</v>
      </c>
      <c r="W737" s="5"/>
      <c r="X737" s="5"/>
    </row>
    <row r="738" spans="2:24" x14ac:dyDescent="0.25">
      <c r="B738" t="s">
        <v>177</v>
      </c>
      <c r="C738">
        <v>5116</v>
      </c>
      <c r="D738">
        <v>34172.58</v>
      </c>
      <c r="E738" t="s">
        <v>26</v>
      </c>
      <c r="F738" t="s">
        <v>27</v>
      </c>
      <c r="G738" t="s">
        <v>130</v>
      </c>
      <c r="H738" s="5"/>
      <c r="J738" t="s">
        <v>29</v>
      </c>
      <c r="K738" t="s">
        <v>30</v>
      </c>
      <c r="L738" t="s">
        <v>31</v>
      </c>
      <c r="O738" t="e">
        <f t="shared" si="4"/>
        <v>#N/A</v>
      </c>
      <c r="W738" s="5"/>
      <c r="X738" s="5"/>
    </row>
    <row r="739" spans="2:24" x14ac:dyDescent="0.25">
      <c r="B739" t="s">
        <v>177</v>
      </c>
      <c r="C739">
        <v>24338</v>
      </c>
      <c r="D739">
        <v>9112.74</v>
      </c>
      <c r="E739" t="s">
        <v>26</v>
      </c>
      <c r="F739" t="s">
        <v>27</v>
      </c>
      <c r="G739" t="s">
        <v>130</v>
      </c>
      <c r="H739" s="5"/>
      <c r="J739" t="s">
        <v>29</v>
      </c>
      <c r="K739" t="s">
        <v>30</v>
      </c>
      <c r="L739" t="s">
        <v>31</v>
      </c>
      <c r="O739" t="e">
        <f t="shared" si="4"/>
        <v>#N/A</v>
      </c>
      <c r="W739" s="5"/>
      <c r="X739" s="5"/>
    </row>
    <row r="740" spans="2:24" hidden="1" x14ac:dyDescent="0.25">
      <c r="B740" t="s">
        <v>177</v>
      </c>
      <c r="C740">
        <v>23657</v>
      </c>
      <c r="D740">
        <v>21948.35</v>
      </c>
      <c r="E740" t="s">
        <v>26</v>
      </c>
      <c r="F740" t="s">
        <v>27</v>
      </c>
      <c r="G740" t="s">
        <v>130</v>
      </c>
      <c r="H740" s="5"/>
      <c r="J740" t="s">
        <v>29</v>
      </c>
      <c r="K740" t="s">
        <v>30</v>
      </c>
      <c r="L740" t="s">
        <v>31</v>
      </c>
      <c r="O740">
        <f t="shared" si="4"/>
        <v>23657</v>
      </c>
      <c r="W740" s="5"/>
      <c r="X740" s="5"/>
    </row>
    <row r="741" spans="2:24" hidden="1" x14ac:dyDescent="0.25">
      <c r="B741" t="s">
        <v>177</v>
      </c>
      <c r="C741">
        <v>25695</v>
      </c>
      <c r="D741">
        <v>99497.34</v>
      </c>
      <c r="E741" t="s">
        <v>26</v>
      </c>
      <c r="F741" t="s">
        <v>27</v>
      </c>
      <c r="G741" t="s">
        <v>130</v>
      </c>
      <c r="H741" s="5"/>
      <c r="J741" t="s">
        <v>29</v>
      </c>
      <c r="K741" t="s">
        <v>30</v>
      </c>
      <c r="L741" t="s">
        <v>31</v>
      </c>
      <c r="O741">
        <f t="shared" si="4"/>
        <v>25695</v>
      </c>
      <c r="W741" s="5"/>
      <c r="X741" s="5"/>
    </row>
    <row r="742" spans="2:24" hidden="1" x14ac:dyDescent="0.25">
      <c r="B742" t="s">
        <v>177</v>
      </c>
      <c r="C742">
        <v>3761002127</v>
      </c>
      <c r="D742">
        <v>89297.81</v>
      </c>
      <c r="E742" t="s">
        <v>26</v>
      </c>
      <c r="F742" t="s">
        <v>27</v>
      </c>
      <c r="G742" t="s">
        <v>130</v>
      </c>
      <c r="H742" s="5"/>
      <c r="J742" t="s">
        <v>29</v>
      </c>
      <c r="K742" t="s">
        <v>30</v>
      </c>
      <c r="L742" t="s">
        <v>31</v>
      </c>
      <c r="O742">
        <f t="shared" si="4"/>
        <v>3761002127</v>
      </c>
      <c r="W742" s="5"/>
      <c r="X742" s="5"/>
    </row>
    <row r="743" spans="2:24" hidden="1" x14ac:dyDescent="0.25">
      <c r="B743" t="s">
        <v>177</v>
      </c>
      <c r="C743">
        <v>6961494</v>
      </c>
      <c r="D743">
        <v>274353.82</v>
      </c>
      <c r="E743" t="s">
        <v>26</v>
      </c>
      <c r="F743" t="s">
        <v>27</v>
      </c>
      <c r="G743" t="s">
        <v>130</v>
      </c>
      <c r="H743" s="5"/>
      <c r="J743" t="s">
        <v>29</v>
      </c>
      <c r="K743" t="s">
        <v>30</v>
      </c>
      <c r="L743" t="s">
        <v>31</v>
      </c>
      <c r="O743">
        <f t="shared" si="4"/>
        <v>6961494</v>
      </c>
      <c r="W743" s="5"/>
      <c r="X743" s="5"/>
    </row>
    <row r="744" spans="2:24" hidden="1" x14ac:dyDescent="0.25">
      <c r="B744" t="s">
        <v>177</v>
      </c>
      <c r="C744">
        <v>23592</v>
      </c>
      <c r="D744">
        <v>2323.81</v>
      </c>
      <c r="E744" t="s">
        <v>26</v>
      </c>
      <c r="F744" t="s">
        <v>27</v>
      </c>
      <c r="G744" t="s">
        <v>130</v>
      </c>
      <c r="H744" s="5"/>
      <c r="J744" t="s">
        <v>29</v>
      </c>
      <c r="K744" t="s">
        <v>30</v>
      </c>
      <c r="L744" t="s">
        <v>31</v>
      </c>
      <c r="O744">
        <f t="shared" si="4"/>
        <v>23592</v>
      </c>
      <c r="W744" s="5"/>
      <c r="X744" s="5"/>
    </row>
    <row r="745" spans="2:24" hidden="1" x14ac:dyDescent="0.25">
      <c r="B745" t="s">
        <v>177</v>
      </c>
      <c r="C745">
        <v>23568</v>
      </c>
      <c r="D745">
        <v>13435.51</v>
      </c>
      <c r="E745" t="s">
        <v>26</v>
      </c>
      <c r="F745" t="s">
        <v>27</v>
      </c>
      <c r="G745" t="s">
        <v>130</v>
      </c>
      <c r="H745" s="5"/>
      <c r="J745" t="s">
        <v>29</v>
      </c>
      <c r="K745" t="s">
        <v>30</v>
      </c>
      <c r="L745" t="s">
        <v>31</v>
      </c>
      <c r="O745">
        <f t="shared" si="4"/>
        <v>23568</v>
      </c>
      <c r="W745" s="5"/>
      <c r="X745" s="5"/>
    </row>
    <row r="746" spans="2:24" hidden="1" x14ac:dyDescent="0.25">
      <c r="B746" t="s">
        <v>177</v>
      </c>
      <c r="C746">
        <v>23597</v>
      </c>
      <c r="D746">
        <v>2172.25</v>
      </c>
      <c r="E746" t="s">
        <v>26</v>
      </c>
      <c r="F746" t="s">
        <v>27</v>
      </c>
      <c r="G746" t="s">
        <v>130</v>
      </c>
      <c r="H746" s="5"/>
      <c r="J746" t="s">
        <v>29</v>
      </c>
      <c r="K746" t="s">
        <v>30</v>
      </c>
      <c r="L746" t="s">
        <v>31</v>
      </c>
      <c r="O746">
        <f t="shared" si="4"/>
        <v>23597</v>
      </c>
      <c r="W746" s="5"/>
      <c r="X746" s="5"/>
    </row>
    <row r="747" spans="2:24" hidden="1" x14ac:dyDescent="0.25">
      <c r="B747" t="s">
        <v>177</v>
      </c>
      <c r="C747">
        <v>25689</v>
      </c>
      <c r="D747">
        <v>96280.9</v>
      </c>
      <c r="E747" t="s">
        <v>26</v>
      </c>
      <c r="F747" t="s">
        <v>27</v>
      </c>
      <c r="G747" t="s">
        <v>130</v>
      </c>
      <c r="H747" s="5"/>
      <c r="J747" t="s">
        <v>29</v>
      </c>
      <c r="K747" t="s">
        <v>30</v>
      </c>
      <c r="L747" t="s">
        <v>31</v>
      </c>
      <c r="O747">
        <f t="shared" si="4"/>
        <v>25689</v>
      </c>
      <c r="W747" s="5"/>
      <c r="X747" s="5"/>
    </row>
    <row r="748" spans="2:24" hidden="1" x14ac:dyDescent="0.25">
      <c r="B748" t="s">
        <v>177</v>
      </c>
      <c r="C748">
        <v>23599</v>
      </c>
      <c r="D748">
        <v>4276.79</v>
      </c>
      <c r="E748" t="s">
        <v>26</v>
      </c>
      <c r="F748" t="s">
        <v>27</v>
      </c>
      <c r="G748" t="s">
        <v>130</v>
      </c>
      <c r="H748" s="5"/>
      <c r="J748" t="s">
        <v>29</v>
      </c>
      <c r="K748" t="s">
        <v>30</v>
      </c>
      <c r="L748" t="s">
        <v>31</v>
      </c>
      <c r="O748">
        <f t="shared" si="4"/>
        <v>23599</v>
      </c>
      <c r="W748" s="5"/>
      <c r="X748" s="5"/>
    </row>
    <row r="749" spans="2:24" hidden="1" x14ac:dyDescent="0.25">
      <c r="B749" t="s">
        <v>177</v>
      </c>
      <c r="C749">
        <v>23550</v>
      </c>
      <c r="D749">
        <v>9145.82</v>
      </c>
      <c r="E749" t="s">
        <v>26</v>
      </c>
      <c r="F749" t="s">
        <v>27</v>
      </c>
      <c r="G749" t="s">
        <v>130</v>
      </c>
      <c r="H749" s="5"/>
      <c r="J749" t="s">
        <v>29</v>
      </c>
      <c r="K749" t="s">
        <v>30</v>
      </c>
      <c r="L749" t="s">
        <v>31</v>
      </c>
      <c r="O749">
        <f t="shared" si="4"/>
        <v>23550</v>
      </c>
      <c r="W749" s="5"/>
      <c r="X749" s="5"/>
    </row>
    <row r="750" spans="2:24" hidden="1" x14ac:dyDescent="0.25">
      <c r="B750" t="s">
        <v>177</v>
      </c>
      <c r="C750">
        <v>1700007349</v>
      </c>
      <c r="D750">
        <v>62376.07</v>
      </c>
      <c r="E750" t="s">
        <v>26</v>
      </c>
      <c r="F750" t="s">
        <v>27</v>
      </c>
      <c r="G750" t="s">
        <v>130</v>
      </c>
      <c r="H750" s="5"/>
      <c r="J750" t="s">
        <v>29</v>
      </c>
      <c r="K750" t="s">
        <v>30</v>
      </c>
      <c r="L750" t="s">
        <v>31</v>
      </c>
      <c r="O750">
        <f t="shared" si="4"/>
        <v>1700007349</v>
      </c>
      <c r="W750" s="5"/>
      <c r="X750" s="5"/>
    </row>
    <row r="751" spans="2:24" hidden="1" x14ac:dyDescent="0.25">
      <c r="B751" t="s">
        <v>177</v>
      </c>
      <c r="C751">
        <v>8027577467</v>
      </c>
      <c r="D751">
        <v>150412.07999999999</v>
      </c>
      <c r="E751" t="s">
        <v>26</v>
      </c>
      <c r="F751" t="s">
        <v>27</v>
      </c>
      <c r="G751" t="s">
        <v>130</v>
      </c>
      <c r="H751" s="5"/>
      <c r="J751" t="s">
        <v>29</v>
      </c>
      <c r="K751" t="s">
        <v>30</v>
      </c>
      <c r="L751" t="s">
        <v>31</v>
      </c>
      <c r="O751">
        <f t="shared" si="4"/>
        <v>8027577467</v>
      </c>
      <c r="W751" s="5"/>
      <c r="X751" s="5"/>
    </row>
    <row r="752" spans="2:24" hidden="1" x14ac:dyDescent="0.25">
      <c r="B752" t="s">
        <v>177</v>
      </c>
      <c r="C752">
        <v>27060</v>
      </c>
      <c r="D752">
        <v>63168.38</v>
      </c>
      <c r="E752" t="s">
        <v>26</v>
      </c>
      <c r="F752" t="s">
        <v>27</v>
      </c>
      <c r="G752" t="s">
        <v>130</v>
      </c>
      <c r="H752" s="5"/>
      <c r="J752" t="s">
        <v>29</v>
      </c>
      <c r="K752" t="s">
        <v>30</v>
      </c>
      <c r="L752" t="s">
        <v>31</v>
      </c>
      <c r="O752">
        <f t="shared" si="4"/>
        <v>27060</v>
      </c>
      <c r="W752" s="5"/>
      <c r="X752" s="5"/>
    </row>
    <row r="753" spans="2:24" hidden="1" x14ac:dyDescent="0.25">
      <c r="B753" t="s">
        <v>177</v>
      </c>
      <c r="C753">
        <v>23517</v>
      </c>
      <c r="D753">
        <v>94109.61</v>
      </c>
      <c r="E753" t="s">
        <v>26</v>
      </c>
      <c r="F753" t="s">
        <v>27</v>
      </c>
      <c r="G753" t="s">
        <v>130</v>
      </c>
      <c r="H753" s="5"/>
      <c r="J753" t="s">
        <v>29</v>
      </c>
      <c r="K753" t="s">
        <v>30</v>
      </c>
      <c r="L753" t="s">
        <v>31</v>
      </c>
      <c r="O753">
        <f t="shared" ref="O753:O816" si="5">VLOOKUP(C753,$Q$18:$Q$421,1,FALSE)</f>
        <v>23517</v>
      </c>
      <c r="W753" s="5"/>
      <c r="X753" s="5"/>
    </row>
    <row r="754" spans="2:24" hidden="1" x14ac:dyDescent="0.25">
      <c r="B754" t="s">
        <v>177</v>
      </c>
      <c r="C754">
        <v>23668</v>
      </c>
      <c r="D754">
        <v>77909.8</v>
      </c>
      <c r="E754" t="s">
        <v>26</v>
      </c>
      <c r="F754" t="s">
        <v>27</v>
      </c>
      <c r="G754" t="s">
        <v>130</v>
      </c>
      <c r="H754" s="5"/>
      <c r="J754" t="s">
        <v>29</v>
      </c>
      <c r="K754" t="s">
        <v>30</v>
      </c>
      <c r="L754" t="s">
        <v>31</v>
      </c>
      <c r="O754">
        <f t="shared" si="5"/>
        <v>23668</v>
      </c>
      <c r="V754" s="6"/>
      <c r="W754" s="5"/>
      <c r="X754" s="5"/>
    </row>
    <row r="755" spans="2:24" x14ac:dyDescent="0.25">
      <c r="B755" t="s">
        <v>177</v>
      </c>
      <c r="C755">
        <v>26442</v>
      </c>
      <c r="D755">
        <v>187115.92</v>
      </c>
      <c r="E755" t="s">
        <v>26</v>
      </c>
      <c r="F755" t="s">
        <v>27</v>
      </c>
      <c r="G755" t="s">
        <v>130</v>
      </c>
      <c r="H755" s="5"/>
      <c r="J755" t="s">
        <v>29</v>
      </c>
      <c r="K755" t="s">
        <v>30</v>
      </c>
      <c r="L755" t="s">
        <v>31</v>
      </c>
      <c r="O755" t="e">
        <f t="shared" si="5"/>
        <v>#N/A</v>
      </c>
      <c r="W755" s="5"/>
      <c r="X755" s="5"/>
    </row>
    <row r="756" spans="2:24" hidden="1" x14ac:dyDescent="0.25">
      <c r="B756" t="s">
        <v>177</v>
      </c>
      <c r="C756">
        <v>23638</v>
      </c>
      <c r="D756">
        <v>227.87</v>
      </c>
      <c r="E756" t="s">
        <v>26</v>
      </c>
      <c r="F756" t="s">
        <v>27</v>
      </c>
      <c r="G756" t="s">
        <v>130</v>
      </c>
      <c r="H756" s="5"/>
      <c r="J756" t="s">
        <v>29</v>
      </c>
      <c r="K756" t="s">
        <v>30</v>
      </c>
      <c r="L756" t="s">
        <v>31</v>
      </c>
      <c r="O756">
        <f t="shared" si="5"/>
        <v>23638</v>
      </c>
      <c r="V756" s="6"/>
      <c r="W756" s="5"/>
      <c r="X756" s="5"/>
    </row>
    <row r="757" spans="2:24" hidden="1" x14ac:dyDescent="0.25">
      <c r="B757" t="s">
        <v>177</v>
      </c>
      <c r="C757">
        <v>17261</v>
      </c>
      <c r="D757">
        <v>68269.14</v>
      </c>
      <c r="E757" t="s">
        <v>26</v>
      </c>
      <c r="F757" t="s">
        <v>27</v>
      </c>
      <c r="G757" t="s">
        <v>130</v>
      </c>
      <c r="H757" s="5"/>
      <c r="J757" t="s">
        <v>29</v>
      </c>
      <c r="K757" t="s">
        <v>30</v>
      </c>
      <c r="L757" t="s">
        <v>31</v>
      </c>
      <c r="O757">
        <f t="shared" si="5"/>
        <v>17261</v>
      </c>
      <c r="W757" s="5"/>
      <c r="X757" s="5"/>
    </row>
    <row r="758" spans="2:24" hidden="1" x14ac:dyDescent="0.25">
      <c r="B758" t="s">
        <v>177</v>
      </c>
      <c r="C758">
        <v>23671</v>
      </c>
      <c r="D758">
        <v>117028.65</v>
      </c>
      <c r="E758" t="s">
        <v>26</v>
      </c>
      <c r="F758" t="s">
        <v>27</v>
      </c>
      <c r="G758" t="s">
        <v>130</v>
      </c>
      <c r="H758" s="5"/>
      <c r="J758" t="s">
        <v>29</v>
      </c>
      <c r="K758" t="s">
        <v>30</v>
      </c>
      <c r="L758" t="s">
        <v>31</v>
      </c>
      <c r="O758">
        <f t="shared" si="5"/>
        <v>23671</v>
      </c>
      <c r="V758" s="6"/>
      <c r="W758" s="5"/>
      <c r="X758" s="5"/>
    </row>
    <row r="759" spans="2:24" hidden="1" x14ac:dyDescent="0.25">
      <c r="B759" t="s">
        <v>177</v>
      </c>
      <c r="C759">
        <v>26045</v>
      </c>
      <c r="D759">
        <v>49333.66</v>
      </c>
      <c r="E759" t="s">
        <v>26</v>
      </c>
      <c r="F759" t="s">
        <v>27</v>
      </c>
      <c r="G759" t="s">
        <v>130</v>
      </c>
      <c r="H759" s="5"/>
      <c r="J759" t="s">
        <v>29</v>
      </c>
      <c r="K759" t="s">
        <v>30</v>
      </c>
      <c r="L759" t="s">
        <v>31</v>
      </c>
      <c r="O759">
        <f t="shared" si="5"/>
        <v>26045</v>
      </c>
      <c r="W759" s="5"/>
      <c r="X759" s="5"/>
    </row>
    <row r="760" spans="2:24" hidden="1" x14ac:dyDescent="0.25">
      <c r="B760" t="s">
        <v>177</v>
      </c>
      <c r="C760">
        <v>23655</v>
      </c>
      <c r="D760">
        <v>243.99</v>
      </c>
      <c r="E760" t="s">
        <v>26</v>
      </c>
      <c r="F760" t="s">
        <v>27</v>
      </c>
      <c r="G760" t="s">
        <v>130</v>
      </c>
      <c r="H760" s="5"/>
      <c r="J760" t="s">
        <v>29</v>
      </c>
      <c r="K760" t="s">
        <v>30</v>
      </c>
      <c r="L760" t="s">
        <v>31</v>
      </c>
      <c r="O760">
        <f t="shared" si="5"/>
        <v>23655</v>
      </c>
      <c r="W760" s="5"/>
      <c r="X760" s="5"/>
    </row>
    <row r="761" spans="2:24" hidden="1" x14ac:dyDescent="0.25">
      <c r="B761" t="s">
        <v>177</v>
      </c>
      <c r="C761">
        <v>25699</v>
      </c>
      <c r="D761">
        <v>1825950.18</v>
      </c>
      <c r="E761" t="s">
        <v>26</v>
      </c>
      <c r="F761" t="s">
        <v>27</v>
      </c>
      <c r="G761" t="s">
        <v>130</v>
      </c>
      <c r="H761" s="5"/>
      <c r="J761" t="s">
        <v>29</v>
      </c>
      <c r="K761" t="s">
        <v>30</v>
      </c>
      <c r="L761" t="s">
        <v>31</v>
      </c>
      <c r="O761">
        <f t="shared" si="5"/>
        <v>25699</v>
      </c>
      <c r="W761" s="5"/>
      <c r="X761" s="5"/>
    </row>
    <row r="762" spans="2:24" x14ac:dyDescent="0.25">
      <c r="B762" t="s">
        <v>177</v>
      </c>
      <c r="C762">
        <v>24340</v>
      </c>
      <c r="D762">
        <v>9112.74</v>
      </c>
      <c r="E762" t="s">
        <v>26</v>
      </c>
      <c r="F762" t="s">
        <v>27</v>
      </c>
      <c r="G762" t="s">
        <v>130</v>
      </c>
      <c r="H762" s="5"/>
      <c r="J762" t="s">
        <v>29</v>
      </c>
      <c r="K762" t="s">
        <v>30</v>
      </c>
      <c r="L762" t="s">
        <v>31</v>
      </c>
      <c r="O762" t="e">
        <f t="shared" si="5"/>
        <v>#N/A</v>
      </c>
      <c r="V762" s="6"/>
      <c r="W762" s="5"/>
      <c r="X762" s="5"/>
    </row>
    <row r="763" spans="2:24" hidden="1" x14ac:dyDescent="0.25">
      <c r="B763" t="s">
        <v>177</v>
      </c>
      <c r="C763">
        <v>7400168683</v>
      </c>
      <c r="D763">
        <v>68429.929999999993</v>
      </c>
      <c r="E763" t="s">
        <v>26</v>
      </c>
      <c r="F763" t="s">
        <v>27</v>
      </c>
      <c r="G763" t="s">
        <v>130</v>
      </c>
      <c r="H763" s="5"/>
      <c r="J763" t="s">
        <v>29</v>
      </c>
      <c r="K763" t="s">
        <v>30</v>
      </c>
      <c r="L763" t="s">
        <v>31</v>
      </c>
      <c r="O763">
        <f t="shared" si="5"/>
        <v>7400168683</v>
      </c>
      <c r="W763" s="5"/>
      <c r="X763" s="5"/>
    </row>
    <row r="764" spans="2:24" hidden="1" x14ac:dyDescent="0.25">
      <c r="B764" t="s">
        <v>177</v>
      </c>
      <c r="C764">
        <v>19371</v>
      </c>
      <c r="D764">
        <v>4605.12</v>
      </c>
      <c r="E764" t="s">
        <v>26</v>
      </c>
      <c r="F764" t="s">
        <v>27</v>
      </c>
      <c r="G764" t="s">
        <v>130</v>
      </c>
      <c r="H764" s="5"/>
      <c r="J764" t="s">
        <v>29</v>
      </c>
      <c r="K764" t="s">
        <v>30</v>
      </c>
      <c r="L764" t="s">
        <v>31</v>
      </c>
      <c r="O764">
        <f t="shared" si="5"/>
        <v>19371</v>
      </c>
      <c r="W764" s="5"/>
      <c r="X764" s="5"/>
    </row>
    <row r="765" spans="2:24" hidden="1" x14ac:dyDescent="0.25">
      <c r="B765" t="s">
        <v>177</v>
      </c>
      <c r="C765">
        <v>7400091336</v>
      </c>
      <c r="D765">
        <v>54508</v>
      </c>
      <c r="E765" t="s">
        <v>26</v>
      </c>
      <c r="F765" t="s">
        <v>27</v>
      </c>
      <c r="G765" t="s">
        <v>130</v>
      </c>
      <c r="H765" s="5"/>
      <c r="J765" t="s">
        <v>29</v>
      </c>
      <c r="K765" t="s">
        <v>30</v>
      </c>
      <c r="L765" t="s">
        <v>31</v>
      </c>
      <c r="O765">
        <f t="shared" si="5"/>
        <v>7400091336</v>
      </c>
      <c r="W765" s="5"/>
      <c r="X765" s="5"/>
    </row>
    <row r="766" spans="2:24" hidden="1" x14ac:dyDescent="0.25">
      <c r="B766" t="s">
        <v>177</v>
      </c>
      <c r="C766">
        <v>22432</v>
      </c>
      <c r="D766">
        <v>79621.740000000005</v>
      </c>
      <c r="E766" t="s">
        <v>26</v>
      </c>
      <c r="F766" t="s">
        <v>27</v>
      </c>
      <c r="G766" t="s">
        <v>130</v>
      </c>
      <c r="H766" s="5"/>
      <c r="J766" t="s">
        <v>29</v>
      </c>
      <c r="K766" t="s">
        <v>30</v>
      </c>
      <c r="L766" t="s">
        <v>31</v>
      </c>
      <c r="O766">
        <f t="shared" si="5"/>
        <v>22432</v>
      </c>
      <c r="W766" s="5"/>
      <c r="X766" s="5"/>
    </row>
    <row r="767" spans="2:24" hidden="1" x14ac:dyDescent="0.25">
      <c r="B767" t="s">
        <v>177</v>
      </c>
      <c r="C767">
        <v>23551</v>
      </c>
      <c r="D767">
        <v>2074.44</v>
      </c>
      <c r="E767" t="s">
        <v>26</v>
      </c>
      <c r="F767" t="s">
        <v>27</v>
      </c>
      <c r="G767" t="s">
        <v>130</v>
      </c>
      <c r="H767" s="5"/>
      <c r="J767" t="s">
        <v>29</v>
      </c>
      <c r="K767" t="s">
        <v>30</v>
      </c>
      <c r="L767" t="s">
        <v>31</v>
      </c>
      <c r="O767">
        <f t="shared" si="5"/>
        <v>23551</v>
      </c>
      <c r="W767" s="5"/>
      <c r="X767" s="5"/>
    </row>
    <row r="768" spans="2:24" hidden="1" x14ac:dyDescent="0.25">
      <c r="B768" t="s">
        <v>177</v>
      </c>
      <c r="C768">
        <v>27082</v>
      </c>
      <c r="D768">
        <v>48875</v>
      </c>
      <c r="E768" t="s">
        <v>26</v>
      </c>
      <c r="F768" t="s">
        <v>27</v>
      </c>
      <c r="G768" t="s">
        <v>130</v>
      </c>
      <c r="H768" s="5"/>
      <c r="J768" t="s">
        <v>29</v>
      </c>
      <c r="K768" t="s">
        <v>30</v>
      </c>
      <c r="L768" t="s">
        <v>31</v>
      </c>
      <c r="O768">
        <f t="shared" si="5"/>
        <v>27082</v>
      </c>
      <c r="W768" s="5"/>
      <c r="X768" s="5"/>
    </row>
    <row r="769" spans="2:24" hidden="1" x14ac:dyDescent="0.25">
      <c r="B769" t="s">
        <v>177</v>
      </c>
      <c r="C769">
        <v>18101</v>
      </c>
      <c r="D769">
        <v>37434.51</v>
      </c>
      <c r="E769" t="s">
        <v>26</v>
      </c>
      <c r="F769" t="s">
        <v>27</v>
      </c>
      <c r="G769" t="s">
        <v>130</v>
      </c>
      <c r="H769" s="5"/>
      <c r="J769" t="s">
        <v>29</v>
      </c>
      <c r="K769" t="s">
        <v>30</v>
      </c>
      <c r="L769" t="s">
        <v>31</v>
      </c>
      <c r="O769">
        <f t="shared" si="5"/>
        <v>18101</v>
      </c>
      <c r="W769" s="5"/>
      <c r="X769" s="5"/>
    </row>
    <row r="770" spans="2:24" hidden="1" x14ac:dyDescent="0.25">
      <c r="B770" t="s">
        <v>177</v>
      </c>
      <c r="C770">
        <v>23694</v>
      </c>
      <c r="D770">
        <v>161378.88</v>
      </c>
      <c r="E770" t="s">
        <v>26</v>
      </c>
      <c r="F770" t="s">
        <v>27</v>
      </c>
      <c r="G770" t="s">
        <v>130</v>
      </c>
      <c r="H770" s="5"/>
      <c r="J770" t="s">
        <v>29</v>
      </c>
      <c r="K770" t="s">
        <v>30</v>
      </c>
      <c r="L770" t="s">
        <v>31</v>
      </c>
      <c r="O770">
        <f t="shared" si="5"/>
        <v>23694</v>
      </c>
      <c r="W770" s="5"/>
      <c r="X770" s="5"/>
    </row>
    <row r="771" spans="2:24" hidden="1" x14ac:dyDescent="0.25">
      <c r="B771" t="s">
        <v>177</v>
      </c>
      <c r="C771">
        <v>23792</v>
      </c>
      <c r="D771">
        <v>44680.3</v>
      </c>
      <c r="E771" t="s">
        <v>26</v>
      </c>
      <c r="F771" t="s">
        <v>27</v>
      </c>
      <c r="G771" t="s">
        <v>130</v>
      </c>
      <c r="H771" s="5"/>
      <c r="J771" t="s">
        <v>29</v>
      </c>
      <c r="K771" t="s">
        <v>30</v>
      </c>
      <c r="L771" t="s">
        <v>31</v>
      </c>
      <c r="O771">
        <f t="shared" si="5"/>
        <v>23792</v>
      </c>
      <c r="W771" s="5"/>
      <c r="X771" s="5"/>
    </row>
    <row r="772" spans="2:24" x14ac:dyDescent="0.25">
      <c r="B772" t="s">
        <v>177</v>
      </c>
      <c r="C772">
        <v>24325</v>
      </c>
      <c r="D772">
        <v>7564.67</v>
      </c>
      <c r="E772" t="s">
        <v>26</v>
      </c>
      <c r="F772" t="s">
        <v>27</v>
      </c>
      <c r="G772" t="s">
        <v>130</v>
      </c>
      <c r="H772" s="5"/>
      <c r="J772" t="s">
        <v>29</v>
      </c>
      <c r="K772" t="s">
        <v>30</v>
      </c>
      <c r="L772" t="s">
        <v>31</v>
      </c>
      <c r="O772" t="e">
        <f t="shared" si="5"/>
        <v>#N/A</v>
      </c>
      <c r="W772" s="5"/>
      <c r="X772" s="5"/>
    </row>
    <row r="773" spans="2:24" hidden="1" x14ac:dyDescent="0.25">
      <c r="B773" t="s">
        <v>177</v>
      </c>
      <c r="C773">
        <v>23630</v>
      </c>
      <c r="D773">
        <v>111.78</v>
      </c>
      <c r="E773" t="s">
        <v>26</v>
      </c>
      <c r="F773" t="s">
        <v>27</v>
      </c>
      <c r="G773" t="s">
        <v>130</v>
      </c>
      <c r="H773" s="5"/>
      <c r="J773" t="s">
        <v>29</v>
      </c>
      <c r="K773" t="s">
        <v>30</v>
      </c>
      <c r="L773" t="s">
        <v>31</v>
      </c>
      <c r="O773">
        <f t="shared" si="5"/>
        <v>23630</v>
      </c>
      <c r="W773" s="5"/>
      <c r="X773" s="5"/>
    </row>
    <row r="774" spans="2:24" hidden="1" x14ac:dyDescent="0.25">
      <c r="B774" t="s">
        <v>177</v>
      </c>
      <c r="C774">
        <v>25705</v>
      </c>
      <c r="D774">
        <v>90375.27</v>
      </c>
      <c r="E774" t="s">
        <v>26</v>
      </c>
      <c r="F774" t="s">
        <v>27</v>
      </c>
      <c r="G774" t="s">
        <v>130</v>
      </c>
      <c r="H774" s="5"/>
      <c r="J774" t="s">
        <v>29</v>
      </c>
      <c r="K774" t="s">
        <v>30</v>
      </c>
      <c r="L774" t="s">
        <v>31</v>
      </c>
      <c r="O774">
        <f t="shared" si="5"/>
        <v>25705</v>
      </c>
      <c r="W774" s="5"/>
      <c r="X774" s="5"/>
    </row>
    <row r="775" spans="2:24" x14ac:dyDescent="0.25">
      <c r="B775" t="s">
        <v>177</v>
      </c>
      <c r="D775">
        <v>103300</v>
      </c>
      <c r="E775" t="s">
        <v>26</v>
      </c>
      <c r="F775" t="s">
        <v>27</v>
      </c>
      <c r="G775" t="s">
        <v>130</v>
      </c>
      <c r="H775" s="5"/>
      <c r="J775" t="s">
        <v>29</v>
      </c>
      <c r="K775" t="s">
        <v>30</v>
      </c>
      <c r="L775" t="s">
        <v>31</v>
      </c>
      <c r="O775" t="e">
        <f t="shared" si="5"/>
        <v>#N/A</v>
      </c>
      <c r="W775" s="5"/>
      <c r="X775" s="5"/>
    </row>
    <row r="776" spans="2:24" hidden="1" x14ac:dyDescent="0.25">
      <c r="B776" t="s">
        <v>177</v>
      </c>
      <c r="C776">
        <v>23635</v>
      </c>
      <c r="D776">
        <v>96.74</v>
      </c>
      <c r="E776" t="s">
        <v>26</v>
      </c>
      <c r="F776" t="s">
        <v>27</v>
      </c>
      <c r="G776" t="s">
        <v>130</v>
      </c>
      <c r="H776" s="5"/>
      <c r="J776" t="s">
        <v>29</v>
      </c>
      <c r="K776" t="s">
        <v>30</v>
      </c>
      <c r="L776" t="s">
        <v>31</v>
      </c>
      <c r="O776">
        <f t="shared" si="5"/>
        <v>23635</v>
      </c>
      <c r="W776" s="5"/>
      <c r="X776" s="5"/>
    </row>
    <row r="777" spans="2:24" hidden="1" x14ac:dyDescent="0.25">
      <c r="B777" t="s">
        <v>177</v>
      </c>
      <c r="C777">
        <v>23543</v>
      </c>
      <c r="D777">
        <v>10748.41</v>
      </c>
      <c r="E777" t="s">
        <v>26</v>
      </c>
      <c r="F777" t="s">
        <v>27</v>
      </c>
      <c r="G777" t="s">
        <v>130</v>
      </c>
      <c r="H777" s="5"/>
      <c r="J777" t="s">
        <v>29</v>
      </c>
      <c r="K777" t="s">
        <v>30</v>
      </c>
      <c r="L777" t="s">
        <v>31</v>
      </c>
      <c r="O777">
        <f t="shared" si="5"/>
        <v>23543</v>
      </c>
      <c r="W777" s="5"/>
      <c r="X777" s="5"/>
    </row>
    <row r="778" spans="2:24" hidden="1" x14ac:dyDescent="0.25">
      <c r="B778" t="s">
        <v>177</v>
      </c>
      <c r="C778">
        <v>3301</v>
      </c>
      <c r="D778">
        <v>320234.38</v>
      </c>
      <c r="E778" t="s">
        <v>26</v>
      </c>
      <c r="F778" t="s">
        <v>27</v>
      </c>
      <c r="G778" t="s">
        <v>130</v>
      </c>
      <c r="H778" s="5"/>
      <c r="J778" t="s">
        <v>29</v>
      </c>
      <c r="K778" t="s">
        <v>30</v>
      </c>
      <c r="L778" t="s">
        <v>31</v>
      </c>
      <c r="O778">
        <f t="shared" si="5"/>
        <v>3301</v>
      </c>
      <c r="W778" s="5"/>
      <c r="X778" s="5"/>
    </row>
    <row r="779" spans="2:24" x14ac:dyDescent="0.25">
      <c r="B779" t="s">
        <v>177</v>
      </c>
      <c r="C779">
        <v>1014150</v>
      </c>
      <c r="D779">
        <v>10369.59</v>
      </c>
      <c r="E779" t="s">
        <v>26</v>
      </c>
      <c r="F779" t="s">
        <v>27</v>
      </c>
      <c r="G779" t="s">
        <v>130</v>
      </c>
      <c r="H779" s="5"/>
      <c r="J779" t="s">
        <v>29</v>
      </c>
      <c r="K779" t="s">
        <v>30</v>
      </c>
      <c r="L779" t="s">
        <v>31</v>
      </c>
      <c r="O779" t="e">
        <f t="shared" si="5"/>
        <v>#N/A</v>
      </c>
      <c r="W779" s="5"/>
      <c r="X779" s="5"/>
    </row>
    <row r="780" spans="2:24" hidden="1" x14ac:dyDescent="0.25">
      <c r="B780" t="s">
        <v>177</v>
      </c>
      <c r="C780">
        <v>23992</v>
      </c>
      <c r="D780">
        <v>454200.9</v>
      </c>
      <c r="E780" t="s">
        <v>26</v>
      </c>
      <c r="F780" t="s">
        <v>27</v>
      </c>
      <c r="G780" t="s">
        <v>130</v>
      </c>
      <c r="H780" s="5"/>
      <c r="J780" t="s">
        <v>29</v>
      </c>
      <c r="K780" t="s">
        <v>30</v>
      </c>
      <c r="L780" t="s">
        <v>31</v>
      </c>
      <c r="O780">
        <f t="shared" si="5"/>
        <v>23992</v>
      </c>
      <c r="W780" s="5"/>
      <c r="X780" s="5"/>
    </row>
    <row r="781" spans="2:24" hidden="1" x14ac:dyDescent="0.25">
      <c r="B781" t="s">
        <v>177</v>
      </c>
      <c r="C781">
        <v>2665</v>
      </c>
      <c r="D781">
        <v>30091.39</v>
      </c>
      <c r="E781" t="s">
        <v>26</v>
      </c>
      <c r="F781" t="s">
        <v>27</v>
      </c>
      <c r="G781" t="s">
        <v>130</v>
      </c>
      <c r="H781" s="5"/>
      <c r="J781" t="s">
        <v>29</v>
      </c>
      <c r="K781" t="s">
        <v>30</v>
      </c>
      <c r="L781" t="s">
        <v>31</v>
      </c>
      <c r="O781">
        <f t="shared" si="5"/>
        <v>2665</v>
      </c>
      <c r="W781" s="5"/>
      <c r="X781" s="5"/>
    </row>
    <row r="782" spans="2:24" hidden="1" x14ac:dyDescent="0.25">
      <c r="B782" t="s">
        <v>177</v>
      </c>
      <c r="C782">
        <v>69025102</v>
      </c>
      <c r="D782">
        <v>2145.2399999999998</v>
      </c>
      <c r="E782" t="s">
        <v>26</v>
      </c>
      <c r="F782" t="s">
        <v>27</v>
      </c>
      <c r="G782" t="s">
        <v>130</v>
      </c>
      <c r="H782" s="5"/>
      <c r="J782" t="s">
        <v>29</v>
      </c>
      <c r="K782" t="s">
        <v>30</v>
      </c>
      <c r="L782" t="s">
        <v>31</v>
      </c>
      <c r="O782">
        <f t="shared" si="5"/>
        <v>69025102</v>
      </c>
      <c r="W782" s="5"/>
      <c r="X782" s="5"/>
    </row>
    <row r="783" spans="2:24" hidden="1" x14ac:dyDescent="0.25">
      <c r="B783" t="s">
        <v>177</v>
      </c>
      <c r="C783">
        <v>23622</v>
      </c>
      <c r="D783">
        <v>615.88</v>
      </c>
      <c r="E783" t="s">
        <v>26</v>
      </c>
      <c r="F783" t="s">
        <v>27</v>
      </c>
      <c r="G783" t="s">
        <v>130</v>
      </c>
      <c r="H783" s="5"/>
      <c r="J783" t="s">
        <v>29</v>
      </c>
      <c r="K783" t="s">
        <v>30</v>
      </c>
      <c r="L783" t="s">
        <v>31</v>
      </c>
      <c r="O783">
        <f t="shared" si="5"/>
        <v>23622</v>
      </c>
      <c r="W783" s="5"/>
      <c r="X783" s="5"/>
    </row>
    <row r="784" spans="2:24" hidden="1" x14ac:dyDescent="0.25">
      <c r="B784" t="s">
        <v>177</v>
      </c>
      <c r="C784">
        <v>23554</v>
      </c>
      <c r="D784">
        <v>1687.5</v>
      </c>
      <c r="E784" t="s">
        <v>26</v>
      </c>
      <c r="F784" t="s">
        <v>27</v>
      </c>
      <c r="G784" t="s">
        <v>130</v>
      </c>
      <c r="H784" s="5"/>
      <c r="J784" t="s">
        <v>29</v>
      </c>
      <c r="K784" t="s">
        <v>30</v>
      </c>
      <c r="L784" t="s">
        <v>31</v>
      </c>
      <c r="O784">
        <f t="shared" si="5"/>
        <v>23554</v>
      </c>
      <c r="W784" s="5"/>
      <c r="X784" s="5"/>
    </row>
    <row r="785" spans="2:24" hidden="1" x14ac:dyDescent="0.25">
      <c r="B785" t="s">
        <v>177</v>
      </c>
      <c r="C785">
        <v>7383</v>
      </c>
      <c r="D785">
        <v>113375.76</v>
      </c>
      <c r="E785" t="s">
        <v>26</v>
      </c>
      <c r="F785" t="s">
        <v>27</v>
      </c>
      <c r="G785" t="s">
        <v>130</v>
      </c>
      <c r="H785" s="5"/>
      <c r="J785" t="s">
        <v>29</v>
      </c>
      <c r="K785" t="s">
        <v>30</v>
      </c>
      <c r="L785" t="s">
        <v>31</v>
      </c>
      <c r="O785">
        <f t="shared" si="5"/>
        <v>7383</v>
      </c>
      <c r="W785" s="5"/>
      <c r="X785" s="5"/>
    </row>
    <row r="786" spans="2:24" hidden="1" x14ac:dyDescent="0.25">
      <c r="B786" t="s">
        <v>177</v>
      </c>
      <c r="C786">
        <v>27007</v>
      </c>
      <c r="D786">
        <v>10878.7</v>
      </c>
      <c r="E786" t="s">
        <v>26</v>
      </c>
      <c r="F786" t="s">
        <v>27</v>
      </c>
      <c r="G786" t="s">
        <v>130</v>
      </c>
      <c r="H786" s="5"/>
      <c r="J786" t="s">
        <v>29</v>
      </c>
      <c r="K786" t="s">
        <v>30</v>
      </c>
      <c r="L786" t="s">
        <v>31</v>
      </c>
      <c r="O786">
        <f t="shared" si="5"/>
        <v>27007</v>
      </c>
      <c r="W786" s="5"/>
      <c r="X786" s="5"/>
    </row>
    <row r="787" spans="2:24" hidden="1" x14ac:dyDescent="0.25">
      <c r="B787" t="s">
        <v>177</v>
      </c>
      <c r="C787">
        <v>23520</v>
      </c>
      <c r="D787">
        <v>12648.73</v>
      </c>
      <c r="E787" t="s">
        <v>26</v>
      </c>
      <c r="F787" t="s">
        <v>27</v>
      </c>
      <c r="G787" t="s">
        <v>130</v>
      </c>
      <c r="H787" s="5"/>
      <c r="J787" t="s">
        <v>29</v>
      </c>
      <c r="K787" t="s">
        <v>30</v>
      </c>
      <c r="L787" t="s">
        <v>31</v>
      </c>
      <c r="O787">
        <f t="shared" si="5"/>
        <v>23520</v>
      </c>
      <c r="W787" s="5"/>
      <c r="X787" s="5"/>
    </row>
    <row r="788" spans="2:24" hidden="1" x14ac:dyDescent="0.25">
      <c r="B788" t="s">
        <v>177</v>
      </c>
      <c r="C788">
        <v>23570</v>
      </c>
      <c r="D788">
        <v>10748.41</v>
      </c>
      <c r="E788" t="s">
        <v>26</v>
      </c>
      <c r="F788" t="s">
        <v>27</v>
      </c>
      <c r="G788" t="s">
        <v>130</v>
      </c>
      <c r="H788" s="5"/>
      <c r="J788" t="s">
        <v>29</v>
      </c>
      <c r="K788" t="s">
        <v>30</v>
      </c>
      <c r="L788" t="s">
        <v>31</v>
      </c>
      <c r="O788">
        <f t="shared" si="5"/>
        <v>23570</v>
      </c>
      <c r="W788" s="5"/>
      <c r="X788" s="5"/>
    </row>
    <row r="789" spans="2:24" hidden="1" x14ac:dyDescent="0.25">
      <c r="B789" t="s">
        <v>177</v>
      </c>
      <c r="C789">
        <v>23539</v>
      </c>
      <c r="D789">
        <v>10748.41</v>
      </c>
      <c r="E789" t="s">
        <v>26</v>
      </c>
      <c r="F789" t="s">
        <v>27</v>
      </c>
      <c r="G789" t="s">
        <v>130</v>
      </c>
      <c r="H789" s="5"/>
      <c r="J789" t="s">
        <v>29</v>
      </c>
      <c r="K789" t="s">
        <v>30</v>
      </c>
      <c r="L789" t="s">
        <v>31</v>
      </c>
      <c r="O789">
        <f t="shared" si="5"/>
        <v>23539</v>
      </c>
      <c r="W789" s="5"/>
      <c r="X789" s="5"/>
    </row>
    <row r="790" spans="2:24" hidden="1" x14ac:dyDescent="0.25">
      <c r="B790" t="s">
        <v>177</v>
      </c>
      <c r="C790">
        <v>27118</v>
      </c>
      <c r="D790">
        <v>2802889.59</v>
      </c>
      <c r="E790" t="s">
        <v>26</v>
      </c>
      <c r="F790" t="s">
        <v>27</v>
      </c>
      <c r="G790" t="s">
        <v>130</v>
      </c>
      <c r="H790" s="5"/>
      <c r="J790" t="s">
        <v>29</v>
      </c>
      <c r="K790" t="s">
        <v>30</v>
      </c>
      <c r="L790" t="s">
        <v>31</v>
      </c>
      <c r="O790">
        <f t="shared" si="5"/>
        <v>27118</v>
      </c>
      <c r="W790" s="5"/>
      <c r="X790" s="5"/>
    </row>
    <row r="791" spans="2:24" hidden="1" x14ac:dyDescent="0.25">
      <c r="B791" t="s">
        <v>177</v>
      </c>
      <c r="C791">
        <v>8010464178</v>
      </c>
      <c r="D791">
        <v>101096.36</v>
      </c>
      <c r="E791" t="s">
        <v>26</v>
      </c>
      <c r="F791" t="s">
        <v>27</v>
      </c>
      <c r="G791" t="s">
        <v>130</v>
      </c>
      <c r="H791" s="5"/>
      <c r="J791" t="s">
        <v>29</v>
      </c>
      <c r="K791" t="s">
        <v>30</v>
      </c>
      <c r="L791" t="s">
        <v>31</v>
      </c>
      <c r="O791">
        <f t="shared" si="5"/>
        <v>8010464178</v>
      </c>
      <c r="W791" s="5"/>
      <c r="X791" s="5"/>
    </row>
    <row r="792" spans="2:24" hidden="1" x14ac:dyDescent="0.25">
      <c r="B792" t="s">
        <v>177</v>
      </c>
      <c r="C792">
        <v>23641</v>
      </c>
      <c r="D792">
        <v>354.7</v>
      </c>
      <c r="E792" t="s">
        <v>26</v>
      </c>
      <c r="F792" t="s">
        <v>27</v>
      </c>
      <c r="G792" t="s">
        <v>130</v>
      </c>
      <c r="H792" s="5"/>
      <c r="J792" t="s">
        <v>29</v>
      </c>
      <c r="K792" t="s">
        <v>30</v>
      </c>
      <c r="L792" t="s">
        <v>31</v>
      </c>
      <c r="O792">
        <f t="shared" si="5"/>
        <v>23641</v>
      </c>
      <c r="W792" s="5"/>
      <c r="X792" s="5"/>
    </row>
    <row r="793" spans="2:24" hidden="1" x14ac:dyDescent="0.25">
      <c r="B793" t="s">
        <v>177</v>
      </c>
      <c r="C793">
        <v>23567</v>
      </c>
      <c r="D793">
        <v>10748.41</v>
      </c>
      <c r="E793" t="s">
        <v>26</v>
      </c>
      <c r="F793" t="s">
        <v>27</v>
      </c>
      <c r="G793" t="s">
        <v>130</v>
      </c>
      <c r="H793" s="5"/>
      <c r="J793" t="s">
        <v>29</v>
      </c>
      <c r="K793" t="s">
        <v>30</v>
      </c>
      <c r="L793" t="s">
        <v>31</v>
      </c>
      <c r="O793">
        <f t="shared" si="5"/>
        <v>23567</v>
      </c>
      <c r="W793" s="5"/>
      <c r="X793" s="5"/>
    </row>
    <row r="794" spans="2:24" hidden="1" x14ac:dyDescent="0.25">
      <c r="B794" t="s">
        <v>177</v>
      </c>
      <c r="C794">
        <v>23616</v>
      </c>
      <c r="D794">
        <v>1934.71</v>
      </c>
      <c r="E794" t="s">
        <v>26</v>
      </c>
      <c r="F794" t="s">
        <v>27</v>
      </c>
      <c r="G794" t="s">
        <v>130</v>
      </c>
      <c r="H794" s="5"/>
      <c r="J794" t="s">
        <v>29</v>
      </c>
      <c r="K794" t="s">
        <v>30</v>
      </c>
      <c r="L794" t="s">
        <v>31</v>
      </c>
      <c r="O794">
        <f t="shared" si="5"/>
        <v>23616</v>
      </c>
      <c r="W794" s="5"/>
      <c r="X794" s="5"/>
    </row>
    <row r="795" spans="2:24" hidden="1" x14ac:dyDescent="0.25">
      <c r="B795" t="s">
        <v>177</v>
      </c>
      <c r="C795">
        <v>25684</v>
      </c>
      <c r="D795">
        <v>393874.74</v>
      </c>
      <c r="E795" t="s">
        <v>26</v>
      </c>
      <c r="F795" t="s">
        <v>27</v>
      </c>
      <c r="G795" t="s">
        <v>130</v>
      </c>
      <c r="H795" s="5"/>
      <c r="J795" t="s">
        <v>29</v>
      </c>
      <c r="K795" t="s">
        <v>30</v>
      </c>
      <c r="L795" t="s">
        <v>31</v>
      </c>
      <c r="O795">
        <f t="shared" si="5"/>
        <v>25684</v>
      </c>
      <c r="W795" s="5"/>
      <c r="X795" s="5"/>
    </row>
    <row r="796" spans="2:24" hidden="1" x14ac:dyDescent="0.25">
      <c r="B796" t="s">
        <v>177</v>
      </c>
      <c r="C796">
        <v>23648</v>
      </c>
      <c r="D796">
        <v>124.68</v>
      </c>
      <c r="E796" t="s">
        <v>26</v>
      </c>
      <c r="F796" t="s">
        <v>27</v>
      </c>
      <c r="G796" t="s">
        <v>130</v>
      </c>
      <c r="H796" s="5"/>
      <c r="J796" t="s">
        <v>29</v>
      </c>
      <c r="K796" t="s">
        <v>30</v>
      </c>
      <c r="L796" t="s">
        <v>31</v>
      </c>
      <c r="O796">
        <f t="shared" si="5"/>
        <v>23648</v>
      </c>
      <c r="W796" s="5"/>
      <c r="X796" s="5"/>
    </row>
    <row r="797" spans="2:24" hidden="1" x14ac:dyDescent="0.25">
      <c r="B797" t="s">
        <v>177</v>
      </c>
      <c r="C797">
        <v>23503</v>
      </c>
      <c r="D797">
        <v>19026.830000000002</v>
      </c>
      <c r="E797" t="s">
        <v>26</v>
      </c>
      <c r="F797" t="s">
        <v>27</v>
      </c>
      <c r="G797" t="s">
        <v>130</v>
      </c>
      <c r="H797" s="5"/>
      <c r="J797" t="s">
        <v>29</v>
      </c>
      <c r="K797" t="s">
        <v>30</v>
      </c>
      <c r="L797" t="s">
        <v>31</v>
      </c>
      <c r="O797">
        <f t="shared" si="5"/>
        <v>23503</v>
      </c>
      <c r="V797" s="6"/>
      <c r="W797" s="5"/>
      <c r="X797" s="5"/>
    </row>
    <row r="798" spans="2:24" x14ac:dyDescent="0.25">
      <c r="B798" t="s">
        <v>177</v>
      </c>
      <c r="C798">
        <v>16943</v>
      </c>
      <c r="D798">
        <v>159518.63</v>
      </c>
      <c r="E798" t="s">
        <v>26</v>
      </c>
      <c r="F798" t="s">
        <v>27</v>
      </c>
      <c r="G798" t="s">
        <v>130</v>
      </c>
      <c r="H798" s="5"/>
      <c r="J798" t="s">
        <v>29</v>
      </c>
      <c r="K798" t="s">
        <v>30</v>
      </c>
      <c r="L798" t="s">
        <v>31</v>
      </c>
      <c r="O798" t="e">
        <f t="shared" si="5"/>
        <v>#N/A</v>
      </c>
      <c r="W798" s="5"/>
      <c r="X798" s="5"/>
    </row>
    <row r="799" spans="2:24" hidden="1" x14ac:dyDescent="0.25">
      <c r="B799" t="s">
        <v>177</v>
      </c>
      <c r="C799">
        <v>2100176174</v>
      </c>
      <c r="D799">
        <v>96900</v>
      </c>
      <c r="E799" t="s">
        <v>26</v>
      </c>
      <c r="F799" t="s">
        <v>27</v>
      </c>
      <c r="G799" t="s">
        <v>130</v>
      </c>
      <c r="H799" s="5"/>
      <c r="J799" t="s">
        <v>589</v>
      </c>
      <c r="K799" t="s">
        <v>30</v>
      </c>
      <c r="L799" t="s">
        <v>31</v>
      </c>
      <c r="O799">
        <f t="shared" si="5"/>
        <v>2100176174</v>
      </c>
      <c r="W799" s="5"/>
      <c r="X799" s="5"/>
    </row>
    <row r="800" spans="2:24" hidden="1" x14ac:dyDescent="0.25">
      <c r="B800" t="s">
        <v>177</v>
      </c>
      <c r="C800">
        <v>25702</v>
      </c>
      <c r="D800">
        <v>331271.03999999998</v>
      </c>
      <c r="E800" t="s">
        <v>26</v>
      </c>
      <c r="F800" t="s">
        <v>27</v>
      </c>
      <c r="G800" t="s">
        <v>130</v>
      </c>
      <c r="H800" s="5"/>
      <c r="J800" t="s">
        <v>29</v>
      </c>
      <c r="K800" t="s">
        <v>30</v>
      </c>
      <c r="L800" t="s">
        <v>31</v>
      </c>
      <c r="O800">
        <f t="shared" si="5"/>
        <v>25702</v>
      </c>
      <c r="W800" s="5"/>
      <c r="X800" s="5"/>
    </row>
    <row r="801" spans="2:24" hidden="1" x14ac:dyDescent="0.25">
      <c r="B801" t="s">
        <v>177</v>
      </c>
      <c r="C801">
        <v>23619</v>
      </c>
      <c r="D801">
        <v>580.41</v>
      </c>
      <c r="E801" t="s">
        <v>26</v>
      </c>
      <c r="F801" t="s">
        <v>27</v>
      </c>
      <c r="G801" t="s">
        <v>130</v>
      </c>
      <c r="H801" s="5"/>
      <c r="J801" t="s">
        <v>29</v>
      </c>
      <c r="K801" t="s">
        <v>30</v>
      </c>
      <c r="L801" t="s">
        <v>31</v>
      </c>
      <c r="O801">
        <f t="shared" si="5"/>
        <v>23619</v>
      </c>
      <c r="W801" s="5"/>
      <c r="X801" s="5"/>
    </row>
    <row r="802" spans="2:24" hidden="1" x14ac:dyDescent="0.25">
      <c r="B802" t="s">
        <v>177</v>
      </c>
      <c r="C802">
        <v>9001791600</v>
      </c>
      <c r="D802">
        <v>53550</v>
      </c>
      <c r="E802" t="s">
        <v>26</v>
      </c>
      <c r="F802" t="s">
        <v>27</v>
      </c>
      <c r="G802" t="s">
        <v>130</v>
      </c>
      <c r="H802" s="5"/>
      <c r="J802" t="s">
        <v>29</v>
      </c>
      <c r="K802" t="s">
        <v>30</v>
      </c>
      <c r="L802" t="s">
        <v>31</v>
      </c>
      <c r="O802">
        <f t="shared" si="5"/>
        <v>9001791600</v>
      </c>
      <c r="W802" s="5"/>
      <c r="X802" s="5"/>
    </row>
    <row r="803" spans="2:24" hidden="1" x14ac:dyDescent="0.25">
      <c r="B803" t="s">
        <v>177</v>
      </c>
      <c r="C803">
        <v>25685</v>
      </c>
      <c r="D803">
        <v>428214.09</v>
      </c>
      <c r="E803" t="s">
        <v>26</v>
      </c>
      <c r="F803" t="s">
        <v>27</v>
      </c>
      <c r="G803" t="s">
        <v>130</v>
      </c>
      <c r="H803" s="5"/>
      <c r="J803" t="s">
        <v>29</v>
      </c>
      <c r="K803" t="s">
        <v>30</v>
      </c>
      <c r="L803" t="s">
        <v>31</v>
      </c>
      <c r="O803">
        <f t="shared" si="5"/>
        <v>25685</v>
      </c>
      <c r="W803" s="5"/>
      <c r="X803" s="5"/>
    </row>
    <row r="804" spans="2:24" hidden="1" x14ac:dyDescent="0.25">
      <c r="B804" t="s">
        <v>177</v>
      </c>
      <c r="C804">
        <v>20789</v>
      </c>
      <c r="D804">
        <v>111038.49</v>
      </c>
      <c r="E804" t="s">
        <v>26</v>
      </c>
      <c r="F804" t="s">
        <v>27</v>
      </c>
      <c r="G804" t="s">
        <v>130</v>
      </c>
      <c r="H804" s="5"/>
      <c r="J804" t="s">
        <v>29</v>
      </c>
      <c r="K804" t="s">
        <v>30</v>
      </c>
      <c r="L804" t="s">
        <v>31</v>
      </c>
      <c r="O804">
        <f t="shared" si="5"/>
        <v>20789</v>
      </c>
      <c r="W804" s="5"/>
      <c r="X804" s="5"/>
    </row>
    <row r="805" spans="2:24" hidden="1" x14ac:dyDescent="0.25">
      <c r="B805" t="s">
        <v>177</v>
      </c>
      <c r="C805">
        <v>23528</v>
      </c>
      <c r="D805">
        <v>9784.2800000000007</v>
      </c>
      <c r="E805" t="s">
        <v>26</v>
      </c>
      <c r="F805" t="s">
        <v>27</v>
      </c>
      <c r="G805" t="s">
        <v>130</v>
      </c>
      <c r="H805" s="5"/>
      <c r="J805" t="s">
        <v>29</v>
      </c>
      <c r="K805" t="s">
        <v>30</v>
      </c>
      <c r="L805" t="s">
        <v>31</v>
      </c>
      <c r="O805">
        <f t="shared" si="5"/>
        <v>23528</v>
      </c>
      <c r="W805" s="5"/>
      <c r="X805" s="5"/>
    </row>
    <row r="806" spans="2:24" hidden="1" x14ac:dyDescent="0.25">
      <c r="B806" t="s">
        <v>177</v>
      </c>
      <c r="C806">
        <v>23576</v>
      </c>
      <c r="D806">
        <v>10748.41</v>
      </c>
      <c r="E806" t="s">
        <v>26</v>
      </c>
      <c r="F806" t="s">
        <v>27</v>
      </c>
      <c r="G806" t="s">
        <v>130</v>
      </c>
      <c r="H806" s="5"/>
      <c r="J806" t="s">
        <v>29</v>
      </c>
      <c r="K806" t="s">
        <v>30</v>
      </c>
      <c r="L806" t="s">
        <v>31</v>
      </c>
      <c r="O806">
        <f t="shared" si="5"/>
        <v>23576</v>
      </c>
      <c r="W806" s="5"/>
      <c r="X806" s="5"/>
    </row>
    <row r="807" spans="2:24" x14ac:dyDescent="0.25">
      <c r="B807" t="s">
        <v>177</v>
      </c>
      <c r="C807">
        <v>2101611677</v>
      </c>
      <c r="D807">
        <v>79884.41</v>
      </c>
      <c r="E807" t="s">
        <v>26</v>
      </c>
      <c r="F807" t="s">
        <v>27</v>
      </c>
      <c r="G807" t="s">
        <v>130</v>
      </c>
      <c r="H807" s="5"/>
      <c r="J807" t="s">
        <v>29</v>
      </c>
      <c r="K807" t="s">
        <v>30</v>
      </c>
      <c r="L807" t="s">
        <v>31</v>
      </c>
      <c r="O807" t="e">
        <f t="shared" si="5"/>
        <v>#N/A</v>
      </c>
      <c r="W807" s="5"/>
      <c r="X807" s="5"/>
    </row>
    <row r="808" spans="2:24" x14ac:dyDescent="0.25">
      <c r="B808" t="s">
        <v>177</v>
      </c>
      <c r="C808">
        <v>1015824</v>
      </c>
      <c r="D808">
        <v>69504.28</v>
      </c>
      <c r="E808" t="s">
        <v>26</v>
      </c>
      <c r="F808" t="s">
        <v>27</v>
      </c>
      <c r="G808" t="s">
        <v>130</v>
      </c>
      <c r="H808" s="5"/>
      <c r="J808" t="s">
        <v>29</v>
      </c>
      <c r="K808" t="s">
        <v>30</v>
      </c>
      <c r="L808" t="s">
        <v>31</v>
      </c>
      <c r="O808" t="e">
        <f t="shared" si="5"/>
        <v>#N/A</v>
      </c>
      <c r="W808" s="5"/>
      <c r="X808" s="5"/>
    </row>
    <row r="809" spans="2:24" x14ac:dyDescent="0.25">
      <c r="B809" t="s">
        <v>177</v>
      </c>
      <c r="C809">
        <v>23758</v>
      </c>
      <c r="D809">
        <v>17182.59</v>
      </c>
      <c r="E809" t="s">
        <v>26</v>
      </c>
      <c r="F809" t="s">
        <v>27</v>
      </c>
      <c r="G809" t="s">
        <v>130</v>
      </c>
      <c r="H809" s="5"/>
      <c r="J809" t="s">
        <v>29</v>
      </c>
      <c r="K809" t="s">
        <v>30</v>
      </c>
      <c r="L809" t="s">
        <v>31</v>
      </c>
      <c r="O809" t="e">
        <f t="shared" si="5"/>
        <v>#N/A</v>
      </c>
      <c r="W809" s="5"/>
      <c r="X809" s="5"/>
    </row>
    <row r="810" spans="2:24" hidden="1" x14ac:dyDescent="0.25">
      <c r="B810" t="s">
        <v>177</v>
      </c>
      <c r="C810">
        <v>27081</v>
      </c>
      <c r="D810">
        <v>81905.600000000006</v>
      </c>
      <c r="E810" t="s">
        <v>26</v>
      </c>
      <c r="F810" t="s">
        <v>27</v>
      </c>
      <c r="G810" t="s">
        <v>130</v>
      </c>
      <c r="H810" s="5"/>
      <c r="J810" t="s">
        <v>29</v>
      </c>
      <c r="K810" t="s">
        <v>30</v>
      </c>
      <c r="L810" t="s">
        <v>31</v>
      </c>
      <c r="O810">
        <f t="shared" si="5"/>
        <v>27081</v>
      </c>
      <c r="W810" s="5"/>
      <c r="X810" s="5"/>
    </row>
    <row r="811" spans="2:24" hidden="1" x14ac:dyDescent="0.25">
      <c r="B811" t="s">
        <v>177</v>
      </c>
      <c r="C811">
        <v>26511</v>
      </c>
      <c r="D811">
        <v>141372.85999999999</v>
      </c>
      <c r="E811" t="s">
        <v>26</v>
      </c>
      <c r="F811" t="s">
        <v>27</v>
      </c>
      <c r="G811" t="s">
        <v>130</v>
      </c>
      <c r="H811" s="5"/>
      <c r="J811" t="s">
        <v>29</v>
      </c>
      <c r="K811" t="s">
        <v>30</v>
      </c>
      <c r="L811" t="s">
        <v>31</v>
      </c>
      <c r="O811">
        <f t="shared" si="5"/>
        <v>26511</v>
      </c>
      <c r="W811" s="5"/>
      <c r="X811" s="5"/>
    </row>
    <row r="812" spans="2:24" hidden="1" x14ac:dyDescent="0.25">
      <c r="B812" t="s">
        <v>177</v>
      </c>
      <c r="C812">
        <v>23515</v>
      </c>
      <c r="D812">
        <v>94109.61</v>
      </c>
      <c r="E812" t="s">
        <v>26</v>
      </c>
      <c r="F812" t="s">
        <v>27</v>
      </c>
      <c r="G812" t="s">
        <v>130</v>
      </c>
      <c r="H812" s="5"/>
      <c r="J812" t="s">
        <v>29</v>
      </c>
      <c r="K812" t="s">
        <v>30</v>
      </c>
      <c r="L812" t="s">
        <v>31</v>
      </c>
      <c r="O812">
        <f t="shared" si="5"/>
        <v>23515</v>
      </c>
      <c r="W812" s="5"/>
      <c r="X812" s="5"/>
    </row>
    <row r="813" spans="2:24" hidden="1" x14ac:dyDescent="0.25">
      <c r="B813" t="s">
        <v>177</v>
      </c>
      <c r="C813">
        <v>23663</v>
      </c>
      <c r="D813">
        <v>52101.81</v>
      </c>
      <c r="E813" t="s">
        <v>26</v>
      </c>
      <c r="F813" t="s">
        <v>27</v>
      </c>
      <c r="G813" t="s">
        <v>130</v>
      </c>
      <c r="H813" s="5"/>
      <c r="J813" t="s">
        <v>29</v>
      </c>
      <c r="K813" t="s">
        <v>30</v>
      </c>
      <c r="L813" t="s">
        <v>31</v>
      </c>
      <c r="O813">
        <f t="shared" si="5"/>
        <v>23663</v>
      </c>
      <c r="W813" s="5"/>
      <c r="X813" s="5"/>
    </row>
    <row r="814" spans="2:24" hidden="1" x14ac:dyDescent="0.25">
      <c r="B814" t="s">
        <v>177</v>
      </c>
      <c r="C814">
        <v>23545</v>
      </c>
      <c r="D814">
        <v>13435.51</v>
      </c>
      <c r="E814" t="s">
        <v>26</v>
      </c>
      <c r="F814" t="s">
        <v>27</v>
      </c>
      <c r="G814" t="s">
        <v>130</v>
      </c>
      <c r="H814" s="5"/>
      <c r="J814" t="s">
        <v>29</v>
      </c>
      <c r="K814" t="s">
        <v>30</v>
      </c>
      <c r="L814" t="s">
        <v>31</v>
      </c>
      <c r="O814">
        <f t="shared" si="5"/>
        <v>23545</v>
      </c>
      <c r="W814" s="5"/>
      <c r="X814" s="5"/>
    </row>
    <row r="815" spans="2:24" hidden="1" x14ac:dyDescent="0.25">
      <c r="B815" t="s">
        <v>177</v>
      </c>
      <c r="C815">
        <v>24378</v>
      </c>
      <c r="D815">
        <v>14495.74</v>
      </c>
      <c r="E815" t="s">
        <v>26</v>
      </c>
      <c r="F815" t="s">
        <v>27</v>
      </c>
      <c r="G815" t="s">
        <v>130</v>
      </c>
      <c r="H815" s="5"/>
      <c r="J815" t="s">
        <v>29</v>
      </c>
      <c r="K815" t="s">
        <v>30</v>
      </c>
      <c r="L815" t="s">
        <v>31</v>
      </c>
      <c r="O815">
        <f t="shared" si="5"/>
        <v>24378</v>
      </c>
      <c r="W815" s="5"/>
      <c r="X815" s="5"/>
    </row>
    <row r="816" spans="2:24" hidden="1" x14ac:dyDescent="0.25">
      <c r="B816" t="s">
        <v>177</v>
      </c>
      <c r="C816">
        <v>25602</v>
      </c>
      <c r="D816">
        <v>58360.32</v>
      </c>
      <c r="E816" t="s">
        <v>26</v>
      </c>
      <c r="F816" t="s">
        <v>27</v>
      </c>
      <c r="G816" t="s">
        <v>130</v>
      </c>
      <c r="H816" s="5"/>
      <c r="J816" t="s">
        <v>29</v>
      </c>
      <c r="K816" t="s">
        <v>30</v>
      </c>
      <c r="L816" t="s">
        <v>31</v>
      </c>
      <c r="O816">
        <f t="shared" si="5"/>
        <v>25602</v>
      </c>
      <c r="W816" s="5"/>
      <c r="X816" s="5"/>
    </row>
    <row r="817" spans="2:24" hidden="1" x14ac:dyDescent="0.25">
      <c r="B817" t="s">
        <v>177</v>
      </c>
      <c r="C817">
        <v>23512</v>
      </c>
      <c r="D817">
        <v>91143.34</v>
      </c>
      <c r="E817" t="s">
        <v>26</v>
      </c>
      <c r="F817" t="s">
        <v>27</v>
      </c>
      <c r="G817" t="s">
        <v>130</v>
      </c>
      <c r="H817" s="5"/>
      <c r="J817" t="s">
        <v>29</v>
      </c>
      <c r="K817" t="s">
        <v>30</v>
      </c>
      <c r="L817" t="s">
        <v>31</v>
      </c>
      <c r="O817">
        <f t="shared" ref="O817:O862" si="6">VLOOKUP(C817,$Q$18:$Q$421,1,FALSE)</f>
        <v>23512</v>
      </c>
      <c r="W817" s="5"/>
      <c r="X817" s="5"/>
    </row>
    <row r="818" spans="2:24" hidden="1" x14ac:dyDescent="0.25">
      <c r="B818" t="s">
        <v>177</v>
      </c>
      <c r="C818">
        <v>24279</v>
      </c>
      <c r="D818">
        <v>381890.11</v>
      </c>
      <c r="E818" t="s">
        <v>26</v>
      </c>
      <c r="F818" t="s">
        <v>27</v>
      </c>
      <c r="G818" t="s">
        <v>130</v>
      </c>
      <c r="H818" s="5"/>
      <c r="J818" t="s">
        <v>29</v>
      </c>
      <c r="K818" t="s">
        <v>30</v>
      </c>
      <c r="L818" t="s">
        <v>31</v>
      </c>
      <c r="O818">
        <f t="shared" si="6"/>
        <v>24279</v>
      </c>
      <c r="W818" s="5"/>
      <c r="X818" s="5"/>
    </row>
    <row r="819" spans="2:24" hidden="1" x14ac:dyDescent="0.25">
      <c r="B819" t="s">
        <v>177</v>
      </c>
      <c r="C819">
        <v>23542</v>
      </c>
      <c r="D819">
        <v>13435.51</v>
      </c>
      <c r="E819" t="s">
        <v>26</v>
      </c>
      <c r="F819" t="s">
        <v>27</v>
      </c>
      <c r="G819" t="s">
        <v>130</v>
      </c>
      <c r="H819" s="5"/>
      <c r="J819" t="s">
        <v>29</v>
      </c>
      <c r="K819" t="s">
        <v>30</v>
      </c>
      <c r="L819" t="s">
        <v>31</v>
      </c>
      <c r="O819">
        <f t="shared" si="6"/>
        <v>23542</v>
      </c>
      <c r="W819" s="5"/>
      <c r="X819" s="5"/>
    </row>
    <row r="820" spans="2:24" x14ac:dyDescent="0.25">
      <c r="B820" t="s">
        <v>177</v>
      </c>
      <c r="C820">
        <v>27065</v>
      </c>
      <c r="D820">
        <v>31120.560000000001</v>
      </c>
      <c r="E820" t="s">
        <v>26</v>
      </c>
      <c r="F820" t="s">
        <v>27</v>
      </c>
      <c r="G820" t="s">
        <v>130</v>
      </c>
      <c r="H820" s="5"/>
      <c r="J820" t="s">
        <v>29</v>
      </c>
      <c r="K820" t="s">
        <v>30</v>
      </c>
      <c r="L820" t="s">
        <v>31</v>
      </c>
      <c r="O820" t="e">
        <f t="shared" si="6"/>
        <v>#N/A</v>
      </c>
      <c r="W820" s="5"/>
      <c r="X820" s="5"/>
    </row>
    <row r="821" spans="2:24" hidden="1" x14ac:dyDescent="0.25">
      <c r="B821" t="s">
        <v>177</v>
      </c>
      <c r="C821">
        <v>23623</v>
      </c>
      <c r="D821">
        <v>615.88</v>
      </c>
      <c r="E821" t="s">
        <v>26</v>
      </c>
      <c r="F821" t="s">
        <v>27</v>
      </c>
      <c r="G821" t="s">
        <v>130</v>
      </c>
      <c r="H821" s="5"/>
      <c r="J821" t="s">
        <v>29</v>
      </c>
      <c r="K821" t="s">
        <v>30</v>
      </c>
      <c r="L821" t="s">
        <v>31</v>
      </c>
      <c r="O821">
        <f t="shared" si="6"/>
        <v>23623</v>
      </c>
      <c r="W821" s="5"/>
      <c r="X821" s="5"/>
    </row>
    <row r="822" spans="2:24" x14ac:dyDescent="0.25">
      <c r="B822" t="s">
        <v>177</v>
      </c>
      <c r="C822" t="s">
        <v>166</v>
      </c>
      <c r="D822">
        <v>130000</v>
      </c>
      <c r="E822" t="s">
        <v>26</v>
      </c>
      <c r="F822" t="s">
        <v>27</v>
      </c>
      <c r="G822" t="s">
        <v>130</v>
      </c>
      <c r="H822" s="5"/>
      <c r="J822" t="s">
        <v>29</v>
      </c>
      <c r="K822" t="s">
        <v>30</v>
      </c>
      <c r="L822" t="s">
        <v>31</v>
      </c>
      <c r="O822" t="e">
        <f t="shared" si="6"/>
        <v>#N/A</v>
      </c>
      <c r="W822" s="5"/>
      <c r="X822" s="5"/>
    </row>
    <row r="823" spans="2:24" hidden="1" x14ac:dyDescent="0.25">
      <c r="B823" t="s">
        <v>177</v>
      </c>
      <c r="C823">
        <v>7400196620</v>
      </c>
      <c r="D823">
        <v>46907.19</v>
      </c>
      <c r="E823" t="s">
        <v>26</v>
      </c>
      <c r="F823" t="s">
        <v>27</v>
      </c>
      <c r="G823" t="s">
        <v>130</v>
      </c>
      <c r="H823" s="5"/>
      <c r="J823" t="s">
        <v>29</v>
      </c>
      <c r="K823" t="s">
        <v>30</v>
      </c>
      <c r="L823" t="s">
        <v>31</v>
      </c>
      <c r="O823">
        <f t="shared" si="6"/>
        <v>7400196620</v>
      </c>
      <c r="W823" s="5"/>
      <c r="X823" s="5"/>
    </row>
    <row r="824" spans="2:24" x14ac:dyDescent="0.25">
      <c r="B824" t="s">
        <v>177</v>
      </c>
      <c r="C824">
        <v>24368</v>
      </c>
      <c r="D824">
        <v>9117.99</v>
      </c>
      <c r="E824" t="s">
        <v>26</v>
      </c>
      <c r="F824" t="s">
        <v>27</v>
      </c>
      <c r="G824" t="s">
        <v>130</v>
      </c>
      <c r="H824" s="5"/>
      <c r="J824" t="s">
        <v>29</v>
      </c>
      <c r="K824" t="s">
        <v>30</v>
      </c>
      <c r="L824" t="s">
        <v>31</v>
      </c>
      <c r="O824" t="e">
        <f t="shared" si="6"/>
        <v>#N/A</v>
      </c>
      <c r="V824" s="6"/>
      <c r="W824" s="5"/>
      <c r="X824" s="5"/>
    </row>
    <row r="825" spans="2:24" hidden="1" x14ac:dyDescent="0.25">
      <c r="B825" t="s">
        <v>177</v>
      </c>
      <c r="C825">
        <v>27006</v>
      </c>
      <c r="D825">
        <v>38336.32</v>
      </c>
      <c r="E825" t="s">
        <v>26</v>
      </c>
      <c r="F825" t="s">
        <v>27</v>
      </c>
      <c r="G825" t="s">
        <v>130</v>
      </c>
      <c r="H825" s="5"/>
      <c r="J825" t="s">
        <v>29</v>
      </c>
      <c r="K825" t="s">
        <v>30</v>
      </c>
      <c r="L825" t="s">
        <v>31</v>
      </c>
      <c r="O825">
        <f t="shared" si="6"/>
        <v>27006</v>
      </c>
      <c r="W825" s="5"/>
      <c r="X825" s="5"/>
    </row>
    <row r="826" spans="2:24" hidden="1" x14ac:dyDescent="0.25">
      <c r="B826" t="s">
        <v>177</v>
      </c>
      <c r="C826">
        <v>23571</v>
      </c>
      <c r="D826">
        <v>10748.41</v>
      </c>
      <c r="E826" t="s">
        <v>26</v>
      </c>
      <c r="F826" t="s">
        <v>27</v>
      </c>
      <c r="G826" t="s">
        <v>130</v>
      </c>
      <c r="J826" t="s">
        <v>29</v>
      </c>
      <c r="K826" t="s">
        <v>30</v>
      </c>
      <c r="L826" t="s">
        <v>31</v>
      </c>
      <c r="O826">
        <f t="shared" si="6"/>
        <v>23571</v>
      </c>
    </row>
    <row r="827" spans="2:24" hidden="1" x14ac:dyDescent="0.25">
      <c r="B827" t="s">
        <v>177</v>
      </c>
      <c r="C827">
        <v>23585</v>
      </c>
      <c r="D827">
        <v>2713.97</v>
      </c>
      <c r="E827" t="s">
        <v>26</v>
      </c>
      <c r="F827" t="s">
        <v>27</v>
      </c>
      <c r="G827" t="s">
        <v>130</v>
      </c>
      <c r="J827" t="s">
        <v>29</v>
      </c>
      <c r="K827" t="s">
        <v>30</v>
      </c>
      <c r="L827" t="s">
        <v>31</v>
      </c>
      <c r="O827">
        <f t="shared" si="6"/>
        <v>23585</v>
      </c>
    </row>
    <row r="828" spans="2:24" hidden="1" x14ac:dyDescent="0.25">
      <c r="B828" t="s">
        <v>177</v>
      </c>
      <c r="C828">
        <v>23659</v>
      </c>
      <c r="D828">
        <v>52622.67</v>
      </c>
      <c r="E828" t="s">
        <v>26</v>
      </c>
      <c r="F828" t="s">
        <v>27</v>
      </c>
      <c r="G828" t="s">
        <v>130</v>
      </c>
      <c r="J828" t="s">
        <v>29</v>
      </c>
      <c r="K828" t="s">
        <v>30</v>
      </c>
      <c r="L828" t="s">
        <v>31</v>
      </c>
      <c r="O828">
        <f t="shared" si="6"/>
        <v>23659</v>
      </c>
    </row>
    <row r="829" spans="2:24" hidden="1" x14ac:dyDescent="0.25">
      <c r="B829" t="s">
        <v>177</v>
      </c>
      <c r="C829">
        <v>23610</v>
      </c>
      <c r="D829">
        <v>1860.55</v>
      </c>
      <c r="E829" t="s">
        <v>26</v>
      </c>
      <c r="F829" t="s">
        <v>27</v>
      </c>
      <c r="G829" t="s">
        <v>130</v>
      </c>
      <c r="J829" t="s">
        <v>29</v>
      </c>
      <c r="K829" t="s">
        <v>30</v>
      </c>
      <c r="L829" t="s">
        <v>31</v>
      </c>
      <c r="O829">
        <f t="shared" si="6"/>
        <v>23610</v>
      </c>
    </row>
    <row r="830" spans="2:24" hidden="1" x14ac:dyDescent="0.25">
      <c r="B830" t="s">
        <v>177</v>
      </c>
      <c r="C830">
        <v>7400374370</v>
      </c>
      <c r="D830">
        <v>35733.86</v>
      </c>
      <c r="E830" t="s">
        <v>26</v>
      </c>
      <c r="F830" t="s">
        <v>27</v>
      </c>
      <c r="G830" t="s">
        <v>130</v>
      </c>
      <c r="J830" t="s">
        <v>29</v>
      </c>
      <c r="K830" t="s">
        <v>30</v>
      </c>
      <c r="L830" t="s">
        <v>31</v>
      </c>
      <c r="O830">
        <f t="shared" si="6"/>
        <v>7400374370</v>
      </c>
    </row>
    <row r="831" spans="2:24" hidden="1" x14ac:dyDescent="0.25">
      <c r="B831" t="s">
        <v>177</v>
      </c>
      <c r="C831">
        <v>23640</v>
      </c>
      <c r="D831">
        <v>321.38</v>
      </c>
      <c r="E831" t="s">
        <v>26</v>
      </c>
      <c r="F831" t="s">
        <v>27</v>
      </c>
      <c r="G831" t="s">
        <v>130</v>
      </c>
      <c r="J831" t="s">
        <v>29</v>
      </c>
      <c r="K831" t="s">
        <v>30</v>
      </c>
      <c r="L831" t="s">
        <v>31</v>
      </c>
      <c r="O831">
        <f t="shared" si="6"/>
        <v>23640</v>
      </c>
    </row>
    <row r="832" spans="2:24" hidden="1" x14ac:dyDescent="0.25">
      <c r="B832" t="s">
        <v>177</v>
      </c>
      <c r="C832">
        <v>23494</v>
      </c>
      <c r="D832">
        <v>26563.62</v>
      </c>
      <c r="E832" t="s">
        <v>26</v>
      </c>
      <c r="F832" t="s">
        <v>27</v>
      </c>
      <c r="G832" t="s">
        <v>130</v>
      </c>
      <c r="J832" t="s">
        <v>29</v>
      </c>
      <c r="K832" t="s">
        <v>30</v>
      </c>
      <c r="L832" t="s">
        <v>31</v>
      </c>
      <c r="O832">
        <f t="shared" si="6"/>
        <v>23494</v>
      </c>
    </row>
    <row r="833" spans="2:15" hidden="1" x14ac:dyDescent="0.25">
      <c r="B833" t="s">
        <v>177</v>
      </c>
      <c r="C833">
        <v>24175</v>
      </c>
      <c r="D833">
        <v>559555.30000000005</v>
      </c>
      <c r="E833" t="s">
        <v>26</v>
      </c>
      <c r="F833" t="s">
        <v>27</v>
      </c>
      <c r="G833" t="s">
        <v>130</v>
      </c>
      <c r="J833" t="s">
        <v>29</v>
      </c>
      <c r="K833" t="s">
        <v>30</v>
      </c>
      <c r="L833" t="s">
        <v>31</v>
      </c>
      <c r="O833">
        <f t="shared" si="6"/>
        <v>24175</v>
      </c>
    </row>
    <row r="834" spans="2:15" hidden="1" x14ac:dyDescent="0.25">
      <c r="B834" t="s">
        <v>177</v>
      </c>
      <c r="C834">
        <v>23491</v>
      </c>
      <c r="D834">
        <v>26315.33</v>
      </c>
      <c r="E834" t="s">
        <v>26</v>
      </c>
      <c r="F834" t="s">
        <v>27</v>
      </c>
      <c r="G834" t="s">
        <v>130</v>
      </c>
      <c r="J834" t="s">
        <v>29</v>
      </c>
      <c r="K834" t="s">
        <v>30</v>
      </c>
      <c r="L834" t="s">
        <v>31</v>
      </c>
      <c r="O834">
        <f t="shared" si="6"/>
        <v>23491</v>
      </c>
    </row>
    <row r="835" spans="2:15" hidden="1" x14ac:dyDescent="0.25">
      <c r="B835" t="s">
        <v>177</v>
      </c>
      <c r="C835">
        <v>23645</v>
      </c>
      <c r="D835">
        <v>266.56</v>
      </c>
      <c r="E835" t="s">
        <v>26</v>
      </c>
      <c r="F835" t="s">
        <v>27</v>
      </c>
      <c r="G835" t="s">
        <v>130</v>
      </c>
      <c r="J835" t="s">
        <v>29</v>
      </c>
      <c r="K835" t="s">
        <v>30</v>
      </c>
      <c r="L835" t="s">
        <v>31</v>
      </c>
      <c r="O835">
        <f t="shared" si="6"/>
        <v>23645</v>
      </c>
    </row>
    <row r="836" spans="2:15" hidden="1" x14ac:dyDescent="0.25">
      <c r="B836" t="s">
        <v>177</v>
      </c>
      <c r="C836">
        <v>19156</v>
      </c>
      <c r="D836">
        <v>1334.65</v>
      </c>
      <c r="E836" t="s">
        <v>26</v>
      </c>
      <c r="F836" t="s">
        <v>27</v>
      </c>
      <c r="G836" t="s">
        <v>130</v>
      </c>
      <c r="J836" t="s">
        <v>29</v>
      </c>
      <c r="K836" t="s">
        <v>30</v>
      </c>
      <c r="L836" t="s">
        <v>31</v>
      </c>
      <c r="O836">
        <f t="shared" si="6"/>
        <v>19156</v>
      </c>
    </row>
    <row r="837" spans="2:15" hidden="1" x14ac:dyDescent="0.25">
      <c r="B837" t="s">
        <v>177</v>
      </c>
      <c r="C837">
        <v>23486</v>
      </c>
      <c r="D837">
        <v>22229.86</v>
      </c>
      <c r="E837" t="s">
        <v>26</v>
      </c>
      <c r="F837" t="s">
        <v>27</v>
      </c>
      <c r="G837" t="s">
        <v>130</v>
      </c>
      <c r="J837" t="s">
        <v>29</v>
      </c>
      <c r="K837" t="s">
        <v>30</v>
      </c>
      <c r="L837" t="s">
        <v>31</v>
      </c>
      <c r="O837">
        <f t="shared" si="6"/>
        <v>23486</v>
      </c>
    </row>
    <row r="838" spans="2:15" hidden="1" x14ac:dyDescent="0.25">
      <c r="B838" t="s">
        <v>177</v>
      </c>
      <c r="C838">
        <v>23574</v>
      </c>
      <c r="D838">
        <v>13435.51</v>
      </c>
      <c r="E838" t="s">
        <v>26</v>
      </c>
      <c r="F838" t="s">
        <v>27</v>
      </c>
      <c r="G838" t="s">
        <v>130</v>
      </c>
      <c r="J838" t="s">
        <v>29</v>
      </c>
      <c r="K838" t="s">
        <v>30</v>
      </c>
      <c r="L838" t="s">
        <v>31</v>
      </c>
      <c r="O838">
        <f t="shared" si="6"/>
        <v>23574</v>
      </c>
    </row>
    <row r="839" spans="2:15" hidden="1" x14ac:dyDescent="0.25">
      <c r="B839" t="s">
        <v>177</v>
      </c>
      <c r="C839">
        <v>23488</v>
      </c>
      <c r="D839">
        <v>22229.86</v>
      </c>
      <c r="E839" t="s">
        <v>26</v>
      </c>
      <c r="F839" t="s">
        <v>27</v>
      </c>
      <c r="G839" t="s">
        <v>130</v>
      </c>
      <c r="J839" t="s">
        <v>29</v>
      </c>
      <c r="K839" t="s">
        <v>30</v>
      </c>
      <c r="L839" t="s">
        <v>31</v>
      </c>
      <c r="O839">
        <f t="shared" si="6"/>
        <v>23488</v>
      </c>
    </row>
    <row r="840" spans="2:15" hidden="1" x14ac:dyDescent="0.25">
      <c r="B840" t="s">
        <v>177</v>
      </c>
      <c r="C840">
        <v>23602</v>
      </c>
      <c r="D840">
        <v>10748.41</v>
      </c>
      <c r="E840" t="s">
        <v>26</v>
      </c>
      <c r="F840" t="s">
        <v>27</v>
      </c>
      <c r="G840" t="s">
        <v>130</v>
      </c>
      <c r="J840" t="s">
        <v>29</v>
      </c>
      <c r="K840" t="s">
        <v>30</v>
      </c>
      <c r="L840" t="s">
        <v>31</v>
      </c>
      <c r="O840">
        <f t="shared" si="6"/>
        <v>23602</v>
      </c>
    </row>
    <row r="841" spans="2:15" x14ac:dyDescent="0.25">
      <c r="B841" t="s">
        <v>177</v>
      </c>
      <c r="C841">
        <v>27079</v>
      </c>
      <c r="D841">
        <v>59183.13</v>
      </c>
      <c r="E841" t="s">
        <v>26</v>
      </c>
      <c r="F841" t="s">
        <v>27</v>
      </c>
      <c r="G841" t="s">
        <v>130</v>
      </c>
      <c r="J841" t="s">
        <v>29</v>
      </c>
      <c r="K841" t="s">
        <v>30</v>
      </c>
      <c r="L841" t="s">
        <v>31</v>
      </c>
      <c r="O841" t="e">
        <f t="shared" si="6"/>
        <v>#N/A</v>
      </c>
    </row>
    <row r="842" spans="2:15" x14ac:dyDescent="0.25">
      <c r="B842" t="s">
        <v>177</v>
      </c>
      <c r="C842">
        <v>24333</v>
      </c>
      <c r="D842">
        <v>7564.67</v>
      </c>
      <c r="E842" t="s">
        <v>26</v>
      </c>
      <c r="F842" t="s">
        <v>27</v>
      </c>
      <c r="G842" t="s">
        <v>130</v>
      </c>
      <c r="J842" t="s">
        <v>29</v>
      </c>
      <c r="K842" t="s">
        <v>30</v>
      </c>
      <c r="L842" t="s">
        <v>31</v>
      </c>
      <c r="O842" t="e">
        <f t="shared" si="6"/>
        <v>#N/A</v>
      </c>
    </row>
    <row r="843" spans="2:15" x14ac:dyDescent="0.25">
      <c r="B843" t="s">
        <v>177</v>
      </c>
      <c r="C843">
        <v>2101001690</v>
      </c>
      <c r="D843">
        <v>46145.37</v>
      </c>
      <c r="E843" t="s">
        <v>26</v>
      </c>
      <c r="F843" t="s">
        <v>27</v>
      </c>
      <c r="G843" t="s">
        <v>130</v>
      </c>
      <c r="J843" t="s">
        <v>29</v>
      </c>
      <c r="K843" t="s">
        <v>30</v>
      </c>
      <c r="L843" t="s">
        <v>31</v>
      </c>
      <c r="O843" t="e">
        <f t="shared" si="6"/>
        <v>#N/A</v>
      </c>
    </row>
    <row r="844" spans="2:15" hidden="1" x14ac:dyDescent="0.25">
      <c r="B844" t="s">
        <v>177</v>
      </c>
      <c r="C844">
        <v>18760</v>
      </c>
      <c r="D844">
        <v>139353.57</v>
      </c>
      <c r="E844" t="s">
        <v>26</v>
      </c>
      <c r="F844" t="s">
        <v>27</v>
      </c>
      <c r="G844" t="s">
        <v>130</v>
      </c>
      <c r="J844" t="s">
        <v>29</v>
      </c>
      <c r="K844" t="s">
        <v>30</v>
      </c>
      <c r="L844" t="s">
        <v>31</v>
      </c>
      <c r="O844">
        <f t="shared" si="6"/>
        <v>18760</v>
      </c>
    </row>
    <row r="845" spans="2:15" hidden="1" x14ac:dyDescent="0.25">
      <c r="B845" t="s">
        <v>177</v>
      </c>
      <c r="C845">
        <v>23720</v>
      </c>
      <c r="D845">
        <v>1575835.52</v>
      </c>
      <c r="E845" t="s">
        <v>26</v>
      </c>
      <c r="F845" t="s">
        <v>27</v>
      </c>
      <c r="G845" t="s">
        <v>130</v>
      </c>
      <c r="J845" t="s">
        <v>29</v>
      </c>
      <c r="K845" t="s">
        <v>30</v>
      </c>
      <c r="L845" t="s">
        <v>31</v>
      </c>
      <c r="O845">
        <f t="shared" si="6"/>
        <v>23720</v>
      </c>
    </row>
    <row r="846" spans="2:15" hidden="1" x14ac:dyDescent="0.25">
      <c r="B846" t="s">
        <v>177</v>
      </c>
      <c r="C846">
        <v>23661</v>
      </c>
      <c r="D846">
        <v>52622.67</v>
      </c>
      <c r="E846" t="s">
        <v>26</v>
      </c>
      <c r="F846" t="s">
        <v>27</v>
      </c>
      <c r="G846" t="s">
        <v>130</v>
      </c>
      <c r="J846" t="s">
        <v>29</v>
      </c>
      <c r="K846" t="s">
        <v>30</v>
      </c>
      <c r="L846" t="s">
        <v>31</v>
      </c>
      <c r="O846">
        <f t="shared" si="6"/>
        <v>23661</v>
      </c>
    </row>
    <row r="847" spans="2:15" hidden="1" x14ac:dyDescent="0.25">
      <c r="B847" t="s">
        <v>177</v>
      </c>
      <c r="C847">
        <v>23549</v>
      </c>
      <c r="D847">
        <v>9145.82</v>
      </c>
      <c r="E847" t="s">
        <v>26</v>
      </c>
      <c r="F847" t="s">
        <v>27</v>
      </c>
      <c r="G847" t="s">
        <v>130</v>
      </c>
      <c r="J847" t="s">
        <v>29</v>
      </c>
      <c r="K847" t="s">
        <v>30</v>
      </c>
      <c r="L847" t="s">
        <v>31</v>
      </c>
      <c r="O847">
        <f t="shared" si="6"/>
        <v>23549</v>
      </c>
    </row>
    <row r="848" spans="2:15" hidden="1" x14ac:dyDescent="0.25">
      <c r="B848" t="s">
        <v>177</v>
      </c>
      <c r="C848">
        <v>27136</v>
      </c>
      <c r="D848">
        <v>50150</v>
      </c>
      <c r="E848" t="s">
        <v>26</v>
      </c>
      <c r="F848" t="s">
        <v>27</v>
      </c>
      <c r="G848" t="s">
        <v>130</v>
      </c>
      <c r="J848" t="s">
        <v>29</v>
      </c>
      <c r="K848" t="s">
        <v>30</v>
      </c>
      <c r="L848" t="s">
        <v>31</v>
      </c>
      <c r="O848">
        <f t="shared" si="6"/>
        <v>27136</v>
      </c>
    </row>
    <row r="849" spans="2:15" hidden="1" x14ac:dyDescent="0.25">
      <c r="B849" t="s">
        <v>177</v>
      </c>
      <c r="C849">
        <v>23540</v>
      </c>
      <c r="D849">
        <v>10748.41</v>
      </c>
      <c r="E849" t="s">
        <v>26</v>
      </c>
      <c r="F849" t="s">
        <v>27</v>
      </c>
      <c r="G849" t="s">
        <v>130</v>
      </c>
      <c r="J849" t="s">
        <v>29</v>
      </c>
      <c r="K849" t="s">
        <v>30</v>
      </c>
      <c r="L849" t="s">
        <v>31</v>
      </c>
      <c r="O849">
        <f t="shared" si="6"/>
        <v>23540</v>
      </c>
    </row>
    <row r="850" spans="2:15" hidden="1" x14ac:dyDescent="0.25">
      <c r="B850" t="s">
        <v>177</v>
      </c>
      <c r="C850">
        <v>23510</v>
      </c>
      <c r="D850">
        <v>59116.25</v>
      </c>
      <c r="E850" t="s">
        <v>26</v>
      </c>
      <c r="F850" t="s">
        <v>27</v>
      </c>
      <c r="G850" t="s">
        <v>130</v>
      </c>
      <c r="J850" t="s">
        <v>29</v>
      </c>
      <c r="K850" t="s">
        <v>30</v>
      </c>
      <c r="L850" t="s">
        <v>31</v>
      </c>
      <c r="O850">
        <f t="shared" si="6"/>
        <v>23510</v>
      </c>
    </row>
    <row r="851" spans="2:15" hidden="1" x14ac:dyDescent="0.25">
      <c r="B851" t="s">
        <v>177</v>
      </c>
      <c r="C851">
        <v>23685</v>
      </c>
      <c r="D851">
        <v>2079668.23</v>
      </c>
      <c r="E851" t="s">
        <v>26</v>
      </c>
      <c r="F851" t="s">
        <v>27</v>
      </c>
      <c r="G851" t="s">
        <v>130</v>
      </c>
      <c r="J851" t="s">
        <v>29</v>
      </c>
      <c r="K851" t="s">
        <v>30</v>
      </c>
      <c r="L851" t="s">
        <v>31</v>
      </c>
      <c r="O851">
        <f t="shared" si="6"/>
        <v>23685</v>
      </c>
    </row>
    <row r="852" spans="2:15" hidden="1" x14ac:dyDescent="0.25">
      <c r="B852" t="s">
        <v>177</v>
      </c>
      <c r="C852">
        <v>23557</v>
      </c>
      <c r="D852">
        <v>1687.5</v>
      </c>
      <c r="E852" t="s">
        <v>26</v>
      </c>
      <c r="F852" t="s">
        <v>27</v>
      </c>
      <c r="G852" t="s">
        <v>130</v>
      </c>
      <c r="J852" t="s">
        <v>29</v>
      </c>
      <c r="K852" t="s">
        <v>30</v>
      </c>
      <c r="L852" t="s">
        <v>31</v>
      </c>
      <c r="O852">
        <f t="shared" si="6"/>
        <v>23557</v>
      </c>
    </row>
    <row r="853" spans="2:15" hidden="1" x14ac:dyDescent="0.25">
      <c r="B853" t="s">
        <v>177</v>
      </c>
      <c r="C853">
        <v>23559</v>
      </c>
      <c r="D853">
        <v>2109.91</v>
      </c>
      <c r="E853" t="s">
        <v>26</v>
      </c>
      <c r="F853" t="s">
        <v>27</v>
      </c>
      <c r="G853" t="s">
        <v>130</v>
      </c>
      <c r="J853" t="s">
        <v>29</v>
      </c>
      <c r="K853" t="s">
        <v>30</v>
      </c>
      <c r="L853" t="s">
        <v>31</v>
      </c>
      <c r="O853">
        <f t="shared" si="6"/>
        <v>23559</v>
      </c>
    </row>
    <row r="854" spans="2:15" hidden="1" x14ac:dyDescent="0.25">
      <c r="B854" t="s">
        <v>177</v>
      </c>
      <c r="C854">
        <v>26399</v>
      </c>
      <c r="D854">
        <v>61479.72</v>
      </c>
      <c r="E854" t="s">
        <v>26</v>
      </c>
      <c r="F854" t="s">
        <v>27</v>
      </c>
      <c r="G854" t="s">
        <v>130</v>
      </c>
      <c r="J854" t="s">
        <v>29</v>
      </c>
      <c r="K854" t="s">
        <v>30</v>
      </c>
      <c r="L854" t="s">
        <v>31</v>
      </c>
      <c r="O854">
        <f t="shared" si="6"/>
        <v>26399</v>
      </c>
    </row>
    <row r="855" spans="2:15" hidden="1" x14ac:dyDescent="0.25">
      <c r="B855" t="s">
        <v>177</v>
      </c>
      <c r="C855">
        <v>23507</v>
      </c>
      <c r="D855">
        <v>76636.149999999994</v>
      </c>
      <c r="E855" t="s">
        <v>26</v>
      </c>
      <c r="F855" t="s">
        <v>27</v>
      </c>
      <c r="G855" t="s">
        <v>130</v>
      </c>
      <c r="J855" t="s">
        <v>29</v>
      </c>
      <c r="K855" t="s">
        <v>30</v>
      </c>
      <c r="L855" t="s">
        <v>31</v>
      </c>
      <c r="O855">
        <f t="shared" si="6"/>
        <v>23507</v>
      </c>
    </row>
    <row r="856" spans="2:15" hidden="1" x14ac:dyDescent="0.25">
      <c r="B856" t="s">
        <v>177</v>
      </c>
      <c r="C856">
        <v>25697</v>
      </c>
      <c r="D856">
        <v>396830.59</v>
      </c>
      <c r="E856" t="s">
        <v>26</v>
      </c>
      <c r="F856" t="s">
        <v>27</v>
      </c>
      <c r="G856" t="s">
        <v>130</v>
      </c>
      <c r="J856" t="s">
        <v>29</v>
      </c>
      <c r="K856" t="s">
        <v>30</v>
      </c>
      <c r="L856" t="s">
        <v>31</v>
      </c>
      <c r="O856">
        <f t="shared" si="6"/>
        <v>25697</v>
      </c>
    </row>
    <row r="857" spans="2:15" hidden="1" x14ac:dyDescent="0.25">
      <c r="B857" t="s">
        <v>177</v>
      </c>
      <c r="C857">
        <v>19368</v>
      </c>
      <c r="D857">
        <v>126131.63</v>
      </c>
      <c r="E857" t="s">
        <v>26</v>
      </c>
      <c r="F857" t="s">
        <v>27</v>
      </c>
      <c r="G857" t="s">
        <v>130</v>
      </c>
      <c r="J857" t="s">
        <v>29</v>
      </c>
      <c r="K857" t="s">
        <v>30</v>
      </c>
      <c r="L857" t="s">
        <v>31</v>
      </c>
      <c r="O857">
        <f t="shared" si="6"/>
        <v>19368</v>
      </c>
    </row>
    <row r="858" spans="2:15" hidden="1" x14ac:dyDescent="0.25">
      <c r="B858" t="s">
        <v>177</v>
      </c>
      <c r="C858">
        <v>23523</v>
      </c>
      <c r="D858">
        <v>21232.41</v>
      </c>
      <c r="E858" t="s">
        <v>26</v>
      </c>
      <c r="F858" t="s">
        <v>27</v>
      </c>
      <c r="G858" t="s">
        <v>130</v>
      </c>
      <c r="J858" t="s">
        <v>29</v>
      </c>
      <c r="K858" t="s">
        <v>30</v>
      </c>
      <c r="L858" t="s">
        <v>31</v>
      </c>
      <c r="O858">
        <f t="shared" si="6"/>
        <v>23523</v>
      </c>
    </row>
    <row r="859" spans="2:15" hidden="1" x14ac:dyDescent="0.25">
      <c r="B859" t="s">
        <v>177</v>
      </c>
      <c r="C859">
        <v>23642</v>
      </c>
      <c r="D859">
        <v>368.67</v>
      </c>
      <c r="E859" t="s">
        <v>26</v>
      </c>
      <c r="F859" t="s">
        <v>27</v>
      </c>
      <c r="G859" t="s">
        <v>130</v>
      </c>
      <c r="J859" t="s">
        <v>29</v>
      </c>
      <c r="K859" t="s">
        <v>30</v>
      </c>
      <c r="L859" t="s">
        <v>31</v>
      </c>
      <c r="O859">
        <f t="shared" si="6"/>
        <v>23642</v>
      </c>
    </row>
    <row r="860" spans="2:15" hidden="1" x14ac:dyDescent="0.25">
      <c r="B860" t="s">
        <v>177</v>
      </c>
      <c r="C860">
        <v>23496</v>
      </c>
      <c r="D860">
        <v>26563.62</v>
      </c>
      <c r="E860" t="s">
        <v>26</v>
      </c>
      <c r="F860" t="s">
        <v>27</v>
      </c>
      <c r="G860" t="s">
        <v>130</v>
      </c>
      <c r="J860" t="s">
        <v>29</v>
      </c>
      <c r="K860" t="s">
        <v>30</v>
      </c>
      <c r="L860" t="s">
        <v>31</v>
      </c>
      <c r="O860">
        <f t="shared" si="6"/>
        <v>23496</v>
      </c>
    </row>
    <row r="861" spans="2:15" hidden="1" x14ac:dyDescent="0.25">
      <c r="B861" t="s">
        <v>177</v>
      </c>
      <c r="C861">
        <v>23612</v>
      </c>
      <c r="D861">
        <v>1892.79</v>
      </c>
      <c r="E861" t="s">
        <v>26</v>
      </c>
      <c r="F861" t="s">
        <v>27</v>
      </c>
      <c r="G861" t="s">
        <v>130</v>
      </c>
      <c r="J861" t="s">
        <v>29</v>
      </c>
      <c r="K861" t="s">
        <v>30</v>
      </c>
      <c r="L861" t="s">
        <v>31</v>
      </c>
      <c r="O861">
        <f t="shared" si="6"/>
        <v>23612</v>
      </c>
    </row>
    <row r="862" spans="2:15" hidden="1" x14ac:dyDescent="0.25">
      <c r="B862" t="s">
        <v>177</v>
      </c>
      <c r="C862">
        <v>23534</v>
      </c>
      <c r="D862">
        <v>20448.849999999999</v>
      </c>
      <c r="E862" t="s">
        <v>26</v>
      </c>
      <c r="F862" t="s">
        <v>27</v>
      </c>
      <c r="G862" t="s">
        <v>130</v>
      </c>
      <c r="J862" t="s">
        <v>29</v>
      </c>
      <c r="K862" t="s">
        <v>30</v>
      </c>
      <c r="L862" t="s">
        <v>31</v>
      </c>
      <c r="O862">
        <f t="shared" si="6"/>
        <v>23534</v>
      </c>
    </row>
  </sheetData>
  <autoFilter ref="B431:O862" xr:uid="{00000000-0009-0000-0000-000001000000}">
    <filterColumn colId="13">
      <filters>
        <filter val="#N/A"/>
      </filters>
    </filterColumn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0148DB1B66DA499B9393429ED53FDC" ma:contentTypeVersion="10" ma:contentTypeDescription="Create a new document." ma:contentTypeScope="" ma:versionID="f9a05cd4f7f5c27c5fce9985609edb82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7dbdc1f366d950f8a81fedd92a8db54f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7BE427-DC34-4B38-BB1F-BDBF37C9E688}">
  <ds:schemaRefs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c1fb8f92-2b85-4698-b4e6-d8439f298c5f"/>
    <ds:schemaRef ds:uri="http://schemas.microsoft.com/office/2006/documentManagement/types"/>
    <ds:schemaRef ds:uri="340aea95-890d-43fd-a456-8e279056e40c"/>
    <ds:schemaRef ds:uri="http://purl.org/dc/dcmitype/"/>
    <ds:schemaRef ds:uri="http://schemas.openxmlformats.org/package/2006/metadata/core-properties"/>
    <ds:schemaRef ds:uri="http://schemas.microsoft.com/sharepoint/v3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9812EF8-5557-4CEB-8C9E-3008BBAA51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D63DE7-76A8-4822-A7DE-A7DDBC1C53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DiffOther Financial Corporation</vt:lpstr>
      <vt:lpstr>Diff Tangible assets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Miguel Parreira Vaz Natário</dc:creator>
  <cp:lastModifiedBy>Hélder Filipe Felicidade Fernandes</cp:lastModifiedBy>
  <dcterms:created xsi:type="dcterms:W3CDTF">2025-07-25T13:02:30Z</dcterms:created>
  <dcterms:modified xsi:type="dcterms:W3CDTF">2025-11-26T13:23:25Z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2025-07-25T13:02:36Z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4d5ccdc6-3bb3-4340-b0c4-207e7683a379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